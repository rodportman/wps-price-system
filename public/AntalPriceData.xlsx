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RP 2026" sheetId="1" r:id="rId1"/>
    <sheet name="ON REQUEST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<sst xmlns="http://schemas.openxmlformats.org/spreadsheetml/2006/main" count="8102" uniqueCount="3133">
  <si>
    <t>Brand</t>
  </si>
  <si>
    <t>PartNumber</t>
  </si>
  <si>
    <t>ShortDescription</t>
  </si>
  <si>
    <t>chinese_short_descript</t>
  </si>
  <si>
    <t>Description</t>
  </si>
  <si>
    <t>chinese_long_descript</t>
  </si>
  <si>
    <t>RRP</t>
  </si>
  <si>
    <t>RRP113</t>
  </si>
  <si>
    <t>Wholesaler</t>
  </si>
  <si>
    <t>Distributor</t>
  </si>
  <si>
    <t>OEM</t>
  </si>
  <si>
    <t>Dealer</t>
  </si>
  <si>
    <t>Retail</t>
  </si>
  <si>
    <t>RRP2026</t>
  </si>
  <si>
    <t>00301</t>
  </si>
  <si>
    <t>MINI S.STEEL BLOCK D034 SINGLE + FLAT SHACKLE</t>
  </si>
  <si>
    <t>00301C</t>
  </si>
  <si>
    <t>MINI S.STEEL BLOCK D034 SINGLE + FLAT SHACKLE + CAM CLEAT</t>
  </si>
  <si>
    <t>Antal</t>
  </si>
  <si>
    <t>00301CSW</t>
  </si>
  <si>
    <t>MINI S.STEEL BLOCK D034 SINGLE + SWIVEL HEAD + CAM CLEAT</t>
  </si>
  <si>
    <t>00301SW</t>
  </si>
  <si>
    <t>MINI S.STEEL BLOCK D034 SINGLE + SWIVEL HEAD</t>
  </si>
  <si>
    <t>00302</t>
  </si>
  <si>
    <t>MINI S.STEEL BLOCK D034 SINGLE AND BECKET + FLAT SHACKLE</t>
  </si>
  <si>
    <t>00302C</t>
  </si>
  <si>
    <t>MINI S.STEEL BLOCK D034 SINGLE AND BECKET + FLAT SHACKLE + CAM CLEAT</t>
  </si>
  <si>
    <t>00302CSW</t>
  </si>
  <si>
    <t>SWIVEL BLOCK 34X6 BECKET AND CLEAT</t>
  </si>
  <si>
    <t>00302SW</t>
  </si>
  <si>
    <t>SWIVEL  BLOCK 34X6 W/BECKET</t>
  </si>
  <si>
    <t>00303</t>
  </si>
  <si>
    <t>MINI S.STEEL BLOCK D034 DOUBLE + S.STEEL SHACKLE D005</t>
  </si>
  <si>
    <t>00303C</t>
  </si>
  <si>
    <t>MINI S.STEEL BLOCK D034 DOUBLE + S.STEEL SHACKLE D005 + CAM CLEAT</t>
  </si>
  <si>
    <t>00303CSW</t>
  </si>
  <si>
    <t>SWIVEL DOUBLE SHACKLE BLOCK 34X6 W/ SHACKEL &amp; C.CLEAT</t>
  </si>
  <si>
    <t>00303SW</t>
  </si>
  <si>
    <t>DOUBLE  BLOCK 34 SWIVEL HEAD</t>
  </si>
  <si>
    <t>00304</t>
  </si>
  <si>
    <t>MINI S.STEEL BLOCK D034 DOUBLE AND BECKET + S.STEEL SHACKLE D005</t>
  </si>
  <si>
    <t>00304C</t>
  </si>
  <si>
    <t>MINI S.STEEL BLOCK D034 DOUBLE AND BECKET + S.STEEL SHACKLE D005 + CAM CLEAT</t>
  </si>
  <si>
    <t>00305</t>
  </si>
  <si>
    <t>MINI S.STEEL BLOCK D034 TRIPLE + S.STEEL SHACKLE D005</t>
  </si>
  <si>
    <t>00305C</t>
  </si>
  <si>
    <t>MINI S.STEEL BLOCK D034 TRIPLE + S.STEEL SHACKLE D005 + CAM CLEAT</t>
  </si>
  <si>
    <t>00306</t>
  </si>
  <si>
    <t>MINI S.STEEL BLOCK D034 TRIPLE AND BECKET + S.STEEL SHACKLE D005</t>
  </si>
  <si>
    <t>00306C</t>
  </si>
  <si>
    <t>TRIPLE BLOCK 34X6 W/BECKET, SHACKLE , CLEAT</t>
  </si>
  <si>
    <t>00311</t>
  </si>
  <si>
    <t>MINI S.STEEL DECK-BLOCK D034 FOOT BLOCK</t>
  </si>
  <si>
    <t>00316</t>
  </si>
  <si>
    <t>MINI S.STEEL DECK-BLOCK D034 STAND-UP</t>
  </si>
  <si>
    <t>00318D</t>
  </si>
  <si>
    <t>MAST BLOCK D034 DOUBLE</t>
  </si>
  <si>
    <t>00320</t>
  </si>
  <si>
    <t>MINI S.STEEL BLOCK D034 U-HEAD</t>
  </si>
  <si>
    <t>00321</t>
  </si>
  <si>
    <t>MINI S.STEEL BLOCK D034 U-HEAD AND BECKET</t>
  </si>
  <si>
    <t>00322</t>
  </si>
  <si>
    <t>MINI S.STEEL BLOCK D034 + SIMPLE PAD-EYE</t>
  </si>
  <si>
    <t>00323</t>
  </si>
  <si>
    <t>MINI S.STEEL DECK-BLOCK D034 UPRIGHT</t>
  </si>
  <si>
    <t>00324</t>
  </si>
  <si>
    <t>MINI S.STEEL DECK-BLOCK D034 OVER THE TOP</t>
  </si>
  <si>
    <t>00330</t>
  </si>
  <si>
    <t>MINI S.STEEL BLOCK D034 FIDDLE + FLAT SHACKLE</t>
  </si>
  <si>
    <t>00330C</t>
  </si>
  <si>
    <t>MINI S.STEEL BLOCK D034 FIDDLE + FLAT SHACKLE + CAM CLEAT</t>
  </si>
  <si>
    <t>00330CSW</t>
  </si>
  <si>
    <t>FIDDLE BLOCK 34X6 SWIVEL HEAD, C CLEAT</t>
  </si>
  <si>
    <t>00330SW</t>
  </si>
  <si>
    <t>FIDDLE BLOCK 34X6 SWIVEL HEAD</t>
  </si>
  <si>
    <t>00331</t>
  </si>
  <si>
    <t>MINI S.STEEL BLOCK D034 FIDDLE AND BECKET + FLAT SHACKLE</t>
  </si>
  <si>
    <t>00331C</t>
  </si>
  <si>
    <t>FIDDLE BLOCK 34X6 BECKET, SHACKLE, C CLEAT</t>
  </si>
  <si>
    <t>00331CSW</t>
  </si>
  <si>
    <t>FIDDLE BLOCK 34X6 BECKET, SWIVEL HEAD, C CLEAT</t>
  </si>
  <si>
    <t>00331SW</t>
  </si>
  <si>
    <t>FIDDLE BLOCK 34X6 W/BECKET, SWIVEL HEAD</t>
  </si>
  <si>
    <t>00401</t>
  </si>
  <si>
    <t>MINI S.STEEL BLOCK D040 SINGLE + FLAT SHACKLE</t>
  </si>
  <si>
    <t>00401B</t>
  </si>
  <si>
    <t>MINI S.STEEL BLOCK D040 SINGLE + WEB HEAD</t>
  </si>
  <si>
    <t>00401C</t>
  </si>
  <si>
    <t>MINI S.STEEL BLOCK D040 SINGLE + FLAT SHACKLE + CAM CLEAT</t>
  </si>
  <si>
    <t>00401CSW</t>
  </si>
  <si>
    <t>SWIVEL  BLOCK D40 W/ C CLEAT</t>
  </si>
  <si>
    <t>00401SW</t>
  </si>
  <si>
    <t>SWIVEL BLOCK D40</t>
  </si>
  <si>
    <t>00402</t>
  </si>
  <si>
    <t>MINI S.STEEL BLOCK D040 SINGLE AND BECKET + FLAT SHACKLE</t>
  </si>
  <si>
    <t>00402B</t>
  </si>
  <si>
    <t>MINI S.STEEL BLOCK D040 SINGLE AND BECKET + WEB HEAD</t>
  </si>
  <si>
    <t>00402C</t>
  </si>
  <si>
    <t>MINI S.STEEL BLOCK D040 SINGLE AND BECKET + FLAT SHACKLE + CAM CLEAT</t>
  </si>
  <si>
    <t>00402CSW</t>
  </si>
  <si>
    <t>SWIVEL SHACKLE BLOCK D40 W/BECKET, C CLEAT</t>
  </si>
  <si>
    <t>00402SW</t>
  </si>
  <si>
    <t>SWIVEL BLOCK D40 W/BECKET</t>
  </si>
  <si>
    <t>00403</t>
  </si>
  <si>
    <t>MINI S.STEEL BLOCK D040 DOUBLE + S.STEEL SHACKLE D005</t>
  </si>
  <si>
    <t>00403C</t>
  </si>
  <si>
    <t>MINI S.STEEL BLOCK D040 DOUBLE + S.STEEL SHACKLE D005 + CAM CLEAT</t>
  </si>
  <si>
    <t>00404</t>
  </si>
  <si>
    <t>MINI S.STEEL BLOCK D040 DOUBLE AND BECKET + S.STEEL SHACKLE D005</t>
  </si>
  <si>
    <t>00404C</t>
  </si>
  <si>
    <t>MINI S.STEEL BLOCK D040 DOUBLE AND BECKET + S.STEEL SHACKLE D005 + CAM CLEAT</t>
  </si>
  <si>
    <t>00405</t>
  </si>
  <si>
    <t>MINI S.STEEL BLOCK D040 TRIPLE + S.STEEL SHACKLE D005</t>
  </si>
  <si>
    <t>00405C</t>
  </si>
  <si>
    <t>MINI S.STEEL BLOCK D040 TRIPLE + S.STEEL SHACKLE D005 + CAM CLEAT</t>
  </si>
  <si>
    <t>00406</t>
  </si>
  <si>
    <t>MINI S.STEEL BLOCK D040 TRIPLE AND BECKET + S.STEEL SHACKLE D005</t>
  </si>
  <si>
    <t>00406C</t>
  </si>
  <si>
    <t>MINI S.STEEL BLOCK D040 TRIPLE AND BECKET + S.STEEL SHACKLE D005 + CAM CLEAT</t>
  </si>
  <si>
    <t>00411</t>
  </si>
  <si>
    <t>DECK BLOCK D 40</t>
  </si>
  <si>
    <t>00416</t>
  </si>
  <si>
    <t>MINI S.STEEL DECK-BLOCK D040 STAND-UP</t>
  </si>
  <si>
    <t>00418</t>
  </si>
  <si>
    <t>MAST BLOCK D 40</t>
  </si>
  <si>
    <t>00418D</t>
  </si>
  <si>
    <t>MAST BLOCK D040 DOUBLE</t>
  </si>
  <si>
    <t>00420</t>
  </si>
  <si>
    <t>MINI S.STEEL BLOCK D040 U-HEAD</t>
  </si>
  <si>
    <t>00421</t>
  </si>
  <si>
    <t>MINI S.STEEL BLOCK D040 U-HEAD AND BECKET</t>
  </si>
  <si>
    <t>00422</t>
  </si>
  <si>
    <t>MINI S.STEEL BLOCK D040 + SIMPLE PAD-EYE</t>
  </si>
  <si>
    <t>00423</t>
  </si>
  <si>
    <t>MINI S.STEEL DECK-BLOCK D040 UPRIGHT</t>
  </si>
  <si>
    <t>00424</t>
  </si>
  <si>
    <t>MINI S.STEEL DECK-BLOCK D040 OVER THE TOP</t>
  </si>
  <si>
    <t>00430</t>
  </si>
  <si>
    <t>MINI S.STEEL BLOCK D040 FIDDLE + FLAT SHACKLE</t>
  </si>
  <si>
    <t>00430B</t>
  </si>
  <si>
    <t>FIDDLE BLOCK D40 BUSH HEAD</t>
  </si>
  <si>
    <t>00430C</t>
  </si>
  <si>
    <t>MINI S.STEEL BLOCK D040 FIDDLE + FLAT SHACKLE + CAM CLEAT</t>
  </si>
  <si>
    <t>00430CSW</t>
  </si>
  <si>
    <t>FIDDLE BLOCK D40 SWIVEL HEAD, C CLEAT</t>
  </si>
  <si>
    <t>00430SW</t>
  </si>
  <si>
    <t>FIDDLE BLOCK D40 SWIVEL HEAD</t>
  </si>
  <si>
    <t>00431</t>
  </si>
  <si>
    <t>MINI S.STEEL BLOCK D040 FIDDLE AND BECKET + FLAT SHACKLE</t>
  </si>
  <si>
    <t>00431B</t>
  </si>
  <si>
    <t>MINI S.STEEL BLOCK D040 FIDDLE AND BECKET + WEB HEAD</t>
  </si>
  <si>
    <t>00431C</t>
  </si>
  <si>
    <t>MINI S.STEEL BLOCK D040 FIDDLE AND BECKET + FLAT SHACKLE + CAM CLEAT</t>
  </si>
  <si>
    <t>00431CSW</t>
  </si>
  <si>
    <t>FIDDLE BLOCK D40 W/BECKET, SWIVEL HEAD, C CLEAT</t>
  </si>
  <si>
    <t>00431SW</t>
  </si>
  <si>
    <t>FIDDLE BLOCK W/BECKET D40 SWIVEL HEAD</t>
  </si>
  <si>
    <t>00501</t>
  </si>
  <si>
    <t>OPF BLOCK D050 SINGLE + S.STEEL SHACKLE D005</t>
  </si>
  <si>
    <t>00501C</t>
  </si>
  <si>
    <t>OPF BLOCK D 50 W/SHACKLE, C CLEAT</t>
  </si>
  <si>
    <t>00501SN</t>
  </si>
  <si>
    <t>OPF BLOCK D 50 W/SNAP SHACKLE</t>
  </si>
  <si>
    <t>00502</t>
  </si>
  <si>
    <t>OPF BLOCK D050 SINGLE WITH BECKET + S.STEEL SHACKLE D005</t>
  </si>
  <si>
    <t>00502C</t>
  </si>
  <si>
    <t>OPF BLOCK  50 W/BECKET, SHACKLE, C CLEAT</t>
  </si>
  <si>
    <t>00503</t>
  </si>
  <si>
    <t>OPF BLOCK D050 DOUBLE + S.STEEL SHACKLE D006</t>
  </si>
  <si>
    <t>00503C</t>
  </si>
  <si>
    <t>OPF BLOCK D050 DOUBLE + S.STEEL SHACKLE D006 + CAM CLEAT</t>
  </si>
  <si>
    <t>00504</t>
  </si>
  <si>
    <t>OPF BLOCK D050 DOUBLE WITH BECKET + S.STEEL SHACKLE D006</t>
  </si>
  <si>
    <t>00504C</t>
  </si>
  <si>
    <t>DOUBLE OPF BLOCK D 50 W/BECKET, SHACKLE, C CLEAT</t>
  </si>
  <si>
    <t>00505</t>
  </si>
  <si>
    <t>OPF BLOCK D050 TRIPLE + S.STEEL SHACKLE D006</t>
  </si>
  <si>
    <t>00505C</t>
  </si>
  <si>
    <t>TRIPLE OPF BLOCK D 50 W/SHACKLE, C CLEAT</t>
  </si>
  <si>
    <t>00506</t>
  </si>
  <si>
    <t>OPF BLOCK D050 TRIPLE WITH BECKET + S.STEEL SHACKLE D006</t>
  </si>
  <si>
    <t>00506C</t>
  </si>
  <si>
    <t>OPF BLOCK D050 TRIPLE WITH BECKET + S.STEEL SHACKLE D006 + CAM CLEAT</t>
  </si>
  <si>
    <t>00507</t>
  </si>
  <si>
    <t>OPF BLOCK D050 FIDDLE + S.STEEL SHACKLE D005</t>
  </si>
  <si>
    <t>00507/9</t>
  </si>
  <si>
    <t>OPF BLOCK D050 FIDDLE + WEB HEAD</t>
  </si>
  <si>
    <t>00507/9C</t>
  </si>
  <si>
    <t>OPF BLOCK D050 FIDDLE WEB + CAM CLEAT</t>
  </si>
  <si>
    <t>00507C</t>
  </si>
  <si>
    <t>OPF FIDDLE BLOCK D 50 W/SHACKLE, C CLEAT</t>
  </si>
  <si>
    <t>00508</t>
  </si>
  <si>
    <t>OPF BLOCK D050 FIDDLE WITH BECKET + S.STEEL SHACKLE D005</t>
  </si>
  <si>
    <t>00508/9</t>
  </si>
  <si>
    <t>OPF BLOCK D050 FIDDLE WEB WITH BECKET</t>
  </si>
  <si>
    <t>00508C</t>
  </si>
  <si>
    <t>OPF FIDDLE BLOCK D 50 W/BECKET, SHACKLE, C CLEAT</t>
  </si>
  <si>
    <t>00509</t>
  </si>
  <si>
    <t>OPF WEB BLOCK D 50</t>
  </si>
  <si>
    <t>00510</t>
  </si>
  <si>
    <t>OPF BLOCK D050 WEB WITH BECKET</t>
  </si>
  <si>
    <t>00510C</t>
  </si>
  <si>
    <t>OPF WEB BLOCK  D 50 W/BECKET, C CLEAT</t>
  </si>
  <si>
    <t>00511</t>
  </si>
  <si>
    <t>OPF DECK-BLOCK D050 SINGLE</t>
  </si>
  <si>
    <t>00512</t>
  </si>
  <si>
    <t>OPF DECK-BLOCK D050 DOUBLE</t>
  </si>
  <si>
    <t>00513</t>
  </si>
  <si>
    <t>OPF BLOCK D050 SINGLE + U-BOLT D005</t>
  </si>
  <si>
    <t>00516</t>
  </si>
  <si>
    <t>OPF DECK-BLOCK D050 MAST BASE</t>
  </si>
  <si>
    <t>00517</t>
  </si>
  <si>
    <t>OPF DECK-BLOCK D050 UP-DOWN</t>
  </si>
  <si>
    <t>00518</t>
  </si>
  <si>
    <t>MAST BLOCK D50</t>
  </si>
  <si>
    <t>00523</t>
  </si>
  <si>
    <t>OPF DECK-BLOCK D050 UPRIGHT SINGLE</t>
  </si>
  <si>
    <t>00523/2</t>
  </si>
  <si>
    <t>DOUBLE UPRIGHT OPF 50 BLOCK</t>
  </si>
  <si>
    <t>00523/2A</t>
  </si>
  <si>
    <t>DOUBLE UPRIGHT OPF 50 BLOCK W/BECKET</t>
  </si>
  <si>
    <t>00523/3</t>
  </si>
  <si>
    <t>TRIPLE UPRIGHT OPF 50 BLOCK</t>
  </si>
  <si>
    <t>00523/3A</t>
  </si>
  <si>
    <t>TRIPLE UPRIGHT OPF 50 BLOCK W/BECK.</t>
  </si>
  <si>
    <t>005SS</t>
  </si>
  <si>
    <t>SHACKLE D05 A4</t>
  </si>
  <si>
    <t>00601</t>
  </si>
  <si>
    <t>OPF BLOCK D060 SINGLE + S.STEEL SHACKLE D006</t>
  </si>
  <si>
    <t>00601C</t>
  </si>
  <si>
    <t>OPF BLOCK D060 SINGLE + S.STEEL SHACKLE D006 + CAM CLEAT</t>
  </si>
  <si>
    <t>00601GHR</t>
  </si>
  <si>
    <t>RIVET BLOCK D60 NO SHACKLE NO PLASTIC LONG HEAD</t>
  </si>
  <si>
    <t>00601J</t>
  </si>
  <si>
    <t>OPF BLOCK D060 SINGLE + LONG HEAD D06 L19,5</t>
  </si>
  <si>
    <t>00601SN</t>
  </si>
  <si>
    <t>OPF BLOCK D060 SINGLE + GLOMA SNAP-SHACKLE</t>
  </si>
  <si>
    <t>00602</t>
  </si>
  <si>
    <t>OPF BLOCK D060 SINGLE WITH BECKET + S.STEEL SHACKLE D006</t>
  </si>
  <si>
    <t>00602C</t>
  </si>
  <si>
    <t>OPF BLOCK D060 SINGLE WITH BECKET + S.STEEL SHACKLE D006 + CAM CLEAT</t>
  </si>
  <si>
    <t>00602CSN</t>
  </si>
  <si>
    <t>OPF BLOCK D60 W/BECKET, SNAP SHACKLE, C CLEAT</t>
  </si>
  <si>
    <t>00602SN</t>
  </si>
  <si>
    <t>OPF BLOCK D060 SINGLE WITH BECKET + GLOMA SNAP-SHACKLE</t>
  </si>
  <si>
    <t>00603</t>
  </si>
  <si>
    <t>OPF BLOCK D060 DOUBLE + S.STEEL SHACKLE D008</t>
  </si>
  <si>
    <t>00603C</t>
  </si>
  <si>
    <t>OPF BLOCK D060 DOUBLE + S.STEEL SHACKLE D008 + CAM CLEAT</t>
  </si>
  <si>
    <t>00604</t>
  </si>
  <si>
    <t>OPF BLOCK D060 DOUBLE WITH BECKET + S.STEEL SHACKLE D006</t>
  </si>
  <si>
    <t>00604C</t>
  </si>
  <si>
    <t>OPF BLOCK D060 DOUBLE WITH BECKET + S.STEEL SHACKLE D006 + CAM CLEAT</t>
  </si>
  <si>
    <t>00605</t>
  </si>
  <si>
    <t>OPF BLOCK D060 TRIPLE + S.STEEL SHACKLE D006</t>
  </si>
  <si>
    <t>00605C</t>
  </si>
  <si>
    <t>OPF BLOCK D060 TRIPLE + S.STEEL SHACKLE D006 + CAM CLEAT</t>
  </si>
  <si>
    <t>00606</t>
  </si>
  <si>
    <t>OPF BLOCK D060 TRIPLE WITH BECKET + S.STEEL SHACKLE D006</t>
  </si>
  <si>
    <t>00606C</t>
  </si>
  <si>
    <t>OPF BLOCK D060 TRIPLE WITH BECKET + S.STEEL SHACKLE D006 + CAM CLEAT</t>
  </si>
  <si>
    <t>00607</t>
  </si>
  <si>
    <t>OPF BLOCK D060 FIDDLE + S.STEEL SHACKLE D006</t>
  </si>
  <si>
    <t>00607/9</t>
  </si>
  <si>
    <t>OPF BLOCK D060 FIDDLE WEB</t>
  </si>
  <si>
    <t>00607C</t>
  </si>
  <si>
    <t>OPF BLOCK D060 FIDDLE + S.STEEL SHACKLE D006 + CAM CLEAT</t>
  </si>
  <si>
    <t>00608</t>
  </si>
  <si>
    <t>OPF BLOCK D060 FIDDLE WITH BECKET + S.STEEL SHACKLE D006</t>
  </si>
  <si>
    <t>00608C</t>
  </si>
  <si>
    <t>OPF BLOCK D060 FIDDLE WITH BECKET + S.STEEL SHACKLE D006 + CAM CLEAT</t>
  </si>
  <si>
    <t>00608CSN</t>
  </si>
  <si>
    <t>OPF BLOCK D060 FIDDLE WITH BECKET + GLOMA SNAP-SHACKLE + CAM CLEAT</t>
  </si>
  <si>
    <t>00609</t>
  </si>
  <si>
    <t>OPF BLOCK D060 SIMPLE WEB</t>
  </si>
  <si>
    <t>00610</t>
  </si>
  <si>
    <t>OPF BLOCK D060 WEB WITH BECKET</t>
  </si>
  <si>
    <t>00610C</t>
  </si>
  <si>
    <t>OPF BLOCK D060 WEB WITH BECKET + CAM CLEAT</t>
  </si>
  <si>
    <t>00611</t>
  </si>
  <si>
    <t>OPF DECK-BLOCK D060 SINGLE</t>
  </si>
  <si>
    <t>00612</t>
  </si>
  <si>
    <t>OPF DECK-BLOCK D060 DOUBLE</t>
  </si>
  <si>
    <t>00613</t>
  </si>
  <si>
    <t>OPF BLOCK D060 SINGLE + U-BOLT D006</t>
  </si>
  <si>
    <t>00614</t>
  </si>
  <si>
    <t>OPF BLOCK D060 SINGLE + PAD-EYE D006</t>
  </si>
  <si>
    <t>00615</t>
  </si>
  <si>
    <t>OPF BLOCK D060 SINGLE + SCREWED EYEBOLT D006</t>
  </si>
  <si>
    <t>00616</t>
  </si>
  <si>
    <t>OPF DECK-BLOCK D060 MAST BASE</t>
  </si>
  <si>
    <t>00617</t>
  </si>
  <si>
    <t>OPF DECK-BLOCK D060 UP-DOWN</t>
  </si>
  <si>
    <t>00618</t>
  </si>
  <si>
    <t>MAST BLOCK D 60</t>
  </si>
  <si>
    <t>00619</t>
  </si>
  <si>
    <t>SWIVELLING HALYARD BLOCK D060</t>
  </si>
  <si>
    <t>00621</t>
  </si>
  <si>
    <t>ALU HOLLOW PIN DECK BLOCK D 60</t>
  </si>
  <si>
    <t>00621C</t>
  </si>
  <si>
    <t>ALU HOLLOW PIN DECK BLOCK D 60 , C CLEAT</t>
  </si>
  <si>
    <t>00631C</t>
  </si>
  <si>
    <t>MAIN BLOCK E6/60 WITH C/CLEAT</t>
  </si>
  <si>
    <t>00632C</t>
  </si>
  <si>
    <t>MAIN BLOCK E7/60 WITH C/CLEAT</t>
  </si>
  <si>
    <t>00633C</t>
  </si>
  <si>
    <t>MAIN BLOCK E8/60 WITH C/CLEAT</t>
  </si>
  <si>
    <t>006HR</t>
  </si>
  <si>
    <t>SHACKLE D06 17-4-PH</t>
  </si>
  <si>
    <t>006SS</t>
  </si>
  <si>
    <t>SHACKLE D06 A4</t>
  </si>
  <si>
    <t>00701</t>
  </si>
  <si>
    <t>OPF BLOCK D070 SINGLE + HR SHACKLE D006</t>
  </si>
  <si>
    <t>00701C</t>
  </si>
  <si>
    <t>OPF BLOCK D070 SINGLE + HR SHACKLE D006 + CAM CLEAT</t>
  </si>
  <si>
    <t>00701GH</t>
  </si>
  <si>
    <t>SWIVEL OPF BLOCK D 70 - NO SHACKLE- NO TRASVERSAL HEAD</t>
  </si>
  <si>
    <t>00701SN</t>
  </si>
  <si>
    <t>OPF BLOCK D 70 WITH WICHARD  HR SNAP SHACKLE</t>
  </si>
  <si>
    <t>00702</t>
  </si>
  <si>
    <t>OPF BLOCK D070 SINGLE WITH BECKET + HR SHACKLE D006</t>
  </si>
  <si>
    <t>00702C</t>
  </si>
  <si>
    <t>OPF BLOCK D070 SINGLE WITH BECKET + HR SHACKLE D006 + CAM CLEAT</t>
  </si>
  <si>
    <t>00703</t>
  </si>
  <si>
    <t>OPF BLOCK D070 DOUBLE + HR SHACKLE D006</t>
  </si>
  <si>
    <t>00703C</t>
  </si>
  <si>
    <t>OPF BLOCK D070 DOUBLE + HR SHACKLE D006 + CAM CLEAT</t>
  </si>
  <si>
    <t>00704</t>
  </si>
  <si>
    <t>OPF BLOCK D070 DOUBLE WITH BECKET + HR SHACKLE D006</t>
  </si>
  <si>
    <t>00704C</t>
  </si>
  <si>
    <t>OPF BLOCK D070 DOUBLE WITH BECKET + HR SHACKLE D006 + CAM CLEAT</t>
  </si>
  <si>
    <t>00705</t>
  </si>
  <si>
    <t>OPF BLOCK D070 TRIPLE + HR SHACKLE D006</t>
  </si>
  <si>
    <t>00705C</t>
  </si>
  <si>
    <t>OPF BLOCK D070 TRIPLE + HR SHACKLE D006 + CAM CLEAT</t>
  </si>
  <si>
    <t>00706</t>
  </si>
  <si>
    <t>OPF BLOCK D070 TRIPLE WITH BECKET + HR SHACKLE D006</t>
  </si>
  <si>
    <t>00706C</t>
  </si>
  <si>
    <t>OPF BLOCK D070 TRIPLE WITH BECKET + HR SHACKLE D006 + CAM CLEAT</t>
  </si>
  <si>
    <t>00707</t>
  </si>
  <si>
    <t>OPF BLOCK D070 FIDDLE + HR SHACKLE D006</t>
  </si>
  <si>
    <t>00707C</t>
  </si>
  <si>
    <t>OPF FIDDLE BLOCK D 70 W/SHACKLE, C CLEAT</t>
  </si>
  <si>
    <t>00708</t>
  </si>
  <si>
    <t>OPF BLOCK D070 FIDDLE WITH BECKET + HR SHACKLE D006</t>
  </si>
  <si>
    <t>00708C</t>
  </si>
  <si>
    <t>OPF BLOCK D070 FIDDLE WITH BECKET + HR SHACKLE D006 + CAM CLEAT</t>
  </si>
  <si>
    <t>00708CSN</t>
  </si>
  <si>
    <t>OPF FIDDLE BLOCK D70 W/CAMCLEAT &amp; WICHARD SNAP</t>
  </si>
  <si>
    <t>00709</t>
  </si>
  <si>
    <t>OPF BLOCK D070 SINGLE + WEB HEAD</t>
  </si>
  <si>
    <t>00710</t>
  </si>
  <si>
    <t>OPF BLOCK D070 SINGLE WITH BECKET + WEB HEAD</t>
  </si>
  <si>
    <t>00710C</t>
  </si>
  <si>
    <t>OPF BLOCK D070 SINGLE WITH BECKET + WEB HEAD + CAM CLEAT</t>
  </si>
  <si>
    <t>00711</t>
  </si>
  <si>
    <t>OPF DECK BLOCK D 70</t>
  </si>
  <si>
    <t>00712</t>
  </si>
  <si>
    <t>DOUBLE OPF DECK BLOCK D 70</t>
  </si>
  <si>
    <t>00713</t>
  </si>
  <si>
    <t>OPF BLOCK D 70 + U-BOLT</t>
  </si>
  <si>
    <t>00714</t>
  </si>
  <si>
    <t>OPF BLOCK D070 SINGLE + PAD-EYE D008</t>
  </si>
  <si>
    <t>00715</t>
  </si>
  <si>
    <t>OPF  BLOCK D 70 + SCREWED PAD-EYE</t>
  </si>
  <si>
    <t>00716</t>
  </si>
  <si>
    <t>OPF BLOCK  D 70 VERTICAL FIX</t>
  </si>
  <si>
    <t>00717</t>
  </si>
  <si>
    <t>OPF BLOCK D 70 UP/ DOWN</t>
  </si>
  <si>
    <t>00718</t>
  </si>
  <si>
    <t>MAST BLOCK D 70</t>
  </si>
  <si>
    <t>00718Z</t>
  </si>
  <si>
    <t>MAST BLOCK D 70 REINIFORCED</t>
  </si>
  <si>
    <t>00731C</t>
  </si>
  <si>
    <t>MAIN BLOCK E6/75 WITH C/CLEAT</t>
  </si>
  <si>
    <t>00732C</t>
  </si>
  <si>
    <t>MAIN BLOCK E7/75 WITH C/CLEAT</t>
  </si>
  <si>
    <t>00733C</t>
  </si>
  <si>
    <t>MAIN BLOCK E8/75 WITH C/CLEAT</t>
  </si>
  <si>
    <t>00801</t>
  </si>
  <si>
    <t>OPF BLOCK D080 SINGLE + HR SHACKLE D008</t>
  </si>
  <si>
    <t>00801J1</t>
  </si>
  <si>
    <t>OPF BLOCK D080 SINGLE + LONG HEAD D08 L14</t>
  </si>
  <si>
    <t>00801J2</t>
  </si>
  <si>
    <t>OPF BLOCK D080 SINGLE + LONG HEAD D10 L36</t>
  </si>
  <si>
    <t>00801SN</t>
  </si>
  <si>
    <t>SWIVEL OPF BLOCK D60+SNAP</t>
  </si>
  <si>
    <t>00802</t>
  </si>
  <si>
    <t>OPF BLOCK  D 80 W/BECKET, SHACKLE</t>
  </si>
  <si>
    <t>00802C</t>
  </si>
  <si>
    <t>OPF BLOCK D080 SINGLE WITH BECKET + HR SHACKLE D008 + CAM CLEAT</t>
  </si>
  <si>
    <t>00803</t>
  </si>
  <si>
    <t>OPF BLOCK D080 DOUBLE + HR SHACKLE D008</t>
  </si>
  <si>
    <t>00803J2</t>
  </si>
  <si>
    <t>DOUBLE BLOCK D80 SPECIAL STAND-UP HEAD X4 R 260</t>
  </si>
  <si>
    <t>00807</t>
  </si>
  <si>
    <t>OPF BLOCK D080 FIDDLE + HR SHACKLE D008</t>
  </si>
  <si>
    <t>00808</t>
  </si>
  <si>
    <t>OPF FIDDLE BLOCK D 80 W/BECKET, SHACKLE</t>
  </si>
  <si>
    <t>00809</t>
  </si>
  <si>
    <t>OPF WEB BLOCK D 80</t>
  </si>
  <si>
    <t>00810</t>
  </si>
  <si>
    <t>OPF WEB BLOCK  W/BECKET</t>
  </si>
  <si>
    <t>00811</t>
  </si>
  <si>
    <t>OPF DECK BLOCK D 80</t>
  </si>
  <si>
    <t>00812</t>
  </si>
  <si>
    <t>DOUBLE OPF DECK BLOCK D 80</t>
  </si>
  <si>
    <t>00813</t>
  </si>
  <si>
    <t>OPF BLOCK D 80 ON U-BOLT</t>
  </si>
  <si>
    <t>00814</t>
  </si>
  <si>
    <t>OPF BLOCK D 80  ON 4 SCREWS  PAD-EYE</t>
  </si>
  <si>
    <t>00815</t>
  </si>
  <si>
    <t>OPF BLOCK D 80 ON SCREWED PAD-EYE</t>
  </si>
  <si>
    <t>00816</t>
  </si>
  <si>
    <t>OPF BLOCK  D 80 VERTICAL FIX</t>
  </si>
  <si>
    <t>00817</t>
  </si>
  <si>
    <t>DECK-BLOCK OPF DECK-BLOCK D080 UP-DOWN</t>
  </si>
  <si>
    <t>00818</t>
  </si>
  <si>
    <t>MAST BLOCK D 80</t>
  </si>
  <si>
    <t>00818Z</t>
  </si>
  <si>
    <t>MAST BLOCK D 80 REINFORCED</t>
  </si>
  <si>
    <t>00819</t>
  </si>
  <si>
    <t>SWIVELING HALYARD BLOCK D 80</t>
  </si>
  <si>
    <t>00821</t>
  </si>
  <si>
    <t>ALU HOLLOW PIN DECK BLOCK D 80</t>
  </si>
  <si>
    <t>008HR</t>
  </si>
  <si>
    <t>SHACKLE D08 A4 17-4-PH</t>
  </si>
  <si>
    <t>008SS</t>
  </si>
  <si>
    <t>SHACKLE D08 A4</t>
  </si>
  <si>
    <t>01001</t>
  </si>
  <si>
    <t>OPF BLOCK D 100 W/SHACKLE</t>
  </si>
  <si>
    <t>01001J2</t>
  </si>
  <si>
    <t>OPF BLOCK D100 SINGLE + LONG HEAD D10 L25</t>
  </si>
  <si>
    <t>01001SN</t>
  </si>
  <si>
    <t>OPF BLOCK D100 SINGLE + WICHARD SNAP-SHACKLE</t>
  </si>
  <si>
    <t>01002</t>
  </si>
  <si>
    <t>OPF BLOCK D 100  W/BECKET W/SHACKLE</t>
  </si>
  <si>
    <t>01003</t>
  </si>
  <si>
    <t>DOUBLE OPF BLOCK D 100</t>
  </si>
  <si>
    <t>01007</t>
  </si>
  <si>
    <t>OPF FIDDLE BLOCK D 100 W/SHACKLE</t>
  </si>
  <si>
    <t>01008</t>
  </si>
  <si>
    <t>OPF BLOCK D100 FIDDLE WITH BECKET + HR SHACKLE D010</t>
  </si>
  <si>
    <t>01009</t>
  </si>
  <si>
    <t>OPF WEB BLOCK D 100</t>
  </si>
  <si>
    <t>01010</t>
  </si>
  <si>
    <t>OPF WEB BLOCK D 100 W/BECKET</t>
  </si>
  <si>
    <t>01011</t>
  </si>
  <si>
    <t>OPF DECK-BLOCK D100 SINGLE</t>
  </si>
  <si>
    <t>01012</t>
  </si>
  <si>
    <t>DOUBLE OPF DECK BLOCK D 100</t>
  </si>
  <si>
    <t>01014</t>
  </si>
  <si>
    <t>OPF BLOCK D 100 ON PAD-EYE</t>
  </si>
  <si>
    <t>01015</t>
  </si>
  <si>
    <t>OPF BLOCK D 100 ON SCREWED PAD-EYE</t>
  </si>
  <si>
    <t>01016</t>
  </si>
  <si>
    <t>OPF 100 VERTICAL FIX</t>
  </si>
  <si>
    <t>01018</t>
  </si>
  <si>
    <t>MAST BLOCK D 100</t>
  </si>
  <si>
    <t>01018Z</t>
  </si>
  <si>
    <t>MAST BLOCK D 100 REINFORCED</t>
  </si>
  <si>
    <t>01019</t>
  </si>
  <si>
    <t>SWIVELING HALYARD BLOCK D100</t>
  </si>
  <si>
    <t>01021</t>
  </si>
  <si>
    <t>ALU HOLLOW PIN DECK BLOCK D 100</t>
  </si>
  <si>
    <t>01021D</t>
  </si>
  <si>
    <t/>
  </si>
  <si>
    <t>010HR</t>
  </si>
  <si>
    <t>HR SHACKLE D10</t>
  </si>
  <si>
    <t>010SS</t>
  </si>
  <si>
    <t>AISI316 SHACKLE D10</t>
  </si>
  <si>
    <t>01201</t>
  </si>
  <si>
    <t>OPF BLOCK D 120 W/SHACKLE</t>
  </si>
  <si>
    <t>01202</t>
  </si>
  <si>
    <t>OPF BLOCK D 120 W/BECKET, SHACKLE</t>
  </si>
  <si>
    <t>01209</t>
  </si>
  <si>
    <t>OPF WEB BLOCK D 120</t>
  </si>
  <si>
    <t>01210</t>
  </si>
  <si>
    <t>OPF WEB BLOCK D 120 W/BECKET</t>
  </si>
  <si>
    <t>01211</t>
  </si>
  <si>
    <t>OPF DECK BLOCK D 120</t>
  </si>
  <si>
    <t>01212</t>
  </si>
  <si>
    <t>DOUBLE OPF DECK BLOCK D 120</t>
  </si>
  <si>
    <t>01214</t>
  </si>
  <si>
    <t>OPF BLOCK D120 SINGLE + PAD-EYE D014</t>
  </si>
  <si>
    <t>01215</t>
  </si>
  <si>
    <t>OPF BLOCK D 120 ON SCREWED PAD-EYE</t>
  </si>
  <si>
    <t>01216</t>
  </si>
  <si>
    <t>OPF BLOCK  D120 VERTICAL FIX</t>
  </si>
  <si>
    <t>01218</t>
  </si>
  <si>
    <t>MAST BLOCK D120</t>
  </si>
  <si>
    <t>01218Z</t>
  </si>
  <si>
    <t>MAST BLOCK D120 REINFORCED</t>
  </si>
  <si>
    <t>012HR</t>
  </si>
  <si>
    <t>HR SHACKLE D12</t>
  </si>
  <si>
    <t>012SS</t>
  </si>
  <si>
    <t>AISI316 SHACKLE D12</t>
  </si>
  <si>
    <t>01401</t>
  </si>
  <si>
    <t>OPF BLOCK 140 W/SHACKLE</t>
  </si>
  <si>
    <t>01402</t>
  </si>
  <si>
    <t>OPF BLOCK D 140 W/BECKET, SHACKLE</t>
  </si>
  <si>
    <t>01409</t>
  </si>
  <si>
    <t>OPF WEB BLOCK D 140</t>
  </si>
  <si>
    <t>01410</t>
  </si>
  <si>
    <t>OPF WEB BLOCK 140 W/BECKET</t>
  </si>
  <si>
    <t>01411</t>
  </si>
  <si>
    <t>OPF DECK BLOCK D 140</t>
  </si>
  <si>
    <t>01412</t>
  </si>
  <si>
    <t>DOUBLE OPF  DECK BLOCK D 140</t>
  </si>
  <si>
    <t>01414</t>
  </si>
  <si>
    <t>OPF BLOCK D 140 ON PAD-EYE</t>
  </si>
  <si>
    <t>01415</t>
  </si>
  <si>
    <t>OPF BLOCK 140 ON SCREWED PAD-EYE</t>
  </si>
  <si>
    <t>01418Z</t>
  </si>
  <si>
    <t>MAST BLOCK D140 REINFORCED</t>
  </si>
  <si>
    <t>014HR</t>
  </si>
  <si>
    <t>HR SHACKLE D14</t>
  </si>
  <si>
    <t>014SS</t>
  </si>
  <si>
    <t>AISI316 SHACKLE D14</t>
  </si>
  <si>
    <t>03120M</t>
  </si>
  <si>
    <t>MEKTON SHEAVE D 30 H 20 SIDE B.B. FOR ORGANIZER</t>
  </si>
  <si>
    <t>03411M</t>
  </si>
  <si>
    <t>SHEAVE D034-008 T12 RESIN + S.STEEL HUB (S.STEEL MINI)</t>
  </si>
  <si>
    <t>03413M</t>
  </si>
  <si>
    <t>SHEAVE D034-008 T13,5 RESIN + S.STEEL HUB (S.STEEL MINI VERTICAL)</t>
  </si>
  <si>
    <t>04013M</t>
  </si>
  <si>
    <t>SHEAVE D040-008 T12 RESIN + S.STEEL HUB (S.STEEL MINI)</t>
  </si>
  <si>
    <t>04514M</t>
  </si>
  <si>
    <t>SHEAVE D045-008 T14 RESIN + S.STEEL HUB (S.STEEL MINI VERTICAL)</t>
  </si>
  <si>
    <t>04919F</t>
  </si>
  <si>
    <t>SHEAVE D048-016 T18 RESIN + S.STEEL HUB (FIDDLE OPF 80)</t>
  </si>
  <si>
    <t>05114M</t>
  </si>
  <si>
    <t>SHEAVE D050-008 T14 RESIN + S.STEEL HUB (OPF)</t>
  </si>
  <si>
    <t>06016F</t>
  </si>
  <si>
    <t>SHEAVE D060-012 T16 RESIN + S.STEEL HUB (OPF)</t>
  </si>
  <si>
    <t>06421F</t>
  </si>
  <si>
    <t>SHEAVE D064-020 T21 RESIN + S.STEEL HUB (FIDDLE OPF 100)</t>
  </si>
  <si>
    <t>07016F</t>
  </si>
  <si>
    <t>SHEAVE D070-012 T16 RESIN + S.STEEL HUB (OPF)</t>
  </si>
  <si>
    <t>07016R</t>
  </si>
  <si>
    <t>ROLLER BEARING SHEAVE DE070 X L16 - DI12 (OPF 070)</t>
  </si>
  <si>
    <t>07116R</t>
  </si>
  <si>
    <t>ROLLER BEARING SHEAVE D070-016 T16 ALU + S.STEEL HUB (LOOPER)</t>
  </si>
  <si>
    <t>07446A</t>
  </si>
  <si>
    <t>SHEAVE ASSY GENOA CARS DE074 X L46 - DI15 VARI</t>
  </si>
  <si>
    <t>08019F</t>
  </si>
  <si>
    <t>SHEAVE D080-016 T19 RESIN + S.STEEL HUB (OPF)</t>
  </si>
  <si>
    <t>08019R</t>
  </si>
  <si>
    <t>ROLLER BEARING SHEAVE D080 - 016 L19 AL BLACK + S.STEEL HUB</t>
  </si>
  <si>
    <t>08119R</t>
  </si>
  <si>
    <t>ROLLER BEARING SHEAVE D080-021 T19 ALU + S.STEEL HUB (LOOPER)</t>
  </si>
  <si>
    <t>08822F</t>
  </si>
  <si>
    <t>SHEAVE D088-016 T22,5 RESIN + S.STEEL HUB (S.STEEL BLOCK)</t>
  </si>
  <si>
    <t>10021A</t>
  </si>
  <si>
    <t>SHEAVE D100-020 T21 ALU + S.STEEL HUB (OPF)</t>
  </si>
  <si>
    <t>10021R</t>
  </si>
  <si>
    <t>OPF 100 SHEAVE ROLLER BEARING</t>
  </si>
  <si>
    <t>10121R</t>
  </si>
  <si>
    <t>ROLLER BEARING SHEAVE D100-025 T21 ALU + S.STEEL HUB (LOOPER)</t>
  </si>
  <si>
    <t>12025A</t>
  </si>
  <si>
    <t>SHEAVE D120-024 T25 ALU + S.STEEL HUB (OPF)</t>
  </si>
  <si>
    <t>14025A</t>
  </si>
  <si>
    <t>SHEAVE D140-032 T25 ALU + S.STEEL HUB (OPF)</t>
  </si>
  <si>
    <t>15029A</t>
  </si>
  <si>
    <t>SHEAVE D150-034 T29 ALU + S.STEEL HUB (XXL BLOCK)</t>
  </si>
  <si>
    <t>18035A</t>
  </si>
  <si>
    <t>SHEAVE D180 - 040 L35 AL BLACK + S.STEEL HUB</t>
  </si>
  <si>
    <t>2011</t>
  </si>
  <si>
    <t>WINCH HANDLE 200 MM</t>
  </si>
  <si>
    <t>2011NL</t>
  </si>
  <si>
    <t>WINCH HANDLE 200MM WITHOUT LOCK-IN</t>
  </si>
  <si>
    <t>2011W</t>
  </si>
  <si>
    <t>WINCH HANDLE 200MM, WOODEN GRIP</t>
  </si>
  <si>
    <t>2012</t>
  </si>
  <si>
    <t>WINCH HANDLE 200MM BALL GRIP</t>
  </si>
  <si>
    <t>2012NL</t>
  </si>
  <si>
    <t>WINCH HANDLE 200MM BALL GRIP WITHOUT LOCK-IN</t>
  </si>
  <si>
    <t>2014</t>
  </si>
  <si>
    <t>WINCH HANDLE 200 MM MINI  BALL GRIP</t>
  </si>
  <si>
    <t>2021</t>
  </si>
  <si>
    <t>WINCH HANDLE 250MM</t>
  </si>
  <si>
    <t>2021NL</t>
  </si>
  <si>
    <t>WINCH HANDLE 250MM WITHOUT LOCK-IN</t>
  </si>
  <si>
    <t>2021W</t>
  </si>
  <si>
    <t>WINCH HANDLE 250MM WOODEN GRIP</t>
  </si>
  <si>
    <t>2022</t>
  </si>
  <si>
    <t>WINCH HANDLE 250MM BALL GRIP</t>
  </si>
  <si>
    <t>2022NL</t>
  </si>
  <si>
    <t>2023</t>
  </si>
  <si>
    <t>WINCH HANDLE 250MM DOUBLE GRIP</t>
  </si>
  <si>
    <t>2023NL</t>
  </si>
  <si>
    <t>WINCH HANDLE L250 ALU BLACK + DOUBLE GRIP - NO LOCK</t>
  </si>
  <si>
    <t>2031</t>
  </si>
  <si>
    <t>CHROME WINCH HANDLE 250MM</t>
  </si>
  <si>
    <t>2031NL</t>
  </si>
  <si>
    <t>CHROME WINCH HANDLE 250MM WITHOUT LOCK-IN</t>
  </si>
  <si>
    <t>2031W</t>
  </si>
  <si>
    <t>CHROME HANDLE 250MM WOODEN GRIP</t>
  </si>
  <si>
    <t>2031WBN</t>
  </si>
  <si>
    <t>YELLOW BRONZE HANDLE  WOODEN GRIP</t>
  </si>
  <si>
    <t>2032</t>
  </si>
  <si>
    <t>CHROME WINCH HANDLE 250MM BALL GRIP</t>
  </si>
  <si>
    <t>2032NL</t>
  </si>
  <si>
    <t>WINCH CLASSIC HANDLE L250 CHROMED + BALL-GRIP - NO LOCK</t>
  </si>
  <si>
    <t>2033</t>
  </si>
  <si>
    <t>DOUBLE  HANDGRIP BRONZE HANDLE</t>
  </si>
  <si>
    <t>2033NL</t>
  </si>
  <si>
    <t>WINCH CLASSIC HANDLE L250 CHROMED + DOUBLE GRIP - NO LOCK</t>
  </si>
  <si>
    <t>2111</t>
  </si>
  <si>
    <t>SPEEDYLOCK WINCH HANDLE L200 ALU + SINGLE GRIP</t>
  </si>
  <si>
    <t>2112</t>
  </si>
  <si>
    <t>SPEEDYLOCK WINCH HANDLE L200 ALU + BALL-GRIP</t>
  </si>
  <si>
    <t>2114</t>
  </si>
  <si>
    <t>SPEEDYLOCK WINCH HANDLE L200 ALU + MINI BALL-GRIP</t>
  </si>
  <si>
    <t>2121</t>
  </si>
  <si>
    <t>SPEEDYLOCK WINCH HANDLE 250MM</t>
  </si>
  <si>
    <t>2122</t>
  </si>
  <si>
    <t>SPEEDYLOCK WINCH HANDLE 250MM BALL GRIP</t>
  </si>
  <si>
    <t>2123</t>
  </si>
  <si>
    <t>SPEEDYLOCK WINCH HANDLE 250MM DOUBLE GRIP</t>
  </si>
  <si>
    <t>21843A</t>
  </si>
  <si>
    <t>SHEAVE D218-034 T43 ALU + S.STEEL HUB (XXL BLOCK)</t>
  </si>
  <si>
    <t>240.010</t>
  </si>
  <si>
    <t>LINE DRIVER</t>
  </si>
  <si>
    <t>24852A</t>
  </si>
  <si>
    <t>SHEAVE D248-075 T51,5 ALU + S.STEEL HUB (XXL BLOCK)</t>
  </si>
  <si>
    <t>24856A</t>
  </si>
  <si>
    <t>SHEAVE D248-053 T56 ALU + S.STEEL HUB (XXL BLOCK)</t>
  </si>
  <si>
    <t>251.035AG</t>
  </si>
  <si>
    <t>GREY SWITCH WITH ALU COVER</t>
  </si>
  <si>
    <t>251.035AR</t>
  </si>
  <si>
    <t>RED SWITCH WITH ALU COVER</t>
  </si>
  <si>
    <t>251.035G</t>
  </si>
  <si>
    <t>GREY SWITCH RUBBER</t>
  </si>
  <si>
    <t>251.035QG</t>
  </si>
  <si>
    <t>GREY SWITCH WITH PLASTIC COVER</t>
  </si>
  <si>
    <t>251.035QR</t>
  </si>
  <si>
    <t>RED SWITCH WITH PLASTIC COVER</t>
  </si>
  <si>
    <t>251.035R</t>
  </si>
  <si>
    <t>RED SWITCH RUBBER</t>
  </si>
  <si>
    <t>251.035SG</t>
  </si>
  <si>
    <t>GREY SWITCH WITH S.STEEL COVER</t>
  </si>
  <si>
    <t>251.035SR</t>
  </si>
  <si>
    <t>RED SWITCH WITH S.STEEL COVER</t>
  </si>
  <si>
    <t>4100</t>
  </si>
  <si>
    <t>MAIN CAR 4R 27X20 SIZE 100 + STAND-UP JOINT</t>
  </si>
  <si>
    <t>4100F</t>
  </si>
  <si>
    <t>FLAT SERIES CAR 4R 27X20 SIZE 100 + 2X M6 HOLES</t>
  </si>
  <si>
    <t>4100SH</t>
  </si>
  <si>
    <t>MAIN CAR 4R 27X20 SIZE 100 + SHACKLE D6</t>
  </si>
  <si>
    <t>4101</t>
  </si>
  <si>
    <t>MAIN CAR 4R 27X20 SIZE 100 + STAND-UP JOINT + 2X B</t>
  </si>
  <si>
    <t>4102</t>
  </si>
  <si>
    <t>MAIN CAR 4R 27X20 SIZE 100 + STAND-UP JOINT + 2X S</t>
  </si>
  <si>
    <t>4102SH</t>
  </si>
  <si>
    <t>MAIN CAR 4R 27X20 SIZE 100 + SHACKLE D6 + 2X SHEAV</t>
  </si>
  <si>
    <t>4103</t>
  </si>
  <si>
    <t>4103SH</t>
  </si>
  <si>
    <t>4110</t>
  </si>
  <si>
    <t>MAIN CAR 4R 31X21 SIZE 110 + STAND-UP JOINT</t>
  </si>
  <si>
    <t>4110D</t>
  </si>
  <si>
    <t>CAR FOR DYNEEMA LINKS 4R 31X21 SIZE 110</t>
  </si>
  <si>
    <t>4110F</t>
  </si>
  <si>
    <t>FLAT SERIES CAR 4R 31X21 SIZE 110</t>
  </si>
  <si>
    <t>4110JP3</t>
  </si>
  <si>
    <t>4R 31X21 CUSTOM 110 + 3X STANDS + 6X M6 HOLES + CUSTOM ENGRAVING</t>
  </si>
  <si>
    <t>4110SH</t>
  </si>
  <si>
    <t>MAIN CAR 4R 31X21 SIZE 110 + SHACKLE D08</t>
  </si>
  <si>
    <t>4112</t>
  </si>
  <si>
    <t>MAIN CAR 4R 31X21 SIZE 110 + STAND-UP JOINT + 2X S</t>
  </si>
  <si>
    <t>4113</t>
  </si>
  <si>
    <t>4114</t>
  </si>
  <si>
    <t>BB CAR SIZE 110, 2+2 SHEAVES</t>
  </si>
  <si>
    <t>4118</t>
  </si>
  <si>
    <t>DOUBLE LRS CAR 4R 31X21 2X110 + LONG SHACKLE D8 + STOP-PIN</t>
  </si>
  <si>
    <t>4119SP</t>
  </si>
  <si>
    <t>4RACE 31X21 LRS CAR 110 + LONG SHACKLE D08 + ST</t>
  </si>
  <si>
    <t>4123</t>
  </si>
  <si>
    <t>BB CAR SIZE 260 1+1 SHEAVE &amp; BECKET</t>
  </si>
  <si>
    <t>4124</t>
  </si>
  <si>
    <t>BB CAR SIZE 260 2+2SHEAVES</t>
  </si>
  <si>
    <t>4127</t>
  </si>
  <si>
    <t>MAIN CAR 4R 31X21 SIZE 260 + DOUBLE JOINT + 2X SHE</t>
  </si>
  <si>
    <t>4150</t>
  </si>
  <si>
    <t>BB CAR SIZE 150 W/JOINT</t>
  </si>
  <si>
    <t>4150C</t>
  </si>
  <si>
    <t>TRANSVERSE GENOA CAR 4R 31X21 SIZE 150 + BECKET</t>
  </si>
  <si>
    <t>4150D</t>
  </si>
  <si>
    <t>CAR FOR DYNEEMA LINKS 4R 31X21 SIZE 150</t>
  </si>
  <si>
    <t>4150F</t>
  </si>
  <si>
    <t>FLAT SERIES CAR 4R 31X21 SIZE 150 + 2X M10 HOLES</t>
  </si>
  <si>
    <t>4150SH</t>
  </si>
  <si>
    <t>MAIN CAR 4R 31X21 SIZE 150 + SHACKLE D8</t>
  </si>
  <si>
    <t>4153</t>
  </si>
  <si>
    <t>MAIN CAR 4R 31X21 SIZE 150 + STAND-UP JOINT + 2X S</t>
  </si>
  <si>
    <t>4154</t>
  </si>
  <si>
    <t>MAIN CAR 4R 31X21 SIZE 150 + STAND-UP JOINT + 2X D</t>
  </si>
  <si>
    <t>4155</t>
  </si>
  <si>
    <t>4RACE 31X21 MAIN CAR 150 + STAND-UP JOINT + 2X DOU</t>
  </si>
  <si>
    <t>4190</t>
  </si>
  <si>
    <t>4R 31X21 MAIN CAR 190 ALU + STAND-UP JOINT</t>
  </si>
  <si>
    <t>4190D</t>
  </si>
  <si>
    <t>CAR FOR DYNEEMA LINKS 4R 31X21 SIZE 190</t>
  </si>
  <si>
    <t>4190F</t>
  </si>
  <si>
    <t>BB CAR SIZE 190 FLAT WITH HOLES D10</t>
  </si>
  <si>
    <t>4190H</t>
  </si>
  <si>
    <t>4RACE 31X21 OUTHAUL SLIDER 190</t>
  </si>
  <si>
    <t>4190SH</t>
  </si>
  <si>
    <t>MAIN CAR 4R 31X21 SIZE 190 + SHACKLE D10</t>
  </si>
  <si>
    <t>4194</t>
  </si>
  <si>
    <t>MAIN CAR 4R 31X21 SIZE 190 + STAND-UP JOINT + 2X D</t>
  </si>
  <si>
    <t>4195</t>
  </si>
  <si>
    <t>BB CAR SIZE 190, 2+2 SHEAVES &amp; BECKET</t>
  </si>
  <si>
    <t>4196</t>
  </si>
  <si>
    <t>BB CAR SIZE 190, 3+3 SHEAVES</t>
  </si>
  <si>
    <t>4199</t>
  </si>
  <si>
    <t>BB CAR SIZE 190, DOUBLE JOINT, 2+2 SHEAVES</t>
  </si>
  <si>
    <t>4230D</t>
  </si>
  <si>
    <t>CAR FOR DYNEEMA LINKS 4R 31X21 SIZE 230</t>
  </si>
  <si>
    <t>4260H</t>
  </si>
  <si>
    <t>BB CAR SIZE 260 OUTHAUL</t>
  </si>
  <si>
    <t>4261</t>
  </si>
  <si>
    <t>END FITTING 4R 27X20 SIMPLE RESIN MADE</t>
  </si>
  <si>
    <t>4262</t>
  </si>
  <si>
    <t>END-FITTING 4R 27X20 - ALU + 1 SHEAVE D35 + WHITOU</t>
  </si>
  <si>
    <t>4263</t>
  </si>
  <si>
    <t>END-FITTING 4R 27X20 - ALU + 1 SHEAVE D35 + FRONTA</t>
  </si>
  <si>
    <t>4264</t>
  </si>
  <si>
    <t>END-FITTING 4R 27X20 - ALU + 2 SHEAVES D35</t>
  </si>
  <si>
    <t>4264Z</t>
  </si>
  <si>
    <t>END-FITTING 4R 27X20 - ALU + 2 SHEAVES D35 + REINF</t>
  </si>
  <si>
    <t>4266</t>
  </si>
  <si>
    <t>KIT CAM-CLEAT FOR END FITTINGS SIZES 27X20</t>
  </si>
  <si>
    <t>4271</t>
  </si>
  <si>
    <t>END FITTING 4R 31X21 SIMPLE RESIN MADE</t>
  </si>
  <si>
    <t>4271AL</t>
  </si>
  <si>
    <t>ALU SIMPLE MAIN END FITTING</t>
  </si>
  <si>
    <t>4271B</t>
  </si>
  <si>
    <t>END FITTING 4R 31X21 SIMPLE ALU</t>
  </si>
  <si>
    <t>4272</t>
  </si>
  <si>
    <t>END FITTING 4RACE 31X21 ALU + SHEAVE D45</t>
  </si>
  <si>
    <t>4272Z</t>
  </si>
  <si>
    <t>END FITTING 4R 31X21 ALU REINFORCED + SHEAVE D55</t>
  </si>
  <si>
    <t>4273</t>
  </si>
  <si>
    <t>END FITTING 4RACE 31X21 ALU + SHEAVE D45 + UPPER BECKET</t>
  </si>
  <si>
    <t>4273Z</t>
  </si>
  <si>
    <t>END FITTING 4R 31X21 ALU REINFORCED + SHEAVE D55 + UPPER BECKET</t>
  </si>
  <si>
    <t>4274</t>
  </si>
  <si>
    <t>BB SIZE 110/190 TWO SHEAVES END FITTING</t>
  </si>
  <si>
    <t>4274G</t>
  </si>
  <si>
    <t>BB SIZE 150 TRWO SHEAVES &amp; BECKET GENOA END FITTING</t>
  </si>
  <si>
    <t>4274Z</t>
  </si>
  <si>
    <t>BB REINFORCED TWO SHEAVES END FITTING</t>
  </si>
  <si>
    <t>4275</t>
  </si>
  <si>
    <t>END FITTING 4RACE 31X21 ALU + DOUBLE SHEAVES D45 + UPPER BECKET</t>
  </si>
  <si>
    <t>4275Z</t>
  </si>
  <si>
    <t>TWO SHEAVES &amp; BECKET END FITTING -REINFORCED</t>
  </si>
  <si>
    <t>4276</t>
  </si>
  <si>
    <t>BB SIZE 110/190 THREE SHEAVES END FITTING</t>
  </si>
  <si>
    <t>4279Z</t>
  </si>
  <si>
    <t>END FITTING 4RACE 31X21 ALU + SHEAVE D58 REINFORCED</t>
  </si>
  <si>
    <t>4283</t>
  </si>
  <si>
    <t>TRACK JOINT LIFE RAIL SYSTEM</t>
  </si>
  <si>
    <t>4290zs</t>
  </si>
  <si>
    <t xml:space="preserve">CAR 4R 31X21 - ADJUSTABLE STOP-PIN 1 THREADED PIN </t>
  </si>
  <si>
    <t>4291</t>
  </si>
  <si>
    <t>CAR 4R 31X21 - ADJUSTABLE STOP-PIN 1 PIN</t>
  </si>
  <si>
    <t>4410</t>
  </si>
  <si>
    <t>KIT CAM-CLEAT FOR END FITTINGS SIZES 31X21</t>
  </si>
  <si>
    <t>4410Z</t>
  </si>
  <si>
    <t>KIT CAM-CLEAT  FOR CARS L260 SIZES 31X21</t>
  </si>
  <si>
    <t>4420</t>
  </si>
  <si>
    <t>KIT CAM-CLEAT  FOR CARS L110  (REVERSIBILE RIGHT/LEFT VERSION) SIZES 31X21</t>
  </si>
  <si>
    <t>4430</t>
  </si>
  <si>
    <t>KIT CAM-CLEAT  FOR CARS L150-190 SIZES 31X21</t>
  </si>
  <si>
    <t>4510-1000</t>
  </si>
  <si>
    <t>BB TRACK 31X21 HOLE 100 L=1000</t>
  </si>
  <si>
    <t>4520-1000</t>
  </si>
  <si>
    <t>BB TRACK 31X21 STOP PIN HOLES L=1000</t>
  </si>
  <si>
    <t>4523</t>
  </si>
  <si>
    <t>LRS TRACK 31X21 100MM(3MT) WITH STOP PIN 50MM</t>
  </si>
  <si>
    <t>4530-1000</t>
  </si>
  <si>
    <t>BB TRACK 31X21 LIGHTENING HOLES L=1000</t>
  </si>
  <si>
    <t>4540-1000</t>
  </si>
  <si>
    <t>BB TRACK 31X21 ADJUSTABLE SCREWS L=1000</t>
  </si>
  <si>
    <t>4541</t>
  </si>
  <si>
    <t>SLIDING SLUG 31X21 B.B. TRACK ADJUSTABLE FASTENER TRACK L038 S.STEEL + M8X60 FIXING SCREW KIT</t>
  </si>
  <si>
    <t>4543</t>
  </si>
  <si>
    <t>BB TRACK ADJUSTABLE FASTENER</t>
  </si>
  <si>
    <t>4551</t>
  </si>
  <si>
    <t>BB TRACK 48X60 END FITTING SIMPLE</t>
  </si>
  <si>
    <t>4601</t>
  </si>
  <si>
    <t>4R 27X20 GENOA CAR 100 + MAIN SHEAVE D045 + 2X BECKET</t>
  </si>
  <si>
    <t>4603</t>
  </si>
  <si>
    <t xml:space="preserve">GENOA CAR 4R 27X20 SIZE 100 + GENOA + MAIN SHEAVE </t>
  </si>
  <si>
    <t>4623</t>
  </si>
  <si>
    <t xml:space="preserve">GENOA CAR 4R 31X21 SIZE 260 + GENOA + MAIN SHEAVE </t>
  </si>
  <si>
    <t>4651</t>
  </si>
  <si>
    <t xml:space="preserve">GENOA CAR 4R 31X21 SIZE 160 + GENOA + MAIN SHEAVE </t>
  </si>
  <si>
    <t>4654</t>
  </si>
  <si>
    <t>4691</t>
  </si>
  <si>
    <t xml:space="preserve">GENOA CAR 4R 31X21 SIZE 190 + GENOA + MAIN SHEAVE </t>
  </si>
  <si>
    <t>4694</t>
  </si>
  <si>
    <t>500.110</t>
  </si>
  <si>
    <t>CAM 611/V  CLUTCH - SINGLE 6MM</t>
  </si>
  <si>
    <t>500.120</t>
  </si>
  <si>
    <t>CAM 611/V CLUTCH - DOUBLE 6MM</t>
  </si>
  <si>
    <t>500.130</t>
  </si>
  <si>
    <t>CAM 611/V CLUTCH - TRIPLE 6MM</t>
  </si>
  <si>
    <t>500.210</t>
  </si>
  <si>
    <t>STOPPER CAM 611 SIZE 06 - HORIZONTAL VERSION</t>
  </si>
  <si>
    <t>501.110</t>
  </si>
  <si>
    <t>CAM 611/V  CLUTCH - SINGLE 8MM</t>
  </si>
  <si>
    <t>501.120</t>
  </si>
  <si>
    <t>CAM 611/V CLUTCH - DOUBLE 8MM</t>
  </si>
  <si>
    <t>501.130</t>
  </si>
  <si>
    <t>CAM 611/V CLUTCH - TRIPLE 8MM</t>
  </si>
  <si>
    <t>501.210</t>
  </si>
  <si>
    <t>CAM 611/V CLUTCH - HORIZONTAL 8MM</t>
  </si>
  <si>
    <t>502.011</t>
  </si>
  <si>
    <t>SERVO CLEAT D 3/7</t>
  </si>
  <si>
    <t>502.022</t>
  </si>
  <si>
    <t>SERVO CAM-CLEAT SIZE 22-42</t>
  </si>
  <si>
    <t>502.033</t>
  </si>
  <si>
    <t>SERVO CLEAT  Ø 10/14</t>
  </si>
  <si>
    <t>502.22/37</t>
  </si>
  <si>
    <t>SERVO CLEAT  Ø 6/10</t>
  </si>
  <si>
    <t>505.081</t>
  </si>
  <si>
    <t>DV JAMMER FOR D8MM LINES STANDARD</t>
  </si>
  <si>
    <t>505.082</t>
  </si>
  <si>
    <t>DV JAMMER FOR D8MM LINES REMOTE CONTROL</t>
  </si>
  <si>
    <t>505.083</t>
  </si>
  <si>
    <t>DV JAMMER FOR D8MM LINES SIDE MOUNTING</t>
  </si>
  <si>
    <t>505.085</t>
  </si>
  <si>
    <t>SIZE 08-LATERALE-CONTROLLO A DISTANZA</t>
  </si>
  <si>
    <t>505.086</t>
  </si>
  <si>
    <t>DV JAMMER  D8MM LINES WITH BASE</t>
  </si>
  <si>
    <t>505.087</t>
  </si>
  <si>
    <t>DV JAMMER  D8MM LINES REMOTE C. WITH BASE</t>
  </si>
  <si>
    <t>505.088</t>
  </si>
  <si>
    <t>DV JAMMER 8 MM HORIZONTAL LINE WEDGE</t>
  </si>
  <si>
    <t>505.101</t>
  </si>
  <si>
    <t>DV JAMMER FOR D10MM LINES STANDARD</t>
  </si>
  <si>
    <t>505.102</t>
  </si>
  <si>
    <t>DV JAMMER FOR D10MM REMOTE CONTROL</t>
  </si>
  <si>
    <t>505.103</t>
  </si>
  <si>
    <t>DV JAMMER FOR 10MM LINES SIDE MOUNTING</t>
  </si>
  <si>
    <t>505.105</t>
  </si>
  <si>
    <t>DV JAMMER SIZE 10 HORIZONTAL REMOTE CONTROL</t>
  </si>
  <si>
    <t>505.106</t>
  </si>
  <si>
    <t>DV JAMMER  D10MM LINES WITH BASE</t>
  </si>
  <si>
    <t>505.107</t>
  </si>
  <si>
    <t>DV JAMMER  D10MM LINES REMOTE C. WITH BASE</t>
  </si>
  <si>
    <t>505.108</t>
  </si>
  <si>
    <t>DV JAMMER 10MM HORIZONTAL LINE WEDGE</t>
  </si>
  <si>
    <t>505.121</t>
  </si>
  <si>
    <t>DV JAMMER FOR D12MM LINES STANDARD</t>
  </si>
  <si>
    <t>505.122</t>
  </si>
  <si>
    <t>DV JAMMER FOR D12MM REMOTE CONTROL</t>
  </si>
  <si>
    <t>505.123</t>
  </si>
  <si>
    <t>DV JAMMER FOR 12MM LINES SIDE MOUNTING</t>
  </si>
  <si>
    <t>505.125</t>
  </si>
  <si>
    <t>DV JAMMER  D12MM LINES SIDE MOUNTING REMOTE C.</t>
  </si>
  <si>
    <t>505.126</t>
  </si>
  <si>
    <t>DV JAMMER D12MM LINES WITH BASE</t>
  </si>
  <si>
    <t>505.127</t>
  </si>
  <si>
    <t>DV JAMMER  D12MM LINES REMOTE C. WITH BASE</t>
  </si>
  <si>
    <t>505.128</t>
  </si>
  <si>
    <t>DV JAMMER 12MM HORIZONTAL LINE WEDGE</t>
  </si>
  <si>
    <t>505.141</t>
  </si>
  <si>
    <t>DV JAMMER FOR D14 MM LINES STANDARD</t>
  </si>
  <si>
    <t>505.142</t>
  </si>
  <si>
    <t>DV JAMMER FOR D14MM REMOTE CONTROL</t>
  </si>
  <si>
    <t>505.143</t>
  </si>
  <si>
    <t>DV JAMMER FOR 14MM LINES SIDE MOUNTING</t>
  </si>
  <si>
    <t>505.145</t>
  </si>
  <si>
    <t>DV JAMMER  D14MM LINES SIDE MOUNTING REMOTE C.</t>
  </si>
  <si>
    <t>505.146</t>
  </si>
  <si>
    <t>DV JAMMER D14 MM LINES WITH BASE</t>
  </si>
  <si>
    <t>505.147</t>
  </si>
  <si>
    <t>DV JAMMER  D14MM LINES REMOTE C. WITH BASE</t>
  </si>
  <si>
    <t>505.148</t>
  </si>
  <si>
    <t>DV JAMMER 14MM HORIZONTAL LINE WEDGE</t>
  </si>
  <si>
    <t>505.161</t>
  </si>
  <si>
    <t>DV JAMMER FOR D16 MM LINES STANDARD WITH SCREW</t>
  </si>
  <si>
    <t>505.162</t>
  </si>
  <si>
    <t>DV JAMMER FOR D16 MM LINES STANDARD</t>
  </si>
  <si>
    <t>505.163</t>
  </si>
  <si>
    <t>DV JAMMER FOR 16MM LINES SIDE MOUNTING</t>
  </si>
  <si>
    <t>505.165</t>
  </si>
  <si>
    <t>DV JAMMER  D16MM LINES SIDE MOUNTING REMOTE C.</t>
  </si>
  <si>
    <t>505.166</t>
  </si>
  <si>
    <t>DV JAMMER D16MM LINES WITH BASE</t>
  </si>
  <si>
    <t>505.167</t>
  </si>
  <si>
    <t>DV JAMMER  D16MM LINES REMOTE C. WITH BASE</t>
  </si>
  <si>
    <t>505.181</t>
  </si>
  <si>
    <t>DV JAMMER FOR D18 MM LINES STANDARD</t>
  </si>
  <si>
    <t>505.182</t>
  </si>
  <si>
    <t>DV JAMMER FOR D18 MM REMOTE CONTROL</t>
  </si>
  <si>
    <t>505.183</t>
  </si>
  <si>
    <t>DV JAMMER FOR 18MM LINES SIDE MOUNTING</t>
  </si>
  <si>
    <t>505.185</t>
  </si>
  <si>
    <t>DV JAMMER  D18MM LINES SIDE MOUNTING REMOTE C.</t>
  </si>
  <si>
    <t>505.186</t>
  </si>
  <si>
    <t>DV JAMMER D18MM LINES WITH BASE</t>
  </si>
  <si>
    <t>505.187</t>
  </si>
  <si>
    <t>DV JAMMER  D18MM LINES REMOTE C. WITH BASE</t>
  </si>
  <si>
    <t>506.101</t>
  </si>
  <si>
    <t>CLUTCH QR10 STANDARD</t>
  </si>
  <si>
    <t>506.103</t>
  </si>
  <si>
    <t>CLUTCH QR10 SIDE MOUNTING VERSION</t>
  </si>
  <si>
    <t>506.106</t>
  </si>
  <si>
    <t>QR10 CLUTCH WITH BASE</t>
  </si>
  <si>
    <t>506.121</t>
  </si>
  <si>
    <t>QR CLUTCH 12MM</t>
  </si>
  <si>
    <t>506.123</t>
  </si>
  <si>
    <t>QR CLUTCH D12MM SIDE MOUNTING</t>
  </si>
  <si>
    <t>506.126</t>
  </si>
  <si>
    <t>QR CLUTCH D12MM WITH BASE</t>
  </si>
  <si>
    <t>506.141</t>
  </si>
  <si>
    <t>QR CLUTCH 14MM</t>
  </si>
  <si>
    <t>506.143</t>
  </si>
  <si>
    <t>QR CLUTCH D14MM SIDE MOUNTING</t>
  </si>
  <si>
    <t>506.146</t>
  </si>
  <si>
    <t>QR CLUTCH D14MM WITH BASE</t>
  </si>
  <si>
    <t>507.111</t>
  </si>
  <si>
    <t>V GRIP CLUTCH 10 SINGLE</t>
  </si>
  <si>
    <t>507.112</t>
  </si>
  <si>
    <t>V GRIP CLUTCH 12 SINGLE</t>
  </si>
  <si>
    <t>507.113</t>
  </si>
  <si>
    <t>V GRIP CLUTCH 14 SINGLE</t>
  </si>
  <si>
    <t>507.121</t>
  </si>
  <si>
    <t>V GRIP CLUTCH 10 DOUBLE</t>
  </si>
  <si>
    <t>507.122</t>
  </si>
  <si>
    <t>V GRIP CLUTCH 12 DOUBLE</t>
  </si>
  <si>
    <t>507.131</t>
  </si>
  <si>
    <t>V GRIP CLUTCH 10 TRIPLE</t>
  </si>
  <si>
    <t>507.132</t>
  </si>
  <si>
    <t>V GRIP CLUTCH 12 TRIPLE</t>
  </si>
  <si>
    <t>508.114</t>
  </si>
  <si>
    <t xml:space="preserve">STOPPER V-GRIP MAXI SINGLE SIZE 12/14  </t>
  </si>
  <si>
    <t>508.116</t>
  </si>
  <si>
    <t xml:space="preserve">STOPPER V-GRIP MAXI SINGLE SIZE 14/16  </t>
  </si>
  <si>
    <t>508.118</t>
  </si>
  <si>
    <t>V-GRIP MAXI CLUTCH SINGLE SIZE 16/18</t>
  </si>
  <si>
    <t>508.120</t>
  </si>
  <si>
    <t>V-GRIP MAXI CLUTCH SINGLE SIZE 18/20</t>
  </si>
  <si>
    <t>508.121</t>
  </si>
  <si>
    <t xml:space="preserve">STOPPER V-GRIP PLUS SINGLE SIZE 12 </t>
  </si>
  <si>
    <t>508.122</t>
  </si>
  <si>
    <t>V-GRIP MAXI CLUTCH SINGLE SIZE 20/22</t>
  </si>
  <si>
    <t>508.122P</t>
  </si>
  <si>
    <t xml:space="preserve">CLUCTCH V-GRIP PLUS DOUBLE SIZE 12 </t>
  </si>
  <si>
    <t>508.123</t>
  </si>
  <si>
    <t xml:space="preserve">CLUTCH V-GRIP PLUS TRIPLE SIZE 12 </t>
  </si>
  <si>
    <t>508.141</t>
  </si>
  <si>
    <t>CLUTCH V-GRIP PLUS SIZE 14 SINGLE</t>
  </si>
  <si>
    <t>508.142</t>
  </si>
  <si>
    <t>CLUTCH V-GRIP PLUS SIZE 14 DOUBLE</t>
  </si>
  <si>
    <t>508.143</t>
  </si>
  <si>
    <t>CLUTCH V-GRIP PLUS SIZE 14 TRIPLE</t>
  </si>
  <si>
    <t>508.161</t>
  </si>
  <si>
    <t>CLUTCH V-GRIP PLUS SIZE 16 - SINGLE</t>
  </si>
  <si>
    <t>508.162</t>
  </si>
  <si>
    <t>CLUTCH V-GRIP PLUS SIZE 16 - DOUBLE</t>
  </si>
  <si>
    <t>508.163</t>
  </si>
  <si>
    <t>CLUTCH V-GRIP PLUS SIZE 16 - TRIPLE</t>
  </si>
  <si>
    <t>509.111</t>
  </si>
  <si>
    <t>CAM 814CLUTCH 8/10</t>
  </si>
  <si>
    <t>509.111H</t>
  </si>
  <si>
    <t>CAM 814 CLUTCH 8/10 HORIZONTAL LEFT</t>
  </si>
  <si>
    <t>509.112</t>
  </si>
  <si>
    <t>CAM 814 CLUTCH 10/12</t>
  </si>
  <si>
    <t>509.112H</t>
  </si>
  <si>
    <t>HORIZONTAL LEFT STOPPER CAM 814 10/12 SINGLE</t>
  </si>
  <si>
    <t>509.113</t>
  </si>
  <si>
    <t>CAM 814 CLUTCH 12/14</t>
  </si>
  <si>
    <t>509.113H</t>
  </si>
  <si>
    <t>HORIZONTAL RIGHT CAM 814 CLUTCH 12/14</t>
  </si>
  <si>
    <t>509.121</t>
  </si>
  <si>
    <t>CAM 814 CLUTCH 8/10 DOUBLE</t>
  </si>
  <si>
    <t>509.122</t>
  </si>
  <si>
    <t>CAM 814 CLUTCH 10/12 DOUBLE</t>
  </si>
  <si>
    <t>509.123</t>
  </si>
  <si>
    <t>CAM 814 CLUTCH 12/14 DOUBLE</t>
  </si>
  <si>
    <t>509.131</t>
  </si>
  <si>
    <t>CAM 814 CLUTCH 8/10 TRIPLE</t>
  </si>
  <si>
    <t>509.132</t>
  </si>
  <si>
    <t>CAM 814 CLUTCH 10/12 TRIPLE</t>
  </si>
  <si>
    <t>509.133</t>
  </si>
  <si>
    <t>CAM 814 CLUTCH 12/14 TRIPLE</t>
  </si>
  <si>
    <t>509.141</t>
  </si>
  <si>
    <t>CAM 814 CLUTCH 8/10 QUADRUPLE</t>
  </si>
  <si>
    <t>509.142</t>
  </si>
  <si>
    <t>CAM 814 CLUTCH 10/12 QUADRUPLE</t>
  </si>
  <si>
    <t>509.143</t>
  </si>
  <si>
    <t>CAM 814 CLUTCH 12/14 QUADRUPLE</t>
  </si>
  <si>
    <t>512.111</t>
  </si>
  <si>
    <t>STOPPER V-CAM R814 SIZE 08/10 - SINGLE</t>
  </si>
  <si>
    <t>512.111HL</t>
  </si>
  <si>
    <t>STOPPER V-CAM R814 HORIZONTAL SIZE 08/10 LEFT VERSION</t>
  </si>
  <si>
    <t>512.111HR</t>
  </si>
  <si>
    <t>STOPPER V-CAM R814 HORIZONTAL SIZE 08/10 RIGHT VERSION</t>
  </si>
  <si>
    <t>512.112</t>
  </si>
  <si>
    <t>STOPPER V-CAM R814 SIZE 10/12 - SINGLE</t>
  </si>
  <si>
    <t>512.112HL</t>
  </si>
  <si>
    <t>STOPPER V-CAM R814 HORIZONTAL SIZE 10/12 LEFT VERSION</t>
  </si>
  <si>
    <t>512.112HR</t>
  </si>
  <si>
    <t>STOPPER V-CAM R814 HORIZONTAL SIZE 10/12 RIGHT VERSION</t>
  </si>
  <si>
    <t>512.113</t>
  </si>
  <si>
    <t>STOPPER V-CAM R814 SIZE 12/14 - SINGLE</t>
  </si>
  <si>
    <t>512.113HL</t>
  </si>
  <si>
    <t>STOPPER V-CAM R814 SIZE 12/14 - HORIZONTAL LEFT VERSION</t>
  </si>
  <si>
    <t>512.113HR</t>
  </si>
  <si>
    <t>STOPPER V-CAM R814 SIZE 12/14 - HORIZONTAL RIGHT VERSION</t>
  </si>
  <si>
    <t>512.121</t>
  </si>
  <si>
    <t>V-CAM R814 CLUTCH 8/10 DOUBLE</t>
  </si>
  <si>
    <t>512.122</t>
  </si>
  <si>
    <t>V-CAM R814 CLUTCH 10/12 DOUBLE</t>
  </si>
  <si>
    <t>512.123</t>
  </si>
  <si>
    <t>V-CAM R814 CLUTCH 12/14 DOUBLE</t>
  </si>
  <si>
    <t>512.131</t>
  </si>
  <si>
    <t>V-CAM R814 CLUTCH 8/10 TRIPLE</t>
  </si>
  <si>
    <t>512.132</t>
  </si>
  <si>
    <t>V-CAM R814 CLUTCH 10/12 TRIPLE</t>
  </si>
  <si>
    <t>512.133</t>
  </si>
  <si>
    <t>V-CAM R814 CLUTCH 12/14 TRIPLE</t>
  </si>
  <si>
    <t>512.141</t>
  </si>
  <si>
    <t>V-CAM R814 CLUTCH 8/10 QUADR.</t>
  </si>
  <si>
    <t>512.142</t>
  </si>
  <si>
    <t>V-CAM R814 CLUTCH 10/12 QUADRUPLE</t>
  </si>
  <si>
    <t>512.143</t>
  </si>
  <si>
    <t>V-CAM R814 CLUTCH 12/14 QUADRUPLE</t>
  </si>
  <si>
    <t>512.152</t>
  </si>
  <si>
    <t>V-CAM R814 CLUTCH 10/12 QUINTUPLE</t>
  </si>
  <si>
    <t>513.032</t>
  </si>
  <si>
    <t>DECK-BLOCK ORGANIZER D028 3 SHEAVES SINGLE VERSION + (V-GRIP 814 / R814)</t>
  </si>
  <si>
    <t>513.032BNT</t>
  </si>
  <si>
    <t>ORGANIZER 3 SHEAVES FOR CAM 814</t>
  </si>
  <si>
    <t>513.110</t>
  </si>
  <si>
    <t>CLUTCH CAM 611 SINGLE RESIN HANDLE</t>
  </si>
  <si>
    <t>513.120</t>
  </si>
  <si>
    <t>CLUTCH CAM 611 DOUBLE RESIN HANDLE</t>
  </si>
  <si>
    <t>513.130</t>
  </si>
  <si>
    <t>CLUTCH CAM 611 TRIPLE RESIN HANDLE</t>
  </si>
  <si>
    <t>513.210</t>
  </si>
  <si>
    <t>CLUTCH CAM 611 HORIZONTAL RESIN HANDLE</t>
  </si>
  <si>
    <t>514.032</t>
  </si>
  <si>
    <t>DECK-BLOCK ORGANIZER D028 4 SHEAVES SINGLE VERSION + (V-GRIP 814 / R814)</t>
  </si>
  <si>
    <t>514E</t>
  </si>
  <si>
    <t>ENGLISH LABEL FOR CAM (3PCS)</t>
  </si>
  <si>
    <t>514F</t>
  </si>
  <si>
    <t>FRENCH LABEL FOR CAM (3PCS)</t>
  </si>
  <si>
    <t>514I</t>
  </si>
  <si>
    <t>ITALIAN LABEL FOR CAM (3PCS)</t>
  </si>
  <si>
    <t>515.032</t>
  </si>
  <si>
    <t>DECK-BLOCK ORGANIZER D028 5 SHEAVES SINGLE VERSION + (V-GRIP 814 / R814)</t>
  </si>
  <si>
    <t>516.032</t>
  </si>
  <si>
    <t>DECK-BLOCK ORGANIZER D028 6 SHEAVES SINGLE VERSION + (V-GRIP 814 / R814)</t>
  </si>
  <si>
    <t>516.032BNT</t>
  </si>
  <si>
    <t>ORGANIZER 6 SHEAVES FOR CAM 814</t>
  </si>
  <si>
    <t>5194</t>
  </si>
  <si>
    <t>BB CAR SIZE 190 DOUBLE WITH 1+1 SHEAVE</t>
  </si>
  <si>
    <t>5197</t>
  </si>
  <si>
    <t>4R 31X21 MAIN CAR TRIPLE 2X190 + 1X150 + STAND-UP JOINT + 2X SHEAVE D70</t>
  </si>
  <si>
    <t>522.022</t>
  </si>
  <si>
    <t>SWIVELING SERVO CLEAT</t>
  </si>
  <si>
    <t>522.031</t>
  </si>
  <si>
    <t>DOUBLE SHEAVE ORGANIZER FOR CAM 611</t>
  </si>
  <si>
    <t>522.140</t>
  </si>
  <si>
    <t>SWIVELING BLOCK D 60 + SERVO CLEAT</t>
  </si>
  <si>
    <t>523.042</t>
  </si>
  <si>
    <t>ORGANIZER 3 SHEAVES FOR PLUS</t>
  </si>
  <si>
    <t>523.052</t>
  </si>
  <si>
    <t>ORGANIZER 3 SHEAVES FOR MAXI</t>
  </si>
  <si>
    <t>524.042</t>
  </si>
  <si>
    <t>ORGANIZER 4 SHEAVES FOR PLUS</t>
  </si>
  <si>
    <t>524.052</t>
  </si>
  <si>
    <t>ORGANIZER 4 SHEAVES FOR MAXI</t>
  </si>
  <si>
    <t>525.042</t>
  </si>
  <si>
    <t>ORGANIZER 5 SHEAVES FOR PLUS</t>
  </si>
  <si>
    <t>525.052</t>
  </si>
  <si>
    <t>ORGANIZER 5 SHEAVES FOR MAXI</t>
  </si>
  <si>
    <t>526.042</t>
  </si>
  <si>
    <t>ORGANIZER 6 SHEAVES FOR PLUS</t>
  </si>
  <si>
    <t>526.052</t>
  </si>
  <si>
    <t>ORGANIZER 6 SHEAVES FOR MAXI</t>
  </si>
  <si>
    <t>533.032</t>
  </si>
  <si>
    <t>ORGANIZER 3 SHEAVES FOR V GRIP</t>
  </si>
  <si>
    <t>534.032</t>
  </si>
  <si>
    <t>ORGANIZER 4 SHEAVES FOR V GRIP</t>
  </si>
  <si>
    <t>535.032</t>
  </si>
  <si>
    <t>DECK-BLOCK ORGANIZER D028 5 SHEAVES SINGLE VERSION + (V-GRIP)</t>
  </si>
  <si>
    <t>536.032</t>
  </si>
  <si>
    <t>DECK-BLOCK ORGANIZER D028 6 SHEAVES SINGLE VERSION (V-GRIP)</t>
  </si>
  <si>
    <t>540.110</t>
  </si>
  <si>
    <t>CAM 611/V  CLUTCH - SINGLE 6MM-SILVER</t>
  </si>
  <si>
    <t>540.120</t>
  </si>
  <si>
    <t>CAM 611/V CLUTCH - DOUBLE 6MM-SILVER</t>
  </si>
  <si>
    <t>540.130</t>
  </si>
  <si>
    <t>CAM 611/V CLUTCH - TRIPLE 6MM SILVER</t>
  </si>
  <si>
    <t>540.210</t>
  </si>
  <si>
    <t>CAM 611/V CLUTCH - HORIZONTAL 6MM SILVER</t>
  </si>
  <si>
    <t>541.110</t>
  </si>
  <si>
    <t>CAM 611/V  CLUTCH - SINGLE 8MM-SILVER</t>
  </si>
  <si>
    <t>541.120</t>
  </si>
  <si>
    <t>CAM 611/V CLUTCH - DOUBLE 8MM SILVER</t>
  </si>
  <si>
    <t>541.130</t>
  </si>
  <si>
    <t>CAM 611/V CLUTCH - TRIPLE 8MM SILVER</t>
  </si>
  <si>
    <t>541.210</t>
  </si>
  <si>
    <t>CAM 611 CLUTCH 611/V - HORIZONTAL - SILVER 8MM</t>
  </si>
  <si>
    <t>543.110</t>
  </si>
  <si>
    <t>CLUTCH CAM 611 SINGLE SILVER HANDLE</t>
  </si>
  <si>
    <t>543.120</t>
  </si>
  <si>
    <t>CLUTCH CAM 611 DOUBLE SILVER HANDLE</t>
  </si>
  <si>
    <t>543.130</t>
  </si>
  <si>
    <t>CLUTCH CAM 611 TRIPLE SILVER HANDLE</t>
  </si>
  <si>
    <t>543.140</t>
  </si>
  <si>
    <t>CAM 611 CLUTCH - QUADRUPLE-SILVER</t>
  </si>
  <si>
    <t>543.210</t>
  </si>
  <si>
    <t>CLUTCH CAM 611 HORIZONTAL SILVER HANDLE</t>
  </si>
  <si>
    <t>549.111</t>
  </si>
  <si>
    <t>CAM 814 CLUTCH 8/10 SINGLE, SILVER</t>
  </si>
  <si>
    <t>549.111H</t>
  </si>
  <si>
    <t>STOPPER CAM 814 8/10 SINGLE SILVER SERIES HORIZ. RIGHT</t>
  </si>
  <si>
    <t>549.112</t>
  </si>
  <si>
    <t>CAM 814 CLUTCH 10/12  SINGLE, SILVER</t>
  </si>
  <si>
    <t>549.112H</t>
  </si>
  <si>
    <t>CAM 814 CLUTCH 10/12 HORIZONTAL, SILVER</t>
  </si>
  <si>
    <t>549.113</t>
  </si>
  <si>
    <t>CAM 814 CLUTCH 12/14 SINGLE, SILVER</t>
  </si>
  <si>
    <t>549.113H</t>
  </si>
  <si>
    <t>STOPPER CAM 814 12/14 SINGLE SILVER SERIES HORIZ. RIGHT</t>
  </si>
  <si>
    <t>549.121</t>
  </si>
  <si>
    <t>CAM 814 CLUTCH 8/10 DOUBLE, SILVER</t>
  </si>
  <si>
    <t>549.122</t>
  </si>
  <si>
    <t>CAM 814 CLUTCH 10/12 DOUBLE, SILVER</t>
  </si>
  <si>
    <t>549.123</t>
  </si>
  <si>
    <t>CAM 814 CLUTCH 12/14 DOUBLE, SILVER</t>
  </si>
  <si>
    <t>549.131</t>
  </si>
  <si>
    <t>CAM 814 CLUTCH 8/10 TRIPLE, SILVER</t>
  </si>
  <si>
    <t>549.132</t>
  </si>
  <si>
    <t>CAM 814 CLUTCH 10/12 TRIPLE, SILVER</t>
  </si>
  <si>
    <t>549.133</t>
  </si>
  <si>
    <t>CAM 814 CLUTCH 12/14 TRIPLE, SILVER</t>
  </si>
  <si>
    <t>549.141</t>
  </si>
  <si>
    <t>CAM 814 CLUTCH 8/10 QUADRUPLE, SILVER</t>
  </si>
  <si>
    <t>549.142</t>
  </si>
  <si>
    <t>CAM 814 CLUTCH 10/12 QUADRUPLE, SILVER</t>
  </si>
  <si>
    <t>549.143</t>
  </si>
  <si>
    <t>CAM 814 CLUTCH 12/14 QUADRUPLE, SILVER</t>
  </si>
  <si>
    <t>601.121-1000</t>
  </si>
  <si>
    <t>BB TRACK 26X20 SCREWS 100, BLACK, L=1000</t>
  </si>
  <si>
    <t>601.123-1000</t>
  </si>
  <si>
    <t>MAXI 47 STANDARD B.B. TRACK AL BLACK L1000 + FIX M10 SP.100</t>
  </si>
  <si>
    <t>601.123R-1000</t>
  </si>
  <si>
    <t>BB TRACK 47X31 RACE, SCREWS 100, BLACK, L=1000</t>
  </si>
  <si>
    <t>601.124-1000</t>
  </si>
  <si>
    <t>BB TRACK 67X31, SCREWS 100, BLACK, L=1000</t>
  </si>
  <si>
    <t>601.221-1000</t>
  </si>
  <si>
    <t>BB TRACK 26X20 STOP PIN HOLES, BLACK L=1000</t>
  </si>
  <si>
    <t>601.223-1000</t>
  </si>
  <si>
    <t>BLACK MAXI MAINSHEET TRACK - 47X31 MM STOP PIN HOLES L=1000</t>
  </si>
  <si>
    <t>602.112-1000</t>
  </si>
  <si>
    <t>T TRACK 32X6 SCREWS 100, SILVER, L=1000</t>
  </si>
  <si>
    <t>602.112B-1000</t>
  </si>
  <si>
    <t>T TRACK 32X6 SCREWS 1000, BLACK, L=1000</t>
  </si>
  <si>
    <t>602.112S-1000</t>
  </si>
  <si>
    <t>S. STEEL TRACK 32X6 SCREWS 100, L=1000</t>
  </si>
  <si>
    <t>On demand</t>
  </si>
  <si>
    <t>602.113-1000</t>
  </si>
  <si>
    <t>T TRACK 40X8 SCREWS 100, SILVER, L=1000</t>
  </si>
  <si>
    <t>602.113B-1000</t>
  </si>
  <si>
    <t>T TRACK 40X8 SCREWS 100, BLACK, L=1000</t>
  </si>
  <si>
    <t>602.113S-1000</t>
  </si>
  <si>
    <t>S STEEL TRACK 40X8 HOLES 100 L=1000</t>
  </si>
  <si>
    <t>602.211-1000</t>
  </si>
  <si>
    <t>T TRACK 26X4 SCREWS 50, SILVER, L=1000</t>
  </si>
  <si>
    <t>602.211B-1000</t>
  </si>
  <si>
    <t>T TRACK 26X4 SCREWS 50, BLACK, L=1000</t>
  </si>
  <si>
    <t>602.212-1000</t>
  </si>
  <si>
    <t>T TRACK 32X6 SCREW 50, SILVER, L=1000</t>
  </si>
  <si>
    <t>602.212B-1000</t>
  </si>
  <si>
    <t>T TRACK 32X6 SCREWS 50 BLACK L=1000</t>
  </si>
  <si>
    <t>602.212S-1000</t>
  </si>
  <si>
    <t>S.STEEL T TRACK 32X6 SCREWS 50,  L=1000</t>
  </si>
  <si>
    <t>602.213-1000</t>
  </si>
  <si>
    <t>T TRACK 40X8 SCREWS 50, SILVER, L=1000</t>
  </si>
  <si>
    <t>602.213B-1000</t>
  </si>
  <si>
    <t>T TRACK 40X8 SCREWS 50, BLACK, L=1000</t>
  </si>
  <si>
    <t>602.213S-1000</t>
  </si>
  <si>
    <t>S STEEL TRACK 40X8 SCREWS 50, L=1000</t>
  </si>
  <si>
    <t>602.312-1000</t>
  </si>
  <si>
    <t>AUTOM. TRACK 32X6 BLACK  L=1000</t>
  </si>
  <si>
    <t>602.312SI-1000</t>
  </si>
  <si>
    <t>AUTOM. TRACK 32X6 H 100 SILVER  L=1000</t>
  </si>
  <si>
    <t>602.313-1000</t>
  </si>
  <si>
    <t>AUTOMATIC TRACK 40X8 BLACK L=1000</t>
  </si>
  <si>
    <t>602.313SI-1000</t>
  </si>
  <si>
    <t>602.412</t>
  </si>
  <si>
    <t>32X6 AUTOMATIC T TRACK AL BLACK L0990 + FIX M6 SP100 + NUMBERED</t>
  </si>
  <si>
    <t>602.413</t>
  </si>
  <si>
    <t>40X8 AUTOMATIC T TRACK AL BLACK L1130 + FIX M8 SP,100 + NUMBERED</t>
  </si>
  <si>
    <t>609.320/10</t>
  </si>
  <si>
    <t>SBR BATTEN RECEPTACLE L090 RESIN MADE + FOR D12 ROUND BATTEN + FOR M10 TOGGLE</t>
  </si>
  <si>
    <t>609.321/10</t>
  </si>
  <si>
    <t>SBR BATTEN RECEPTACLE L120 RESIN MADE + FOR D16 ROUND BATTEN + FOR M10 TOGGLE</t>
  </si>
  <si>
    <t>609.321/12</t>
  </si>
  <si>
    <t>SBR BATTEN RECEPTACLE L120 RESIN MADE + FOR D16 ROUND BATTEN + FOR M12 TOGGLE</t>
  </si>
  <si>
    <t>609.322/10</t>
  </si>
  <si>
    <t>SBR BATTEN RECEPTACLE L150 RESIN MADE + FOR 20X10 FLAT BATTEN + FOR M10 TOGGLE</t>
  </si>
  <si>
    <t>609.323/10</t>
  </si>
  <si>
    <t>SBR BATTEN RECEPTACLE L150 AL MADE + FOR D22 ROUND BATTEN + FOR M10 TOGGLE</t>
  </si>
  <si>
    <t>609.323/12</t>
  </si>
  <si>
    <t>SBR BATTEN RECEPTACLE L150 AL MADE + FOR D22 ROUND BATTEN + FOR M12 TOGGLE</t>
  </si>
  <si>
    <t>609.323/14</t>
  </si>
  <si>
    <t>SBR BATTEN RECEPTACLE L150 AL MADE + FOR D22 ROUND BATTEN + FOR M14 TOGGLE</t>
  </si>
  <si>
    <t>609.324/10</t>
  </si>
  <si>
    <t>SBR BATTEN RECEPTACLE L200 AL MADE + FOR D22 ROUND BATTEN + FOR M10 TOGGLE</t>
  </si>
  <si>
    <t>609.324/12</t>
  </si>
  <si>
    <t>SBR BATTEN RECEPTACLE L200 AL MADE + FOR D22 ROUND BATTEN + FOR M12 TOGGLE</t>
  </si>
  <si>
    <t>609.324/14</t>
  </si>
  <si>
    <t>SBR BATTEN RECEPTACLE L200 AL MADE + FOR D22 ROUND BATTEN + FOR M14 TOGGLE</t>
  </si>
  <si>
    <t>609.325/10</t>
  </si>
  <si>
    <t>SBR BATTEN RECEPTACLE L200 AL MADE + FOR D26 ROUND BATTEN + FOR M10 TOGGLE</t>
  </si>
  <si>
    <t>609.325/12</t>
  </si>
  <si>
    <t>SBR BATTEN RECEPTACLE L200 AL MADE + FOR D26 ROUND BATTEN + FOR M12 TOGGLE</t>
  </si>
  <si>
    <t>609.325/14</t>
  </si>
  <si>
    <t>SBR BATTEN RECEPTACLE L200 AL MADE + FOR D26 ROUND BATTEN + FOR M14 TOGGLE</t>
  </si>
  <si>
    <t>609.326/14</t>
  </si>
  <si>
    <t>SBR BATTEN RECEPTACLE L250 AL MADE + FOR D36 ROUND BATTEN + FOR M14 TOGGLE</t>
  </si>
  <si>
    <t>609.326/16</t>
  </si>
  <si>
    <t>SBR BATTEN RECEPTACLE L250 AL MADE + FOR D36 ROUND BATTEN + FOR M16 TOGGLE</t>
  </si>
  <si>
    <t>609.327/00</t>
  </si>
  <si>
    <t>SBR BATTEN RECEPTACLE L150 RESIN MADE + FOR D22 ROUND BATTEN - NO THREADED TOGGLE</t>
  </si>
  <si>
    <t>609.327/10</t>
  </si>
  <si>
    <t>SBR BATTEN RECEPTACLE L150 RESIN MADE + FOR D22 ROUND BATTEN + FOR M10 TOGGLE</t>
  </si>
  <si>
    <t>609.327/12</t>
  </si>
  <si>
    <t>SBR BATTEN RECEPTACLE L150 RESIN MADE + FOR D22 ROUND BATTEN + FOR M12 TOGGLE</t>
  </si>
  <si>
    <t>610.340</t>
  </si>
  <si>
    <t>FLAT BATTEN RECEPTACLE</t>
  </si>
  <si>
    <t>610.341</t>
  </si>
  <si>
    <t>ROUND BATTEN RECEPTACLE HS 40</t>
  </si>
  <si>
    <t>614.210</t>
  </si>
  <si>
    <t xml:space="preserve">4RACE M47 MAIN CAR 230 + 2X PAD-EYE D14  </t>
  </si>
  <si>
    <t>614.210/1024</t>
  </si>
  <si>
    <t>4RACE M47 MAIN CAR 230 + 2X 01024</t>
  </si>
  <si>
    <t>614.212</t>
  </si>
  <si>
    <t>4RACE M47 MAIN CAR 230 +1X PAD-EYE D14 + 2X SHEAVE</t>
  </si>
  <si>
    <t>614.212/1224</t>
  </si>
  <si>
    <t>614.213</t>
  </si>
  <si>
    <t>614.213/1224</t>
  </si>
  <si>
    <t>614.214</t>
  </si>
  <si>
    <t>4RACE M47 MAIN CAR 230 +1X PAD-EYE D14 + 2X DOUBLE</t>
  </si>
  <si>
    <t>614.214/1224</t>
  </si>
  <si>
    <t>614.219</t>
  </si>
  <si>
    <t>4RACE M47 MAIN CAR 230 +1X PAD-EYE D14</t>
  </si>
  <si>
    <t>614.222</t>
  </si>
  <si>
    <t>4RACE M47 MAIN CAR 330 +1X PAD-EYE D14 + 2X SHEAVE</t>
  </si>
  <si>
    <t>614.222/1424</t>
  </si>
  <si>
    <t>4R M47 MAIN CAR 330 +1X PAD-EYE D14 + 2X SHEAVE D75 + 1X 01424</t>
  </si>
  <si>
    <t>614.223</t>
  </si>
  <si>
    <t>614.223/1424</t>
  </si>
  <si>
    <t>4RACE M47 MAIN CAR 330 +1X PAD-EYE D16 + 2X SHEAVE</t>
  </si>
  <si>
    <t>614.224</t>
  </si>
  <si>
    <t>4RACE M47 MAIN CAR 330 + 2X PAD-EYE D14 + 2X SHEAV</t>
  </si>
  <si>
    <t>614.224/1024</t>
  </si>
  <si>
    <t>4RACE M47 MAIN CAR 330 + 2X SHEAVE D75 + 2X 01024</t>
  </si>
  <si>
    <t>614.224/1224</t>
  </si>
  <si>
    <t>614.225</t>
  </si>
  <si>
    <t>614.225/1224</t>
  </si>
  <si>
    <t>614.229</t>
  </si>
  <si>
    <t>4RACE M47 MAIN CAR 330 +1X PAD-EYE D14</t>
  </si>
  <si>
    <t>614.232</t>
  </si>
  <si>
    <t>BB CAR 47X4301SIDE CONTR. 2 EYEBOLTS</t>
  </si>
  <si>
    <t>614.232/1224</t>
  </si>
  <si>
    <t>BB CAR 47X430 1 SIDE CONTR. +2 BLOCKS 120</t>
  </si>
  <si>
    <t>614.233</t>
  </si>
  <si>
    <t>BB CAR 47X430  1SIDE CONTR.W/BECK 2 EYEBOLTS</t>
  </si>
  <si>
    <t>614.233/1224</t>
  </si>
  <si>
    <t>BB CAR 47X430 1SIDE CONT.W/BECKET+ 2BLOCKS 120</t>
  </si>
  <si>
    <t>614.235</t>
  </si>
  <si>
    <t>BB CAR 47X430 1 SIDE CONTR. 3 EYEBOLTS</t>
  </si>
  <si>
    <t>614.235/1224</t>
  </si>
  <si>
    <t>BB CAR 47X430 1 SIDE CONTR. + 3 BLOCKS 120</t>
  </si>
  <si>
    <t>614.236</t>
  </si>
  <si>
    <t>BB CAR 47X430 1 SIDE CONTR W/BECK. 3 EYEBOLTS</t>
  </si>
  <si>
    <t>614.236/1224</t>
  </si>
  <si>
    <t>BB CAR 47X430 1 SIDE CONTR. W/BECK.+ 3 BLOCKS 120</t>
  </si>
  <si>
    <t>614.239</t>
  </si>
  <si>
    <t>BB CAR 47X430 WITH 1 EYEBOLT</t>
  </si>
  <si>
    <t>615.222</t>
  </si>
  <si>
    <t>BB CAR 67X330 1 SIDE CONTR.1 EYEBOLT</t>
  </si>
  <si>
    <t>615.222/1424</t>
  </si>
  <si>
    <t>BB CAR 67X330 1 SIDE CONTR. + 1 BLOCK 140</t>
  </si>
  <si>
    <t>615.229</t>
  </si>
  <si>
    <t>BB CAR 67X330 WITH 1 EYEBOLT</t>
  </si>
  <si>
    <t>615.233/1424</t>
  </si>
  <si>
    <t>4R M67 MAIN CAR 430 + 2X PAD-EYE D16 + 2X SHEAVE D100 AND BECKET + 2X 01424</t>
  </si>
  <si>
    <t>615.239</t>
  </si>
  <si>
    <t>BB CAR 67X430 WITH 1 EYEBOLT</t>
  </si>
  <si>
    <t>620.492</t>
  </si>
  <si>
    <t>GENOA CAR 32X6  D45 SHEAVE</t>
  </si>
  <si>
    <t>621.452</t>
  </si>
  <si>
    <t>GENOA CAR  26X4  W/ OPF 50  2 BECKETS +STOP PIN</t>
  </si>
  <si>
    <t>621.462</t>
  </si>
  <si>
    <t>GENOA SLIDER 26X4 W/SHACKLE +STOP PIN</t>
  </si>
  <si>
    <t>621.472</t>
  </si>
  <si>
    <t>T-TRACK 26X4 GENOA CAR RACE 096 ALU + 1X SHEAVE D35 AND BECKET + STOP-PIN</t>
  </si>
  <si>
    <t>621.472DBL44</t>
  </si>
  <si>
    <t>GENOA CAR SIZE 26X4 + DBL44 LASHED</t>
  </si>
  <si>
    <t>621.492</t>
  </si>
  <si>
    <t>GENOA CAR 26X4  WITH STOP PIN</t>
  </si>
  <si>
    <t>622.402</t>
  </si>
  <si>
    <t>HALYARD SLIDER 32X6</t>
  </si>
  <si>
    <t>622.462</t>
  </si>
  <si>
    <t>T-TRACK 32X6 SIMPLE SLIDER 133 ALU + S.STEEL SHACKLE D10 + STOP-PIN</t>
  </si>
  <si>
    <t>622.462S</t>
  </si>
  <si>
    <t>T-TRACK 32X6 SIMPLE SLIDER 133 S.STEEL + S.STEEL SHACKLE D10 + STOP-PIN</t>
  </si>
  <si>
    <t>622.492</t>
  </si>
  <si>
    <t>T-TRACK 32X6 GENOA CAR 133 ALU + MAIN SHEAVE D060 + 1X BECKET + STOP-PIN</t>
  </si>
  <si>
    <t>622.492S</t>
  </si>
  <si>
    <t>T-TRACK 32X6 GENOA CAR 133 S.S + MAIN SHEAVE D060 + 1X BECKET + STOP-PIN</t>
  </si>
  <si>
    <t>622.511S</t>
  </si>
  <si>
    <t>S. STEEL CAR 32X6  WITH ONE EYEBOLT</t>
  </si>
  <si>
    <t>622.511S0701</t>
  </si>
  <si>
    <t>S. STEEL CAR 32X6 AND 1 75 SS BLOCK</t>
  </si>
  <si>
    <t>622.512S</t>
  </si>
  <si>
    <t>S. STEEL CAR 32X6 1 EYEBOLT 1 SIDE CONTR.</t>
  </si>
  <si>
    <t>622.512S0701</t>
  </si>
  <si>
    <t>623.120B</t>
  </si>
  <si>
    <t>T-TRACK 40X8 GENOA CAR DOUBLE 2X160 ALU + MAIN SHE</t>
  </si>
  <si>
    <t>623.120S</t>
  </si>
  <si>
    <t>DOUBLE S STEEL GENOA CAR 40X8 120MM SHEAVE</t>
  </si>
  <si>
    <t>623.150B</t>
  </si>
  <si>
    <t>623.150S</t>
  </si>
  <si>
    <t>DOUBLE S STEEL  GENOA CAR 40X8 150MM SHEAVE</t>
  </si>
  <si>
    <t>623.180B</t>
  </si>
  <si>
    <t>623.180S</t>
  </si>
  <si>
    <t>DOUBLE S STEEL GENOA CAR 40X8 180MM SHEAVE</t>
  </si>
  <si>
    <t>623.402</t>
  </si>
  <si>
    <t>HALYARD SLIDER T TRACK40X8</t>
  </si>
  <si>
    <t>623.462</t>
  </si>
  <si>
    <t>T-TRACK 40X8 SIMPLE SLIDER 160 ALU + S.STEEL SHACKLE D12 + STOP-PIN</t>
  </si>
  <si>
    <t>623.462S</t>
  </si>
  <si>
    <t>S STEEL GENOA SLIDER T TRACK 40X8 W/STOP PIN</t>
  </si>
  <si>
    <t>623.492</t>
  </si>
  <si>
    <t>T-TRACK 40X8 GENOA CAR 160 ALU + MAIN SHEAVE D075 + STOP-PIN</t>
  </si>
  <si>
    <t>623.492S</t>
  </si>
  <si>
    <t>T-TRACK 40X8 GENOA CAR 160 S.STEEL + MAIN SHEAVE D075 + STOP-PIN</t>
  </si>
  <si>
    <t>623.511S</t>
  </si>
  <si>
    <t>S. STEEL CAR 40X8 WITH  EYEBOLT</t>
  </si>
  <si>
    <t>623.512S</t>
  </si>
  <si>
    <t>S. STEEL CAR  40X8 1 EYEBOLT+SIDE CONTR.</t>
  </si>
  <si>
    <t>623.512S0901</t>
  </si>
  <si>
    <t>S STEEL CAR 40X8 1 SIDE CONT. + BLOCK 90</t>
  </si>
  <si>
    <t>623.513S</t>
  </si>
  <si>
    <t>S. STEEL CAR 40X8 1 EYEBOLT SIDE CONT. W/BECKET</t>
  </si>
  <si>
    <t>623.523S</t>
  </si>
  <si>
    <t>S STEEL CAR 40X8  2 EYEBOLTS SIDE CONTR.</t>
  </si>
  <si>
    <t>623.523S0901</t>
  </si>
  <si>
    <t>S STEEL CAR 40X8 SIDE CONTR. +2 SS 90 BLOCK</t>
  </si>
  <si>
    <t>624.402</t>
  </si>
  <si>
    <t>HALYARD SLIDER 40X8 DOUBLE PIN</t>
  </si>
  <si>
    <t>625.492</t>
  </si>
  <si>
    <t>T-TRACK 32X6 GENOA CAR PLUS 170 ALU + MAIN SHEAVE D075 + STOP-PIN</t>
  </si>
  <si>
    <t>626.492</t>
  </si>
  <si>
    <t>T-TRACK 40X8 GENOA CAR TRIPLE 172 ALU + MAIN SHEAVE D100</t>
  </si>
  <si>
    <t>626.492s</t>
  </si>
  <si>
    <t>T-TRACK 40X8 GENOA CAR TRIPLE 172 S.STEEL + MAIN SHEAVE D100</t>
  </si>
  <si>
    <t>6320</t>
  </si>
  <si>
    <t>CAR END STOP CONTROL AND SENSORS FOR 12/24V SYSTEM</t>
  </si>
  <si>
    <t>6320/48</t>
  </si>
  <si>
    <t>CAR END STOP CONTROL AND SENSORS FOR 48V SYSTEM</t>
  </si>
  <si>
    <t>672.002</t>
  </si>
  <si>
    <t>OUTHAUL CAR 32X6</t>
  </si>
  <si>
    <t>672.003</t>
  </si>
  <si>
    <t>T-TRACK 40X8 OUTHAUL SLIDER 160 ALU</t>
  </si>
  <si>
    <t>672.004</t>
  </si>
  <si>
    <t>OUTHAUL CAR 40X8 L=200</t>
  </si>
  <si>
    <t>672.005</t>
  </si>
  <si>
    <t>T-TRACK 40X8 OUTHAUL SLIDER 280 ALU</t>
  </si>
  <si>
    <t>690.151</t>
  </si>
  <si>
    <t>END FITTING T-TRACK 26X4 ALU + SHEAVE D35 + FRONTAL BECKET</t>
  </si>
  <si>
    <t>690.152</t>
  </si>
  <si>
    <t>END FITTING T-TRACK 26X4 ALU + DOUBLE SHEAVES D35 + FRONTAL BECKET</t>
  </si>
  <si>
    <t>690.251</t>
  </si>
  <si>
    <t>END FITTING 32X6W/SHEAVE+BECKET</t>
  </si>
  <si>
    <t>690.252</t>
  </si>
  <si>
    <t>END FITTING T-TRACK 32X6 ALU + DOUBLE SHEAVES D50</t>
  </si>
  <si>
    <t>690.351</t>
  </si>
  <si>
    <t>END FITTING T-TRACK 40X8 ALU + SHEAVE D50 + UPPER BECKET</t>
  </si>
  <si>
    <t>690.352</t>
  </si>
  <si>
    <t>END FITTING T-TRACK 40X8 ALU + DOUBLE SHEAVES D50</t>
  </si>
  <si>
    <t>691.141</t>
  </si>
  <si>
    <t>END FITTING T-TRACK 26X4 SIMPLE RESIN MADE</t>
  </si>
  <si>
    <t>691.240S</t>
  </si>
  <si>
    <t>KIT CAM-CLEAT FOR END FITTINGS SIZES 32X6 S.STEEL</t>
  </si>
  <si>
    <t>691.241</t>
  </si>
  <si>
    <t>SIMPLE END FITTING 32X6-PLASTIC</t>
  </si>
  <si>
    <t>691.241AL</t>
  </si>
  <si>
    <t>SIMPLE END FITTING  32X6 WHITE ALU</t>
  </si>
  <si>
    <t>691.241B</t>
  </si>
  <si>
    <t>SIMPLE END FITTING 32X6 BLACK ALU</t>
  </si>
  <si>
    <t>691.241S</t>
  </si>
  <si>
    <t>SIMPLE END FITTING 32X6 S STEEL</t>
  </si>
  <si>
    <t>691.242S</t>
  </si>
  <si>
    <t>END FITTING T-TRACK 32X6 S.STEEL + SHEAVE D50</t>
  </si>
  <si>
    <t>691.243S</t>
  </si>
  <si>
    <t>END FITTING T-TRACK 32X6 S.STEEL + SHEAVE D50 + UPPER BECKET</t>
  </si>
  <si>
    <t>691.244S</t>
  </si>
  <si>
    <t>S STEEL END FITTING 32X6 TWO SHEAVES</t>
  </si>
  <si>
    <t>691.251</t>
  </si>
  <si>
    <t>END FITTING WITH SHEAVE 32X6</t>
  </si>
  <si>
    <t>691.341</t>
  </si>
  <si>
    <t>SIMPLE END FITTING  T TRACK 40X8, RESIN</t>
  </si>
  <si>
    <t>691.341AL</t>
  </si>
  <si>
    <t>SIMPLE END FITTING 40X8 SILVER ALU</t>
  </si>
  <si>
    <t>691.341B</t>
  </si>
  <si>
    <t>END FITTING T-TRACK 40X8 SIMPLE AL 6082</t>
  </si>
  <si>
    <t>691.341S</t>
  </si>
  <si>
    <t>END FITTING T-TRACK 40X8 SIMPLE S.STEEL</t>
  </si>
  <si>
    <t>691.342S</t>
  </si>
  <si>
    <t>S STEEL END FITTING T TRACK 40X8 1 SHEAVE</t>
  </si>
  <si>
    <t>691.343S</t>
  </si>
  <si>
    <t>S STEEL END FITTING T TRACK 40X8 SHEAVE &amp; BECKET</t>
  </si>
  <si>
    <t>691.344S</t>
  </si>
  <si>
    <t>S STEEL END FITTING T TRACK 40X8 2 SHEAVES</t>
  </si>
  <si>
    <t>691.421</t>
  </si>
  <si>
    <t>4RACE 27X20 ADJUSTABLE STOP-PIN SLIDER (SINGLE SPRING STOP-PIN)</t>
  </si>
  <si>
    <t>691.451</t>
  </si>
  <si>
    <t>END-FITTING TT 40X8 - ALU + 1 SHEAVE D75 + UPPER B</t>
  </si>
  <si>
    <t>691.452</t>
  </si>
  <si>
    <t>END FITTING T-TRACK 40X8 ALU + DOUBLE SHEAVES D75</t>
  </si>
  <si>
    <t>691.560</t>
  </si>
  <si>
    <t>SIMPLE END FITTING MAXI 47</t>
  </si>
  <si>
    <t>691.561</t>
  </si>
  <si>
    <t>END FITTING 4RACE M47 ALU + SHEAVE D75 + FRONTAL BECKET + M10X080 SCREWS</t>
  </si>
  <si>
    <t>691.563</t>
  </si>
  <si>
    <t>END FITTING MAXI 47 W/ 2 SHEAVES+BECKET</t>
  </si>
  <si>
    <t>691.660</t>
  </si>
  <si>
    <t>SIMPLE END FITTING MAXI 67</t>
  </si>
  <si>
    <t>691.663</t>
  </si>
  <si>
    <t>MAXI 67 END FITTING 2 SHEAVES + BECKET</t>
  </si>
  <si>
    <t>691.711S</t>
  </si>
  <si>
    <t>T-TRACK 32X6 STOP PIN 046 S.STEEL + STOP-PIN</t>
  </si>
  <si>
    <t>691.721S</t>
  </si>
  <si>
    <t>T-TRACK 40X8 STOP PIN 050 S.STEEL + STOP-PIN</t>
  </si>
  <si>
    <t>691.722B</t>
  </si>
  <si>
    <t>T-TRACK 40X8 STOP PIN 050 ALU + 2X STOP-PIN (SCREW</t>
  </si>
  <si>
    <t>691.722S</t>
  </si>
  <si>
    <t>DOUBLE S STEEL  STOP PIN 40X8</t>
  </si>
  <si>
    <t>691.822</t>
  </si>
  <si>
    <t>DOUBLE STOP PIN BB MAXI 47</t>
  </si>
  <si>
    <t>7105</t>
  </si>
  <si>
    <t>U PAD-EYE SIZE 05</t>
  </si>
  <si>
    <t>7106</t>
  </si>
  <si>
    <t>U PAD-EYE SIZE 06</t>
  </si>
  <si>
    <t>7108</t>
  </si>
  <si>
    <t>U PAD-EYE SIZE 08</t>
  </si>
  <si>
    <t>7110</t>
  </si>
  <si>
    <t>U BOLT D 10</t>
  </si>
  <si>
    <t>7206</t>
  </si>
  <si>
    <t>4 SCREWS PAD-EYE SIZE 06</t>
  </si>
  <si>
    <t>7208</t>
  </si>
  <si>
    <t>4 SCREWS PADEYE D 8</t>
  </si>
  <si>
    <t>7210</t>
  </si>
  <si>
    <t>4 SCREWS PADEYE D 10</t>
  </si>
  <si>
    <t>7212</t>
  </si>
  <si>
    <t>4 SCREWS PADEYE D12</t>
  </si>
  <si>
    <t>7214</t>
  </si>
  <si>
    <t>4 SCREWS PADEYE D14 A4</t>
  </si>
  <si>
    <t>7216</t>
  </si>
  <si>
    <t>SCREWS PAD-EYES SIZE 16</t>
  </si>
  <si>
    <t>7220</t>
  </si>
  <si>
    <t>6 SCREWS PADEYE D 20</t>
  </si>
  <si>
    <t>7306</t>
  </si>
  <si>
    <t>SCREWED PAD-EYE D06</t>
  </si>
  <si>
    <t>7308</t>
  </si>
  <si>
    <t>SCREWED EYEBOLT D 8</t>
  </si>
  <si>
    <t>7310</t>
  </si>
  <si>
    <t>SCREWED EYEBOLT D10</t>
  </si>
  <si>
    <t>7312</t>
  </si>
  <si>
    <t>SCREWED EYEBOLT D12</t>
  </si>
  <si>
    <t>7314</t>
  </si>
  <si>
    <t>SCREWED PAD-EYE SIZE 14</t>
  </si>
  <si>
    <t>7316</t>
  </si>
  <si>
    <t>SCREWED EYEBOLT D16</t>
  </si>
  <si>
    <t>7321</t>
  </si>
  <si>
    <t>SCREWED EYEBOLT D20</t>
  </si>
  <si>
    <t>7505</t>
  </si>
  <si>
    <t>DYNEEMA PAD EYE D5 W/SCREWS</t>
  </si>
  <si>
    <t>7506</t>
  </si>
  <si>
    <t>DYNEEMA PAD EYE D6 W/SCREWS</t>
  </si>
  <si>
    <t>7508</t>
  </si>
  <si>
    <t>DYNEEMA PAD EYE D8 W/SCREWS</t>
  </si>
  <si>
    <t>7510</t>
  </si>
  <si>
    <t>DYNEEMA PAD EYE D10 W/SCREWS</t>
  </si>
  <si>
    <t>7512</t>
  </si>
  <si>
    <t>DYNEEMA PAD EYE D12 W/SCREWS</t>
  </si>
  <si>
    <t>7514</t>
  </si>
  <si>
    <t>DYNEEMA PAD EYE D14 W/SCREWS</t>
  </si>
  <si>
    <t>7516</t>
  </si>
  <si>
    <t>DYNEEMA PAD-EYE DPE D16 SCREWS M14</t>
  </si>
  <si>
    <t>7605</t>
  </si>
  <si>
    <t>DYNEEMA PAD-EYE D05 WITH STUDS AL BLACK + STUDS M6</t>
  </si>
  <si>
    <t>7606</t>
  </si>
  <si>
    <t>DYNEEMA PAD EYE D6 W/STUDS</t>
  </si>
  <si>
    <t>7608</t>
  </si>
  <si>
    <t>DYNEEMA PAD EYE D8 W/STUDS</t>
  </si>
  <si>
    <t>7610</t>
  </si>
  <si>
    <t>DYNEEMA PAD-EYES D10 AL + STUDS</t>
  </si>
  <si>
    <t>7612</t>
  </si>
  <si>
    <t>DYNEEMA PAD EYE D12 W/STUDS</t>
  </si>
  <si>
    <t>7614</t>
  </si>
  <si>
    <t>DYNEEMA PAD EYE D14 W/STUDS</t>
  </si>
  <si>
    <t>801.045</t>
  </si>
  <si>
    <t>TULIP SHEAVE D045-012 T31,5 RESIN (TURNING SHEAVE 45)</t>
  </si>
  <si>
    <t>801.060</t>
  </si>
  <si>
    <t>TULIP SHEAVE D060-015 T38,5 ALU (TURNING SHEAVE 60)</t>
  </si>
  <si>
    <t>801.071</t>
  </si>
  <si>
    <t>TULIP SHEAVE</t>
  </si>
  <si>
    <t>801.073</t>
  </si>
  <si>
    <t>801.085</t>
  </si>
  <si>
    <t>SHEAVE ASSY D085 - 012 L34 AL</t>
  </si>
  <si>
    <t>801.090</t>
  </si>
  <si>
    <t>801.091</t>
  </si>
  <si>
    <t>TULIP SHEAVE D090-024 T38 ALU (MAST BLOCK 90)</t>
  </si>
  <si>
    <t>801.092</t>
  </si>
  <si>
    <t>TULIP SHEAVE D90X50,5 ALU</t>
  </si>
  <si>
    <t>801.110</t>
  </si>
  <si>
    <t>TULIP SHEAVE D110 ALU</t>
  </si>
  <si>
    <t>801.111</t>
  </si>
  <si>
    <t>812.154</t>
  </si>
  <si>
    <t>C.F. SERIES BLOCK D150 SINGLE + PAD-EYE D016</t>
  </si>
  <si>
    <t>812.184</t>
  </si>
  <si>
    <t>BLOCK D 180 ON PADEYE</t>
  </si>
  <si>
    <t>813.154</t>
  </si>
  <si>
    <t>BLOCK  Ø150 - SCREWED EYEBOLD</t>
  </si>
  <si>
    <t>813.184</t>
  </si>
  <si>
    <t>BLOCK 180 ON SCREWED EYEBOLT</t>
  </si>
  <si>
    <t>815.075</t>
  </si>
  <si>
    <t>S.STEEL DECK-BLOCK D075 MAST BASE</t>
  </si>
  <si>
    <t>815.090</t>
  </si>
  <si>
    <t>SS HALYARD BLOCK D 90</t>
  </si>
  <si>
    <t>815.120</t>
  </si>
  <si>
    <t>SS HALYARD  BLOCK D 120</t>
  </si>
  <si>
    <t>815.150</t>
  </si>
  <si>
    <t>SS HALYARD  BLOCK D 150</t>
  </si>
  <si>
    <t>815.180</t>
  </si>
  <si>
    <t>S.STEEL DECK-BLOCK D180 MAST BASE</t>
  </si>
  <si>
    <t>815.452</t>
  </si>
  <si>
    <t>S.S. HALYARD BLOCK D 45</t>
  </si>
  <si>
    <t>815.552</t>
  </si>
  <si>
    <t>S.STEEL HALYARD BLOCK D 55</t>
  </si>
  <si>
    <t>815.652</t>
  </si>
  <si>
    <t>S.STEEL HALYARD BLOCK D 65</t>
  </si>
  <si>
    <t>816.075</t>
  </si>
  <si>
    <t>S. STEEL HOLLOW PIN DECK BLOCK D 75</t>
  </si>
  <si>
    <t>816.090</t>
  </si>
  <si>
    <t>S.STEEL HOLLOW PIN DECK BLOCK D 90</t>
  </si>
  <si>
    <t>816.120</t>
  </si>
  <si>
    <t>S.STEEL HOLLOW PIN DECK BLOCK D 120</t>
  </si>
  <si>
    <t>816.150</t>
  </si>
  <si>
    <t>S.STEEL HOLLOW PIN DECK BLOCK 150</t>
  </si>
  <si>
    <t>816.180</t>
  </si>
  <si>
    <t>D180 A316 S.STEEL HOLLOWPIN</t>
  </si>
  <si>
    <t>817.050</t>
  </si>
  <si>
    <t>TULIP DECK-BLOCK D050 VERTICAL</t>
  </si>
  <si>
    <t>817.060</t>
  </si>
  <si>
    <t>TULIP DECK-BLOCK D060 VERTICAL</t>
  </si>
  <si>
    <t>817.071</t>
  </si>
  <si>
    <t>TULIP DECK-BLOCK D070 VERTICAL</t>
  </si>
  <si>
    <t>817.090</t>
  </si>
  <si>
    <t>VERTICAL TULIP BLOCK D 90 INOX</t>
  </si>
  <si>
    <t>818.050</t>
  </si>
  <si>
    <t>TULIP DECK-BLOCK D050 OVER THE TOP</t>
  </si>
  <si>
    <t>818.060</t>
  </si>
  <si>
    <t>TULIP DECK-BLOCK D060 OVER THE TOP</t>
  </si>
  <si>
    <t>818.071</t>
  </si>
  <si>
    <t>TULIP DECK-BLOCK D070 OVER THE TOP</t>
  </si>
  <si>
    <t>818.090</t>
  </si>
  <si>
    <t>TULIP DECK-BLOCK D090 OVER THE TOP</t>
  </si>
  <si>
    <t>819.045</t>
  </si>
  <si>
    <t>TULIP FOOTBLOCK D 45</t>
  </si>
  <si>
    <t>819.060</t>
  </si>
  <si>
    <t>TULIP FOOTBLOCK D60 ALU BLACK</t>
  </si>
  <si>
    <t>819.070</t>
  </si>
  <si>
    <t>TULIP DECK-BLOCK D070 FOOTBLOCK</t>
  </si>
  <si>
    <t>819.090</t>
  </si>
  <si>
    <t>TULIP FOOTBLOCK D 90</t>
  </si>
  <si>
    <t>819.110</t>
  </si>
  <si>
    <t>TULIP FOOTBLOCK D110 ALU BLACK</t>
  </si>
  <si>
    <t>821.050</t>
  </si>
  <si>
    <t>TURNING TULIP SHEAVE D 50</t>
  </si>
  <si>
    <t>821.052</t>
  </si>
  <si>
    <t>TURNING SHEAVE D 50</t>
  </si>
  <si>
    <t>821.062</t>
  </si>
  <si>
    <t>TURNING SHEAVE D 60</t>
  </si>
  <si>
    <t>821.070</t>
  </si>
  <si>
    <t>TURNING TULIP SHEAVE D 70</t>
  </si>
  <si>
    <t>821.074</t>
  </si>
  <si>
    <t>TURNING SHEAVE D 70</t>
  </si>
  <si>
    <t>821.100</t>
  </si>
  <si>
    <t>TURNING TULIP SHEAVE D 100</t>
  </si>
  <si>
    <t>831.154</t>
  </si>
  <si>
    <t>DECK BLOCK Ø150</t>
  </si>
  <si>
    <t>831.184</t>
  </si>
  <si>
    <t>DECK BLOCK Ø180</t>
  </si>
  <si>
    <t>831.254S</t>
  </si>
  <si>
    <t>XXL SERIES BLOCK D250 SINGLE S.STEEL</t>
  </si>
  <si>
    <t>832.154</t>
  </si>
  <si>
    <t>DECK BLOCK Ø150 - DOUBLE</t>
  </si>
  <si>
    <t>832.184</t>
  </si>
  <si>
    <t>DECK BLOCK Ø180 - DOUBLE</t>
  </si>
  <si>
    <t>851.065LEFT</t>
  </si>
  <si>
    <t xml:space="preserve">STOPPER DECK BLOCK D 65 LEFT </t>
  </si>
  <si>
    <t>851.065RIGHT</t>
  </si>
  <si>
    <t>STOPPER DECK BLOCK D 65 RIGHT</t>
  </si>
  <si>
    <t>851.080LEFT</t>
  </si>
  <si>
    <t>STOPPER DECK-BLOCK SIZE 80 SINGLE LEFT VERSION VA</t>
  </si>
  <si>
    <t>851.080RIGHT</t>
  </si>
  <si>
    <t>STOPPER DECK-BLOCK SIZE 80 SINGLE RIGHT VERSION VA</t>
  </si>
  <si>
    <t>851.100LEFT</t>
  </si>
  <si>
    <t>STOPPER DECK BLOCK D 100 LEFT</t>
  </si>
  <si>
    <t>851.100RIGHT</t>
  </si>
  <si>
    <t>STOPPER DECK BLOCK D 100 RIGHT</t>
  </si>
  <si>
    <t>851.125LEFT</t>
  </si>
  <si>
    <t>STOPPER DECK BLOCK D 125 LEFT</t>
  </si>
  <si>
    <t>851.125RIGHT</t>
  </si>
  <si>
    <t>STOPPER DECK BLOCK D 125 RIGHT</t>
  </si>
  <si>
    <t>852.065LEFT</t>
  </si>
  <si>
    <t>DOUBLE STOPPER DECK BLOCK  D 65 LEFT</t>
  </si>
  <si>
    <t>852.065RIGHT</t>
  </si>
  <si>
    <t>DOUBLE STOPPER DECK BLOCK  D 65 RIGHT</t>
  </si>
  <si>
    <t>852.080LEFT</t>
  </si>
  <si>
    <t>STOPPER DECK-BLOCK SIZE 80 DOUBLE RIGHT VERSION VA</t>
  </si>
  <si>
    <t>852.080RIGHT</t>
  </si>
  <si>
    <t>852.100LEFT</t>
  </si>
  <si>
    <t>DOUBLE STOPPER DECK BLOCK D  100 DOUBLE</t>
  </si>
  <si>
    <t>852.100RIGHT</t>
  </si>
  <si>
    <t>DOUBLE STOPPER DECK BLOCK D  100 RIGHT</t>
  </si>
  <si>
    <t>852.125LEFT</t>
  </si>
  <si>
    <t>DOUBLE STOPPER  DECK BLOCK D 125 LEFT</t>
  </si>
  <si>
    <t>852.125RIGHT</t>
  </si>
  <si>
    <t>DOUBLE STOPPER  DECK BLOCK D 125 RIGHT</t>
  </si>
  <si>
    <t>9001</t>
  </si>
  <si>
    <t>SNAP RING FOR MINI SNATCH</t>
  </si>
  <si>
    <t>9030B</t>
  </si>
  <si>
    <t>SNATCH BLOCK D032 MINI FOR LINE CONNECTION + BLACK</t>
  </si>
  <si>
    <t>9030Y</t>
  </si>
  <si>
    <t>MINI SNATCH BLOCK -YELLOW</t>
  </si>
  <si>
    <t>9031B</t>
  </si>
  <si>
    <t>MINI SNATCH BLOCK W/SHACKLE -BLACK</t>
  </si>
  <si>
    <t>9031Y</t>
  </si>
  <si>
    <t>MINI SNATCH BLOCK W/SHACKLE YELLOW</t>
  </si>
  <si>
    <t>9040</t>
  </si>
  <si>
    <t>SNATCH BLOCK D040</t>
  </si>
  <si>
    <t>9040SH</t>
  </si>
  <si>
    <t>SNATCH BLOCKS D 40 W/SHACKLE</t>
  </si>
  <si>
    <t>9040SL</t>
  </si>
  <si>
    <t>SNATCH BLOCK D040 + SNAP-LOOP SL4S</t>
  </si>
  <si>
    <t>9040SN</t>
  </si>
  <si>
    <t>SNATCH BLOCK D 40 W/SNAP SHACKLE</t>
  </si>
  <si>
    <t>9060</t>
  </si>
  <si>
    <t>SNATCH BLOCK D060</t>
  </si>
  <si>
    <t>9060SH</t>
  </si>
  <si>
    <t>SNATCH BLOCK D 60 W/SHACKLE</t>
  </si>
  <si>
    <t>9060SL</t>
  </si>
  <si>
    <t>SNATCH BLOCK D060 + SNAP-LOOP SL5S</t>
  </si>
  <si>
    <t>9060SN</t>
  </si>
  <si>
    <t>SNATCH BLOCK D 60 W/ SNAP SHACKLE</t>
  </si>
  <si>
    <t>908.095</t>
  </si>
  <si>
    <t>SNATCH BLOCK D90</t>
  </si>
  <si>
    <t>908.095SH</t>
  </si>
  <si>
    <t>SNATCH BLOCK D 90 MM W/SHACKLE</t>
  </si>
  <si>
    <t>908.095SN</t>
  </si>
  <si>
    <t>SNATCH BLOCK W/ HR WICHARD SNAP SHACKLE</t>
  </si>
  <si>
    <t>908.125</t>
  </si>
  <si>
    <t>SNATCH BLOCK D 120</t>
  </si>
  <si>
    <t>908.125SH</t>
  </si>
  <si>
    <t>SNATCH BLOCK D  120 MM W/SHACKLE</t>
  </si>
  <si>
    <t>908.125SN</t>
  </si>
  <si>
    <t>SNATCH BLOCK D 120 MM W/HR WICHARD SNAP SHACKLE</t>
  </si>
  <si>
    <t>909.502</t>
  </si>
  <si>
    <t>BLOCK D50 FOR GENOA CAR</t>
  </si>
  <si>
    <t>909.552S</t>
  </si>
  <si>
    <t>S STEEL BLOCK D55 FOR GENOA CAR 32X6</t>
  </si>
  <si>
    <t>910.155Z</t>
  </si>
  <si>
    <t>XXL SERIES BLOCK D150 WEB REINFORCED</t>
  </si>
  <si>
    <t>910.185</t>
  </si>
  <si>
    <t>XXL SERIES BLOCK D180 WEB STANDARD</t>
  </si>
  <si>
    <t>910.225</t>
  </si>
  <si>
    <t>XXL SERIES BLOCK D220 WEB STANDARD</t>
  </si>
  <si>
    <t>910.255</t>
  </si>
  <si>
    <t>XXL SERIES BLOCK D250 WEB STANDARD</t>
  </si>
  <si>
    <t>911.154</t>
  </si>
  <si>
    <t>BLOCK Ø150</t>
  </si>
  <si>
    <t>911.184</t>
  </si>
  <si>
    <t>XXL 180 SWIVEL BLOCK</t>
  </si>
  <si>
    <t>911.224</t>
  </si>
  <si>
    <t>XXL SERIES BLOCK D220 SINGLE + SWIVEL HEAD</t>
  </si>
  <si>
    <t>911.224S</t>
  </si>
  <si>
    <t>XXL SERIES BLOCK D220 SINGLE + SWIVEL HEAD S.STEEL</t>
  </si>
  <si>
    <t>911.254</t>
  </si>
  <si>
    <t>XXL SERIES BLOCK D250 SINGLE + SWIVEL HEAD</t>
  </si>
  <si>
    <t>911.304</t>
  </si>
  <si>
    <t>XXL SERIES BLOCK D300 SINGLE + SWIVEL HEAD</t>
  </si>
  <si>
    <t>911.304S</t>
  </si>
  <si>
    <t>XXL SERIES BLOCK D300 SINGLE + SWIVEL HEAD S.STEEL</t>
  </si>
  <si>
    <t>918.095</t>
  </si>
  <si>
    <t>SNATCH BLOCK D 90 ON PADEYE</t>
  </si>
  <si>
    <t>918.125</t>
  </si>
  <si>
    <t>SNATCH BLOCK 120 ON 4 SCREWS PADEYE</t>
  </si>
  <si>
    <t>918.155</t>
  </si>
  <si>
    <t>MAXI SNATCH BLOCK D150 ON PAD-EYE D20</t>
  </si>
  <si>
    <t>922.602</t>
  </si>
  <si>
    <t>MAIN SYSTEM BLOCK SERIES F D060 SCONDARY + LONG HEAD D06 L19,5</t>
  </si>
  <si>
    <t>928.095</t>
  </si>
  <si>
    <t>SNATCH BLOCK 90 ON  SCREWED EYEBOLT</t>
  </si>
  <si>
    <t>928.155</t>
  </si>
  <si>
    <t>SNATCH BLOCK D150 MAXI + SCREWED EYEBOLT D020</t>
  </si>
  <si>
    <t>940.155Z</t>
  </si>
  <si>
    <t>WEB BLOCK D150 W/BECKET STRENGTHENED</t>
  </si>
  <si>
    <t>940.185</t>
  </si>
  <si>
    <t>C.F. SERIES BLOCK D180 SINGLE WITH BECKET + WEB HE</t>
  </si>
  <si>
    <t>940.225</t>
  </si>
  <si>
    <t>XXL SERIES BLOCK D220 WEB WITH BECKET STANDARD</t>
  </si>
  <si>
    <t>940.255</t>
  </si>
  <si>
    <t>XXL SERIES BLOCK D250 WEB WITH BECKET STANDARD</t>
  </si>
  <si>
    <t>940.304</t>
  </si>
  <si>
    <t>XXL SERIES BLOCK D300 WEB WITH BECKET STANDARD</t>
  </si>
  <si>
    <t>941.154</t>
  </si>
  <si>
    <t>BLOCK Ø150 - WITH BECKET</t>
  </si>
  <si>
    <t>941.184</t>
  </si>
  <si>
    <t>BLOCK Ø180 - WITH BECKET</t>
  </si>
  <si>
    <t>941.224</t>
  </si>
  <si>
    <t>XXL SERIES BLOCK D220 SINGLE WITH BECKET + SWIVEL HEAD</t>
  </si>
  <si>
    <t>941.254</t>
  </si>
  <si>
    <t>XXL SERIES BLOCK D250 SINGLE WITH BECKET + SWIVEL HEAD</t>
  </si>
  <si>
    <t>949.502</t>
  </si>
  <si>
    <t>BLOCK WITH BECKET  D50 FOR GENOA CAR</t>
  </si>
  <si>
    <t>950.224</t>
  </si>
  <si>
    <t>XXL SERIES BLOCK D220 SINGLE + PAD-EYE D020</t>
  </si>
  <si>
    <t>950.224S</t>
  </si>
  <si>
    <t>XXL SERIES BLOCK D220 SINGLE + PAD-EYE D020 S.STEEL</t>
  </si>
  <si>
    <t>950.254</t>
  </si>
  <si>
    <t>XXL SERIES BLOCK D250 SINGLE + PAD-EYE D024</t>
  </si>
  <si>
    <t>950.254S</t>
  </si>
  <si>
    <t>XXL SERIES BLOCK D250 SINGLE + PAD-EYE D024 S.STEEL</t>
  </si>
  <si>
    <t>950.304</t>
  </si>
  <si>
    <t>XXL SERIES BLOCK D300 SINGLE + PAD-EYE D030</t>
  </si>
  <si>
    <t>950.304S</t>
  </si>
  <si>
    <t>XXL SERIES BLOCK D300 SINGLE + PAD-EYE D030 S.STEEL</t>
  </si>
  <si>
    <t>981.154</t>
  </si>
  <si>
    <t>FIEDDLE BLOCK Ø150 - WITH BECKET</t>
  </si>
  <si>
    <t>991.073AL</t>
  </si>
  <si>
    <t>CLEW BLOCK D070 ALUL + ANGLE = 80°</t>
  </si>
  <si>
    <t>991.073S</t>
  </si>
  <si>
    <t>CLEW BLOCK D070 A316 S.STEEL</t>
  </si>
  <si>
    <t>991.093AL</t>
  </si>
  <si>
    <t>CLEW BLOCK D090 ALU</t>
  </si>
  <si>
    <t>991.093S</t>
  </si>
  <si>
    <t>CLEW BLOCK D090 A316 S.STEEL</t>
  </si>
  <si>
    <t>991.124AL</t>
  </si>
  <si>
    <t>CLEW BLOCK D120 ALU</t>
  </si>
  <si>
    <t>991.124S</t>
  </si>
  <si>
    <t>CLEW BLOCK D120 A316 S.STEEL</t>
  </si>
  <si>
    <t>991.154AL</t>
  </si>
  <si>
    <t>CLEW BLOCKS 150</t>
  </si>
  <si>
    <t>991.154S</t>
  </si>
  <si>
    <t>CLEW BLOCK D150 A316 S.STEEL</t>
  </si>
  <si>
    <t>991.184AL</t>
  </si>
  <si>
    <t>CLEW BLOCK D180 ALU</t>
  </si>
  <si>
    <t>991.184S</t>
  </si>
  <si>
    <t>CLEW BLOCK D180 A316 S.STEEL</t>
  </si>
  <si>
    <t>992.602</t>
  </si>
  <si>
    <t>MAIN SYSTEM BLOCK SERIES F D060 PRIMARY + LONG HEAD D06 L19,5 + CAM CLEAT</t>
  </si>
  <si>
    <t>992.603</t>
  </si>
  <si>
    <t>MAIN SYSTEM BLOCK SERIES F D060 PRIMARY + LONG HEAD D06 L19,5 + CAM CLEAT + BLOCK 03301 (NO SHACKLE)</t>
  </si>
  <si>
    <t>993.603</t>
  </si>
  <si>
    <t>MAIN SYSTEM BLOCK SERIES F D060 PRIMARY + LONG HEAD D06 L19,5 + CAM CLEAT + OPF BLOCK 00605 (NO SHAC</t>
  </si>
  <si>
    <t>994.055</t>
  </si>
  <si>
    <t>REEF BLOCK D050</t>
  </si>
  <si>
    <t>994.065</t>
  </si>
  <si>
    <t>REEF BLOCK D060</t>
  </si>
  <si>
    <t>994.075</t>
  </si>
  <si>
    <t>REEF BLOCK D070</t>
  </si>
  <si>
    <t>994.085</t>
  </si>
  <si>
    <t>REEF BLOCK D080</t>
  </si>
  <si>
    <t>994.125</t>
  </si>
  <si>
    <t>REEF BLOCK D120</t>
  </si>
  <si>
    <t>A041</t>
  </si>
  <si>
    <t>BREAKER 40 AMP</t>
  </si>
  <si>
    <t>A051</t>
  </si>
  <si>
    <t>BREAKER 12/24 50 AMP</t>
  </si>
  <si>
    <t>A071</t>
  </si>
  <si>
    <t>BREAKER  70AMP</t>
  </si>
  <si>
    <t>A081</t>
  </si>
  <si>
    <t>BREAKER 80AMP</t>
  </si>
  <si>
    <t>A101</t>
  </si>
  <si>
    <t>BREAKER 100A 48V, 1000W-12V 2000W-24V</t>
  </si>
  <si>
    <t>A121</t>
  </si>
  <si>
    <t>BREAKER 120 AMP</t>
  </si>
  <si>
    <t>A151</t>
  </si>
  <si>
    <t>BREAKER  150A 48V, 1500W-12V 3000W-24V</t>
  </si>
  <si>
    <t>BB4012</t>
  </si>
  <si>
    <t>BARBER BLOCK 40MM</t>
  </si>
  <si>
    <t>BB6014</t>
  </si>
  <si>
    <t>BARBER BLOCK 60MM</t>
  </si>
  <si>
    <t>C001</t>
  </si>
  <si>
    <t>PEDESTAL + BASE + TOOTHED SHEAVES 300X199X1111 - INTERAXIS L933</t>
  </si>
  <si>
    <t>C002</t>
  </si>
  <si>
    <t>COMPLETE DRIVE-BOX FOR PEDESTAL</t>
  </si>
  <si>
    <t>C006DX</t>
  </si>
  <si>
    <t>GEAR BOX FOR CARBON FIBRE PEDESTAL - RIGHT</t>
  </si>
  <si>
    <t>C006SX</t>
  </si>
  <si>
    <t>GEAR BOX FOR CARBON FIBRE PEDESTAL - LEFT</t>
  </si>
  <si>
    <t>CH0608.2</t>
  </si>
  <si>
    <t>HOLDER SIZE 06/08 - 2 SLOT</t>
  </si>
  <si>
    <t>CH0608.3</t>
  </si>
  <si>
    <t>HOLDER SIZE 06/08 - 3 SLOT</t>
  </si>
  <si>
    <t>CUS0065</t>
  </si>
  <si>
    <t>COVER+CAR CONTROL BOX D080</t>
  </si>
  <si>
    <t>CUS0190</t>
  </si>
  <si>
    <t>26X04 TRACK L450 + 691.141 ROUND END</t>
  </si>
  <si>
    <t>D3008</t>
  </si>
  <si>
    <t>DEFLECTOR D8 ALU BLACK</t>
  </si>
  <si>
    <t>D3610</t>
  </si>
  <si>
    <t>DEFLECTOR D10 ALU BLACK</t>
  </si>
  <si>
    <t>D420</t>
  </si>
  <si>
    <t>ORGANIZER D040 2 SHEAVES SINGLE VERSION</t>
  </si>
  <si>
    <t>D420D</t>
  </si>
  <si>
    <t>ORGANIZER D040 2 SHEAVES DOUBLE VERSION</t>
  </si>
  <si>
    <t>D430</t>
  </si>
  <si>
    <t>ORGANIZER D040 3 SHEAVES SINGLE VERSION</t>
  </si>
  <si>
    <t>D430D</t>
  </si>
  <si>
    <t>ORGANIZER D040 3 SHEAVES DOUBLE VERSION</t>
  </si>
  <si>
    <t>D440</t>
  </si>
  <si>
    <t>ORGANIZER D040 4 SHEAVES SINGLE VERSION</t>
  </si>
  <si>
    <t>D440D</t>
  </si>
  <si>
    <t>ORGANIZER D040 4 SHEAVES DOUBLE VERSION</t>
  </si>
  <si>
    <t>D450</t>
  </si>
  <si>
    <t>ORGANIZER D040 5 SHEAVES SINGLE VERSION</t>
  </si>
  <si>
    <t>D450D</t>
  </si>
  <si>
    <t>ORGANIZER D040 5 SHEAVES DOUBLE VERSION</t>
  </si>
  <si>
    <t>D460</t>
  </si>
  <si>
    <t>ORGANIZER D040 6 SHEAVES SINGLE VERSION</t>
  </si>
  <si>
    <t>D460D</t>
  </si>
  <si>
    <t>ORGANIZER D040 6 SHEAVES DOUBLE VERSION</t>
  </si>
  <si>
    <t>D520</t>
  </si>
  <si>
    <t>ORGANIZER D050 2 SHEAVES SINGLE VERSION</t>
  </si>
  <si>
    <t>D520D</t>
  </si>
  <si>
    <t>ORGANIZER D050 2 SHEAVES DOUBLE VERSION</t>
  </si>
  <si>
    <t>D530</t>
  </si>
  <si>
    <t>ORGANIZER D050 3 SHEAVES SINGLE VERSION</t>
  </si>
  <si>
    <t>D530D</t>
  </si>
  <si>
    <t>ORGANIZER D050 3 SHEAVES DOUBLE VERSION</t>
  </si>
  <si>
    <t>D540</t>
  </si>
  <si>
    <t>ORGANIZER D050 4 SHEAVES SINGLE VERSION</t>
  </si>
  <si>
    <t>D540D</t>
  </si>
  <si>
    <t>ORGANIZER D050 4 SHEAVES DOUBLE VERSION</t>
  </si>
  <si>
    <t>D550</t>
  </si>
  <si>
    <t>ORGANIZER D050 5 SHEAVES SINGLE VERSION</t>
  </si>
  <si>
    <t>D550D</t>
  </si>
  <si>
    <t>ORGANIZER D050 5 SHEAVES DOUBLE VERSION</t>
  </si>
  <si>
    <t>D560</t>
  </si>
  <si>
    <t>ORGANIZER D050 6 SHEAVES SINGLE VERSION</t>
  </si>
  <si>
    <t>D560D</t>
  </si>
  <si>
    <t>ORGANIZER D050 6 SHEAVES DOUBLE VERSION</t>
  </si>
  <si>
    <t>D620</t>
  </si>
  <si>
    <t>ORGANIZER D060 2 SHEAVES SINGLE VERSION</t>
  </si>
  <si>
    <t>D620D</t>
  </si>
  <si>
    <t>ORGANIZER D060 2 SHEAVES DOUBLE VERSION</t>
  </si>
  <si>
    <t>D630</t>
  </si>
  <si>
    <t>ORGANIZER D060 3 SHEAVES SINGLE VERSION</t>
  </si>
  <si>
    <t>D630D</t>
  </si>
  <si>
    <t>ORGANIZER D060 3 SHEAVES DOUBLE VERSION</t>
  </si>
  <si>
    <t>D640</t>
  </si>
  <si>
    <t>ORGANIZER D060 4 SHEAVES SINGLE VERSION</t>
  </si>
  <si>
    <t>D640D</t>
  </si>
  <si>
    <t>ORGANIZER D060 4 SHEAVES DOUBLE VERSION</t>
  </si>
  <si>
    <t>D650</t>
  </si>
  <si>
    <t>ORGANIZER D060 5 SHEAVES SINGLE VERSION</t>
  </si>
  <si>
    <t>D650D</t>
  </si>
  <si>
    <t>ORGANIZER D060 5 SHEAVES DOUBLE VERSION</t>
  </si>
  <si>
    <t>D660</t>
  </si>
  <si>
    <t>ORGANIZER D060 6 SHEAVES SINGLE VERSION</t>
  </si>
  <si>
    <t>D660D</t>
  </si>
  <si>
    <t>ORGANIZER D060 6 SHEAVES DOUBLE VERSION</t>
  </si>
  <si>
    <t>D670</t>
  </si>
  <si>
    <t>ORGANIZER D060 7 SHEAVES SINGLE VERSION</t>
  </si>
  <si>
    <t>D680</t>
  </si>
  <si>
    <t>ORGANIZER D060 8 SHEAVES SINGLE VERSION</t>
  </si>
  <si>
    <t>D720</t>
  </si>
  <si>
    <t>ORGANIZER D070 2 SHEAVES SINGLE VERSION</t>
  </si>
  <si>
    <t>D730</t>
  </si>
  <si>
    <t>ORGANIZER D070 3 SHEAVES SINGLE VERSION</t>
  </si>
  <si>
    <t>D740</t>
  </si>
  <si>
    <t>ORGANIZER D070 4 SHEAVES SINGLE VERSION</t>
  </si>
  <si>
    <t>D750</t>
  </si>
  <si>
    <t>ORGANIZER D070 5 SHEAVES SINGLE VERSION</t>
  </si>
  <si>
    <t>D760</t>
  </si>
  <si>
    <t>ORGANIZER D070 6 SHEAVES SINGLE VERSION</t>
  </si>
  <si>
    <t>DBL44</t>
  </si>
  <si>
    <t>DYNABLOCK 44MM</t>
  </si>
  <si>
    <t>DBL56</t>
  </si>
  <si>
    <t>DYNABLOCK 56MM</t>
  </si>
  <si>
    <t>DBS04</t>
  </si>
  <si>
    <t>LOOP FOR DYNABLOCK 44</t>
  </si>
  <si>
    <t>DBS05</t>
  </si>
  <si>
    <t>LOOP FOR DYNABLOCK 56</t>
  </si>
  <si>
    <t>DBS44</t>
  </si>
  <si>
    <t>DYNABLOCK 44MM WITH DYNEEMA LOOP</t>
  </si>
  <si>
    <t>DBS56</t>
  </si>
  <si>
    <t>DYNABLOCK 56MM WITH DYNEEMA LOOP</t>
  </si>
  <si>
    <t>DS06</t>
  </si>
  <si>
    <t>FOLDING DECK SHACKLE DYNEEMA SIZE D06 AL</t>
  </si>
  <si>
    <t>DS08</t>
  </si>
  <si>
    <t>FOLDING DECK SHACKLE DYNEEMA SIZE D08 AL</t>
  </si>
  <si>
    <t>DS10</t>
  </si>
  <si>
    <t>FOLDING DECK SHACKLE DYNEEMA SIZE D10 AL</t>
  </si>
  <si>
    <t>E6/60</t>
  </si>
  <si>
    <t>TACKLE 6:1 - COMPLETE WITH SHEAVES 60 &amp; 50</t>
  </si>
  <si>
    <t>E6/75</t>
  </si>
  <si>
    <t>TACKLE 6:1 - COMPLETE WITH SHEAVES 75 &amp; 60</t>
  </si>
  <si>
    <t>E7/60</t>
  </si>
  <si>
    <t>TACKLE 7:1 - COMPLETE WITH SHEAVES 60 &amp; 50</t>
  </si>
  <si>
    <t>E7/75</t>
  </si>
  <si>
    <t>TACKLE 7:1 - COMPLETE WITH SHEAVES 75 &amp; 60</t>
  </si>
  <si>
    <t>E8/60</t>
  </si>
  <si>
    <t>TACKLE 8:1 - COMPLETE WITH SHEAVES 60 &amp; 50</t>
  </si>
  <si>
    <t>E8/75</t>
  </si>
  <si>
    <t>TACKLE 8:1 - COMPLETE WITH SHEAVES 75 &amp; 60</t>
  </si>
  <si>
    <t>F4/12</t>
  </si>
  <si>
    <t>MAIN SYSTEM "F" SERIES - SHEAVES D060 - POWER 4:1 / 12:1</t>
  </si>
  <si>
    <t>F4/8</t>
  </si>
  <si>
    <t>MAIN SYSTEM "F" SERIES - SHEAVES D060 - POWER 4:1 / 8:1</t>
  </si>
  <si>
    <t>F6</t>
  </si>
  <si>
    <t>MAIN SYSTEM "F" SERIES - SHEAVES D060 - POWER 6:1 / 18:1</t>
  </si>
  <si>
    <t>FB24.120D</t>
  </si>
  <si>
    <t>HEADBOARD DOUBLE FB24 2X L120 + HEADBOARD BRACKET</t>
  </si>
  <si>
    <t>FB24.120J14</t>
  </si>
  <si>
    <t>SLIDER WITH JOINT FB24 L120 + THREADED PIN M14X24</t>
  </si>
  <si>
    <t>FB24.120JA10</t>
  </si>
  <si>
    <t>FB 24 CAR L120 ASYMMETRIC JOINT M10</t>
  </si>
  <si>
    <t>FB24.120JA14</t>
  </si>
  <si>
    <t>FB 24 CAR L120 ASYMMETRIC JOINT M14</t>
  </si>
  <si>
    <t>FB24.121</t>
  </si>
  <si>
    <t>OUTHAUL SLIDER FB24 L120</t>
  </si>
  <si>
    <t>FB24.60D</t>
  </si>
  <si>
    <t>HEADBOARD DOUBLE FB24 2X L060 + HEADBOARD BRACKET</t>
  </si>
  <si>
    <t>FB24.60J10</t>
  </si>
  <si>
    <t>SLIDER WITH JOINT FB24 SERIES SIZE 60 - PERNO M10</t>
  </si>
  <si>
    <t>FB24.60J12</t>
  </si>
  <si>
    <t>SLIDER WITH JOINT FB24 SERIES SIZE 60 - PIN M12</t>
  </si>
  <si>
    <t>FB24.60S</t>
  </si>
  <si>
    <t>SIMPLE SLIDER FB24 L060</t>
  </si>
  <si>
    <t>FB24.90D</t>
  </si>
  <si>
    <t>HEADBOARD SLIDERS FB24 SERIES SIZE 90 VARI</t>
  </si>
  <si>
    <t>FB24.90J12</t>
  </si>
  <si>
    <t>SLIDER WITH JOINT FB24 L090 + THREADED PIN M12X24</t>
  </si>
  <si>
    <t>FB24.90J14</t>
  </si>
  <si>
    <t>FB24 CAR L90 JOINT M14</t>
  </si>
  <si>
    <t>FB24.90S</t>
  </si>
  <si>
    <t>SIMPLE SLIDER FB24 L090</t>
  </si>
  <si>
    <t>FB32.100S</t>
  </si>
  <si>
    <t>SIMPLE SLIDER FB32 L100</t>
  </si>
  <si>
    <t>FB32.11</t>
  </si>
  <si>
    <t>LOADER FB32 TRACK L0300 AL BLACK + SLIDER</t>
  </si>
  <si>
    <t>FB32.12</t>
  </si>
  <si>
    <t>TRACK JOINT FOR FB32 TRACK L051 AL MADE + 2X M8X16 SCREWS</t>
  </si>
  <si>
    <t>FB32.13</t>
  </si>
  <si>
    <t>FULL BATTEN FB32 END FITTING SIMPLE ALU BLACK</t>
  </si>
  <si>
    <t>FB32.16</t>
  </si>
  <si>
    <t>GATE FB32 TRACK L371 AL</t>
  </si>
  <si>
    <t>FB32.160DX</t>
  </si>
  <si>
    <t>HEADBOARD DOUBLE FB32 2X L160 + SOFT-LINK CONNECTION BLACK</t>
  </si>
  <si>
    <t>FB32.160J14</t>
  </si>
  <si>
    <t xml:space="preserve">SLIDER WITH JOINT FB32 SERIES L160 PIN M14 X 28 </t>
  </si>
  <si>
    <t>FB32.160J16</t>
  </si>
  <si>
    <t xml:space="preserve">SLIDER WITH JOINT FB32 SERIES L160 PIN M16 X 28 </t>
  </si>
  <si>
    <t>FB32.160JA14</t>
  </si>
  <si>
    <t>SLIDER WITH JOINT FB32 SERIES L160 PIN M14 X 28 ASIMMETRIC</t>
  </si>
  <si>
    <t>FB32.160S</t>
  </si>
  <si>
    <t>SIMPLE SLIDER FB32 L160</t>
  </si>
  <si>
    <t>FB32.200DX</t>
  </si>
  <si>
    <t>HEADBOARD DOUBLE FB32 2X L200 + SOFT-LINK CONNECTION</t>
  </si>
  <si>
    <t>FB32.311</t>
  </si>
  <si>
    <t>FB32 TRACK FOR DIRECT MOUNTING AL BLACK L3000 + FIX M8 SP.100</t>
  </si>
  <si>
    <t>FB32.321</t>
  </si>
  <si>
    <t>FB32 TRACK FOR SLUG MOUNTING AL BLACK L3000 + FIX M8 SP,100</t>
  </si>
  <si>
    <t>FB32F14</t>
  </si>
  <si>
    <t>SLUG FOR FB32 TRACK D24,0 T05 H21,5 FOR FLAT GROOVE + M8X20 SCREW</t>
  </si>
  <si>
    <t>H020</t>
  </si>
  <si>
    <t>SS HALYARD BLOCK D26</t>
  </si>
  <si>
    <t>H030</t>
  </si>
  <si>
    <t>SS HALYARD BLOCK D 32</t>
  </si>
  <si>
    <t>H040</t>
  </si>
  <si>
    <t>SS HALYARD BLOCK D 39</t>
  </si>
  <si>
    <t>H050</t>
  </si>
  <si>
    <t>SS HALYARD BLOCK D 50</t>
  </si>
  <si>
    <t>H130</t>
  </si>
  <si>
    <t>HIGH LOAD BLOCK D030</t>
  </si>
  <si>
    <t>H140</t>
  </si>
  <si>
    <t>HIGH LOAD BLOCK D 40</t>
  </si>
  <si>
    <t>H150</t>
  </si>
  <si>
    <t>HIGH LOAD BLOCK D 55</t>
  </si>
  <si>
    <t>H160</t>
  </si>
  <si>
    <t>HIGH LOAD BLOCK D70</t>
  </si>
  <si>
    <t>HDR</t>
  </si>
  <si>
    <t>HYDROLUB SLIDING MATERIAL</t>
  </si>
  <si>
    <t>HK12</t>
  </si>
  <si>
    <t>HOOK 12</t>
  </si>
  <si>
    <t>HK16</t>
  </si>
  <si>
    <t>HOOK 16</t>
  </si>
  <si>
    <t>HS.02</t>
  </si>
  <si>
    <t>TRACK JOINT HS22 / HS24 CARBON TRACK D3X37 S.STEEL (PAIR)</t>
  </si>
  <si>
    <t>HS22.01</t>
  </si>
  <si>
    <t>LOADER HS22 L500 FOR CARBON MAST</t>
  </si>
  <si>
    <t>HS22.02</t>
  </si>
  <si>
    <t>HS22.03</t>
  </si>
  <si>
    <t>END FITTING TRACK 22 FOR CARBON MAST</t>
  </si>
  <si>
    <t>HS22.05</t>
  </si>
  <si>
    <t>SIDE PLATE HS22 FOR CARBON MAST</t>
  </si>
  <si>
    <t>HS22.06</t>
  </si>
  <si>
    <t>GATE HS22 L204 FOR CARBON MAST</t>
  </si>
  <si>
    <t>HS22.09</t>
  </si>
  <si>
    <t>FEEDER SLIDERS HS22 SERIES L120</t>
  </si>
  <si>
    <t>HS22.100JAR10</t>
  </si>
  <si>
    <t>SLIDER WITH JOINT HS22 L100 ASIMMETRICO + CF GUIDE + THREADED PIN M10X24</t>
  </si>
  <si>
    <t>HS22.100JAR12</t>
  </si>
  <si>
    <t>SLIDER WITH JOINT HS22 L100 ASIMMETRICO + CF GUIDE + THREADED PIN M12X24</t>
  </si>
  <si>
    <t>HS22.11</t>
  </si>
  <si>
    <t>LOADER HS22 TRACK L0175 AL BLACK + SLIDER</t>
  </si>
  <si>
    <t>HS22.110</t>
  </si>
  <si>
    <t>DOUBLE REEF CAR HS22X11 L110</t>
  </si>
  <si>
    <t>HS22.12</t>
  </si>
  <si>
    <t>TRACK JOINT FOR HS22 TRACK L040 RESIN MADE + 2X M5</t>
  </si>
  <si>
    <t>HS22.13</t>
  </si>
  <si>
    <t>END FITTING HS22X11</t>
  </si>
  <si>
    <t>HS22.15</t>
  </si>
  <si>
    <t>INSTALLATION TOOL HS22 TRACK L1974 AL</t>
  </si>
  <si>
    <t>HS22.16</t>
  </si>
  <si>
    <t>GATE HS22X11 L204</t>
  </si>
  <si>
    <t>HS22.165</t>
  </si>
  <si>
    <t>HS22 HOOK CARRIAGE L165 BLACK</t>
  </si>
  <si>
    <t>HS22.17</t>
  </si>
  <si>
    <t>HS22X11 TRACK L338 WITH INSERT FOR MINI HOOK</t>
  </si>
  <si>
    <t>HS22.185</t>
  </si>
  <si>
    <t>HS22 HEADBOARD SLIDERS MINI BEL L=185 2:1</t>
  </si>
  <si>
    <t>HS22.211</t>
  </si>
  <si>
    <t>HS22 TRACK FOR DIRECT MOUNTING AL BLACK L2000 + FIX M5 SP120</t>
  </si>
  <si>
    <t>HS22.212</t>
  </si>
  <si>
    <t>HS22 TRACK FOR DIRECT MOUNTING AL BLACK L2000 + FIX M5 SP60</t>
  </si>
  <si>
    <t>HS22.221</t>
  </si>
  <si>
    <t>HS22 TRACK FOR SLUG MOUNTING AL BLACK L2000 + FIX M5 SP120</t>
  </si>
  <si>
    <t>HS22.222</t>
  </si>
  <si>
    <t>HS22 TRACK FOR SLUG MOUNTING AL BLACK L2000 + FIX M5 SP60</t>
  </si>
  <si>
    <t>HS22.27</t>
  </si>
  <si>
    <t>HS22 TRACK FOR CARBON L338 W/INSERT</t>
  </si>
  <si>
    <t>HS22.311</t>
  </si>
  <si>
    <t>HS22 TRACK FOR DIRECT MOUNTING AL BLACK L3000 + FIX M5 SP120</t>
  </si>
  <si>
    <t>HS22.312</t>
  </si>
  <si>
    <t>HS22 TRACK FOR DIRECT MOUNTING AL BLACK L3000 + FIX M5 SP60</t>
  </si>
  <si>
    <t>HS22.321</t>
  </si>
  <si>
    <t>HS22 TRACK FOR SLUG MOUNTING AL BLACK L3000 + FIX M5 SP120</t>
  </si>
  <si>
    <t>HS22.322</t>
  </si>
  <si>
    <t>HS22 TRACK FOR SLUG MOUNTING AL BLACK L3000 + FIX M5 SP60</t>
  </si>
  <si>
    <t>HS22.330</t>
  </si>
  <si>
    <t>HS22 BOLT-ROPE CARBON TRACK AL L3000</t>
  </si>
  <si>
    <t>HS22.40D</t>
  </si>
  <si>
    <t>HEADBOARD DOUBLE HS22 2X L040 + RESIN GUIDE + HEADBOARD BRACKET</t>
  </si>
  <si>
    <t>HS22.40DR</t>
  </si>
  <si>
    <t>HEADBOARD DOUBLE HS22 2X L040 + CF GUIDE + HEADBOARD BRACKET</t>
  </si>
  <si>
    <t>HS22.40J10</t>
  </si>
  <si>
    <t>SLIDER WITH JOINT HS22 L040 + RESIN SLIDER + PIN M10X24</t>
  </si>
  <si>
    <t>HS22.40JR10</t>
  </si>
  <si>
    <t>SLIDER WITH JOINT HS22 L040 + CF GUIDE + THREADED PIN M10X24</t>
  </si>
  <si>
    <t>HS22.40S</t>
  </si>
  <si>
    <t>SIMPLE SLIDER HS22 L040 + RESIN GUIDE</t>
  </si>
  <si>
    <t>HS22.40SR</t>
  </si>
  <si>
    <t>SIMPLE SLIDER HS22 L040 + CF GUIDE</t>
  </si>
  <si>
    <t>HS22.44</t>
  </si>
  <si>
    <t>HEADBOARD HS22.44 - 40° T6</t>
  </si>
  <si>
    <t>HS22.46</t>
  </si>
  <si>
    <t>HEADBOARD HS22.46 - 60° T06</t>
  </si>
  <si>
    <t>HS22.49</t>
  </si>
  <si>
    <t>HEADBOARD HS22.49 - 90° T06</t>
  </si>
  <si>
    <t>HS22.50DR</t>
  </si>
  <si>
    <t>HEADBOARD DOUBLE HS22 2X L050 + CF GUIDE + HEADBOARD BRACKET</t>
  </si>
  <si>
    <t>HS22.50JR10</t>
  </si>
  <si>
    <t>SLIDER WITH JOINT HS22 L050 + CF GUIDE + THREADED PIN M10X24</t>
  </si>
  <si>
    <t>HS22.50JR12</t>
  </si>
  <si>
    <t>SLIDER WITH JOINT 50 M12 RACE, TRACK 22</t>
  </si>
  <si>
    <t>HS22.50SR</t>
  </si>
  <si>
    <t>SIMPLE SLIDER HS22 L050 + CF GUIDE</t>
  </si>
  <si>
    <t>HS22.60JR10</t>
  </si>
  <si>
    <t>SLIDER WITH JOINT HS22 L060 + CF GUIDE + THREADED PIN M10X24</t>
  </si>
  <si>
    <t>HS22.60JR12</t>
  </si>
  <si>
    <t>SLIDER WITH JOINT HS22 L060 + CF GUIDE + THREADED PIN M12X24</t>
  </si>
  <si>
    <t>HS22.60SR</t>
  </si>
  <si>
    <t>SIMPLE SLIDER HS22 L060 + CF GUIDE</t>
  </si>
  <si>
    <t>HS22.60TR</t>
  </si>
  <si>
    <t>HEADBOARD TRIPLE HS22 3X L060 + CF GUIDE + HEADBOARD BRACKET</t>
  </si>
  <si>
    <t>HS22.70JAR10</t>
  </si>
  <si>
    <t>SLIDER WITH JOINT HS22 L070 ASIMMETRICO + CF GUIDE + THREADED PIN M10X24</t>
  </si>
  <si>
    <t>HS22.70JAR12</t>
  </si>
  <si>
    <t>SLIDER WITH JOINT HS22 L070 ASIMMETRICO + CF GUIDE + THREADED PIN M12X24</t>
  </si>
  <si>
    <t>HS22.70JR10</t>
  </si>
  <si>
    <t>SLIDER WITH JOINT HS22 L070 + CF GUIDE + THREADED PIN M10X24</t>
  </si>
  <si>
    <t>HS22.70JR12</t>
  </si>
  <si>
    <t>SLIDER WITH JOINT HS22 L070 + CF GUIDE + THREADED PIN M12X24</t>
  </si>
  <si>
    <t>HS22.70SR</t>
  </si>
  <si>
    <t>SIMPLE SLIDER HS22 L070 + CF GUIDE</t>
  </si>
  <si>
    <t>HS22.90JR10</t>
  </si>
  <si>
    <t>SLIDER WITH JOINT HS22 L090 + CF GUIDE + THREADED PIN M10X24</t>
  </si>
  <si>
    <t>HS22.90JR12</t>
  </si>
  <si>
    <t>SLIDER WITH JOINT HS22 SERIES L090 - M12 X 24 VARI</t>
  </si>
  <si>
    <t>HS22F05</t>
  </si>
  <si>
    <t>SLUG FOR HS22 TRACK D18 H04,6 T04,7 FOR FLAT GROOVE + M5X10 SCREW</t>
  </si>
  <si>
    <t>HS22F06</t>
  </si>
  <si>
    <t>SLUG FOR HS22 TRACK D18,0 T05,7 H4,6 FOR FLAT GROO</t>
  </si>
  <si>
    <t>HS22F08</t>
  </si>
  <si>
    <t>SLUG FOR HS22 TRACK D20 H04,6 T07,8 FOR FLAT GROOVE + M5X10 SCREW</t>
  </si>
  <si>
    <t>HS22F10</t>
  </si>
  <si>
    <t>SLUG FOR HS22 TRACK D20 H02 T09,8 FOR FLAT GROOVE + M5X10 SCREW</t>
  </si>
  <si>
    <t>HS22F12</t>
  </si>
  <si>
    <t>SLUG FOR HS22 TRACK D22 H03 T11,8 AL FOR FLAT GROOVE + M5X10 SCREW</t>
  </si>
  <si>
    <t>HS22F14</t>
  </si>
  <si>
    <t>SLUG FOR HS22 TRACK D24 H03 T13,6 FOR FLAT GROOVE + M5X10 SCREW</t>
  </si>
  <si>
    <t>HS22R04</t>
  </si>
  <si>
    <t>SLUG FOR HS22 TRACK D08,7 H02 T03,9 FOR ROUND GROOVE + M5X10 SCREW</t>
  </si>
  <si>
    <t>HS22R05</t>
  </si>
  <si>
    <t>SLUG FOR HS22 TRACK D09,5 H02 T04,7 FOR ROUND GROOVE + M5X10 SCREW</t>
  </si>
  <si>
    <t>HS22R06</t>
  </si>
  <si>
    <t>SLUG FOR HS22 TRACK D09,5 T04,7 H2,0 FOR ROUND GRO</t>
  </si>
  <si>
    <t>HS24.02</t>
  </si>
  <si>
    <t>HS24.03</t>
  </si>
  <si>
    <t>END FITTING 24X20</t>
  </si>
  <si>
    <t>HS24.04</t>
  </si>
  <si>
    <t>LOADER HS24 CARBON TRACK L=200</t>
  </si>
  <si>
    <t>HS24.04BR</t>
  </si>
  <si>
    <t>LOADER HS24 CARBON TRACK L=900 BOLT ROPE</t>
  </si>
  <si>
    <t>HS24.05</t>
  </si>
  <si>
    <t>SIDE PLATE HS24 FOR CARBON TRACK L125 X T22 X SP04 BALCK AL</t>
  </si>
  <si>
    <t>HS24.06</t>
  </si>
  <si>
    <t>HS24 CARBON GATE L=264</t>
  </si>
  <si>
    <t>HS24.07</t>
  </si>
  <si>
    <t>HS24 AL L0340 + 1X HOOK-STOP</t>
  </si>
  <si>
    <t>HS24.11</t>
  </si>
  <si>
    <t>LOADER TRACK 24X16 L=200</t>
  </si>
  <si>
    <t>HS24.110JA10</t>
  </si>
  <si>
    <t>SLIDER WITH JOINT HS24 L110 ASIMMETRICO + THREADED PIN M10X24</t>
  </si>
  <si>
    <t>HS24.110JA12-40</t>
  </si>
  <si>
    <t>SLIDER WITH JOINT HS24 L110 ASIMMETRICO + THREADED PIN M12X40</t>
  </si>
  <si>
    <t>HS24.12</t>
  </si>
  <si>
    <t>TRACK JOINT FOR HS24 TRACK L042 RESIN MADE + 2X M6</t>
  </si>
  <si>
    <t>HS24.13</t>
  </si>
  <si>
    <t>END FITTING TRACK 24</t>
  </si>
  <si>
    <t>HS24.15</t>
  </si>
  <si>
    <t>INSTALLATION TOOL HS24 TRACK L1952 AL</t>
  </si>
  <si>
    <t>HS24.16</t>
  </si>
  <si>
    <t>GATE HS24 TRACK L264 AL BLACK</t>
  </si>
  <si>
    <t>HS24.17</t>
  </si>
  <si>
    <t>HOOK STOP FOR REEF TRACK 24</t>
  </si>
  <si>
    <t>HS24.18</t>
  </si>
  <si>
    <t>AUTO HOOK STOP FOR HEAD TRACK 24</t>
  </si>
  <si>
    <t>HS24.210</t>
  </si>
  <si>
    <t>HS24 - HOOK CARRIAGE</t>
  </si>
  <si>
    <t>HS24.210R</t>
  </si>
  <si>
    <t>HS24.212</t>
  </si>
  <si>
    <t>TRACK HS 24X16 - L=2M SCREWS H=50  BLACK</t>
  </si>
  <si>
    <t>HS24.221</t>
  </si>
  <si>
    <t>TRACK24X16 L=2MT FOR SLUGS, HOLES SPACING 100</t>
  </si>
  <si>
    <t>HS24.222</t>
  </si>
  <si>
    <t>TRACK24X16 L=2MT FOR SLUGS, HOLES SPACING 50</t>
  </si>
  <si>
    <t>HS24.311</t>
  </si>
  <si>
    <t>TRACK 24X16 L=3MT, NO SLUGS, HOLES SPACING 100</t>
  </si>
  <si>
    <t>HS24.312</t>
  </si>
  <si>
    <t>TRACK 24X16 L=3MT, NO SLUGS, HOLES SPACING 50</t>
  </si>
  <si>
    <t>HS24.321</t>
  </si>
  <si>
    <t>TRACK 24X16 L=3MT, FOR SLUGS, HOLE SPACING 100</t>
  </si>
  <si>
    <t>HS24.322</t>
  </si>
  <si>
    <t>TRACK 24X16 L=3MT, FOR  SLUGS, HOLES SPACING 50</t>
  </si>
  <si>
    <t>HS24.350</t>
  </si>
  <si>
    <t>TRACK 24X20 FOR CARBON MAST L=3000</t>
  </si>
  <si>
    <t>HS24.350BR</t>
  </si>
  <si>
    <t>TRACK 24X20 FOR CARBON MAST L=3000 BOLT ROPE</t>
  </si>
  <si>
    <t>HS24.50D</t>
  </si>
  <si>
    <t>HEADBOARD DOUBLE HS24 2X L050 + HEADBOARD BRACKET</t>
  </si>
  <si>
    <t>HS24.50J10</t>
  </si>
  <si>
    <t>SLIDER WITH JOINT HS24 L050 + THREADED PIN M10X24</t>
  </si>
  <si>
    <t>HS24.50S</t>
  </si>
  <si>
    <t>SIMPLE SLIDER HS24 L050</t>
  </si>
  <si>
    <t>HS24.54</t>
  </si>
  <si>
    <t>HEADBOARD HS24.54 - 40° T08</t>
  </si>
  <si>
    <t>HS24.56</t>
  </si>
  <si>
    <t>HEADBOARD HS24.56 - 60° T08</t>
  </si>
  <si>
    <t>HS24.59</t>
  </si>
  <si>
    <t>HEADBOARD HS24.59 - 90° T08</t>
  </si>
  <si>
    <t>HS24.60D</t>
  </si>
  <si>
    <t>HEADBOARD DOUBLE HS24 2X L060 + HEADBOARD BRACKET</t>
  </si>
  <si>
    <t>HS24.60J10</t>
  </si>
  <si>
    <t>SLIDER WITH JOINT HS24 L060 + THREADED PIN M10X24</t>
  </si>
  <si>
    <t>HS24.60J12</t>
  </si>
  <si>
    <t>SLIDER WITH JOINT HS24 L060 + THREADED PIN M12X24</t>
  </si>
  <si>
    <t>HS24.60S</t>
  </si>
  <si>
    <t>SIMPLE SLIDER HS24 L060</t>
  </si>
  <si>
    <t>HS24.60T</t>
  </si>
  <si>
    <t>HEADBOARD TRIPLE HS24 3X L060 + HEADBOARD BRACKET</t>
  </si>
  <si>
    <t>HS24.61</t>
  </si>
  <si>
    <t>HS24 HOOK HEADBOARD</t>
  </si>
  <si>
    <t>HS24.64</t>
  </si>
  <si>
    <t>HEADBOARD HS24.64 - 40° T10</t>
  </si>
  <si>
    <t>HS24.66</t>
  </si>
  <si>
    <t>HEADBOARD HS24.66 - 60° T10</t>
  </si>
  <si>
    <t>HS24.69</t>
  </si>
  <si>
    <t>HEADBOARD HS24.69 - 90° T10</t>
  </si>
  <si>
    <t>HS24.70J12</t>
  </si>
  <si>
    <t>SLIDER WITH JOINT HS24 L070 + THREADED PIN M12X24</t>
  </si>
  <si>
    <t>HS24.70J14</t>
  </si>
  <si>
    <t>SLIDER WITH JOINT HS24 L070 + THREADED PIN M14X24</t>
  </si>
  <si>
    <t>HS24.70Q</t>
  </si>
  <si>
    <t>HEADBOARD QUADRUPLE HS24 4X L070 + HEADBOARD BRACKET</t>
  </si>
  <si>
    <t>HS24.74</t>
  </si>
  <si>
    <t>HEADBOARD HS24.74 - 40° T12</t>
  </si>
  <si>
    <t>HS24.76</t>
  </si>
  <si>
    <t>HEADBOARD HS24.76 - 60° T12</t>
  </si>
  <si>
    <t>HS24.79</t>
  </si>
  <si>
    <t>HEADBOARD HS24.79 - 90° T12</t>
  </si>
  <si>
    <t>HS24.80K</t>
  </si>
  <si>
    <t>HS 24 SIMPLE CAR 80 MM GH K140</t>
  </si>
  <si>
    <t>HS24.90DX</t>
  </si>
  <si>
    <t>HEADBOARD DOUBLE HS24 2X L090 + SOFT-LINK CONNECTION BLACK</t>
  </si>
  <si>
    <t>HS24.90DY</t>
  </si>
  <si>
    <t>HEADBOARD DOUBLE HS24 2X L090 + RING CONNECTION</t>
  </si>
  <si>
    <t>HS24.90J14</t>
  </si>
  <si>
    <t>SLIDER WITH JOINT HS24 L090 + THREADED PIN M14X38</t>
  </si>
  <si>
    <t>HS24.90S</t>
  </si>
  <si>
    <t>SIMPLE SLIDER HS24 L090</t>
  </si>
  <si>
    <t>HS24F05</t>
  </si>
  <si>
    <t>SLUG FOR HS24 TRACK D19 H04,6 T04,8 FOR FLAT GROOVE + M6X12 SCREW</t>
  </si>
  <si>
    <t>HS24F06</t>
  </si>
  <si>
    <t>SLUG FOR HS24 TRACK D19 H05,7 T05,8 FOR FLAT GROOVE + M6X12 SCREW</t>
  </si>
  <si>
    <t>HS24F08</t>
  </si>
  <si>
    <t>SLUG FOR HS24 TRACK D19 H06,7 T07,8 FOR FLAT GROOVE + M6X12 SCREW</t>
  </si>
  <si>
    <t>HS24F10</t>
  </si>
  <si>
    <t>SLUG FOR HS24 TRACK D22 H06,7 T09,6 FOR FLAT GROOVE + M6X14 SCREW</t>
  </si>
  <si>
    <t>HS24F12</t>
  </si>
  <si>
    <t>SLUG FOR HS24 TRACK D22 H03 T11,6 FOR FLAT GROOVE + M6X14 SCREW</t>
  </si>
  <si>
    <t>HS24F14</t>
  </si>
  <si>
    <t>SLUG FOR HS24 TRACK D24 H03 T13,6 FOR FLAT GROOVE + M6X14 SCREW</t>
  </si>
  <si>
    <t>HS24R04</t>
  </si>
  <si>
    <t>SLUG FOR HS24 TRACK D10 H02,5 T03,7 FOR ROUND GROOVE + M6X12 SCREW</t>
  </si>
  <si>
    <t>HS24R06</t>
  </si>
  <si>
    <t>SLUG FOR HS24 TRACK D11,6 H02,5 T05,7 FOR ROUND GROOVE + M6X12 SCREW</t>
  </si>
  <si>
    <t>HS30.01</t>
  </si>
  <si>
    <t>LOADER FULL BATTEN SYSTEM HS30 CARBONIO L=990 VARI</t>
  </si>
  <si>
    <t>HS30.02</t>
  </si>
  <si>
    <t xml:space="preserve">TRACK JOINT FOR HS24 BOLT-ROPE CARBON TRACK D4X38 </t>
  </si>
  <si>
    <t>HS30.03</t>
  </si>
  <si>
    <t>END FITTING CARBON TRACK 30</t>
  </si>
  <si>
    <t>HS30.05</t>
  </si>
  <si>
    <t>SIDE PLATE HS30 CARBON TRACK L174 X T22 X SP05 BLACK AL</t>
  </si>
  <si>
    <t>HS30.11</t>
  </si>
  <si>
    <t>LOADER  TRACK 30X13 L=200MM</t>
  </si>
  <si>
    <t>HS30.110J14</t>
  </si>
  <si>
    <t>SLIDER WITH JOINT HS30 L110 + THREADED PIN M14X28</t>
  </si>
  <si>
    <t>HS30.116</t>
  </si>
  <si>
    <t>HS30 SLIDER OUTHAUL L116  BLACK</t>
  </si>
  <si>
    <t>HS30.12</t>
  </si>
  <si>
    <t>TRACK JOINT FOR HS30 TRACK L044 AL MADE - NO SCREW</t>
  </si>
  <si>
    <t>HS30.120JA14</t>
  </si>
  <si>
    <t>SLIDER WITH JOINT HS30 L120 ASIMMETRICO + THREADED PIN M14X38 BLACK</t>
  </si>
  <si>
    <t>HS30.13</t>
  </si>
  <si>
    <t>END FITTING TRACK 30</t>
  </si>
  <si>
    <t>HS30.130J16</t>
  </si>
  <si>
    <t>HS30 SLIDER WITH JOINT  L130 PIN M16 X 30 BLACK</t>
  </si>
  <si>
    <t>HS30.16</t>
  </si>
  <si>
    <t>GATE L=265 TRACK 30X13</t>
  </si>
  <si>
    <t>HS30.313</t>
  </si>
  <si>
    <t>HS30 TRACK FOR DIRECT MOUNTING AL BLACK L3000 + FI</t>
  </si>
  <si>
    <t>HS30.330</t>
  </si>
  <si>
    <t>TRACK 30X13 L=3MT FOR GLUING</t>
  </si>
  <si>
    <t>HS30.50S</t>
  </si>
  <si>
    <t>SIMPLE SLIDER HS30 L050 AL BLACK</t>
  </si>
  <si>
    <t>HS30.70Q</t>
  </si>
  <si>
    <t>HEADBOARD QUADRUPLE HS30 4X L070 + HEADBOARD BRACKET</t>
  </si>
  <si>
    <t>HS30.70S</t>
  </si>
  <si>
    <t>SIMPLE SLIDER HS30 L070</t>
  </si>
  <si>
    <t>HS30.74</t>
  </si>
  <si>
    <t>HEADBOARD HS30.74 - 40° T15</t>
  </si>
  <si>
    <t>HS30.76</t>
  </si>
  <si>
    <t>HEADBOARD HS30.76 - 60° T15</t>
  </si>
  <si>
    <t>HS30.79</t>
  </si>
  <si>
    <t>HEADBOARD HS30.79 - 90° T15</t>
  </si>
  <si>
    <t>HS30.90DX</t>
  </si>
  <si>
    <t>HEADBOARD DOUBLE HS30 2X L090 + SOFT-LINK CONNECTION BLACK</t>
  </si>
  <si>
    <t>HS30.90DY</t>
  </si>
  <si>
    <t>HEADBOARD DOUBLE HS30 2X L090 + RING CONNECTION</t>
  </si>
  <si>
    <t>HS30.90J12</t>
  </si>
  <si>
    <t>SLIDER WITH JOINT 90 M12, TRACK 30</t>
  </si>
  <si>
    <t>HS30.90J14</t>
  </si>
  <si>
    <t>SLIDER WITH JOINT HS30 L090 + PERNO FIL M14X38 BLACK</t>
  </si>
  <si>
    <t>HS30.90Q</t>
  </si>
  <si>
    <t>QUADRUPLE 90 HEADBOARD CAR, TRACK 30</t>
  </si>
  <si>
    <t>JB06</t>
  </si>
  <si>
    <t>SELF-TACKING JIB BOARD R110 6X18</t>
  </si>
  <si>
    <t>JB08</t>
  </si>
  <si>
    <t>SELF -TACKING JIB BOARD R150  7X 20</t>
  </si>
  <si>
    <t>JB10</t>
  </si>
  <si>
    <t>SELF-TACKING JIB BOARD R210 7X24</t>
  </si>
  <si>
    <t>JB12</t>
  </si>
  <si>
    <t>SELF-TACKING JIB BOARD R270 8X40</t>
  </si>
  <si>
    <t>JB14</t>
  </si>
  <si>
    <t>SELF-TACKING JIB BOARD R385 12X50</t>
  </si>
  <si>
    <t>KIT WINCH</t>
  </si>
  <si>
    <t>KIT WINCH W (4 PAWLS &amp; SPRINGS, 1 CIRCLIP)</t>
  </si>
  <si>
    <t>LD1000-12V</t>
  </si>
  <si>
    <t>POWERED LINE DRIVER SIZE 1000 + MOTOR 1000W 12V</t>
  </si>
  <si>
    <t>LD1000-24V</t>
  </si>
  <si>
    <t>POWERED LINE DRIVER SIZE 1000 + MOTOR 1000W 24V</t>
  </si>
  <si>
    <t>LD1000-48V</t>
  </si>
  <si>
    <t>POWERED LINE DRIVER SIZE 1000 + MOTOR 1000W 48V</t>
  </si>
  <si>
    <t>LD1500/12</t>
  </si>
  <si>
    <t>POWERED LINE DRIVER 1500W/12V</t>
  </si>
  <si>
    <t>LD1500/24</t>
  </si>
  <si>
    <t>POWERED LINE DRIVER SIZE 1500 + MOTOR 1500W 24V</t>
  </si>
  <si>
    <t>LD1500/48</t>
  </si>
  <si>
    <t>POWERED LINE DRIVER SIZE 1500 + MOTOR 1500W 48V</t>
  </si>
  <si>
    <t>LD1500HD</t>
  </si>
  <si>
    <t>HYDRAULIC LINE DRIVER 1500W</t>
  </si>
  <si>
    <t>LD700/12</t>
  </si>
  <si>
    <t>POWERED LINE DRIVER SIZE 700 + MOTOR 700W 12V</t>
  </si>
  <si>
    <t>LD700/24</t>
  </si>
  <si>
    <t>POWERED LINE DRIVER SIZE 700 + MOTOR 700W 24V</t>
  </si>
  <si>
    <t>LD700/48</t>
  </si>
  <si>
    <t>POWERED LINE DRIVER SIZE 700 + MOTOR 700W 48V</t>
  </si>
  <si>
    <t>LD700HD</t>
  </si>
  <si>
    <t>HYDRAULIC LINE DRIVER SIZE 700 + MOTOR 8 CC</t>
  </si>
  <si>
    <t>LL046</t>
  </si>
  <si>
    <t>SNATCH LOOPER D46 WITHOUT DYNEEMA SNAP LOOP</t>
  </si>
  <si>
    <t>LL054</t>
  </si>
  <si>
    <t>SNATCH LOOPER D54 WITHOUT DYNEEMA SNAP LOOP</t>
  </si>
  <si>
    <t>LL1060</t>
  </si>
  <si>
    <t>LOOPER BLOCK D060 SINGLE - WITHOUT SNAP-LOOP</t>
  </si>
  <si>
    <t>LL1061</t>
  </si>
  <si>
    <t>LOOPER BLOCK D060 SINGLE WITH BECKET - WITHOUT SNAP-LOOP</t>
  </si>
  <si>
    <t>LL1062</t>
  </si>
  <si>
    <t>LOOPER BLOCK D060 DOUBLE - WITHOUT SNAP-LOOP</t>
  </si>
  <si>
    <t>LL1063</t>
  </si>
  <si>
    <t>LOOPER BLOCK D060 DOUBLE WITH BECKET - WITHOUT SNAP-LOOP</t>
  </si>
  <si>
    <t>LL1070</t>
  </si>
  <si>
    <t>LOOPER BLOCK D070 SINGLE - WITHOUT SNAP-LOOP</t>
  </si>
  <si>
    <t>LL1071</t>
  </si>
  <si>
    <t>LOOPER BLOCK D070 SINGLE WITH BECKET - WITHOUT SNAP-LOOP</t>
  </si>
  <si>
    <t>LL1072</t>
  </si>
  <si>
    <t>LOOPER BLOCK D070 DOUBLE - WITHOUT SNAP-LOOP</t>
  </si>
  <si>
    <t>LL1073</t>
  </si>
  <si>
    <t>LOOPER BLOCK D070 DOUBLE WITH BECKET - WITHOUT SNAP-LOOP</t>
  </si>
  <si>
    <t>LL1080</t>
  </si>
  <si>
    <t>LOOPER BLOCK D080 SINGLE - WITHOUT SNAP-LOOP</t>
  </si>
  <si>
    <t>LL1081</t>
  </si>
  <si>
    <t>LOOPER BLOCK D080 SINGLE WITH BECKET - WITHOUT SNAP-LOOP</t>
  </si>
  <si>
    <t>LL1082</t>
  </si>
  <si>
    <t>LOOPER BLOCK D080 DOUBLE - WITHOUT SNAP-LOOP</t>
  </si>
  <si>
    <t>LL1083</t>
  </si>
  <si>
    <t>LOOPER BLOCK D080 DOUBLE WITH BECKET - WITHOUT SNAP-LOOP</t>
  </si>
  <si>
    <t>LL1100</t>
  </si>
  <si>
    <t>LOOPER BLOCK D100 SINGLE - WITHOUT SNAP-LOOP</t>
  </si>
  <si>
    <t>LL1101</t>
  </si>
  <si>
    <t>LOOPER BLOCK D100 SINGLE WITH BECKET - WITHOUT SNAP-LOOP</t>
  </si>
  <si>
    <t>LL1120</t>
  </si>
  <si>
    <t>LOOPER BLOCK D120 SINGLE - WITHOUT SNAP-LOOP</t>
  </si>
  <si>
    <t>LL1121</t>
  </si>
  <si>
    <t>LOOPER BLOCK D120 SINGLE WITH BECKET - WITHOUT SNAP-LOOP</t>
  </si>
  <si>
    <t>LL1140</t>
  </si>
  <si>
    <t>LOOPER BLOCK D140 SINGLE - WITHOUT SNAP-LOOP</t>
  </si>
  <si>
    <t>LL1141</t>
  </si>
  <si>
    <t>LOOPER BLOCK D140 SINGLE WITH BECKET - WITHOUT SNAP-LOOP</t>
  </si>
  <si>
    <t>LS046</t>
  </si>
  <si>
    <t>SNATCH LOOPER D46 WITH DYNEEMA SNAP LOOP</t>
  </si>
  <si>
    <t>LS054</t>
  </si>
  <si>
    <t>SNATCH LOOPER D54 WITH DYNEEMA SNAP LOOP</t>
  </si>
  <si>
    <t>LS1060</t>
  </si>
  <si>
    <t>LOOPER BLOCK D060 SINGLE + WITH SNAP-LOOP NO COVER</t>
  </si>
  <si>
    <t>LS1061</t>
  </si>
  <si>
    <t>LOOPER BLOCK D060 SINGLE WITH BECKET + WITH SNAP-LOOP NO COVER</t>
  </si>
  <si>
    <t>LS1062</t>
  </si>
  <si>
    <t>LOOPER BLOCK D060 DOUBLE + WITH SNAP-LOOP NO COVER</t>
  </si>
  <si>
    <t>LS1063</t>
  </si>
  <si>
    <t>LOOPER BLOCK D060 DOUBLE WITH BECKET + WITH SNAP-LOOP NO COVER</t>
  </si>
  <si>
    <t>LS1070</t>
  </si>
  <si>
    <t>LOOPER BLOCK D070 SINGLE + WITH SNAP-LOOP NO COVER</t>
  </si>
  <si>
    <t>LS1071</t>
  </si>
  <si>
    <t>LOOPER BLOCK D070 SINGLE WITH BECKET + WITH SNAP-LOOP NO COVER</t>
  </si>
  <si>
    <t>LS1072</t>
  </si>
  <si>
    <t>LOOPER BLOCK D070 DOUBLE + WITH SNAP-LOOP NO COVER</t>
  </si>
  <si>
    <t>LS1073</t>
  </si>
  <si>
    <t>LOOPER BLOCK D070 DOUBLE WITH BECKET + WITH SNAP-LOOP NO COVER</t>
  </si>
  <si>
    <t>LS1080</t>
  </si>
  <si>
    <t>LOOPER BLOCK D080 SINGLE + WITH SNAP-LOOP NO COVER</t>
  </si>
  <si>
    <t>LS1081</t>
  </si>
  <si>
    <t>LOOPER BLOCK D080 SINGLE WITH BECKET + WITH SNAP-LOOP NO COVER</t>
  </si>
  <si>
    <t>LS1082</t>
  </si>
  <si>
    <t>LOOPER BLOCK D080 DOUBLE + WITH SNAP-LOOP NO COVER</t>
  </si>
  <si>
    <t>LS1083</t>
  </si>
  <si>
    <t>LOOPER BLOCK D080 DOUBLE WITH BECKET + WITH SNAP-LOOP NO COVER</t>
  </si>
  <si>
    <t>LS1100</t>
  </si>
  <si>
    <t>LOOPER BLOCK D100 SINGLE + WITH SNAP-LOOP NO COVER</t>
  </si>
  <si>
    <t>LS1101</t>
  </si>
  <si>
    <t>LOOPER BLOCK D100 SINGLE WITH BECKET + WITH SNAP-LOOP NO COVER</t>
  </si>
  <si>
    <t>LS1120</t>
  </si>
  <si>
    <t>LOOPER BLOCK D120 SINGLE + WITH SNAP-LOOP WITH COVER</t>
  </si>
  <si>
    <t>LS1121</t>
  </si>
  <si>
    <t>LOOPER BLOCK D120 SINGLE WITH BECKET + WITH SNAP-LOOP WITH COVER</t>
  </si>
  <si>
    <t>LS1140</t>
  </si>
  <si>
    <t>LOOPER BLOCK D140 SINGLE + WITH SNAP-LOOP WITH COVER</t>
  </si>
  <si>
    <t>LS1141</t>
  </si>
  <si>
    <t>LOOPER BLOCK D140 SINGLE WITH BECKET + WITH SNAP-LOOP WITH COVER</t>
  </si>
  <si>
    <t>LS2060</t>
  </si>
  <si>
    <t>DYNEEMA LOOP 4MM FOR LOOPER 60</t>
  </si>
  <si>
    <t>LS2061</t>
  </si>
  <si>
    <t>SNAP LOOP WITH COVER D05 MM AND DOG BONE</t>
  </si>
  <si>
    <t>LS2062</t>
  </si>
  <si>
    <t>DOG-BONE 060 - D06,5 L30 ALU</t>
  </si>
  <si>
    <t>LS2065</t>
  </si>
  <si>
    <t>DYNEEMA LOOP WITHOUT COVER D04 (SECTORING RS43.08)</t>
  </si>
  <si>
    <t>LS2070</t>
  </si>
  <si>
    <t>DYNEEMA LOOP WITHOUT COVER D05</t>
  </si>
  <si>
    <t>LS2071</t>
  </si>
  <si>
    <t>SNAP LOOP WITH COVER D06MM AND DOG BONE</t>
  </si>
  <si>
    <t>LS2072</t>
  </si>
  <si>
    <t>DOG-BONE 070 - D08 L37 ALU</t>
  </si>
  <si>
    <t>LS2073</t>
  </si>
  <si>
    <t>SNAP LOOP WITH COVER D06 FOR HK12</t>
  </si>
  <si>
    <t>LS2075</t>
  </si>
  <si>
    <t>DYNEEMA LOOP WITHOUT COVER D05 (SECTORING RS53.10)</t>
  </si>
  <si>
    <t>LS2080</t>
  </si>
  <si>
    <t>DYNEEMA LOOP WITHOUT COVER D06</t>
  </si>
  <si>
    <t>LS2081</t>
  </si>
  <si>
    <t>SNAP LOOP WITH COVER D08 AND DOG BONE</t>
  </si>
  <si>
    <t>LS2082</t>
  </si>
  <si>
    <t>DOG-BONE 080 - D10 L46 ALU</t>
  </si>
  <si>
    <t>LS2083</t>
  </si>
  <si>
    <t>SNAP LOOPS WITH COVER D8MM FOR HK 16</t>
  </si>
  <si>
    <t>LS2084</t>
  </si>
  <si>
    <t>SNAP LOOPS WITH COVER D8MM FOR LS046</t>
  </si>
  <si>
    <t>LS2085</t>
  </si>
  <si>
    <t>DYNEEMA LOOP WITHOUT COVER D06 (SECTORING RS63.12)</t>
  </si>
  <si>
    <t>LS2085/99</t>
  </si>
  <si>
    <t>DYNEEMA LOOP WITHOUT COVER D06 (SECTORING RS76.12)</t>
  </si>
  <si>
    <t>LS2100</t>
  </si>
  <si>
    <t>DYNEEMA LOOP WITHOUT COVER D08</t>
  </si>
  <si>
    <t>LS2101</t>
  </si>
  <si>
    <t>SNAP LOOP WITH COVER D10MM AND DOG BONE</t>
  </si>
  <si>
    <t>LS2102</t>
  </si>
  <si>
    <t>DOG-BONE 100 - D11,5 L55 ALU</t>
  </si>
  <si>
    <t>LS2104</t>
  </si>
  <si>
    <t>SNAP LOOPS WITH COVER D10MM FOR LS054</t>
  </si>
  <si>
    <t>LS2105</t>
  </si>
  <si>
    <t>DYNEEMA LOOP WITHOUT COVER D08 (SECTORING RS76.14)</t>
  </si>
  <si>
    <t>LS2105/99</t>
  </si>
  <si>
    <t>DYNEEMA LOOP WITHOUT COVER D08 (SECTORING RS88.14)</t>
  </si>
  <si>
    <t>LS2121</t>
  </si>
  <si>
    <t>DYNEEMA LOOP D10 (LLOOPER 120)</t>
  </si>
  <si>
    <t>LS2122</t>
  </si>
  <si>
    <t>DOG-BONE 120 - D13,5 L67,5 ALU</t>
  </si>
  <si>
    <t>LS2141</t>
  </si>
  <si>
    <t>DYNEEMA SNAP LOOP WITH COVER D10 L500</t>
  </si>
  <si>
    <t>LS2142</t>
  </si>
  <si>
    <t>DOG-BONE 140 - D16 L78,5 ALU</t>
  </si>
  <si>
    <t>LS2145/99</t>
  </si>
  <si>
    <t>DYNEEMA LOOP WITHOUT COVER D10 (SECTORING RS140.16)</t>
  </si>
  <si>
    <t>LW1070</t>
  </si>
  <si>
    <t>LWL1090</t>
  </si>
  <si>
    <t>LOOPER BLOCK D090 SINGLE WIDE - WITHOUT SNAP-LOOP</t>
  </si>
  <si>
    <t>MZ2150PAC-12</t>
  </si>
  <si>
    <t>CONTROL BOX 700-1000-1500W 12V</t>
  </si>
  <si>
    <t>MZ2150PAD-24</t>
  </si>
  <si>
    <t>CONTROL BOX  700-1000-1500-2000W 24V</t>
  </si>
  <si>
    <t>MZ2150PAE-48</t>
  </si>
  <si>
    <t>P10.20</t>
  </si>
  <si>
    <t>PUSH-PIN D10 L20</t>
  </si>
  <si>
    <t>P14.25</t>
  </si>
  <si>
    <t>PUSH-PIN D14 L25</t>
  </si>
  <si>
    <t>P14.35</t>
  </si>
  <si>
    <t>PUSH-PIN D14 L35</t>
  </si>
  <si>
    <t>P14.42</t>
  </si>
  <si>
    <t>PUSH-PIN D14 L42</t>
  </si>
  <si>
    <t>R00801J2</t>
  </si>
  <si>
    <t>OPF BLOCK D 80 - ROLLER - STANDUP 190</t>
  </si>
  <si>
    <t>R01224</t>
  </si>
  <si>
    <t>OPF BLOCK 120 ROLLER -ON PAD-EYE FOR CAR</t>
  </si>
  <si>
    <t>R07.05</t>
  </si>
  <si>
    <t>RING D07 X 05 ALU</t>
  </si>
  <si>
    <t>R10.07</t>
  </si>
  <si>
    <t>RING D10 X 07 ALU</t>
  </si>
  <si>
    <t>R12.25</t>
  </si>
  <si>
    <t>DECK RING 12 X 25 ALU</t>
  </si>
  <si>
    <t>R14.10</t>
  </si>
  <si>
    <t>RING D14 X 10 ALU</t>
  </si>
  <si>
    <t>R14.14</t>
  </si>
  <si>
    <t>DECK RING D14MM</t>
  </si>
  <si>
    <t>R14.14S</t>
  </si>
  <si>
    <t>DECK RING D14 S.S.</t>
  </si>
  <si>
    <t>R18.36</t>
  </si>
  <si>
    <t>DECK RING 18 X 36 ALU</t>
  </si>
  <si>
    <t>R2.14</t>
  </si>
  <si>
    <t>MULTI RING D14 X 2 ALU BLACK</t>
  </si>
  <si>
    <t>R2.14D</t>
  </si>
  <si>
    <t xml:space="preserve">MULTI RING DOUBLE D14 X 2 ALU BLACK </t>
  </si>
  <si>
    <t>R20.14</t>
  </si>
  <si>
    <t>RING D20 X 14 ALU</t>
  </si>
  <si>
    <t>R20.20</t>
  </si>
  <si>
    <t>DECK RING D20MM</t>
  </si>
  <si>
    <t>R20.20S</t>
  </si>
  <si>
    <t>R22.44</t>
  </si>
  <si>
    <t>SOLID RING D22 X 4 T14 ALU</t>
  </si>
  <si>
    <t>R28.20</t>
  </si>
  <si>
    <t>RING D28 X 20 ALU</t>
  </si>
  <si>
    <t>R3.14</t>
  </si>
  <si>
    <t>MULTI RING D14 X 3 ALU BLACK</t>
  </si>
  <si>
    <t>R3.14D</t>
  </si>
  <si>
    <t xml:space="preserve">MULTI RING DOUBLE D14 X 3 ALU BLACK </t>
  </si>
  <si>
    <t>R30.56</t>
  </si>
  <si>
    <t>SOLID RING D30 X 56 T16 ALU</t>
  </si>
  <si>
    <t>R34.64</t>
  </si>
  <si>
    <t>SOLID RING D34 X 64 T18 ALU</t>
  </si>
  <si>
    <t>R38.28</t>
  </si>
  <si>
    <t>RING D38 X 28 ALU</t>
  </si>
  <si>
    <t>R4.14</t>
  </si>
  <si>
    <t>MULTI RING D14 X 4 ALU BLACK</t>
  </si>
  <si>
    <t>R4.14D</t>
  </si>
  <si>
    <t xml:space="preserve">MULTI RING DOUBLE D14 X 4 ALU BLACK </t>
  </si>
  <si>
    <t>R40.76</t>
  </si>
  <si>
    <t>SOLID RING D40 X 76 T22 ALU</t>
  </si>
  <si>
    <t>R5.14</t>
  </si>
  <si>
    <t>MULTI RING D14 X 5 ALU BLACK</t>
  </si>
  <si>
    <t>R5.14D</t>
  </si>
  <si>
    <t xml:space="preserve">MULTI RING DOUBLE D14 X 5 ALU BLACK </t>
  </si>
  <si>
    <t>R50.120</t>
  </si>
  <si>
    <t>SOLID RING D50 X 120 T32 ALU</t>
  </si>
  <si>
    <t>R50.94</t>
  </si>
  <si>
    <t>SOLID RING D50 X 94 T25 ALU</t>
  </si>
  <si>
    <t>R52.44</t>
  </si>
  <si>
    <t>RING D55 X 44 ALU</t>
  </si>
  <si>
    <t>R6.14</t>
  </si>
  <si>
    <t>MULTI RING D14 X 6 ALU BLACK</t>
  </si>
  <si>
    <t>R6.14D</t>
  </si>
  <si>
    <t xml:space="preserve">MULTI RING DOUBLE D14 X 6 ALU BLACK </t>
  </si>
  <si>
    <t>R7.14</t>
  </si>
  <si>
    <t>MULTI RING D14 X 7 ALU BLACK</t>
  </si>
  <si>
    <t>R7.14D</t>
  </si>
  <si>
    <t xml:space="preserve">MULTI RING DOUBLE D14 X 7 ALU BLACK </t>
  </si>
  <si>
    <t>R8.14</t>
  </si>
  <si>
    <t>MULTI RING D14 X 8 ALU BLACK</t>
  </si>
  <si>
    <t>R8.14D</t>
  </si>
  <si>
    <t xml:space="preserve">MULTI RING DOUBLE D14 X 8 ALU BLACK </t>
  </si>
  <si>
    <t>RC230B</t>
  </si>
  <si>
    <t xml:space="preserve">ROLLER CLEAT SIZE 230 </t>
  </si>
  <si>
    <t>RC230SI</t>
  </si>
  <si>
    <t>ROLLER CLEAT SIZE 230 SILVER</t>
  </si>
  <si>
    <t>RC290B</t>
  </si>
  <si>
    <t xml:space="preserve">ROLLER CLEAT SIZE 290  </t>
  </si>
  <si>
    <t>RC290SI</t>
  </si>
  <si>
    <t>ROLLER CLEAT SIZE 290 SILVER</t>
  </si>
  <si>
    <t>RC350B</t>
  </si>
  <si>
    <t xml:space="preserve">ROLLER CLEAT SIZE 350 </t>
  </si>
  <si>
    <t>RC350SI</t>
  </si>
  <si>
    <t xml:space="preserve">ROLLER CLEAT SIZE 350 SILVER  </t>
  </si>
  <si>
    <t>RC420B</t>
  </si>
  <si>
    <t xml:space="preserve">ROLLER CLEAT SIZE 420 </t>
  </si>
  <si>
    <t>RC420SI</t>
  </si>
  <si>
    <t>ROLLER CLEAT SIZE 420 SILVER</t>
  </si>
  <si>
    <t>RF14.30</t>
  </si>
  <si>
    <t>MAST FAIRLEAD D14 X 30 ALU</t>
  </si>
  <si>
    <t>RF16.35</t>
  </si>
  <si>
    <t>MAST FAIRLEAD D16 X 35 ALU</t>
  </si>
  <si>
    <t>RF18.40</t>
  </si>
  <si>
    <t>MAST FAIRLEAD D18 X 40 ALU</t>
  </si>
  <si>
    <t>RL3.0</t>
  </si>
  <si>
    <t>RING 07.05+LOOP 3MM</t>
  </si>
  <si>
    <t>RL4.0</t>
  </si>
  <si>
    <t>RING 10.07+LOOP 4MM</t>
  </si>
  <si>
    <t>RL4.5</t>
  </si>
  <si>
    <t>RING 10.07+LOOP 4,5MM</t>
  </si>
  <si>
    <t>RL5.0</t>
  </si>
  <si>
    <t>RING 14.10+LOOP 5MM</t>
  </si>
  <si>
    <t>RL6.0</t>
  </si>
  <si>
    <t>RING 14.10+LOOP 6MM</t>
  </si>
  <si>
    <t>RL6.0/500</t>
  </si>
  <si>
    <t>RING 14.10+LOOP 6MM L=500 MM</t>
  </si>
  <si>
    <t>RL6.1</t>
  </si>
  <si>
    <t>RING 20.14+LOOP 6MM</t>
  </si>
  <si>
    <t>RLL1080</t>
  </si>
  <si>
    <t>LOOPER BLOCK D080 SINGLE + ROLLER BEARING SHEAVE - WITHOUT SNAP-LOOP</t>
  </si>
  <si>
    <t>RLS1070</t>
  </si>
  <si>
    <t>LOOPER BLOCK D070 SINGLE + ROLLER BEARING SHEAVE + WITH SNAP-LOOP NO COVER</t>
  </si>
  <si>
    <t>RLS1080</t>
  </si>
  <si>
    <t>LOOPER BLOCK D080 SINGLE + ROLLER BEARING SHEAVE + WITH SNAP-LOOP NO COVER</t>
  </si>
  <si>
    <t>RLS1100</t>
  </si>
  <si>
    <t>LOOPER BLOCK D100 SINGLE + ROLLER BEARING SHEAVE + WITH SNAP-LOOP NO COVER</t>
  </si>
  <si>
    <t>RR43.08</t>
  </si>
  <si>
    <t>RING SECTORRING D43.08 WITHOUT SNAP-LOOP</t>
  </si>
  <si>
    <t>RR53.10</t>
  </si>
  <si>
    <t>RING SECTORRING D53.10 WITHOUT SNAP-LOOP</t>
  </si>
  <si>
    <t>RR63.12</t>
  </si>
  <si>
    <t>RING SECTORRING D63.12 WITHOUT SNAP-LOOP</t>
  </si>
  <si>
    <t>RR76.12</t>
  </si>
  <si>
    <t>SECTORING D76.12 WITHOUT SNAP-LOOP</t>
  </si>
  <si>
    <t>RR76.14</t>
  </si>
  <si>
    <t>RING SECTORRING D76.14 WITHOUT SNAP-LOOP</t>
  </si>
  <si>
    <t>RS140.16</t>
  </si>
  <si>
    <t>RING SECTORRING D140.16 WITH LOOP</t>
  </si>
  <si>
    <t>RS43.08</t>
  </si>
  <si>
    <t>RING SECTORRING D43.08 WITH LOOP</t>
  </si>
  <si>
    <t>RS53.10</t>
  </si>
  <si>
    <t>RING SECTORRING D53.10 WITH LOOP</t>
  </si>
  <si>
    <t>RS63.12</t>
  </si>
  <si>
    <t>RING SECTORRING D63.12 WITH LOOP</t>
  </si>
  <si>
    <t>RS76.12</t>
  </si>
  <si>
    <t>SECTORING D76.12 WITH SNAP-LOOP</t>
  </si>
  <si>
    <t>RS76.14</t>
  </si>
  <si>
    <t>RING SECTORRING D76.14 WITH LOOP</t>
  </si>
  <si>
    <t>RS88.14</t>
  </si>
  <si>
    <t>RING SECTORRING D88.14 WITH LOOP</t>
  </si>
  <si>
    <t>S0601</t>
  </si>
  <si>
    <t>S STEEL BLOCK Ø65</t>
  </si>
  <si>
    <t>S0602</t>
  </si>
  <si>
    <t>S STEEL BLOCK Ø65 WITH  BECKET</t>
  </si>
  <si>
    <t>S0602C</t>
  </si>
  <si>
    <t>S STEEL BLOCK Ø65 WITH BECKET &amp; CLEAT</t>
  </si>
  <si>
    <t>S0603</t>
  </si>
  <si>
    <t>DOUBLE S STEEL BLOCK Ø65</t>
  </si>
  <si>
    <t>S0604</t>
  </si>
  <si>
    <t>DOUBLE S STEEL BLOCK Ø65 W/ BECKET</t>
  </si>
  <si>
    <t>S0605</t>
  </si>
  <si>
    <t>TRIPLE S STEEL BLOCK Ø65</t>
  </si>
  <si>
    <t>S0605C</t>
  </si>
  <si>
    <t>TRIPLE S STEEL BLOCK Ø65 W/CLEAT</t>
  </si>
  <si>
    <t>S0606</t>
  </si>
  <si>
    <t>TRIPLE S STEEL BLOCK Ø65 WITH BECKET</t>
  </si>
  <si>
    <t>S0609</t>
  </si>
  <si>
    <t>WEB S STEEL BLOCK Ø65</t>
  </si>
  <si>
    <t>S0611</t>
  </si>
  <si>
    <t>S STEEL DECK BLOCK Ø65</t>
  </si>
  <si>
    <t>S0612</t>
  </si>
  <si>
    <t>DOUBLE S STEEL DECK BLOCK Ø65</t>
  </si>
  <si>
    <t>S0613</t>
  </si>
  <si>
    <t>S STEEL BLOCK Ø65 ON U BOLT</t>
  </si>
  <si>
    <t>S0614</t>
  </si>
  <si>
    <t>S STEEL BLOCK Ø65 ON PADEYE</t>
  </si>
  <si>
    <t>S0615</t>
  </si>
  <si>
    <t>S STEEL BLOCK Ø65 ON SCREW EYEBOLT</t>
  </si>
  <si>
    <t>S0616</t>
  </si>
  <si>
    <t>DECK-BLOCK A316 S.STEEL BLOCK D065 STAND-UP</t>
  </si>
  <si>
    <t>S0701</t>
  </si>
  <si>
    <t xml:space="preserve">SIZE 75 S.STEEL SERIES SINGOLO </t>
  </si>
  <si>
    <t>S0702</t>
  </si>
  <si>
    <t>S STEEL BLOCK Ø75 WITH  BECKET</t>
  </si>
  <si>
    <t>S0703</t>
  </si>
  <si>
    <t>DOUBLE S STEEL BLOCK Ø75</t>
  </si>
  <si>
    <t>S0703C</t>
  </si>
  <si>
    <t>DOUBLE S STEEL BLOCK Ø65 WITH CLEAT</t>
  </si>
  <si>
    <t>S0704</t>
  </si>
  <si>
    <t>DOUBLE S STEEL BLOCK Ø75 W/ BECKET</t>
  </si>
  <si>
    <t>S0704C</t>
  </si>
  <si>
    <t>DOUBLE S STEEL BLOCK Ø75 WITH BECKET &amp; CLEAT</t>
  </si>
  <si>
    <t>S0705</t>
  </si>
  <si>
    <t>TRIPLE S STEEL BLOCK Ø75</t>
  </si>
  <si>
    <t>S0706</t>
  </si>
  <si>
    <t>TRIPLE S STEEL BLOCK Ø75 WITH BECKET</t>
  </si>
  <si>
    <t>S0706C</t>
  </si>
  <si>
    <t>TRIPLE S STEEL BLOCK Ø75 WITH BECKET &amp; CLEAT</t>
  </si>
  <si>
    <t>S0711</t>
  </si>
  <si>
    <t>S STEEL DECK BLOCK Ø75</t>
  </si>
  <si>
    <t>S0712</t>
  </si>
  <si>
    <t>DOUBLE S STEEL DECK BLOCK Ø75</t>
  </si>
  <si>
    <t>S0713</t>
  </si>
  <si>
    <t>S STEEL BLOCK Ø75 ON U BOLT</t>
  </si>
  <si>
    <t>S0714</t>
  </si>
  <si>
    <t>S STEEL BLOCK Ø75 ON PADEYE</t>
  </si>
  <si>
    <t>S0715</t>
  </si>
  <si>
    <t>S STEEL BLOCK Ø75 ON SCREW EYEBOLT</t>
  </si>
  <si>
    <t>S0731</t>
  </si>
  <si>
    <t>CLASSIC S STEEL DECK BLOCK Ø75</t>
  </si>
  <si>
    <t>S0731V</t>
  </si>
  <si>
    <t>CLASSIC S STEEL DECK BLOCK Ø75 W/EYE</t>
  </si>
  <si>
    <t>S0732</t>
  </si>
  <si>
    <t>A316 S.STEEL BLOCK D075 DOUBLE 'CLASSIC'</t>
  </si>
  <si>
    <t>S0732V</t>
  </si>
  <si>
    <t>A316 S.STEEL BLOCK D075 DOUBLE 'CLASSIC' + RUNNER'S EYEBOLT</t>
  </si>
  <si>
    <t>S0901</t>
  </si>
  <si>
    <t>A316 S.STEEL BLOCK D090 SINGLE + SWIVEL HEAD</t>
  </si>
  <si>
    <t>S0902</t>
  </si>
  <si>
    <t>S STEEL BLOCK Ø90 WITH  BECKET</t>
  </si>
  <si>
    <t>S0903</t>
  </si>
  <si>
    <t>DOUBLE S STEEL BLOCK Ø90</t>
  </si>
  <si>
    <t>S0904</t>
  </si>
  <si>
    <t>DOUBLE S STEEL BLOCK Ø90  W/ BECKET</t>
  </si>
  <si>
    <t>S0905</t>
  </si>
  <si>
    <t>TRIPLE S STEEL BLOCK Ø90</t>
  </si>
  <si>
    <t>S0906</t>
  </si>
  <si>
    <t>TRIPLE S STEEL BLOCK Ø90 WITH BECKET</t>
  </si>
  <si>
    <t>S0911</t>
  </si>
  <si>
    <t>S STEEL DECK BLOCK Ø90</t>
  </si>
  <si>
    <t>S0912</t>
  </si>
  <si>
    <t>DOUBLE S STEEL DECK BLOCK Ø90</t>
  </si>
  <si>
    <t>S0914</t>
  </si>
  <si>
    <t>S STEEL BLOCK Ø90 ON PADEYE</t>
  </si>
  <si>
    <t>S0915</t>
  </si>
  <si>
    <t>S STEEL BLOCK Ø90 ON SCREW EYEBOLT</t>
  </si>
  <si>
    <t>S0931</t>
  </si>
  <si>
    <t>CLASSIC S STEEL DECK BLOCK Ø90</t>
  </si>
  <si>
    <t>S0932</t>
  </si>
  <si>
    <t>DOUBLE CLASSIC S STEEL DECK BLOCK Ø90</t>
  </si>
  <si>
    <t>S1201</t>
  </si>
  <si>
    <t>S STEEL BLOCK Ø120</t>
  </si>
  <si>
    <t>S1202</t>
  </si>
  <si>
    <t>S STEEL BLOCK Ø120 WITH  BECKET</t>
  </si>
  <si>
    <t>S1203</t>
  </si>
  <si>
    <t>DOUBLE S STEEL BLOCK Ø120</t>
  </si>
  <si>
    <t>S1204</t>
  </si>
  <si>
    <t>DOUBLE S STEEL BLOCK Ø120 W/ BECKET</t>
  </si>
  <si>
    <t>S1211</t>
  </si>
  <si>
    <t>S STEEL DECK BLOCK Ø120</t>
  </si>
  <si>
    <t>S1212</t>
  </si>
  <si>
    <t>DOUBLE S STEEL DECK BLOCK Ø120</t>
  </si>
  <si>
    <t>S1214</t>
  </si>
  <si>
    <t>S STEEL BLOCK Ø120 ON PADEYE</t>
  </si>
  <si>
    <t>S1215</t>
  </si>
  <si>
    <t>S STEEL BLOCK Ø120 ON SCREW EYEBOLT</t>
  </si>
  <si>
    <t>S1231</t>
  </si>
  <si>
    <t>CLASSIC S STEEL DECK BLOCK Ø120</t>
  </si>
  <si>
    <t>S1232</t>
  </si>
  <si>
    <t>DOUBLE CLASSIC S STEEL DECK BLOCK Ø120</t>
  </si>
  <si>
    <t>S1501</t>
  </si>
  <si>
    <t>S STEEL BLOCK Ø150</t>
  </si>
  <si>
    <t>S1502</t>
  </si>
  <si>
    <t>S STEEL BLOCK Ø150 WITH  BECKET</t>
  </si>
  <si>
    <t>S1511</t>
  </si>
  <si>
    <t>S STEEL DECK BLOCK Ø150</t>
  </si>
  <si>
    <t>S1512</t>
  </si>
  <si>
    <t>DOUBLE S STEEL DECK BLOCK Ø150</t>
  </si>
  <si>
    <t>S1514</t>
  </si>
  <si>
    <t>S STEEL BLOCK Ø150 ON PADEYE</t>
  </si>
  <si>
    <t>S1515</t>
  </si>
  <si>
    <t>S STEEL BLOCK Ø150 ON SCREW EYEBOLT</t>
  </si>
  <si>
    <t>S1531</t>
  </si>
  <si>
    <t>A316 S.STEEL BLOCK D150 SINGLE 'CLASSIC'</t>
  </si>
  <si>
    <t>S1532</t>
  </si>
  <si>
    <t>A316 S.STEEL BLOCK D150 DOUBLE 'CLASSIC'</t>
  </si>
  <si>
    <t>S1801</t>
  </si>
  <si>
    <t>S STEEL BLOCK Ø180</t>
  </si>
  <si>
    <t>S1802</t>
  </si>
  <si>
    <t>S STEEL BLOCK Ø180 WITH  BECKET</t>
  </si>
  <si>
    <t>S1811</t>
  </si>
  <si>
    <t>S STEEL DECK BLOCK Ø180</t>
  </si>
  <si>
    <t>S1812</t>
  </si>
  <si>
    <t>DOUBLE S STEEL DECK BLOCK Ø180</t>
  </si>
  <si>
    <t>S1814</t>
  </si>
  <si>
    <t>A316 S.STEEL BLOCK D180 SINGLE + PAD-EYE D020</t>
  </si>
  <si>
    <t>S1815</t>
  </si>
  <si>
    <t>S STEEL BLOCK Ø180 ON SCREW EYEBOLT</t>
  </si>
  <si>
    <t>S1831</t>
  </si>
  <si>
    <t>A316 S.STEEL BLOCK D180 SINGLE "CLASSIC"</t>
  </si>
  <si>
    <t>S1832</t>
  </si>
  <si>
    <t>DOUBLE CLASSIC S STEEL DECK BLOCK Ø180</t>
  </si>
  <si>
    <t>SD06</t>
  </si>
  <si>
    <t>S-DRIVE SIZE 06</t>
  </si>
  <si>
    <t>SD08</t>
  </si>
  <si>
    <t>S-DRIVE SIZE 08</t>
  </si>
  <si>
    <t>SD10</t>
  </si>
  <si>
    <t>S-DRIVE SIZE 10</t>
  </si>
  <si>
    <t>SL4D</t>
  </si>
  <si>
    <t>DOUBLE SNAP LOOP 4MM</t>
  </si>
  <si>
    <t>SL4S</t>
  </si>
  <si>
    <t>SIZE 04 SINGLE DYNEEMA WITHOUT COVER</t>
  </si>
  <si>
    <t>SL4T</t>
  </si>
  <si>
    <t>TRIPLE SNAP LOOP 4MM</t>
  </si>
  <si>
    <t>SL5D</t>
  </si>
  <si>
    <t>DOUBLE SNAP LOOP 5MM</t>
  </si>
  <si>
    <t>SL5S</t>
  </si>
  <si>
    <t>SIZE 05 SINGLE DYNEEMA WITHOUT COVER</t>
  </si>
  <si>
    <t>SL5T</t>
  </si>
  <si>
    <t>TRIPLE SNAP LOOP 5MM</t>
  </si>
  <si>
    <t>SP10.48</t>
  </si>
  <si>
    <t>SLIDING FLUSH DECK PAD EYE S.STEEL FOR 10MM SHACKLE</t>
  </si>
  <si>
    <t>T520</t>
  </si>
  <si>
    <t>ORGANIZER 2 TULIP  SHEAVES D50</t>
  </si>
  <si>
    <t>T530</t>
  </si>
  <si>
    <t>ORGANIZER 3 TULIP  SHEAVES D50</t>
  </si>
  <si>
    <t>T540</t>
  </si>
  <si>
    <t>ORGANIZER 4 TULIP  SHEAVES D50</t>
  </si>
  <si>
    <t>T550</t>
  </si>
  <si>
    <t>ORGANIZER 5 TULIP  SHEAVES D50</t>
  </si>
  <si>
    <t>T560</t>
  </si>
  <si>
    <t>ORGANIZER 6 TULIP  SHEAVES D50</t>
  </si>
  <si>
    <t>T620</t>
  </si>
  <si>
    <t>TULIP ORGANIZER D060 2 SHEAVES SINGLE VERSION</t>
  </si>
  <si>
    <t>T630</t>
  </si>
  <si>
    <t>TULIP ORGANIZER D060 3 SHEAVES SINGLE VERSION</t>
  </si>
  <si>
    <t>T640</t>
  </si>
  <si>
    <t>TULIP ORGANIZER D060 4 SHEAVES SINGLE VERSION</t>
  </si>
  <si>
    <t>T650</t>
  </si>
  <si>
    <t>TULIP ORGANIZER D060 5 SHEAVES SINGLE VERSION</t>
  </si>
  <si>
    <t>T660</t>
  </si>
  <si>
    <t>TULIP ORGANIZER D060 6 SHEAVES SINGLE VERSION</t>
  </si>
  <si>
    <t>TB4212</t>
  </si>
  <si>
    <t>TWIN SHEAVE BLOCK D42</t>
  </si>
  <si>
    <t>TD22.33</t>
  </si>
  <si>
    <t>LOOP &amp; TOGGLE FOR T-LOCK  TL22.33</t>
  </si>
  <si>
    <t>TD28.41</t>
  </si>
  <si>
    <t>LOOP &amp; TOGGLE T-LOCK 28</t>
  </si>
  <si>
    <t>TL22.33</t>
  </si>
  <si>
    <t>REMOVABLE T-LOCK D64MM</t>
  </si>
  <si>
    <t>TL28.41</t>
  </si>
  <si>
    <t>REMOVABLE T-LOCK D74MM</t>
  </si>
  <si>
    <t>TL50.20</t>
  </si>
  <si>
    <t>T-LOCK D50 X 20</t>
  </si>
  <si>
    <t>TL50.30</t>
  </si>
  <si>
    <t>T-LOCK D50 X 30</t>
  </si>
  <si>
    <t>TL60.20</t>
  </si>
  <si>
    <t>REMOVABLE T-LOCK D60 X 20</t>
  </si>
  <si>
    <t>TL60.30</t>
  </si>
  <si>
    <t>REMOVABLE T-LOCK D60 X 30</t>
  </si>
  <si>
    <t>TT22.33</t>
  </si>
  <si>
    <t>T-LOCK 22 - TOGGLE AL6082 (MARKED)</t>
  </si>
  <si>
    <t>TT28.41</t>
  </si>
  <si>
    <t>T-LOCK 28 - TOGGLE AL6082 (MARKED)</t>
  </si>
  <si>
    <t>W16AL</t>
  </si>
  <si>
    <t>WINCH - ALU - 2 SPEED W16</t>
  </si>
  <si>
    <t>W16BN</t>
  </si>
  <si>
    <t>WINCH YELLOW BRONZE - 2 SPEED W16</t>
  </si>
  <si>
    <t>W16CH</t>
  </si>
  <si>
    <t>CHROMED WINCH  - 2 SPEED W16</t>
  </si>
  <si>
    <t>W30AL</t>
  </si>
  <si>
    <t>STANDARD WINCH W30 - POWER 27,5:1 - 2 SPEEDS - ALU</t>
  </si>
  <si>
    <t>W30BN</t>
  </si>
  <si>
    <t>STANDARD WINCH W30 - POWER 27,5:1 - 2 SPEEDS- BRONZE FINISHED</t>
  </si>
  <si>
    <t>W30CH</t>
  </si>
  <si>
    <t>STANDARD WINCH W30 - POWER 27,5:1 - 2 SPEEDS - CHROMED</t>
  </si>
  <si>
    <t>W42AL</t>
  </si>
  <si>
    <t>WINCH - ALU - 2 SPEED 42:1</t>
  </si>
  <si>
    <t>W42BN</t>
  </si>
  <si>
    <t>YELLOW WINCH - BRONZE - 2 SPEED W42</t>
  </si>
  <si>
    <t>W42CH</t>
  </si>
  <si>
    <t>CHROMED WINCH 2 SPEED W42</t>
  </si>
  <si>
    <t>W5</t>
  </si>
  <si>
    <t>PLASTIC SNUBBING WINCH - NO HANDLE</t>
  </si>
  <si>
    <t>W6</t>
  </si>
  <si>
    <t>WINCH ONE SPEED W6</t>
  </si>
  <si>
    <t>W7AL</t>
  </si>
  <si>
    <t>ALU WINCH ONE SPEED W7</t>
  </si>
  <si>
    <t>W8AL</t>
  </si>
  <si>
    <t>ALU WINCH ONE SPEED W8</t>
  </si>
  <si>
    <t>W8BN</t>
  </si>
  <si>
    <t>WINCH - NAT. BR - 1 SPEED  W8</t>
  </si>
  <si>
    <t>W8CH</t>
  </si>
  <si>
    <t>CHROMED WINCH - 1 SPEED  W8</t>
  </si>
  <si>
    <t>W90</t>
  </si>
  <si>
    <t>WBC</t>
  </si>
  <si>
    <t>POWERED WINCHES LOAD CONTROL</t>
  </si>
  <si>
    <t>XT16.2AL</t>
  </si>
  <si>
    <t>WINCH XT16 - POWER 14,3:1 - 2 SPEEDS - ALU</t>
  </si>
  <si>
    <t>XT16.2BN</t>
  </si>
  <si>
    <t>WINCH XT16 - POWER 14,3:1 - 2 SPEEDS - BRONZE FINISHED</t>
  </si>
  <si>
    <t>XT16.2CH</t>
  </si>
  <si>
    <t>WINCH XT16 - POWER 14,3:1 - 2 SPEEDS - CHROMED</t>
  </si>
  <si>
    <t>XT16.2R</t>
  </si>
  <si>
    <t>WINCH XT16 - POWER 14,3:1 - 2 SPEEDS - RACE</t>
  </si>
  <si>
    <t>XT16AL</t>
  </si>
  <si>
    <t>WINCH XT16 - POWER 14,3:1 - 1 SPEED - ALU</t>
  </si>
  <si>
    <t>XT16BN</t>
  </si>
  <si>
    <t>WINCH XT16 - POWER 14,3:1 - 1 SPEED - BRONZE FINISHED</t>
  </si>
  <si>
    <t>XT16CH</t>
  </si>
  <si>
    <t>WINCH XT16 - POWER 14,3:1 - 1 SPEED - CHROMED</t>
  </si>
  <si>
    <t>XT16R</t>
  </si>
  <si>
    <t>WINCH XT16 - POWER 14,3:1 - 1 SPEED - RACE</t>
  </si>
  <si>
    <t>XT30.2AL</t>
  </si>
  <si>
    <t>WINCH XT30 - POWER 27,5:1 - 2 SPEEDS - ALU</t>
  </si>
  <si>
    <t>XT30.2BN</t>
  </si>
  <si>
    <t>WINCH XT30 - POWER 27,5:1 - 2 SPEEDS - BRONZE FINISHED</t>
  </si>
  <si>
    <t>XT30.2CH</t>
  </si>
  <si>
    <t>WINCH XT30 - POWER 27,5:1 - 2 SPEEDS - CHROMED</t>
  </si>
  <si>
    <t>XT30.2R</t>
  </si>
  <si>
    <t>WINCH XT30 - POWER 27,5:1 - 2 SPEEDS - RACE</t>
  </si>
  <si>
    <t>XT30AL</t>
  </si>
  <si>
    <t>WINCH XT30 - POWER 27,5:1 - 1 SPEED - ALU</t>
  </si>
  <si>
    <t>XT30BN</t>
  </si>
  <si>
    <t>WINCH XT30 - POWER 27,5:1 - 1 SPEED - BRONZE FINISHED</t>
  </si>
  <si>
    <t>XT30CH</t>
  </si>
  <si>
    <t>WINCH XT30 - POWER 27,5:1 - 1 SPEED - CHROMED</t>
  </si>
  <si>
    <t>XT30R</t>
  </si>
  <si>
    <t>WINCH XT30 - POWER 27,5:1 - 1 SPEED - RACE</t>
  </si>
  <si>
    <t>XT40AL</t>
  </si>
  <si>
    <t>WINCH XT40 - POWER 40,2:1 - 2 SPEEDS- ALU</t>
  </si>
  <si>
    <t>XT40BN</t>
  </si>
  <si>
    <t>WINCH XT40 - POWER 40,2:1 - 2 SPEEDS- BRONZE FINISHED</t>
  </si>
  <si>
    <t>XT40CH</t>
  </si>
  <si>
    <t>WINCH XT40 - POWER 40,2:1 - 2 SPEEDS- CHROMED</t>
  </si>
  <si>
    <t>XT40EH12AL</t>
  </si>
  <si>
    <t>WINCH XT40 - POWER 40,2:1 - 2 SPEEDS - ALU + HORIZONTAL DRIVE 700W 12V</t>
  </si>
  <si>
    <t>XT40EH12CH</t>
  </si>
  <si>
    <t>WINCH XT40 - POWER 40,2:1 - 2 SPEEDS - CHROMED + HORIZONTAL DRIVE 700W 12V</t>
  </si>
  <si>
    <t>XT40EH24AL</t>
  </si>
  <si>
    <t>WINCH  XT40, ALU , HORIZONTAL MOTOR 24V</t>
  </si>
  <si>
    <t>XT40EH24CH</t>
  </si>
  <si>
    <t>WINCH  XT40, CHROMO, HORIZONTAL MOTOR 24V</t>
  </si>
  <si>
    <t>XT40EH48AL</t>
  </si>
  <si>
    <t xml:space="preserve"> WINCH XT40 - POWER 40,2:1 - 2 SPEEDS - ALU + HORIONTAL DRIVE 700W 48V</t>
  </si>
  <si>
    <t>XT40R</t>
  </si>
  <si>
    <t>WINCH XT40 - POWER 40,2:1 - 2 SPEEDS - RACE</t>
  </si>
  <si>
    <t>XT44AL</t>
  </si>
  <si>
    <t>WINCH XT44 - POWER 43,7:1 - 2 SPEEDS - ALU</t>
  </si>
  <si>
    <t>XT44BN</t>
  </si>
  <si>
    <t>WINCH XT44 - POWER 43,7:1 - 2 SPEEDS - BRONZE FINISHED</t>
  </si>
  <si>
    <t>XT44BNC</t>
  </si>
  <si>
    <t>WINCH XT44 - POWER 43,7:1 - 2 SPEEDS - CLASSIC - BRONZE FINISHED</t>
  </si>
  <si>
    <t>XT44CH</t>
  </si>
  <si>
    <t>WINCH XT44 - POWER 43,7:1 - 2 SPEEDS - CHROMED</t>
  </si>
  <si>
    <t>XT44CHC</t>
  </si>
  <si>
    <t>WINCH XT44 - POWER 43,7:1 - 2 SPEEDS - CLASSIC - CHROMED</t>
  </si>
  <si>
    <t>XT44EH12CH</t>
  </si>
  <si>
    <t>WINCH XT44 - POWER 43,7:1 - 2 SPEEDS- CHROMED + HORIZONTAL DRIVE 700W 12V</t>
  </si>
  <si>
    <t>XT44EH24CH</t>
  </si>
  <si>
    <t>WINCH XT44, CHROMO, HORIZONTAL MOTOR 24V</t>
  </si>
  <si>
    <t>XT44HDCH</t>
  </si>
  <si>
    <t>WINCH XT44 - POWER 43,7:1 - 2 SPEEDS - CHROMED + HYDRAULIC MOTOR 50 CC</t>
  </si>
  <si>
    <t>XT44R</t>
  </si>
  <si>
    <t>WINCH XT44 - POWER 43,7:1 - 2 SPEEDS - RACE</t>
  </si>
  <si>
    <t>XT48AL</t>
  </si>
  <si>
    <t>WINCH XT48 - POWER 47,3:1 - 2 SPEEDS - ALU</t>
  </si>
  <si>
    <t>XT48BN</t>
  </si>
  <si>
    <t>WINCH XT48 - POWER 47,3:1 - 2 SPEEDS - BRONZE FINISHED</t>
  </si>
  <si>
    <t>XT48BNC</t>
  </si>
  <si>
    <t>WINCH XT48 - POWER 47,3:1 - 2 SPEEDS - CLASSIC - BRONZE FINISHED</t>
  </si>
  <si>
    <t>XT48CH</t>
  </si>
  <si>
    <t>WINCH XT48 - POWER 47,3:1 - 2 SPEEDS - CHROMED</t>
  </si>
  <si>
    <t>XT48CHC</t>
  </si>
  <si>
    <t>WINCH XT48 - POWER 47,3:1 - 2 SPEEDS - CLASSIC - CHROMED</t>
  </si>
  <si>
    <t>XT48EH12AL</t>
  </si>
  <si>
    <t xml:space="preserve"> WINCH XT48 - POWER 47,3:1 - 2 SPEEDS - ALU + HORIONTAL DRIVE 700W 12V</t>
  </si>
  <si>
    <t>XT48EH12CH</t>
  </si>
  <si>
    <t>WINCH XT48 - POWER 47,3:1 - 2 SPEEDS - CHROMED + HORIZONTAL DRIVE 700W 12V</t>
  </si>
  <si>
    <t>XT48EH24AL</t>
  </si>
  <si>
    <t>WINCH XT48, ALU HORIZONTAL MOTOR 24V</t>
  </si>
  <si>
    <t>XT48EH24CH</t>
  </si>
  <si>
    <t>WINCH XT48, CHROMO, HORIZONTAL MOTOR 24V</t>
  </si>
  <si>
    <t>XT48EH48AL</t>
  </si>
  <si>
    <t>XT48HDAL</t>
  </si>
  <si>
    <t>WINCH XT48 - POWER 47,3:1 - 2 SPEEDS - ALU + HYDRAULIC MOTOR 50 CC</t>
  </si>
  <si>
    <t>XT48HDCH</t>
  </si>
  <si>
    <t>WINCH XT48 - POWER 47,3:1 - 2 SPEEDS - CHROMED + HYDRAULIC MOTOR 50 CC</t>
  </si>
  <si>
    <t>XT48R</t>
  </si>
  <si>
    <t>WINCH XT48 - POWER 47,3:1 - 2 SPEEDS - RACE</t>
  </si>
  <si>
    <t>XT52AL</t>
  </si>
  <si>
    <t>WINCH XT52 - POWER 52,8:1 - 2 SPEEDS - ALU</t>
  </si>
  <si>
    <t>XT52BN</t>
  </si>
  <si>
    <t>WINCH XT52 - POWER 52,8:1 - 2 SPEEDS - BRONZE FINISHED</t>
  </si>
  <si>
    <t>XT52BNC</t>
  </si>
  <si>
    <t>WINCH XT52 - POWER 52,8:1 - 2 SPEEDS - CLASSIC - BRONZE FINISHED</t>
  </si>
  <si>
    <t>XT52CH</t>
  </si>
  <si>
    <t>WINCH XT52 - POWER 52,8:1 - 2 SPEEDS - CHROMED</t>
  </si>
  <si>
    <t>XT52CHC</t>
  </si>
  <si>
    <t>WINCH XT52 - POWER 52,8:1 - 2 SPEEDS - CLASSIC - CHROMED</t>
  </si>
  <si>
    <t>XT52EH12AL</t>
  </si>
  <si>
    <t>WINCH XT52 - POWER 52,8:1 - 2 SPEEDS - ALU + HORIZONTAL DRIVE 1000W 12V</t>
  </si>
  <si>
    <t>XT52EH12CH</t>
  </si>
  <si>
    <t>WINCH XT52 - POWER 52,8:1 - 2 SPEEDS - CHROMED + HORIZONTAL DRIVE 1000W 12V</t>
  </si>
  <si>
    <t>XT52EH12CHC</t>
  </si>
  <si>
    <t>WINCH XT52 - POWER 52,8:1 - 2 SPEEDS - CLASSIC - CHROMED + HORIZONTAL DRIVE 1000W 12V</t>
  </si>
  <si>
    <t>XT52EH24AL</t>
  </si>
  <si>
    <t>WINCH XT52 - POWER 52,8:1 - 2 SPEEDS - ALU + HORIZONTAL DRIVE 1000W 24V</t>
  </si>
  <si>
    <t>XT52EH24CH</t>
  </si>
  <si>
    <t>WINCH XT52 - POWER 52,8:1 - 2 SPEEDS - CHROMED + HORIZONTAL DRIVE 1000W 24V</t>
  </si>
  <si>
    <t>XT52EH48AL</t>
  </si>
  <si>
    <t>WINCH XT52 - POWER 52,8:1 - 2 SPEEDS - ALU + HORIZONTAL DRIVE 1000W 48V</t>
  </si>
  <si>
    <t>XT52HDCH</t>
  </si>
  <si>
    <t>WINCH XT52 CHROMO HYDRAULIC</t>
  </si>
  <si>
    <t>XT52R</t>
  </si>
  <si>
    <t>WINCH XT52 - POWER 52,8:1 - 2 SPEEDS - RACE</t>
  </si>
  <si>
    <t>XT52REH12</t>
  </si>
  <si>
    <t>XT53.3RD</t>
  </si>
  <si>
    <t>WINCH XT53 - POWER 52,8:1 - 2 + 1 SPEEDS - RACE + LIGHTENED</t>
  </si>
  <si>
    <t>XT62.3AL</t>
  </si>
  <si>
    <t>WINCH XT62.3 - POWER 61,1:1 - 3 SPEEDS- ALU</t>
  </si>
  <si>
    <t>XT62.3CH</t>
  </si>
  <si>
    <t>WINCH XT62.3 - POWER 61,1:1 - 3 SPEEDS- CHROMED</t>
  </si>
  <si>
    <t>XT62.3CHC</t>
  </si>
  <si>
    <t xml:space="preserve"> WINCH XT62.3 - POWER 61,1:1 - 3 SPEEDS - CLASSIC - CHROMED</t>
  </si>
  <si>
    <t>XT62.3EH12AL</t>
  </si>
  <si>
    <t>WINCH XT62.3 - POWER 61,1:1 - 3 SPEEDS- ALU + HORIZONTAL DRIVE 1000W 12V</t>
  </si>
  <si>
    <t>XT62.3EH12CH</t>
  </si>
  <si>
    <t>WINCH XT62, 3 SPEED, CHROMO, HORIZONTAL MOTOR 1000W 12V</t>
  </si>
  <si>
    <t>XT62.3EH24AL</t>
  </si>
  <si>
    <t>WINCH XT62, 3 SPEED, ALU, HORIZONTAL MOTOR 1000W 24V</t>
  </si>
  <si>
    <t>XT62.3EH24CH</t>
  </si>
  <si>
    <t>WINCH XT62, 3 SPEED, CHROMO, HORIZONTAL MOTOR 1000W 24V</t>
  </si>
  <si>
    <t>XT62.3EH48AL</t>
  </si>
  <si>
    <t>WINCH XT62.3 - POWER 61,1:1 - 3 SPEEDS- ALU + HORIZONTAL DRIVE 1000W 48V</t>
  </si>
  <si>
    <t>XT62.3R</t>
  </si>
  <si>
    <t>WINCH XT62.3 - POWER 61,1:1 - 3 SPEEDS- RACE</t>
  </si>
  <si>
    <t>XT62.3RD</t>
  </si>
  <si>
    <t>WINCH XT  62 3 SPEED- 1 DIRECT</t>
  </si>
  <si>
    <t>XT62AL</t>
  </si>
  <si>
    <t>WINCH XT62 - POWER 61,1:1 - 2 SPEEDS - ALU</t>
  </si>
  <si>
    <t>XT62BNC</t>
  </si>
  <si>
    <t>WINCH XT62 - POWER 61,1:1 - 2 SPEEDS - CLASSIC - BRONZE FINISHED</t>
  </si>
  <si>
    <t>XT62CH</t>
  </si>
  <si>
    <t>WINCH XT62 - POWER 61,1:1 - 2 SPEEDS - CHROMED</t>
  </si>
  <si>
    <t>XT62CHC</t>
  </si>
  <si>
    <t>WINCH XT62 - POWER 61,1:1 - 2 SPEEDS - CLASSIC - CHROMED</t>
  </si>
  <si>
    <t>XT62EH12AL</t>
  </si>
  <si>
    <t>WINCH XT62 - POWER 61,1:1 - 2 SPEEDS - ALU + HORIZONTAL DRIVE 1000W 12V</t>
  </si>
  <si>
    <t>XT62EH12CH</t>
  </si>
  <si>
    <t>WINCH XT62 - POWER 61,1:1 - 2 SPEEDS - CHROMED + HORIZONTAL DRIVE 1000W 12V</t>
  </si>
  <si>
    <t>XT62EH24AL</t>
  </si>
  <si>
    <t>WINCH XT62, ALU, HORIZONTAL MOTOR 1000W  24V</t>
  </si>
  <si>
    <t>XT62EH24CH</t>
  </si>
  <si>
    <t>WINCH XT62, CHROMO, HORIZONTAL MOTOR 24V</t>
  </si>
  <si>
    <t>XT62EH48AL</t>
  </si>
  <si>
    <t>WINCH XT62 - POWER 61,1:1 - 2 SPEEDS- ALU + HORIZONTAL DRIVE 1000W 48V</t>
  </si>
  <si>
    <t>XT62HDAL</t>
  </si>
  <si>
    <t>WINCH XT62 - POWER 61,1:1 - 2 SPEEDS - ALU + HYDRAULIC MOTOR 50 CC</t>
  </si>
  <si>
    <t>XT62HDCH</t>
  </si>
  <si>
    <t>WINCH XT62 - POWER 61,1:1 - 2 SPEEDS - CHROMED + HYDRAULIC MOTOR 50 CC</t>
  </si>
  <si>
    <t>XT62R</t>
  </si>
  <si>
    <t>WINCH XT62 - POWER 61,1:1 - 2 SPEEDS - RACE</t>
  </si>
  <si>
    <t>XT66.3AL</t>
  </si>
  <si>
    <t>WINCH XT66.3 - POWER 65,7:1 - 3 SPEEDS- ALU</t>
  </si>
  <si>
    <t>XT66.3CH</t>
  </si>
  <si>
    <t>WINCH XT66.3 - POWER 65,7:1 - 3 SPEEDS- CHROMED</t>
  </si>
  <si>
    <t>XT66.3EH12AL</t>
  </si>
  <si>
    <t>WINCH XT66.3 - POWER 65,7:1 - 3 SPEEDS- ALU + HORIZONTAL DRIVE 1500W 12V</t>
  </si>
  <si>
    <t>XT66.3EH12CH</t>
  </si>
  <si>
    <t>WINCH XT66.3 - POWER 65,7:1 - 3 SPEEDS- CHROMED + HORIZONTAL DRIVE 1500W 12V</t>
  </si>
  <si>
    <t>XT66.3EH24AL</t>
  </si>
  <si>
    <t>WINCH XT66 3 SPEED-ALU-HORIZONTAL MOTOR 1500W 24V</t>
  </si>
  <si>
    <t>XT66.3EH24CH</t>
  </si>
  <si>
    <t>WINCH XT66 3 SPEED-CHROMO-HORIZONTAL MOTOR 1500W 24V</t>
  </si>
  <si>
    <t>XT66.3EV12AL</t>
  </si>
  <si>
    <t>WINCH XT66.3 - POWER 65,7:1 - 3 SPEEDS- ALU + VERTICAL DRIVE 1500W 12V</t>
  </si>
  <si>
    <t>XT66.3HDAL</t>
  </si>
  <si>
    <t>WINCH XT66.3 - POWER 65,7:1 - 3 SPEEDS- ALU + HYDRAULIC MOTOR 80 CC</t>
  </si>
  <si>
    <t>XT66.3R</t>
  </si>
  <si>
    <t>WINCH XT66.3 - POWER 65,7:1 - 3 SPEEDS- RACE</t>
  </si>
  <si>
    <t>XT66AL</t>
  </si>
  <si>
    <t>WINCH XT66 - POWER 65,7:1 - 2 SPEEDS - ALU</t>
  </si>
  <si>
    <t>XT66CHC</t>
  </si>
  <si>
    <t>WINCH XT66 - POWER 65,7:1 - 2 SPEEDS - CLASSIC - CHROMED</t>
  </si>
  <si>
    <t>XT66EH12AL</t>
  </si>
  <si>
    <t>WINCH XT66 - POWER 65,7:1 - 2 SPEEDS- ALU + HORIZONTAL DRIVE 1500W 12V</t>
  </si>
  <si>
    <t>XT66EH12CH</t>
  </si>
  <si>
    <t>WINCH XT66 - POWER 65,7:1 - 2 SPEEDS- CHROMED + HORIZONTAL DRIVE 1500W 12V</t>
  </si>
  <si>
    <t>XT66EH12CHC</t>
  </si>
  <si>
    <t>XT66EH24AL</t>
  </si>
  <si>
    <t>WINCH XT66- HORIZONTAL MOTOR 1500W 24V-ALU</t>
  </si>
  <si>
    <t>XT66EH24CH</t>
  </si>
  <si>
    <t>WINCH XT 66-HORIZONTAL MOTOR 1500W 24V-CHROMO</t>
  </si>
  <si>
    <t>XT66EV12AL</t>
  </si>
  <si>
    <t>WINCH XT66 - POWER 65,7:1 - 2 SPEEDS- ALU + VERTICAL DRIVE 1500W 12V</t>
  </si>
  <si>
    <t>XT66EV12CH</t>
  </si>
  <si>
    <t>WINCH XT66 - POWER 65,7:1 - 2 SPEEDS- CHROMED + VERTICAL DRIVE 1500W 12V</t>
  </si>
  <si>
    <t>XT66EV24AL</t>
  </si>
  <si>
    <t>WINCH XT66 VERTICAL  MOTOR 1500W 24V-ALUMINIUM</t>
  </si>
  <si>
    <t>XT66EV24CH</t>
  </si>
  <si>
    <t>WINCH XT66 VERTICAL  MOTOR 1500W 24V-CHROMO</t>
  </si>
  <si>
    <t>XT66HDAL</t>
  </si>
  <si>
    <t>WINCH XT66 - POWER 65,7:1 - 2 SPEEDS- ALU + HYDRAULIC MOTOR 80 CC</t>
  </si>
  <si>
    <t>XT66HDCH</t>
  </si>
  <si>
    <t>WINCH XT66 - POWER 65,7:1 - 2 SPEEDS- CHROMED + HYDRAULIC MOTOR 80 CC</t>
  </si>
  <si>
    <t>XT66R</t>
  </si>
  <si>
    <t>WINCH XT66 - POWER 65,7:1 - 2 SPEEDS - RACE</t>
  </si>
  <si>
    <t>XT76.3AL</t>
  </si>
  <si>
    <t>WINCH XT76.3 - POWER 74,6:1 - 3 SPEEDS - ALU</t>
  </si>
  <si>
    <t>XT76.3CH</t>
  </si>
  <si>
    <t>WINCH XT76.3 - POWER 74,6:1 - 3 SPEEDS - CHROMED</t>
  </si>
  <si>
    <t>XT76.3EH24AL</t>
  </si>
  <si>
    <t>WINCH XT76 - POWER 74,6:1 - 3 SPEEDS - ALU + HORIZ</t>
  </si>
  <si>
    <t>XT76.3EH24CH</t>
  </si>
  <si>
    <t>WINCH XT76.3 - POWER 74,6:1 - 3 SPEEDS - CHROMED + HORIZONTAL DRIVE 2000W 24V</t>
  </si>
  <si>
    <t>XT76.3R</t>
  </si>
  <si>
    <t>WINCH XT76.3 - POWER 74,6:1 - 3 SPEEDS- RACE</t>
  </si>
  <si>
    <t>XT76AL</t>
  </si>
  <si>
    <t>WINCH XT76 - POWER 74,6:1 - 2 SPEEDS- ALU</t>
  </si>
  <si>
    <t>XT76CH</t>
  </si>
  <si>
    <t>WINCH XT76 - POWER 74,6:1 - 2 SPEEDS - CHROMED</t>
  </si>
  <si>
    <t>XT76EH24AL</t>
  </si>
  <si>
    <t>WINCH XT76 - POWER 74,6:1 - 2 SPEEDS - ALU + HORIZONTAL DRIVE 2000W 24V</t>
  </si>
  <si>
    <t>XT76EH24CH</t>
  </si>
  <si>
    <t xml:space="preserve"> WINCH XT76 - POWER 74,6:1 - 2 SPEEDS - CHROMED + HORIZONTAL DRIVE 2000W 24V</t>
  </si>
  <si>
    <t>XT76EH48AL</t>
  </si>
  <si>
    <t>WINCH XT76 - POWER 74,6:1 - 2 SPEEDS - ALU + HORIZONTAL DRIVE 2000W 48V</t>
  </si>
  <si>
    <t>XT76EV24AL</t>
  </si>
  <si>
    <t xml:space="preserve"> WINCH XT76 - POWER 74,6:1 - 2 SPEEDS - ALU + VERTCAL DRIVE 2000W 24V</t>
  </si>
  <si>
    <t>XT76EV24CH</t>
  </si>
  <si>
    <t>WINCH XT76 - POWER 74,6:1 - 2 SPEEDS- CHROMED + VERTICAL DRIVE 2000W 24V</t>
  </si>
  <si>
    <t>XT76EV48AL</t>
  </si>
  <si>
    <t xml:space="preserve"> WINCH XT76 - POWER 74,6:1 - 2 SPEEDS - ALU + VERTCAL DRIVE 2000W 48V</t>
  </si>
  <si>
    <t>XT76R</t>
  </si>
  <si>
    <t>WINCH XT76 - POWER 74,6:1 - 2 SPEEDS - RACE</t>
  </si>
  <si>
    <t>XT80.3AL</t>
  </si>
  <si>
    <t>WINCH XT80.3 - POWER 84,2:1 - 3 SPEEDS- ALU</t>
  </si>
  <si>
    <t>XT80.3CH</t>
  </si>
  <si>
    <t>WINCH XT80.3 - POWER 84,2:1 - 3 SPEEDS- CHROMED</t>
  </si>
  <si>
    <t>XT80.3EH24AL</t>
  </si>
  <si>
    <t>WINCH XT80.3 - POWER 84,2:1 - 3 SPEEDS- ALU + HORIZONTAL DRIVE 2000W 24V</t>
  </si>
  <si>
    <t>XT80.3EH24CH</t>
  </si>
  <si>
    <t>WINCH XT80. 3 HORIZ. MOTOR 2000W 24V-CHROME</t>
  </si>
  <si>
    <t>XT80.3HDCH</t>
  </si>
  <si>
    <t>WINCH XT80 3 SPEED HYDRAULIC-CHROME-80:1+160CC</t>
  </si>
  <si>
    <t>XTKIT</t>
  </si>
  <si>
    <t>KIT WINCH XT</t>
  </si>
  <si>
    <t>691.561ASX</t>
  </si>
  <si>
    <t>END FITTING 4R M47 ALU ASYMMETRIC + SHEAVE D75 LEF</t>
  </si>
  <si>
    <t>691.561ADX</t>
  </si>
  <si>
    <t>END FITTING 4R M47 ALU ASYMMETRIC + SHEAVE D75 RIG</t>
  </si>
  <si>
    <t>4190-2DC</t>
  </si>
  <si>
    <t>DOUBLE CAR SIZE 190 DYNEEMA LINKS + STEEL JOINT -</t>
  </si>
  <si>
    <t>CUS0241</t>
  </si>
  <si>
    <t xml:space="preserve">MAXI 47 STANDARD TRACK AL L3500 + FIX M10 SP100 + </t>
  </si>
  <si>
    <t>CUS0240FC</t>
  </si>
  <si>
    <t>4RACE M47 MAIN CAR DOUBLE 1X230 + 1X230 + 2X PAD-E</t>
  </si>
  <si>
    <t>RRPCNY</t>
  </si>
  <si>
    <t>ON REQUEST</t>
  </si>
  <si>
    <t>XT80.3EH48AL</t>
  </si>
  <si>
    <t>XT80.3EH48CH</t>
  </si>
  <si>
    <t>XT80.3HDAL</t>
  </si>
  <si>
    <t>JR NEW SERIES WINCHES</t>
  </si>
  <si>
    <t>XT110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</si>
</sst>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;\-#0.000;#0.000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 applyNumberFormat="0" applyFill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Alignment="1"/>
    <xf numFmtId="4" fontId="0" fillId="0" borderId="0" xfId="0" applyNumberFormat="1" applyFont="1" applyFill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574"/>
  <sheetViews>
    <sheetView tabSelected="1" zoomScale="70" zoomScaleNormal="70" workbookViewId="0">
      <selection activeCell="N10" sqref="N10"/>
    </sheetView>
  </sheetViews>
  <sheetFormatPr defaultColWidth="9" defaultRowHeight="13.5"/>
  <cols>
    <col min="1" max="1" width="16.775" customWidth="1"/>
    <col min="2" max="2" width="10.8666666666667" customWidth="1"/>
    <col min="3" max="6" width="30.6" style="4" customWidth="1"/>
    <col min="7" max="7" width="12.625" style="5"/>
    <col min="8" max="13" width="21.8833333333333" style="6" customWidth="1"/>
  </cols>
  <sheetData>
    <row r="1" s="1" customFormat="1" ht="33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1" t="s">
        <v>12</v>
      </c>
    </row>
    <row r="2" ht="27" spans="1:13">
      <c r="A2" t="s">
        <v>13</v>
      </c>
      <c r="B2" t="s">
        <v>14</v>
      </c>
      <c r="C2" s="4" t="s">
        <v>15</v>
      </c>
      <c r="D2" s="4" t="s">
        <v>15</v>
      </c>
      <c r="E2" s="4" t="s">
        <v>15</v>
      </c>
      <c r="F2" s="4" t="s">
        <v>15</v>
      </c>
      <c r="G2" s="5">
        <v>44.1792</v>
      </c>
      <c r="H2" s="9"/>
      <c r="I2" s="9">
        <f>G2*0.47</f>
        <v>20.764224</v>
      </c>
      <c r="J2" s="9">
        <f>G2*0.5</f>
        <v>22.0896</v>
      </c>
      <c r="K2" s="9">
        <f>G2*0.55</f>
        <v>24.29856</v>
      </c>
      <c r="L2" s="9">
        <f>G2*0.7</f>
        <v>30.92544</v>
      </c>
      <c r="M2" s="9">
        <f>G2*0.85</f>
        <v>37.55232</v>
      </c>
    </row>
    <row r="3" ht="40.5" spans="1:13">
      <c r="A3" s="10"/>
      <c r="B3" t="s">
        <v>16</v>
      </c>
      <c r="C3" s="4" t="s">
        <v>17</v>
      </c>
      <c r="D3" s="4" t="s">
        <v>17</v>
      </c>
      <c r="E3" s="4" t="s">
        <v>17</v>
      </c>
      <c r="F3" s="4" t="s">
        <v>17</v>
      </c>
      <c r="G3" s="5">
        <v>70.3872</v>
      </c>
      <c r="H3" s="9"/>
      <c r="I3" s="9">
        <f t="shared" ref="I3:I66" si="0">G3*0.47</f>
        <v>33.081984</v>
      </c>
      <c r="J3" s="9">
        <f t="shared" ref="J3:J66" si="1">G3*0.5</f>
        <v>35.1936</v>
      </c>
      <c r="K3" s="9">
        <f t="shared" ref="K3:K66" si="2">G3*0.55</f>
        <v>38.71296</v>
      </c>
      <c r="L3" s="9">
        <f t="shared" ref="L3:L66" si="3">G3*0.7</f>
        <v>49.27104</v>
      </c>
      <c r="M3" s="9">
        <f t="shared" ref="M3:M66" si="4">G3*0.85</f>
        <v>59.82912</v>
      </c>
    </row>
    <row r="4" ht="40.5" spans="1:13">
      <c r="A4" t="s">
        <v>18</v>
      </c>
      <c r="B4" t="s">
        <v>19</v>
      </c>
      <c r="C4" s="4" t="s">
        <v>20</v>
      </c>
      <c r="D4" s="4" t="s">
        <v>20</v>
      </c>
      <c r="E4" s="4" t="s">
        <v>20</v>
      </c>
      <c r="F4" s="4" t="s">
        <v>20</v>
      </c>
      <c r="G4" s="5">
        <v>84.9888</v>
      </c>
      <c r="H4" s="9"/>
      <c r="I4" s="9">
        <f t="shared" si="0"/>
        <v>39.944736</v>
      </c>
      <c r="J4" s="9">
        <f t="shared" si="1"/>
        <v>42.4944</v>
      </c>
      <c r="K4" s="9">
        <f t="shared" si="2"/>
        <v>46.74384</v>
      </c>
      <c r="L4" s="9">
        <f t="shared" si="3"/>
        <v>59.49216</v>
      </c>
      <c r="M4" s="9">
        <f t="shared" si="4"/>
        <v>72.24048</v>
      </c>
    </row>
    <row r="5" ht="27" spans="1:13">
      <c r="B5" t="s">
        <v>21</v>
      </c>
      <c r="C5" s="4" t="s">
        <v>22</v>
      </c>
      <c r="D5" s="4" t="s">
        <v>22</v>
      </c>
      <c r="E5" s="4" t="s">
        <v>22</v>
      </c>
      <c r="F5" s="4" t="s">
        <v>22</v>
      </c>
      <c r="G5" s="5">
        <v>58.9056</v>
      </c>
      <c r="H5" s="9"/>
      <c r="I5" s="9">
        <f t="shared" si="0"/>
        <v>27.685632</v>
      </c>
      <c r="J5" s="9">
        <f t="shared" si="1"/>
        <v>29.4528</v>
      </c>
      <c r="K5" s="9">
        <f t="shared" si="2"/>
        <v>32.39808</v>
      </c>
      <c r="L5" s="9">
        <f t="shared" si="3"/>
        <v>41.23392</v>
      </c>
      <c r="M5" s="9">
        <f t="shared" si="4"/>
        <v>50.06976</v>
      </c>
    </row>
    <row r="6" ht="40.5" spans="1:13">
      <c r="B6" t="s">
        <v>23</v>
      </c>
      <c r="C6" s="4" t="s">
        <v>24</v>
      </c>
      <c r="D6" s="4" t="s">
        <v>24</v>
      </c>
      <c r="E6" s="4" t="s">
        <v>24</v>
      </c>
      <c r="F6" s="4" t="s">
        <v>24</v>
      </c>
      <c r="G6" s="5">
        <v>48.7968</v>
      </c>
      <c r="H6" s="9"/>
      <c r="I6" s="9">
        <f t="shared" si="0"/>
        <v>22.934496</v>
      </c>
      <c r="J6" s="9">
        <f t="shared" si="1"/>
        <v>24.3984</v>
      </c>
      <c r="K6" s="9">
        <f t="shared" si="2"/>
        <v>26.83824</v>
      </c>
      <c r="L6" s="9">
        <f t="shared" si="3"/>
        <v>34.15776</v>
      </c>
      <c r="M6" s="9">
        <f t="shared" si="4"/>
        <v>41.47728</v>
      </c>
    </row>
    <row r="7" ht="40.5" spans="1:13">
      <c r="B7" t="s">
        <v>25</v>
      </c>
      <c r="C7" s="4" t="s">
        <v>26</v>
      </c>
      <c r="D7" s="4" t="s">
        <v>26</v>
      </c>
      <c r="E7" s="4" t="s">
        <v>26</v>
      </c>
      <c r="F7" s="4" t="s">
        <v>26</v>
      </c>
      <c r="G7" s="5">
        <v>75.1296</v>
      </c>
      <c r="H7" s="9"/>
      <c r="I7" s="9">
        <f t="shared" si="0"/>
        <v>35.310912</v>
      </c>
      <c r="J7" s="9">
        <f t="shared" si="1"/>
        <v>37.5648</v>
      </c>
      <c r="K7" s="9">
        <f t="shared" si="2"/>
        <v>41.32128</v>
      </c>
      <c r="L7" s="9">
        <f t="shared" si="3"/>
        <v>52.59072</v>
      </c>
      <c r="M7" s="9">
        <f t="shared" si="4"/>
        <v>63.86016</v>
      </c>
    </row>
    <row r="8" ht="27" spans="1:13">
      <c r="B8" t="s">
        <v>27</v>
      </c>
      <c r="C8" s="4" t="s">
        <v>28</v>
      </c>
      <c r="D8" s="4" t="s">
        <v>28</v>
      </c>
      <c r="E8" s="4" t="s">
        <v>28</v>
      </c>
      <c r="F8" s="4" t="s">
        <v>28</v>
      </c>
      <c r="G8" s="5">
        <v>89.7312</v>
      </c>
      <c r="H8" s="9"/>
      <c r="I8" s="9">
        <f t="shared" si="0"/>
        <v>42.173664</v>
      </c>
      <c r="J8" s="9">
        <f t="shared" si="1"/>
        <v>44.8656</v>
      </c>
      <c r="K8" s="9">
        <f t="shared" si="2"/>
        <v>49.35216</v>
      </c>
      <c r="L8" s="9">
        <f t="shared" si="3"/>
        <v>62.81184</v>
      </c>
      <c r="M8" s="9">
        <f t="shared" si="4"/>
        <v>76.27152</v>
      </c>
    </row>
    <row r="9" spans="1:13">
      <c r="B9" t="s">
        <v>29</v>
      </c>
      <c r="C9" s="4" t="s">
        <v>30</v>
      </c>
      <c r="D9" s="4" t="s">
        <v>30</v>
      </c>
      <c r="E9" s="4" t="s">
        <v>30</v>
      </c>
      <c r="F9" s="4" t="s">
        <v>30</v>
      </c>
      <c r="G9" s="5">
        <v>63.5232</v>
      </c>
      <c r="H9" s="9"/>
      <c r="I9" s="9">
        <f t="shared" si="0"/>
        <v>29.855904</v>
      </c>
      <c r="J9" s="9">
        <f t="shared" si="1"/>
        <v>31.7616</v>
      </c>
      <c r="K9" s="9">
        <f t="shared" si="2"/>
        <v>34.93776</v>
      </c>
      <c r="L9" s="9">
        <f t="shared" si="3"/>
        <v>44.46624</v>
      </c>
      <c r="M9" s="9">
        <f t="shared" si="4"/>
        <v>53.99472</v>
      </c>
    </row>
    <row r="10" ht="27" spans="1:13">
      <c r="B10" t="s">
        <v>31</v>
      </c>
      <c r="C10" s="4" t="s">
        <v>32</v>
      </c>
      <c r="D10" s="4" t="s">
        <v>32</v>
      </c>
      <c r="E10" s="4" t="s">
        <v>32</v>
      </c>
      <c r="F10" s="4" t="s">
        <v>32</v>
      </c>
      <c r="G10" s="5">
        <v>74.3808</v>
      </c>
      <c r="H10" s="9"/>
      <c r="I10" s="9">
        <f t="shared" si="0"/>
        <v>34.958976</v>
      </c>
      <c r="J10" s="9">
        <f t="shared" si="1"/>
        <v>37.1904</v>
      </c>
      <c r="K10" s="9">
        <f t="shared" si="2"/>
        <v>40.90944</v>
      </c>
      <c r="L10" s="9">
        <f t="shared" si="3"/>
        <v>52.06656</v>
      </c>
      <c r="M10" s="9">
        <f t="shared" si="4"/>
        <v>63.22368</v>
      </c>
    </row>
    <row r="11" ht="40.5" spans="1:13">
      <c r="B11" t="s">
        <v>33</v>
      </c>
      <c r="C11" s="4" t="s">
        <v>34</v>
      </c>
      <c r="D11" s="4" t="s">
        <v>34</v>
      </c>
      <c r="E11" s="4" t="s">
        <v>34</v>
      </c>
      <c r="F11" s="4" t="s">
        <v>34</v>
      </c>
      <c r="G11" s="5">
        <v>100.7136</v>
      </c>
      <c r="H11" s="9"/>
      <c r="I11" s="9">
        <f t="shared" si="0"/>
        <v>47.335392</v>
      </c>
      <c r="J11" s="9">
        <f t="shared" si="1"/>
        <v>50.3568</v>
      </c>
      <c r="K11" s="9">
        <f t="shared" si="2"/>
        <v>55.39248</v>
      </c>
      <c r="L11" s="9">
        <f t="shared" si="3"/>
        <v>70.49952</v>
      </c>
      <c r="M11" s="9">
        <f t="shared" si="4"/>
        <v>85.60656</v>
      </c>
    </row>
    <row r="12" ht="27" spans="1:13">
      <c r="B12" t="s">
        <v>35</v>
      </c>
      <c r="C12" s="4" t="s">
        <v>36</v>
      </c>
      <c r="D12" s="4" t="s">
        <v>36</v>
      </c>
      <c r="E12" s="4" t="s">
        <v>36</v>
      </c>
      <c r="F12" s="4" t="s">
        <v>36</v>
      </c>
      <c r="G12" s="5">
        <v>115.44</v>
      </c>
      <c r="H12" s="9"/>
      <c r="I12" s="9">
        <f t="shared" si="0"/>
        <v>54.2568</v>
      </c>
      <c r="J12" s="9">
        <f t="shared" si="1"/>
        <v>57.72</v>
      </c>
      <c r="K12" s="9">
        <f t="shared" si="2"/>
        <v>63.492</v>
      </c>
      <c r="L12" s="9">
        <f t="shared" si="3"/>
        <v>80.808</v>
      </c>
      <c r="M12" s="9">
        <f t="shared" si="4"/>
        <v>98.124</v>
      </c>
    </row>
    <row r="13" spans="1:13">
      <c r="B13" t="s">
        <v>37</v>
      </c>
      <c r="C13" s="4" t="s">
        <v>38</v>
      </c>
      <c r="D13" s="4" t="s">
        <v>38</v>
      </c>
      <c r="E13" s="4" t="s">
        <v>38</v>
      </c>
      <c r="F13" s="4" t="s">
        <v>38</v>
      </c>
      <c r="G13" s="5">
        <v>89.1072</v>
      </c>
      <c r="H13" s="9"/>
      <c r="I13" s="9">
        <f t="shared" si="0"/>
        <v>41.880384</v>
      </c>
      <c r="J13" s="9">
        <f t="shared" si="1"/>
        <v>44.5536</v>
      </c>
      <c r="K13" s="9">
        <f t="shared" si="2"/>
        <v>49.00896</v>
      </c>
      <c r="L13" s="9">
        <f t="shared" si="3"/>
        <v>62.37504</v>
      </c>
      <c r="M13" s="9">
        <f t="shared" si="4"/>
        <v>75.74112</v>
      </c>
    </row>
    <row r="14" ht="40.5" spans="1:13">
      <c r="B14" t="s">
        <v>39</v>
      </c>
      <c r="C14" s="4" t="s">
        <v>40</v>
      </c>
      <c r="D14" s="4" t="s">
        <v>40</v>
      </c>
      <c r="E14" s="4" t="s">
        <v>40</v>
      </c>
      <c r="F14" s="4" t="s">
        <v>40</v>
      </c>
      <c r="G14" s="5">
        <v>78.9984</v>
      </c>
      <c r="H14" s="9"/>
      <c r="I14" s="9">
        <f t="shared" si="0"/>
        <v>37.129248</v>
      </c>
      <c r="J14" s="9">
        <f t="shared" si="1"/>
        <v>39.4992</v>
      </c>
      <c r="K14" s="9">
        <f t="shared" si="2"/>
        <v>43.44912</v>
      </c>
      <c r="L14" s="9">
        <f t="shared" si="3"/>
        <v>55.29888</v>
      </c>
      <c r="M14" s="9">
        <f t="shared" si="4"/>
        <v>67.14864</v>
      </c>
    </row>
    <row r="15" ht="40.5" spans="1:13">
      <c r="B15" t="s">
        <v>41</v>
      </c>
      <c r="C15" s="4" t="s">
        <v>42</v>
      </c>
      <c r="D15" s="4" t="s">
        <v>42</v>
      </c>
      <c r="E15" s="4" t="s">
        <v>42</v>
      </c>
      <c r="F15" s="4" t="s">
        <v>42</v>
      </c>
      <c r="G15" s="5">
        <v>105.2064</v>
      </c>
      <c r="H15" s="9"/>
      <c r="I15" s="9">
        <f t="shared" si="0"/>
        <v>49.447008</v>
      </c>
      <c r="J15" s="9">
        <f t="shared" si="1"/>
        <v>52.6032</v>
      </c>
      <c r="K15" s="9">
        <f t="shared" si="2"/>
        <v>57.86352</v>
      </c>
      <c r="L15" s="9">
        <f t="shared" si="3"/>
        <v>73.64448</v>
      </c>
      <c r="M15" s="9">
        <f t="shared" si="4"/>
        <v>89.42544</v>
      </c>
    </row>
    <row r="16" ht="27" spans="1:13">
      <c r="B16" t="s">
        <v>43</v>
      </c>
      <c r="C16" s="4" t="s">
        <v>44</v>
      </c>
      <c r="D16" s="4" t="s">
        <v>44</v>
      </c>
      <c r="E16" s="4" t="s">
        <v>44</v>
      </c>
      <c r="F16" s="4" t="s">
        <v>44</v>
      </c>
      <c r="G16" s="5">
        <v>104.4576</v>
      </c>
      <c r="H16" s="9"/>
      <c r="I16" s="9">
        <f t="shared" si="0"/>
        <v>49.095072</v>
      </c>
      <c r="J16" s="9">
        <f t="shared" si="1"/>
        <v>52.2288</v>
      </c>
      <c r="K16" s="9">
        <f t="shared" si="2"/>
        <v>57.45168</v>
      </c>
      <c r="L16" s="9">
        <f t="shared" si="3"/>
        <v>73.12032</v>
      </c>
      <c r="M16" s="9">
        <f t="shared" si="4"/>
        <v>88.78896</v>
      </c>
    </row>
    <row r="17" ht="40.5" spans="2:13">
      <c r="B17" t="s">
        <v>45</v>
      </c>
      <c r="C17" s="4" t="s">
        <v>46</v>
      </c>
      <c r="D17" s="4" t="s">
        <v>46</v>
      </c>
      <c r="E17" s="4" t="s">
        <v>46</v>
      </c>
      <c r="F17" s="4" t="s">
        <v>46</v>
      </c>
      <c r="G17" s="5">
        <v>130.7904</v>
      </c>
      <c r="H17" s="9"/>
      <c r="I17" s="9">
        <f t="shared" si="0"/>
        <v>61.471488</v>
      </c>
      <c r="J17" s="9">
        <f t="shared" si="1"/>
        <v>65.3952</v>
      </c>
      <c r="K17" s="9">
        <f t="shared" si="2"/>
        <v>71.93472</v>
      </c>
      <c r="L17" s="9">
        <f t="shared" si="3"/>
        <v>91.55328</v>
      </c>
      <c r="M17" s="9">
        <f t="shared" si="4"/>
        <v>111.17184</v>
      </c>
    </row>
    <row r="18" ht="40.5" spans="2:13">
      <c r="B18" t="s">
        <v>47</v>
      </c>
      <c r="C18" s="4" t="s">
        <v>48</v>
      </c>
      <c r="D18" s="4" t="s">
        <v>48</v>
      </c>
      <c r="E18" s="4" t="s">
        <v>48</v>
      </c>
      <c r="F18" s="4" t="s">
        <v>48</v>
      </c>
      <c r="G18" s="5">
        <v>109.0752</v>
      </c>
      <c r="H18" s="9"/>
      <c r="I18" s="9">
        <f t="shared" si="0"/>
        <v>51.265344</v>
      </c>
      <c r="J18" s="9">
        <f t="shared" si="1"/>
        <v>54.5376</v>
      </c>
      <c r="K18" s="9">
        <f t="shared" si="2"/>
        <v>59.99136</v>
      </c>
      <c r="L18" s="9">
        <f t="shared" si="3"/>
        <v>76.35264</v>
      </c>
      <c r="M18" s="9">
        <f t="shared" si="4"/>
        <v>92.71392</v>
      </c>
    </row>
    <row r="19" ht="27" spans="2:13">
      <c r="B19" t="s">
        <v>49</v>
      </c>
      <c r="C19" s="4" t="s">
        <v>50</v>
      </c>
      <c r="D19" s="4" t="s">
        <v>50</v>
      </c>
      <c r="E19" s="4" t="s">
        <v>50</v>
      </c>
      <c r="F19" s="4" t="s">
        <v>50</v>
      </c>
      <c r="G19" s="5">
        <v>135.408</v>
      </c>
      <c r="H19" s="9"/>
      <c r="I19" s="9">
        <f t="shared" si="0"/>
        <v>63.64176</v>
      </c>
      <c r="J19" s="9">
        <f t="shared" si="1"/>
        <v>67.704</v>
      </c>
      <c r="K19" s="9">
        <f t="shared" si="2"/>
        <v>74.4744</v>
      </c>
      <c r="L19" s="9">
        <f t="shared" si="3"/>
        <v>94.7856</v>
      </c>
      <c r="M19" s="9">
        <f t="shared" si="4"/>
        <v>115.0968</v>
      </c>
    </row>
    <row r="20" ht="27" spans="2:13">
      <c r="B20" t="s">
        <v>51</v>
      </c>
      <c r="C20" s="4" t="s">
        <v>52</v>
      </c>
      <c r="D20" s="4" t="s">
        <v>52</v>
      </c>
      <c r="E20" s="4" t="s">
        <v>52</v>
      </c>
      <c r="F20" s="4" t="s">
        <v>52</v>
      </c>
      <c r="G20" s="5">
        <v>44.1792</v>
      </c>
      <c r="H20" s="9"/>
      <c r="I20" s="9">
        <f t="shared" si="0"/>
        <v>20.764224</v>
      </c>
      <c r="J20" s="9">
        <f t="shared" si="1"/>
        <v>22.0896</v>
      </c>
      <c r="K20" s="9">
        <f t="shared" si="2"/>
        <v>24.29856</v>
      </c>
      <c r="L20" s="9">
        <f t="shared" si="3"/>
        <v>30.92544</v>
      </c>
      <c r="M20" s="9">
        <f t="shared" si="4"/>
        <v>37.55232</v>
      </c>
    </row>
    <row r="21" ht="27" spans="2:13">
      <c r="B21" t="s">
        <v>53</v>
      </c>
      <c r="C21" s="4" t="s">
        <v>54</v>
      </c>
      <c r="D21" s="4" t="s">
        <v>54</v>
      </c>
      <c r="E21" s="4" t="s">
        <v>54</v>
      </c>
      <c r="F21" s="4" t="s">
        <v>54</v>
      </c>
      <c r="G21" s="5">
        <v>53.4144</v>
      </c>
      <c r="H21" s="9"/>
      <c r="I21" s="9">
        <f t="shared" si="0"/>
        <v>25.104768</v>
      </c>
      <c r="J21" s="9">
        <f t="shared" si="1"/>
        <v>26.7072</v>
      </c>
      <c r="K21" s="9">
        <f t="shared" si="2"/>
        <v>29.37792</v>
      </c>
      <c r="L21" s="9">
        <f t="shared" si="3"/>
        <v>37.39008</v>
      </c>
      <c r="M21" s="9">
        <f t="shared" si="4"/>
        <v>45.40224</v>
      </c>
    </row>
    <row r="22" spans="2:13">
      <c r="B22" t="s">
        <v>55</v>
      </c>
      <c r="C22" s="4" t="s">
        <v>56</v>
      </c>
      <c r="D22" s="4" t="s">
        <v>56</v>
      </c>
      <c r="E22" s="4" t="s">
        <v>56</v>
      </c>
      <c r="F22" s="4" t="s">
        <v>56</v>
      </c>
      <c r="G22" s="5">
        <v>166.86384</v>
      </c>
      <c r="H22" s="9"/>
      <c r="I22" s="9">
        <f t="shared" si="0"/>
        <v>78.4260048</v>
      </c>
      <c r="J22" s="9">
        <f t="shared" si="1"/>
        <v>83.43192</v>
      </c>
      <c r="K22" s="9">
        <f t="shared" si="2"/>
        <v>91.775112</v>
      </c>
      <c r="L22" s="9">
        <f t="shared" si="3"/>
        <v>116.804688</v>
      </c>
      <c r="M22" s="9">
        <f t="shared" si="4"/>
        <v>141.834264</v>
      </c>
    </row>
    <row r="23" ht="27" spans="2:13">
      <c r="B23" t="s">
        <v>57</v>
      </c>
      <c r="C23" s="4" t="s">
        <v>58</v>
      </c>
      <c r="D23" s="4" t="s">
        <v>58</v>
      </c>
      <c r="E23" s="4" t="s">
        <v>58</v>
      </c>
      <c r="F23" s="4" t="s">
        <v>58</v>
      </c>
      <c r="G23" s="5">
        <v>39.312</v>
      </c>
      <c r="H23" s="9"/>
      <c r="I23" s="9">
        <f t="shared" si="0"/>
        <v>18.47664</v>
      </c>
      <c r="J23" s="9">
        <f t="shared" si="1"/>
        <v>19.656</v>
      </c>
      <c r="K23" s="9">
        <f t="shared" si="2"/>
        <v>21.6216</v>
      </c>
      <c r="L23" s="9">
        <f t="shared" si="3"/>
        <v>27.5184</v>
      </c>
      <c r="M23" s="9">
        <f t="shared" si="4"/>
        <v>33.4152</v>
      </c>
    </row>
    <row r="24" ht="27" spans="2:13">
      <c r="B24" t="s">
        <v>59</v>
      </c>
      <c r="C24" s="4" t="s">
        <v>60</v>
      </c>
      <c r="D24" s="4" t="s">
        <v>60</v>
      </c>
      <c r="E24" s="4" t="s">
        <v>60</v>
      </c>
      <c r="F24" s="4" t="s">
        <v>60</v>
      </c>
      <c r="G24" s="5">
        <v>44.1792</v>
      </c>
      <c r="H24" s="9"/>
      <c r="I24" s="9">
        <f t="shared" si="0"/>
        <v>20.764224</v>
      </c>
      <c r="J24" s="9">
        <f t="shared" si="1"/>
        <v>22.0896</v>
      </c>
      <c r="K24" s="9">
        <f t="shared" si="2"/>
        <v>24.29856</v>
      </c>
      <c r="L24" s="9">
        <f t="shared" si="3"/>
        <v>30.92544</v>
      </c>
      <c r="M24" s="9">
        <f t="shared" si="4"/>
        <v>37.55232</v>
      </c>
    </row>
    <row r="25" ht="27" spans="2:13">
      <c r="B25" t="s">
        <v>61</v>
      </c>
      <c r="C25" s="4" t="s">
        <v>62</v>
      </c>
      <c r="D25" s="4" t="s">
        <v>62</v>
      </c>
      <c r="E25" s="4" t="s">
        <v>62</v>
      </c>
      <c r="F25" s="4" t="s">
        <v>62</v>
      </c>
      <c r="G25" s="5">
        <v>48.7968</v>
      </c>
      <c r="H25" s="9"/>
      <c r="I25" s="9">
        <f t="shared" si="0"/>
        <v>22.934496</v>
      </c>
      <c r="J25" s="9">
        <f t="shared" si="1"/>
        <v>24.3984</v>
      </c>
      <c r="K25" s="9">
        <f t="shared" si="2"/>
        <v>26.83824</v>
      </c>
      <c r="L25" s="9">
        <f t="shared" si="3"/>
        <v>34.15776</v>
      </c>
      <c r="M25" s="9">
        <f t="shared" si="4"/>
        <v>41.47728</v>
      </c>
    </row>
    <row r="26" ht="27" spans="2:13">
      <c r="B26" t="s">
        <v>63</v>
      </c>
      <c r="C26" s="4" t="s">
        <v>64</v>
      </c>
      <c r="D26" s="4" t="s">
        <v>64</v>
      </c>
      <c r="E26" s="4" t="s">
        <v>64</v>
      </c>
      <c r="F26" s="4" t="s">
        <v>64</v>
      </c>
      <c r="G26" s="5">
        <v>46.4256</v>
      </c>
      <c r="H26" s="9"/>
      <c r="I26" s="9">
        <f t="shared" si="0"/>
        <v>21.820032</v>
      </c>
      <c r="J26" s="9">
        <f t="shared" si="1"/>
        <v>23.2128</v>
      </c>
      <c r="K26" s="9">
        <f t="shared" si="2"/>
        <v>25.53408</v>
      </c>
      <c r="L26" s="9">
        <f t="shared" si="3"/>
        <v>32.49792</v>
      </c>
      <c r="M26" s="9">
        <f t="shared" si="4"/>
        <v>39.46176</v>
      </c>
    </row>
    <row r="27" ht="27" spans="2:13">
      <c r="B27" t="s">
        <v>65</v>
      </c>
      <c r="C27" s="4" t="s">
        <v>66</v>
      </c>
      <c r="D27" s="4" t="s">
        <v>66</v>
      </c>
      <c r="E27" s="4" t="s">
        <v>66</v>
      </c>
      <c r="F27" s="4" t="s">
        <v>66</v>
      </c>
      <c r="G27" s="5">
        <v>47.9232</v>
      </c>
      <c r="H27" s="9"/>
      <c r="I27" s="9">
        <f t="shared" si="0"/>
        <v>22.523904</v>
      </c>
      <c r="J27" s="9">
        <f t="shared" si="1"/>
        <v>23.9616</v>
      </c>
      <c r="K27" s="9">
        <f t="shared" si="2"/>
        <v>26.35776</v>
      </c>
      <c r="L27" s="9">
        <f t="shared" si="3"/>
        <v>33.54624</v>
      </c>
      <c r="M27" s="9">
        <f t="shared" si="4"/>
        <v>40.73472</v>
      </c>
    </row>
    <row r="28" ht="27" spans="2:13">
      <c r="B28" t="s">
        <v>67</v>
      </c>
      <c r="C28" s="4" t="s">
        <v>68</v>
      </c>
      <c r="D28" s="4" t="s">
        <v>68</v>
      </c>
      <c r="E28" s="4" t="s">
        <v>68</v>
      </c>
      <c r="F28" s="4" t="s">
        <v>68</v>
      </c>
      <c r="G28" s="5">
        <v>60.4032</v>
      </c>
      <c r="H28" s="9"/>
      <c r="I28" s="9">
        <f t="shared" si="0"/>
        <v>28.389504</v>
      </c>
      <c r="J28" s="9">
        <f t="shared" si="1"/>
        <v>30.2016</v>
      </c>
      <c r="K28" s="9">
        <f t="shared" si="2"/>
        <v>33.22176</v>
      </c>
      <c r="L28" s="9">
        <f t="shared" si="3"/>
        <v>42.28224</v>
      </c>
      <c r="M28" s="9">
        <f t="shared" si="4"/>
        <v>51.34272</v>
      </c>
    </row>
    <row r="29" ht="40.5" spans="2:13">
      <c r="B29" t="s">
        <v>69</v>
      </c>
      <c r="C29" s="4" t="s">
        <v>70</v>
      </c>
      <c r="D29" s="4" t="s">
        <v>70</v>
      </c>
      <c r="E29" s="4" t="s">
        <v>70</v>
      </c>
      <c r="F29" s="4" t="s">
        <v>70</v>
      </c>
      <c r="G29" s="5">
        <v>84.9456</v>
      </c>
      <c r="H29" s="9"/>
      <c r="I29" s="9">
        <f t="shared" si="0"/>
        <v>39.924432</v>
      </c>
      <c r="J29" s="9">
        <f t="shared" si="1"/>
        <v>42.4728</v>
      </c>
      <c r="K29" s="9">
        <f t="shared" si="2"/>
        <v>46.72008</v>
      </c>
      <c r="L29" s="9">
        <f t="shared" si="3"/>
        <v>59.46192</v>
      </c>
      <c r="M29" s="9">
        <f t="shared" si="4"/>
        <v>72.20376</v>
      </c>
    </row>
    <row r="30" ht="27" spans="2:13">
      <c r="B30" t="s">
        <v>71</v>
      </c>
      <c r="C30" s="4" t="s">
        <v>72</v>
      </c>
      <c r="D30" s="4" t="s">
        <v>72</v>
      </c>
      <c r="E30" s="4" t="s">
        <v>72</v>
      </c>
      <c r="F30" s="4" t="s">
        <v>72</v>
      </c>
      <c r="G30" s="5">
        <v>99.3888</v>
      </c>
      <c r="H30" s="9"/>
      <c r="I30" s="9">
        <f t="shared" si="0"/>
        <v>46.712736</v>
      </c>
      <c r="J30" s="9">
        <f t="shared" si="1"/>
        <v>49.6944</v>
      </c>
      <c r="K30" s="9">
        <f t="shared" si="2"/>
        <v>54.66384</v>
      </c>
      <c r="L30" s="9">
        <f t="shared" si="3"/>
        <v>69.57216</v>
      </c>
      <c r="M30" s="9">
        <f t="shared" si="4"/>
        <v>84.48048</v>
      </c>
    </row>
    <row r="31" spans="2:13">
      <c r="B31" t="s">
        <v>73</v>
      </c>
      <c r="C31" s="4" t="s">
        <v>74</v>
      </c>
      <c r="D31" s="4" t="s">
        <v>74</v>
      </c>
      <c r="E31" s="4" t="s">
        <v>74</v>
      </c>
      <c r="F31" s="4" t="s">
        <v>74</v>
      </c>
      <c r="G31" s="5">
        <v>73.6848</v>
      </c>
      <c r="H31" s="9"/>
      <c r="I31" s="9">
        <f t="shared" si="0"/>
        <v>34.631856</v>
      </c>
      <c r="J31" s="9">
        <f t="shared" si="1"/>
        <v>36.8424</v>
      </c>
      <c r="K31" s="9">
        <f t="shared" si="2"/>
        <v>40.52664</v>
      </c>
      <c r="L31" s="9">
        <f t="shared" si="3"/>
        <v>51.57936</v>
      </c>
      <c r="M31" s="9">
        <f t="shared" si="4"/>
        <v>62.63208</v>
      </c>
    </row>
    <row r="32" ht="40.5" spans="2:13">
      <c r="B32" t="s">
        <v>75</v>
      </c>
      <c r="C32" s="4" t="s">
        <v>76</v>
      </c>
      <c r="D32" s="4" t="s">
        <v>76</v>
      </c>
      <c r="E32" s="4" t="s">
        <v>76</v>
      </c>
      <c r="F32" s="4" t="s">
        <v>76</v>
      </c>
      <c r="G32" s="5">
        <v>63.8928</v>
      </c>
      <c r="H32" s="9"/>
      <c r="I32" s="9">
        <f t="shared" si="0"/>
        <v>30.029616</v>
      </c>
      <c r="J32" s="9">
        <f t="shared" si="1"/>
        <v>31.9464</v>
      </c>
      <c r="K32" s="9">
        <f t="shared" si="2"/>
        <v>35.14104</v>
      </c>
      <c r="L32" s="9">
        <f t="shared" si="3"/>
        <v>44.72496</v>
      </c>
      <c r="M32" s="9">
        <f t="shared" si="4"/>
        <v>54.30888</v>
      </c>
    </row>
    <row r="33" ht="27" spans="2:13">
      <c r="B33" t="s">
        <v>77</v>
      </c>
      <c r="C33" s="4" t="s">
        <v>78</v>
      </c>
      <c r="D33" s="4" t="s">
        <v>78</v>
      </c>
      <c r="E33" s="4" t="s">
        <v>78</v>
      </c>
      <c r="F33" s="4" t="s">
        <v>78</v>
      </c>
      <c r="G33" s="5">
        <v>89.5968</v>
      </c>
      <c r="H33" s="9"/>
      <c r="I33" s="9">
        <f t="shared" si="0"/>
        <v>42.110496</v>
      </c>
      <c r="J33" s="9">
        <f t="shared" si="1"/>
        <v>44.7984</v>
      </c>
      <c r="K33" s="9">
        <f t="shared" si="2"/>
        <v>49.27824</v>
      </c>
      <c r="L33" s="9">
        <f t="shared" si="3"/>
        <v>62.71776</v>
      </c>
      <c r="M33" s="9">
        <f t="shared" si="4"/>
        <v>76.15728</v>
      </c>
    </row>
    <row r="34" ht="27" spans="2:13">
      <c r="B34" t="s">
        <v>79</v>
      </c>
      <c r="C34" s="4" t="s">
        <v>80</v>
      </c>
      <c r="D34" s="4" t="s">
        <v>80</v>
      </c>
      <c r="E34" s="4" t="s">
        <v>80</v>
      </c>
      <c r="F34" s="4" t="s">
        <v>80</v>
      </c>
      <c r="G34" s="5">
        <v>104.04</v>
      </c>
      <c r="H34" s="9"/>
      <c r="I34" s="9">
        <f t="shared" si="0"/>
        <v>48.8988</v>
      </c>
      <c r="J34" s="9">
        <f t="shared" si="1"/>
        <v>52.02</v>
      </c>
      <c r="K34" s="9">
        <f t="shared" si="2"/>
        <v>57.222</v>
      </c>
      <c r="L34" s="9">
        <f t="shared" si="3"/>
        <v>72.828</v>
      </c>
      <c r="M34" s="9">
        <f t="shared" si="4"/>
        <v>88.434</v>
      </c>
    </row>
    <row r="35" ht="27" spans="2:13">
      <c r="B35" t="s">
        <v>81</v>
      </c>
      <c r="C35" s="4" t="s">
        <v>82</v>
      </c>
      <c r="D35" s="4" t="s">
        <v>82</v>
      </c>
      <c r="E35" s="4" t="s">
        <v>82</v>
      </c>
      <c r="F35" s="4" t="s">
        <v>82</v>
      </c>
      <c r="G35" s="5">
        <v>78.2136</v>
      </c>
      <c r="H35" s="9"/>
      <c r="I35" s="9">
        <f t="shared" si="0"/>
        <v>36.760392</v>
      </c>
      <c r="J35" s="9">
        <f t="shared" si="1"/>
        <v>39.1068</v>
      </c>
      <c r="K35" s="9">
        <f t="shared" si="2"/>
        <v>43.01748</v>
      </c>
      <c r="L35" s="9">
        <f t="shared" si="3"/>
        <v>54.74952</v>
      </c>
      <c r="M35" s="9">
        <f t="shared" si="4"/>
        <v>66.48156</v>
      </c>
    </row>
    <row r="36" ht="27" spans="2:13">
      <c r="B36" t="s">
        <v>83</v>
      </c>
      <c r="C36" s="4" t="s">
        <v>84</v>
      </c>
      <c r="D36" s="4" t="s">
        <v>84</v>
      </c>
      <c r="E36" s="4" t="s">
        <v>84</v>
      </c>
      <c r="F36" s="4" t="s">
        <v>84</v>
      </c>
      <c r="G36" s="5">
        <v>48.96</v>
      </c>
      <c r="H36" s="9"/>
      <c r="I36" s="9">
        <f t="shared" si="0"/>
        <v>23.0112</v>
      </c>
      <c r="J36" s="9">
        <f t="shared" si="1"/>
        <v>24.48</v>
      </c>
      <c r="K36" s="9">
        <f t="shared" si="2"/>
        <v>26.928</v>
      </c>
      <c r="L36" s="9">
        <f t="shared" si="3"/>
        <v>34.272</v>
      </c>
      <c r="M36" s="9">
        <f t="shared" si="4"/>
        <v>41.616</v>
      </c>
    </row>
    <row r="37" ht="27" spans="2:13">
      <c r="B37" t="s">
        <v>85</v>
      </c>
      <c r="C37" s="4" t="s">
        <v>86</v>
      </c>
      <c r="D37" s="4" t="s">
        <v>86</v>
      </c>
      <c r="E37" s="4" t="s">
        <v>86</v>
      </c>
      <c r="F37" s="4" t="s">
        <v>86</v>
      </c>
      <c r="G37" s="5">
        <v>48.96</v>
      </c>
      <c r="H37" s="9"/>
      <c r="I37" s="9">
        <f t="shared" si="0"/>
        <v>23.0112</v>
      </c>
      <c r="J37" s="9">
        <f t="shared" si="1"/>
        <v>24.48</v>
      </c>
      <c r="K37" s="9">
        <f t="shared" si="2"/>
        <v>26.928</v>
      </c>
      <c r="L37" s="9">
        <f t="shared" si="3"/>
        <v>34.272</v>
      </c>
      <c r="M37" s="9">
        <f t="shared" si="4"/>
        <v>41.616</v>
      </c>
    </row>
    <row r="38" ht="40.5" spans="2:13">
      <c r="B38" t="s">
        <v>87</v>
      </c>
      <c r="C38" s="4" t="s">
        <v>88</v>
      </c>
      <c r="D38" s="4" t="s">
        <v>88</v>
      </c>
      <c r="E38" s="4" t="s">
        <v>88</v>
      </c>
      <c r="F38" s="4" t="s">
        <v>88</v>
      </c>
      <c r="G38" s="5">
        <v>74.4192</v>
      </c>
      <c r="H38" s="9"/>
      <c r="I38" s="9">
        <f t="shared" si="0"/>
        <v>34.977024</v>
      </c>
      <c r="J38" s="9">
        <f t="shared" si="1"/>
        <v>37.2096</v>
      </c>
      <c r="K38" s="9">
        <f t="shared" si="2"/>
        <v>40.93056</v>
      </c>
      <c r="L38" s="9">
        <f t="shared" si="3"/>
        <v>52.09344</v>
      </c>
      <c r="M38" s="9">
        <f t="shared" si="4"/>
        <v>63.25632</v>
      </c>
    </row>
    <row r="39" spans="2:13">
      <c r="B39" t="s">
        <v>89</v>
      </c>
      <c r="C39" s="4" t="s">
        <v>90</v>
      </c>
      <c r="D39" s="4" t="s">
        <v>90</v>
      </c>
      <c r="E39" s="4" t="s">
        <v>90</v>
      </c>
      <c r="F39" s="4" t="s">
        <v>90</v>
      </c>
      <c r="G39" s="5">
        <v>88.8624</v>
      </c>
      <c r="H39" s="9"/>
      <c r="I39" s="9">
        <f t="shared" si="0"/>
        <v>41.765328</v>
      </c>
      <c r="J39" s="9">
        <f t="shared" si="1"/>
        <v>44.4312</v>
      </c>
      <c r="K39" s="9">
        <f t="shared" si="2"/>
        <v>48.87432</v>
      </c>
      <c r="L39" s="9">
        <f t="shared" si="3"/>
        <v>62.20368</v>
      </c>
      <c r="M39" s="9">
        <f t="shared" si="4"/>
        <v>75.53304</v>
      </c>
    </row>
    <row r="40" spans="2:13">
      <c r="B40" t="s">
        <v>91</v>
      </c>
      <c r="C40" s="4" t="s">
        <v>92</v>
      </c>
      <c r="D40" s="4" t="s">
        <v>92</v>
      </c>
      <c r="E40" s="4" t="s">
        <v>92</v>
      </c>
      <c r="F40" s="4" t="s">
        <v>92</v>
      </c>
      <c r="G40" s="5">
        <v>63.4032</v>
      </c>
      <c r="H40" s="9"/>
      <c r="I40" s="9">
        <f t="shared" si="0"/>
        <v>29.799504</v>
      </c>
      <c r="J40" s="9">
        <f t="shared" si="1"/>
        <v>31.7016</v>
      </c>
      <c r="K40" s="9">
        <f t="shared" si="2"/>
        <v>34.87176</v>
      </c>
      <c r="L40" s="9">
        <f t="shared" si="3"/>
        <v>44.38224</v>
      </c>
      <c r="M40" s="9">
        <f t="shared" si="4"/>
        <v>53.89272</v>
      </c>
    </row>
    <row r="41" ht="40.5" spans="2:13">
      <c r="B41" t="s">
        <v>93</v>
      </c>
      <c r="C41" s="4" t="s">
        <v>94</v>
      </c>
      <c r="D41" s="4" t="s">
        <v>94</v>
      </c>
      <c r="E41" s="4" t="s">
        <v>94</v>
      </c>
      <c r="F41" s="4" t="s">
        <v>94</v>
      </c>
      <c r="G41" s="5">
        <v>54.1008</v>
      </c>
      <c r="H41" s="9"/>
      <c r="I41" s="9">
        <f t="shared" si="0"/>
        <v>25.427376</v>
      </c>
      <c r="J41" s="9">
        <f t="shared" si="1"/>
        <v>27.0504</v>
      </c>
      <c r="K41" s="9">
        <f t="shared" si="2"/>
        <v>29.75544</v>
      </c>
      <c r="L41" s="9">
        <f t="shared" si="3"/>
        <v>37.87056</v>
      </c>
      <c r="M41" s="9">
        <f t="shared" si="4"/>
        <v>45.98568</v>
      </c>
    </row>
    <row r="42" ht="27" spans="2:13">
      <c r="B42" t="s">
        <v>95</v>
      </c>
      <c r="C42" s="4" t="s">
        <v>96</v>
      </c>
      <c r="D42" s="4" t="s">
        <v>96</v>
      </c>
      <c r="E42" s="4" t="s">
        <v>96</v>
      </c>
      <c r="F42" s="4" t="s">
        <v>96</v>
      </c>
      <c r="G42" s="5">
        <v>54.1008</v>
      </c>
      <c r="H42" s="9"/>
      <c r="I42" s="9">
        <f t="shared" si="0"/>
        <v>25.427376</v>
      </c>
      <c r="J42" s="9">
        <f t="shared" si="1"/>
        <v>27.0504</v>
      </c>
      <c r="K42" s="9">
        <f t="shared" si="2"/>
        <v>29.75544</v>
      </c>
      <c r="L42" s="9">
        <f t="shared" si="3"/>
        <v>37.87056</v>
      </c>
      <c r="M42" s="9">
        <f t="shared" si="4"/>
        <v>45.98568</v>
      </c>
    </row>
    <row r="43" ht="40.5" spans="2:13">
      <c r="B43" t="s">
        <v>97</v>
      </c>
      <c r="C43" s="4" t="s">
        <v>98</v>
      </c>
      <c r="D43" s="4" t="s">
        <v>98</v>
      </c>
      <c r="E43" s="4" t="s">
        <v>98</v>
      </c>
      <c r="F43" s="4" t="s">
        <v>98</v>
      </c>
      <c r="G43" s="5">
        <v>82.026</v>
      </c>
      <c r="H43" s="9"/>
      <c r="I43" s="9">
        <f t="shared" si="0"/>
        <v>38.55222</v>
      </c>
      <c r="J43" s="9">
        <f t="shared" si="1"/>
        <v>41.013</v>
      </c>
      <c r="K43" s="9">
        <f t="shared" si="2"/>
        <v>45.1143</v>
      </c>
      <c r="L43" s="9">
        <f t="shared" si="3"/>
        <v>57.4182</v>
      </c>
      <c r="M43" s="9">
        <f t="shared" si="4"/>
        <v>69.7221</v>
      </c>
    </row>
    <row r="44" ht="27" spans="2:13">
      <c r="B44" t="s">
        <v>99</v>
      </c>
      <c r="C44" s="4" t="s">
        <v>100</v>
      </c>
      <c r="D44" s="4" t="s">
        <v>100</v>
      </c>
      <c r="E44" s="4" t="s">
        <v>100</v>
      </c>
      <c r="F44" s="4" t="s">
        <v>100</v>
      </c>
      <c r="G44" s="5">
        <v>96.894</v>
      </c>
      <c r="H44" s="9"/>
      <c r="I44" s="9">
        <f t="shared" si="0"/>
        <v>45.54018</v>
      </c>
      <c r="J44" s="9">
        <f t="shared" si="1"/>
        <v>48.447</v>
      </c>
      <c r="K44" s="9">
        <f t="shared" si="2"/>
        <v>53.2917</v>
      </c>
      <c r="L44" s="9">
        <f t="shared" si="3"/>
        <v>67.8258</v>
      </c>
      <c r="M44" s="9">
        <f t="shared" si="4"/>
        <v>82.3599</v>
      </c>
    </row>
    <row r="45" spans="2:13">
      <c r="B45" t="s">
        <v>101</v>
      </c>
      <c r="C45" s="4" t="s">
        <v>102</v>
      </c>
      <c r="D45" s="4" t="s">
        <v>102</v>
      </c>
      <c r="E45" s="4" t="s">
        <v>102</v>
      </c>
      <c r="F45" s="4" t="s">
        <v>102</v>
      </c>
      <c r="G45" s="5">
        <v>70.434</v>
      </c>
      <c r="H45" s="9"/>
      <c r="I45" s="9">
        <f t="shared" si="0"/>
        <v>33.10398</v>
      </c>
      <c r="J45" s="9">
        <f t="shared" si="1"/>
        <v>35.217</v>
      </c>
      <c r="K45" s="9">
        <f t="shared" si="2"/>
        <v>38.7387</v>
      </c>
      <c r="L45" s="9">
        <f t="shared" si="3"/>
        <v>49.3038</v>
      </c>
      <c r="M45" s="9">
        <f t="shared" si="4"/>
        <v>59.8689</v>
      </c>
    </row>
    <row r="46" ht="27" spans="2:13">
      <c r="B46" t="s">
        <v>103</v>
      </c>
      <c r="C46" s="4" t="s">
        <v>104</v>
      </c>
      <c r="D46" s="4" t="s">
        <v>104</v>
      </c>
      <c r="E46" s="4" t="s">
        <v>104</v>
      </c>
      <c r="F46" s="4" t="s">
        <v>104</v>
      </c>
      <c r="G46" s="5">
        <v>84.924</v>
      </c>
      <c r="H46" s="9"/>
      <c r="I46" s="9">
        <f t="shared" si="0"/>
        <v>39.91428</v>
      </c>
      <c r="J46" s="9">
        <f t="shared" si="1"/>
        <v>42.462</v>
      </c>
      <c r="K46" s="9">
        <f t="shared" si="2"/>
        <v>46.7082</v>
      </c>
      <c r="L46" s="9">
        <f t="shared" si="3"/>
        <v>59.4468</v>
      </c>
      <c r="M46" s="9">
        <f t="shared" si="4"/>
        <v>72.1854</v>
      </c>
    </row>
    <row r="47" ht="40.5" spans="2:13">
      <c r="B47" t="s">
        <v>105</v>
      </c>
      <c r="C47" s="4" t="s">
        <v>106</v>
      </c>
      <c r="D47" s="4" t="s">
        <v>106</v>
      </c>
      <c r="E47" s="4" t="s">
        <v>106</v>
      </c>
      <c r="F47" s="4" t="s">
        <v>106</v>
      </c>
      <c r="G47" s="5">
        <v>111.258</v>
      </c>
      <c r="H47" s="9"/>
      <c r="I47" s="9">
        <f t="shared" si="0"/>
        <v>52.29126</v>
      </c>
      <c r="J47" s="9">
        <f t="shared" si="1"/>
        <v>55.629</v>
      </c>
      <c r="K47" s="9">
        <f t="shared" si="2"/>
        <v>61.1919</v>
      </c>
      <c r="L47" s="9">
        <f t="shared" si="3"/>
        <v>77.8806</v>
      </c>
      <c r="M47" s="9">
        <f t="shared" si="4"/>
        <v>94.5693</v>
      </c>
    </row>
    <row r="48" ht="40.5" spans="2:13">
      <c r="B48" t="s">
        <v>107</v>
      </c>
      <c r="C48" s="4" t="s">
        <v>108</v>
      </c>
      <c r="D48" s="4" t="s">
        <v>108</v>
      </c>
      <c r="E48" s="4" t="s">
        <v>108</v>
      </c>
      <c r="F48" s="4" t="s">
        <v>108</v>
      </c>
      <c r="G48" s="5">
        <v>89.964</v>
      </c>
      <c r="H48" s="9"/>
      <c r="I48" s="9">
        <f t="shared" si="0"/>
        <v>42.28308</v>
      </c>
      <c r="J48" s="9">
        <f t="shared" si="1"/>
        <v>44.982</v>
      </c>
      <c r="K48" s="9">
        <f t="shared" si="2"/>
        <v>49.4802</v>
      </c>
      <c r="L48" s="9">
        <f t="shared" si="3"/>
        <v>62.9748</v>
      </c>
      <c r="M48" s="9">
        <f t="shared" si="4"/>
        <v>76.4694</v>
      </c>
    </row>
    <row r="49" ht="40.5" spans="2:13">
      <c r="B49" t="s">
        <v>109</v>
      </c>
      <c r="C49" s="4" t="s">
        <v>110</v>
      </c>
      <c r="D49" s="4" t="s">
        <v>110</v>
      </c>
      <c r="E49" s="4" t="s">
        <v>110</v>
      </c>
      <c r="F49" s="4" t="s">
        <v>110</v>
      </c>
      <c r="G49" s="5">
        <v>116.676</v>
      </c>
      <c r="H49" s="9"/>
      <c r="I49" s="9">
        <f t="shared" si="0"/>
        <v>54.83772</v>
      </c>
      <c r="J49" s="9">
        <f t="shared" si="1"/>
        <v>58.338</v>
      </c>
      <c r="K49" s="9">
        <f t="shared" si="2"/>
        <v>64.1718</v>
      </c>
      <c r="L49" s="9">
        <f t="shared" si="3"/>
        <v>81.6732</v>
      </c>
      <c r="M49" s="9">
        <f t="shared" si="4"/>
        <v>99.1746</v>
      </c>
    </row>
    <row r="50" ht="27" spans="2:13">
      <c r="B50" t="s">
        <v>111</v>
      </c>
      <c r="C50" s="4" t="s">
        <v>112</v>
      </c>
      <c r="D50" s="4" t="s">
        <v>112</v>
      </c>
      <c r="E50" s="4" t="s">
        <v>112</v>
      </c>
      <c r="F50" s="4" t="s">
        <v>112</v>
      </c>
      <c r="G50" s="5">
        <v>119.196</v>
      </c>
      <c r="H50" s="9"/>
      <c r="I50" s="9">
        <f t="shared" si="0"/>
        <v>56.02212</v>
      </c>
      <c r="J50" s="9">
        <f t="shared" si="1"/>
        <v>59.598</v>
      </c>
      <c r="K50" s="9">
        <f t="shared" si="2"/>
        <v>65.5578</v>
      </c>
      <c r="L50" s="9">
        <f t="shared" si="3"/>
        <v>83.4372</v>
      </c>
      <c r="M50" s="9">
        <f t="shared" si="4"/>
        <v>101.3166</v>
      </c>
    </row>
    <row r="51" ht="40.5" spans="2:13">
      <c r="B51" t="s">
        <v>113</v>
      </c>
      <c r="C51" s="4" t="s">
        <v>114</v>
      </c>
      <c r="D51" s="4" t="s">
        <v>114</v>
      </c>
      <c r="E51" s="4" t="s">
        <v>114</v>
      </c>
      <c r="F51" s="4" t="s">
        <v>114</v>
      </c>
      <c r="G51" s="5">
        <v>145.782</v>
      </c>
      <c r="H51" s="9"/>
      <c r="I51" s="9">
        <f t="shared" si="0"/>
        <v>68.51754</v>
      </c>
      <c r="J51" s="9">
        <f t="shared" si="1"/>
        <v>72.891</v>
      </c>
      <c r="K51" s="9">
        <f t="shared" si="2"/>
        <v>80.1801</v>
      </c>
      <c r="L51" s="9">
        <f t="shared" si="3"/>
        <v>102.0474</v>
      </c>
      <c r="M51" s="9">
        <f t="shared" si="4"/>
        <v>123.9147</v>
      </c>
    </row>
    <row r="52" ht="40.5" spans="2:13">
      <c r="B52" t="s">
        <v>115</v>
      </c>
      <c r="C52" s="4" t="s">
        <v>116</v>
      </c>
      <c r="D52" s="4" t="s">
        <v>116</v>
      </c>
      <c r="E52" s="4" t="s">
        <v>116</v>
      </c>
      <c r="F52" s="4" t="s">
        <v>116</v>
      </c>
      <c r="G52" s="5">
        <v>124.488</v>
      </c>
      <c r="H52" s="9"/>
      <c r="I52" s="9">
        <f t="shared" si="0"/>
        <v>58.50936</v>
      </c>
      <c r="J52" s="9">
        <f t="shared" si="1"/>
        <v>62.244</v>
      </c>
      <c r="K52" s="9">
        <f t="shared" si="2"/>
        <v>68.4684</v>
      </c>
      <c r="L52" s="9">
        <f t="shared" si="3"/>
        <v>87.1416</v>
      </c>
      <c r="M52" s="9">
        <f t="shared" si="4"/>
        <v>105.8148</v>
      </c>
    </row>
    <row r="53" ht="40.5" spans="2:13">
      <c r="B53" t="s">
        <v>117</v>
      </c>
      <c r="C53" s="4" t="s">
        <v>118</v>
      </c>
      <c r="D53" s="4" t="s">
        <v>118</v>
      </c>
      <c r="E53" s="4" t="s">
        <v>118</v>
      </c>
      <c r="F53" s="4" t="s">
        <v>118</v>
      </c>
      <c r="G53" s="5">
        <v>150.948</v>
      </c>
      <c r="H53" s="9"/>
      <c r="I53" s="9">
        <f t="shared" si="0"/>
        <v>70.94556</v>
      </c>
      <c r="J53" s="9">
        <f t="shared" si="1"/>
        <v>75.474</v>
      </c>
      <c r="K53" s="9">
        <f t="shared" si="2"/>
        <v>83.0214</v>
      </c>
      <c r="L53" s="9">
        <f t="shared" si="3"/>
        <v>105.6636</v>
      </c>
      <c r="M53" s="9">
        <f t="shared" si="4"/>
        <v>128.3058</v>
      </c>
    </row>
    <row r="54" spans="2:13">
      <c r="B54" t="s">
        <v>119</v>
      </c>
      <c r="C54" s="4" t="s">
        <v>120</v>
      </c>
      <c r="D54" s="4" t="s">
        <v>120</v>
      </c>
      <c r="E54" s="4" t="s">
        <v>120</v>
      </c>
      <c r="F54" s="4" t="s">
        <v>120</v>
      </c>
      <c r="G54" s="5">
        <v>50.4</v>
      </c>
      <c r="H54" s="9"/>
      <c r="I54" s="9">
        <f t="shared" si="0"/>
        <v>23.688</v>
      </c>
      <c r="J54" s="9">
        <f t="shared" si="1"/>
        <v>25.2</v>
      </c>
      <c r="K54" s="9">
        <f t="shared" si="2"/>
        <v>27.72</v>
      </c>
      <c r="L54" s="9">
        <f t="shared" si="3"/>
        <v>35.28</v>
      </c>
      <c r="M54" s="9">
        <f t="shared" si="4"/>
        <v>42.84</v>
      </c>
    </row>
    <row r="55" ht="27" spans="2:13">
      <c r="B55" t="s">
        <v>121</v>
      </c>
      <c r="C55" s="4" t="s">
        <v>122</v>
      </c>
      <c r="D55" s="4" t="s">
        <v>122</v>
      </c>
      <c r="E55" s="4" t="s">
        <v>122</v>
      </c>
      <c r="F55" s="4" t="s">
        <v>122</v>
      </c>
      <c r="G55" s="5">
        <v>60.858</v>
      </c>
      <c r="H55" s="9"/>
      <c r="I55" s="9">
        <f t="shared" si="0"/>
        <v>28.60326</v>
      </c>
      <c r="J55" s="9">
        <f t="shared" si="1"/>
        <v>30.429</v>
      </c>
      <c r="K55" s="9">
        <f t="shared" si="2"/>
        <v>33.4719</v>
      </c>
      <c r="L55" s="9">
        <f t="shared" si="3"/>
        <v>42.6006</v>
      </c>
      <c r="M55" s="9">
        <f t="shared" si="4"/>
        <v>51.7293</v>
      </c>
    </row>
    <row r="56" spans="2:13">
      <c r="B56" t="s">
        <v>123</v>
      </c>
      <c r="C56" s="4" t="s">
        <v>124</v>
      </c>
      <c r="D56" s="4" t="s">
        <v>124</v>
      </c>
      <c r="E56" s="4" t="s">
        <v>124</v>
      </c>
      <c r="F56" s="4" t="s">
        <v>124</v>
      </c>
      <c r="G56" s="5">
        <v>104.2083</v>
      </c>
      <c r="H56" s="9"/>
      <c r="I56" s="9">
        <f t="shared" si="0"/>
        <v>48.977901</v>
      </c>
      <c r="J56" s="9">
        <f t="shared" si="1"/>
        <v>52.10415</v>
      </c>
      <c r="K56" s="9">
        <f t="shared" si="2"/>
        <v>57.314565</v>
      </c>
      <c r="L56" s="9">
        <f t="shared" si="3"/>
        <v>72.94581</v>
      </c>
      <c r="M56" s="9">
        <f t="shared" si="4"/>
        <v>88.577055</v>
      </c>
    </row>
    <row r="57" spans="2:13">
      <c r="B57" t="s">
        <v>125</v>
      </c>
      <c r="C57" s="4" t="s">
        <v>126</v>
      </c>
      <c r="D57" s="4" t="s">
        <v>126</v>
      </c>
      <c r="E57" s="4" t="s">
        <v>126</v>
      </c>
      <c r="F57" s="4" t="s">
        <v>126</v>
      </c>
      <c r="G57" s="5">
        <v>204.3468</v>
      </c>
      <c r="H57" s="9"/>
      <c r="I57" s="9">
        <f t="shared" si="0"/>
        <v>96.042996</v>
      </c>
      <c r="J57" s="9">
        <f t="shared" si="1"/>
        <v>102.1734</v>
      </c>
      <c r="K57" s="9">
        <f t="shared" si="2"/>
        <v>112.39074</v>
      </c>
      <c r="L57" s="9">
        <f t="shared" si="3"/>
        <v>143.04276</v>
      </c>
      <c r="M57" s="9">
        <f t="shared" si="4"/>
        <v>173.69478</v>
      </c>
    </row>
    <row r="58" ht="27" spans="2:13">
      <c r="B58" t="s">
        <v>127</v>
      </c>
      <c r="C58" s="4" t="s">
        <v>128</v>
      </c>
      <c r="D58" s="4" t="s">
        <v>128</v>
      </c>
      <c r="E58" s="4" t="s">
        <v>128</v>
      </c>
      <c r="F58" s="4" t="s">
        <v>128</v>
      </c>
      <c r="G58" s="5">
        <v>44.856</v>
      </c>
      <c r="H58" s="9"/>
      <c r="I58" s="9">
        <f t="shared" si="0"/>
        <v>21.08232</v>
      </c>
      <c r="J58" s="9">
        <f t="shared" si="1"/>
        <v>22.428</v>
      </c>
      <c r="K58" s="9">
        <f t="shared" si="2"/>
        <v>24.6708</v>
      </c>
      <c r="L58" s="9">
        <f t="shared" si="3"/>
        <v>31.3992</v>
      </c>
      <c r="M58" s="9">
        <f t="shared" si="4"/>
        <v>38.1276</v>
      </c>
    </row>
    <row r="59" ht="27" spans="2:13">
      <c r="B59" t="s">
        <v>129</v>
      </c>
      <c r="C59" s="4" t="s">
        <v>130</v>
      </c>
      <c r="D59" s="4" t="s">
        <v>130</v>
      </c>
      <c r="E59" s="4" t="s">
        <v>130</v>
      </c>
      <c r="F59" s="4" t="s">
        <v>130</v>
      </c>
      <c r="G59" s="5">
        <v>50.4</v>
      </c>
      <c r="H59" s="9"/>
      <c r="I59" s="9">
        <f t="shared" si="0"/>
        <v>23.688</v>
      </c>
      <c r="J59" s="9">
        <f t="shared" si="1"/>
        <v>25.2</v>
      </c>
      <c r="K59" s="9">
        <f t="shared" si="2"/>
        <v>27.72</v>
      </c>
      <c r="L59" s="9">
        <f t="shared" si="3"/>
        <v>35.28</v>
      </c>
      <c r="M59" s="9">
        <f t="shared" si="4"/>
        <v>42.84</v>
      </c>
    </row>
    <row r="60" ht="27" spans="2:13">
      <c r="B60" t="s">
        <v>131</v>
      </c>
      <c r="C60" s="4" t="s">
        <v>132</v>
      </c>
      <c r="D60" s="4" t="s">
        <v>132</v>
      </c>
      <c r="E60" s="4" t="s">
        <v>132</v>
      </c>
      <c r="F60" s="4" t="s">
        <v>132</v>
      </c>
      <c r="G60" s="5">
        <v>55.692</v>
      </c>
      <c r="H60" s="9"/>
      <c r="I60" s="9">
        <f t="shared" si="0"/>
        <v>26.17524</v>
      </c>
      <c r="J60" s="9">
        <f t="shared" si="1"/>
        <v>27.846</v>
      </c>
      <c r="K60" s="9">
        <f t="shared" si="2"/>
        <v>30.6306</v>
      </c>
      <c r="L60" s="9">
        <f t="shared" si="3"/>
        <v>38.9844</v>
      </c>
      <c r="M60" s="9">
        <f t="shared" si="4"/>
        <v>47.3382</v>
      </c>
    </row>
    <row r="61" ht="27" spans="2:13">
      <c r="B61" t="s">
        <v>133</v>
      </c>
      <c r="C61" s="4" t="s">
        <v>134</v>
      </c>
      <c r="D61" s="4" t="s">
        <v>134</v>
      </c>
      <c r="E61" s="4" t="s">
        <v>134</v>
      </c>
      <c r="F61" s="4" t="s">
        <v>134</v>
      </c>
      <c r="G61" s="5">
        <v>53.928</v>
      </c>
      <c r="H61" s="9"/>
      <c r="I61" s="9">
        <f t="shared" si="0"/>
        <v>25.34616</v>
      </c>
      <c r="J61" s="9">
        <f t="shared" si="1"/>
        <v>26.964</v>
      </c>
      <c r="K61" s="9">
        <f t="shared" si="2"/>
        <v>29.6604</v>
      </c>
      <c r="L61" s="9">
        <f t="shared" si="3"/>
        <v>37.7496</v>
      </c>
      <c r="M61" s="9">
        <f t="shared" si="4"/>
        <v>45.8388</v>
      </c>
    </row>
    <row r="62" ht="27" spans="2:13">
      <c r="B62" t="s">
        <v>135</v>
      </c>
      <c r="C62" s="4" t="s">
        <v>136</v>
      </c>
      <c r="D62" s="4" t="s">
        <v>136</v>
      </c>
      <c r="E62" s="4" t="s">
        <v>136</v>
      </c>
      <c r="F62" s="4" t="s">
        <v>136</v>
      </c>
      <c r="G62" s="5">
        <v>55.818</v>
      </c>
      <c r="H62" s="9"/>
      <c r="I62" s="9">
        <f t="shared" si="0"/>
        <v>26.23446</v>
      </c>
      <c r="J62" s="9">
        <f t="shared" si="1"/>
        <v>27.909</v>
      </c>
      <c r="K62" s="9">
        <f t="shared" si="2"/>
        <v>30.6999</v>
      </c>
      <c r="L62" s="9">
        <f t="shared" si="3"/>
        <v>39.0726</v>
      </c>
      <c r="M62" s="9">
        <f t="shared" si="4"/>
        <v>47.4453</v>
      </c>
    </row>
    <row r="63" ht="27" spans="2:13">
      <c r="B63" t="s">
        <v>137</v>
      </c>
      <c r="C63" s="4" t="s">
        <v>138</v>
      </c>
      <c r="D63" s="4" t="s">
        <v>138</v>
      </c>
      <c r="E63" s="4" t="s">
        <v>138</v>
      </c>
      <c r="F63" s="4" t="s">
        <v>138</v>
      </c>
      <c r="G63" s="5">
        <v>68.67</v>
      </c>
      <c r="H63" s="9"/>
      <c r="I63" s="9">
        <f t="shared" si="0"/>
        <v>32.2749</v>
      </c>
      <c r="J63" s="9">
        <f t="shared" si="1"/>
        <v>34.335</v>
      </c>
      <c r="K63" s="9">
        <f t="shared" si="2"/>
        <v>37.7685</v>
      </c>
      <c r="L63" s="9">
        <f t="shared" si="3"/>
        <v>48.069</v>
      </c>
      <c r="M63" s="9">
        <f t="shared" si="4"/>
        <v>58.3695</v>
      </c>
    </row>
    <row r="64" spans="2:13">
      <c r="B64" t="s">
        <v>139</v>
      </c>
      <c r="C64" s="4" t="s">
        <v>140</v>
      </c>
      <c r="D64" s="4" t="s">
        <v>140</v>
      </c>
      <c r="E64" s="4" t="s">
        <v>140</v>
      </c>
      <c r="F64" s="4" t="s">
        <v>140</v>
      </c>
      <c r="G64" s="5">
        <v>68.67</v>
      </c>
      <c r="H64" s="9"/>
      <c r="I64" s="9">
        <f t="shared" si="0"/>
        <v>32.2749</v>
      </c>
      <c r="J64" s="9">
        <f t="shared" si="1"/>
        <v>34.335</v>
      </c>
      <c r="K64" s="9">
        <f t="shared" si="2"/>
        <v>37.7685</v>
      </c>
      <c r="L64" s="9">
        <f t="shared" si="3"/>
        <v>48.069</v>
      </c>
      <c r="M64" s="9">
        <f t="shared" si="4"/>
        <v>58.3695</v>
      </c>
    </row>
    <row r="65" ht="40.5" spans="2:13">
      <c r="B65" t="s">
        <v>141</v>
      </c>
      <c r="C65" s="4" t="s">
        <v>142</v>
      </c>
      <c r="D65" s="4" t="s">
        <v>142</v>
      </c>
      <c r="E65" s="4" t="s">
        <v>142</v>
      </c>
      <c r="F65" s="4" t="s">
        <v>142</v>
      </c>
      <c r="G65" s="5">
        <v>95.382</v>
      </c>
      <c r="H65" s="9"/>
      <c r="I65" s="9">
        <f t="shared" si="0"/>
        <v>44.82954</v>
      </c>
      <c r="J65" s="9">
        <f t="shared" si="1"/>
        <v>47.691</v>
      </c>
      <c r="K65" s="9">
        <f t="shared" si="2"/>
        <v>52.4601</v>
      </c>
      <c r="L65" s="9">
        <f t="shared" si="3"/>
        <v>66.7674</v>
      </c>
      <c r="M65" s="9">
        <f t="shared" si="4"/>
        <v>81.0747</v>
      </c>
    </row>
    <row r="66" ht="27" spans="2:13">
      <c r="B66" t="s">
        <v>143</v>
      </c>
      <c r="C66" s="4" t="s">
        <v>144</v>
      </c>
      <c r="D66" s="4" t="s">
        <v>144</v>
      </c>
      <c r="E66" s="4" t="s">
        <v>144</v>
      </c>
      <c r="F66" s="4" t="s">
        <v>144</v>
      </c>
      <c r="G66" s="5">
        <v>110.25</v>
      </c>
      <c r="H66" s="9"/>
      <c r="I66" s="9">
        <f t="shared" si="0"/>
        <v>51.8175</v>
      </c>
      <c r="J66" s="9">
        <f t="shared" si="1"/>
        <v>55.125</v>
      </c>
      <c r="K66" s="9">
        <f t="shared" si="2"/>
        <v>60.6375</v>
      </c>
      <c r="L66" s="9">
        <f t="shared" si="3"/>
        <v>77.175</v>
      </c>
      <c r="M66" s="9">
        <f t="shared" si="4"/>
        <v>93.7125</v>
      </c>
    </row>
    <row r="67" spans="2:13">
      <c r="B67" t="s">
        <v>145</v>
      </c>
      <c r="C67" s="4" t="s">
        <v>146</v>
      </c>
      <c r="D67" s="4" t="s">
        <v>146</v>
      </c>
      <c r="E67" s="4" t="s">
        <v>146</v>
      </c>
      <c r="F67" s="4" t="s">
        <v>146</v>
      </c>
      <c r="G67" s="5">
        <v>83.538</v>
      </c>
      <c r="H67" s="9"/>
      <c r="I67" s="9">
        <f t="shared" ref="I67:I130" si="5">G67*0.47</f>
        <v>39.26286</v>
      </c>
      <c r="J67" s="9">
        <f t="shared" ref="J67:J130" si="6">G67*0.5</f>
        <v>41.769</v>
      </c>
      <c r="K67" s="9">
        <f t="shared" ref="K67:K130" si="7">G67*0.55</f>
        <v>45.9459</v>
      </c>
      <c r="L67" s="9">
        <f t="shared" ref="L67:L130" si="8">G67*0.7</f>
        <v>58.4766</v>
      </c>
      <c r="M67" s="9">
        <f t="shared" ref="M67:M130" si="9">G67*0.85</f>
        <v>71.0073</v>
      </c>
    </row>
    <row r="68" ht="40.5" spans="2:13">
      <c r="B68" t="s">
        <v>147</v>
      </c>
      <c r="C68" s="4" t="s">
        <v>148</v>
      </c>
      <c r="D68" s="4" t="s">
        <v>148</v>
      </c>
      <c r="E68" s="4" t="s">
        <v>148</v>
      </c>
      <c r="F68" s="4" t="s">
        <v>148</v>
      </c>
      <c r="G68" s="5">
        <v>74.088</v>
      </c>
      <c r="H68" s="9"/>
      <c r="I68" s="9">
        <f t="shared" si="5"/>
        <v>34.82136</v>
      </c>
      <c r="J68" s="9">
        <f t="shared" si="6"/>
        <v>37.044</v>
      </c>
      <c r="K68" s="9">
        <f t="shared" si="7"/>
        <v>40.7484</v>
      </c>
      <c r="L68" s="9">
        <f t="shared" si="8"/>
        <v>51.8616</v>
      </c>
      <c r="M68" s="9">
        <f t="shared" si="9"/>
        <v>62.9748</v>
      </c>
    </row>
    <row r="69" ht="27" spans="2:13">
      <c r="B69" t="s">
        <v>149</v>
      </c>
      <c r="C69" s="4" t="s">
        <v>150</v>
      </c>
      <c r="D69" s="4" t="s">
        <v>150</v>
      </c>
      <c r="E69" s="4" t="s">
        <v>150</v>
      </c>
      <c r="F69" s="4" t="s">
        <v>150</v>
      </c>
      <c r="G69" s="5">
        <v>74.088</v>
      </c>
      <c r="H69" s="9"/>
      <c r="I69" s="9">
        <f t="shared" si="5"/>
        <v>34.82136</v>
      </c>
      <c r="J69" s="9">
        <f t="shared" si="6"/>
        <v>37.044</v>
      </c>
      <c r="K69" s="9">
        <f t="shared" si="7"/>
        <v>40.7484</v>
      </c>
      <c r="L69" s="9">
        <f t="shared" si="8"/>
        <v>51.8616</v>
      </c>
      <c r="M69" s="9">
        <f t="shared" si="9"/>
        <v>62.9748</v>
      </c>
    </row>
    <row r="70" ht="40.5" spans="2:13">
      <c r="B70" t="s">
        <v>151</v>
      </c>
      <c r="C70" s="4" t="s">
        <v>152</v>
      </c>
      <c r="D70" s="4" t="s">
        <v>152</v>
      </c>
      <c r="E70" s="4" t="s">
        <v>152</v>
      </c>
      <c r="F70" s="4" t="s">
        <v>152</v>
      </c>
      <c r="G70" s="5">
        <v>97.6752</v>
      </c>
      <c r="H70" s="9"/>
      <c r="I70" s="9">
        <f t="shared" si="5"/>
        <v>45.907344</v>
      </c>
      <c r="J70" s="9">
        <f t="shared" si="6"/>
        <v>48.8376</v>
      </c>
      <c r="K70" s="9">
        <f t="shared" si="7"/>
        <v>53.72136</v>
      </c>
      <c r="L70" s="9">
        <f t="shared" si="8"/>
        <v>68.37264</v>
      </c>
      <c r="M70" s="9">
        <f t="shared" si="9"/>
        <v>83.02392</v>
      </c>
    </row>
    <row r="71" ht="27" spans="2:13">
      <c r="B71" t="s">
        <v>153</v>
      </c>
      <c r="C71" s="4" t="s">
        <v>154</v>
      </c>
      <c r="D71" s="4" t="s">
        <v>154</v>
      </c>
      <c r="E71" s="4" t="s">
        <v>154</v>
      </c>
      <c r="F71" s="4" t="s">
        <v>154</v>
      </c>
      <c r="G71" s="5">
        <v>112.1184</v>
      </c>
      <c r="H71" s="9"/>
      <c r="I71" s="9">
        <f t="shared" si="5"/>
        <v>52.695648</v>
      </c>
      <c r="J71" s="9">
        <f t="shared" si="6"/>
        <v>56.0592</v>
      </c>
      <c r="K71" s="9">
        <f t="shared" si="7"/>
        <v>61.66512</v>
      </c>
      <c r="L71" s="9">
        <f t="shared" si="8"/>
        <v>78.48288</v>
      </c>
      <c r="M71" s="9">
        <f t="shared" si="9"/>
        <v>95.30064</v>
      </c>
    </row>
    <row r="72" ht="27" spans="2:13">
      <c r="B72" t="s">
        <v>155</v>
      </c>
      <c r="C72" s="4" t="s">
        <v>156</v>
      </c>
      <c r="D72" s="4" t="s">
        <v>156</v>
      </c>
      <c r="E72" s="4" t="s">
        <v>156</v>
      </c>
      <c r="F72" s="4" t="s">
        <v>156</v>
      </c>
      <c r="G72" s="5">
        <v>86.292</v>
      </c>
      <c r="H72" s="9"/>
      <c r="I72" s="9">
        <f t="shared" si="5"/>
        <v>40.55724</v>
      </c>
      <c r="J72" s="9">
        <f t="shared" si="6"/>
        <v>43.146</v>
      </c>
      <c r="K72" s="9">
        <f t="shared" si="7"/>
        <v>47.4606</v>
      </c>
      <c r="L72" s="9">
        <f t="shared" si="8"/>
        <v>60.4044</v>
      </c>
      <c r="M72" s="9">
        <f t="shared" si="9"/>
        <v>73.3482</v>
      </c>
    </row>
    <row r="73" ht="27" spans="2:13">
      <c r="B73" t="s">
        <v>157</v>
      </c>
      <c r="C73" s="4" t="s">
        <v>158</v>
      </c>
      <c r="D73" s="4" t="s">
        <v>158</v>
      </c>
      <c r="E73" s="4" t="s">
        <v>158</v>
      </c>
      <c r="F73" s="4" t="s">
        <v>158</v>
      </c>
      <c r="G73" s="5">
        <v>71.0226</v>
      </c>
      <c r="H73" s="9"/>
      <c r="I73" s="9">
        <f t="shared" si="5"/>
        <v>33.380622</v>
      </c>
      <c r="J73" s="9">
        <f t="shared" si="6"/>
        <v>35.5113</v>
      </c>
      <c r="K73" s="9">
        <f t="shared" si="7"/>
        <v>39.06243</v>
      </c>
      <c r="L73" s="9">
        <f t="shared" si="8"/>
        <v>49.71582</v>
      </c>
      <c r="M73" s="9">
        <f t="shared" si="9"/>
        <v>60.36921</v>
      </c>
    </row>
    <row r="74" ht="27" spans="2:13">
      <c r="B74" t="s">
        <v>159</v>
      </c>
      <c r="C74" s="4" t="s">
        <v>160</v>
      </c>
      <c r="D74" s="4" t="s">
        <v>160</v>
      </c>
      <c r="E74" s="4" t="s">
        <v>160</v>
      </c>
      <c r="F74" s="4" t="s">
        <v>160</v>
      </c>
      <c r="G74" s="5">
        <v>147.0432</v>
      </c>
      <c r="H74" s="9"/>
      <c r="I74" s="9">
        <f t="shared" si="5"/>
        <v>69.110304</v>
      </c>
      <c r="J74" s="9">
        <f t="shared" si="6"/>
        <v>73.5216</v>
      </c>
      <c r="K74" s="9">
        <f t="shared" si="7"/>
        <v>80.87376</v>
      </c>
      <c r="L74" s="9">
        <f t="shared" si="8"/>
        <v>102.93024</v>
      </c>
      <c r="M74" s="9">
        <f t="shared" si="9"/>
        <v>124.98672</v>
      </c>
    </row>
    <row r="75" spans="2:13">
      <c r="B75" t="s">
        <v>161</v>
      </c>
      <c r="C75" s="4" t="s">
        <v>162</v>
      </c>
      <c r="D75" s="4" t="s">
        <v>162</v>
      </c>
      <c r="E75" s="4" t="s">
        <v>162</v>
      </c>
      <c r="F75" s="4" t="s">
        <v>162</v>
      </c>
      <c r="G75" s="5">
        <v>124.3176</v>
      </c>
      <c r="H75" s="9"/>
      <c r="I75" s="9">
        <f t="shared" si="5"/>
        <v>58.429272</v>
      </c>
      <c r="J75" s="9">
        <f t="shared" si="6"/>
        <v>62.1588</v>
      </c>
      <c r="K75" s="9">
        <f t="shared" si="7"/>
        <v>68.37468</v>
      </c>
      <c r="L75" s="9">
        <f t="shared" si="8"/>
        <v>87.02232</v>
      </c>
      <c r="M75" s="9">
        <f t="shared" si="9"/>
        <v>105.66996</v>
      </c>
    </row>
    <row r="76" ht="27" spans="2:13">
      <c r="B76" t="s">
        <v>163</v>
      </c>
      <c r="C76" s="4" t="s">
        <v>164</v>
      </c>
      <c r="D76" s="4" t="s">
        <v>164</v>
      </c>
      <c r="E76" s="4" t="s">
        <v>164</v>
      </c>
      <c r="F76" s="4" t="s">
        <v>164</v>
      </c>
      <c r="G76" s="5">
        <v>88.74</v>
      </c>
      <c r="H76" s="9"/>
      <c r="I76" s="9">
        <f t="shared" si="5"/>
        <v>41.7078</v>
      </c>
      <c r="J76" s="9">
        <f t="shared" si="6"/>
        <v>44.37</v>
      </c>
      <c r="K76" s="9">
        <f t="shared" si="7"/>
        <v>48.807</v>
      </c>
      <c r="L76" s="9">
        <f t="shared" si="8"/>
        <v>62.118</v>
      </c>
      <c r="M76" s="9">
        <f t="shared" si="9"/>
        <v>75.429</v>
      </c>
    </row>
    <row r="77" ht="27" spans="2:13">
      <c r="B77" t="s">
        <v>165</v>
      </c>
      <c r="C77" s="4" t="s">
        <v>166</v>
      </c>
      <c r="D77" s="4" t="s">
        <v>166</v>
      </c>
      <c r="E77" s="4" t="s">
        <v>166</v>
      </c>
      <c r="F77" s="4" t="s">
        <v>166</v>
      </c>
      <c r="G77" s="5">
        <v>159</v>
      </c>
      <c r="H77" s="9"/>
      <c r="I77" s="9">
        <f t="shared" si="5"/>
        <v>74.73</v>
      </c>
      <c r="J77" s="9">
        <f t="shared" si="6"/>
        <v>79.5</v>
      </c>
      <c r="K77" s="9">
        <f t="shared" si="7"/>
        <v>87.45</v>
      </c>
      <c r="L77" s="9">
        <f t="shared" si="8"/>
        <v>111.3</v>
      </c>
      <c r="M77" s="9">
        <f t="shared" si="9"/>
        <v>135.15</v>
      </c>
    </row>
    <row r="78" ht="27" spans="2:13">
      <c r="B78" t="s">
        <v>167</v>
      </c>
      <c r="C78" s="4" t="s">
        <v>168</v>
      </c>
      <c r="D78" s="4" t="s">
        <v>168</v>
      </c>
      <c r="E78" s="4" t="s">
        <v>168</v>
      </c>
      <c r="F78" s="4" t="s">
        <v>168</v>
      </c>
      <c r="G78" s="5">
        <v>118.7076</v>
      </c>
      <c r="H78" s="9"/>
      <c r="I78" s="9">
        <f t="shared" si="5"/>
        <v>55.792572</v>
      </c>
      <c r="J78" s="9">
        <f t="shared" si="6"/>
        <v>59.3538</v>
      </c>
      <c r="K78" s="9">
        <f t="shared" si="7"/>
        <v>65.28918</v>
      </c>
      <c r="L78" s="9">
        <f t="shared" si="8"/>
        <v>83.09532</v>
      </c>
      <c r="M78" s="9">
        <f t="shared" si="9"/>
        <v>100.90146</v>
      </c>
    </row>
    <row r="79" ht="40.5" spans="2:13">
      <c r="B79" t="s">
        <v>169</v>
      </c>
      <c r="C79" s="4" t="s">
        <v>170</v>
      </c>
      <c r="D79" s="4" t="s">
        <v>170</v>
      </c>
      <c r="E79" s="4" t="s">
        <v>170</v>
      </c>
      <c r="F79" s="4" t="s">
        <v>170</v>
      </c>
      <c r="G79" s="5">
        <v>177.7248</v>
      </c>
      <c r="H79" s="9"/>
      <c r="I79" s="9">
        <f t="shared" si="5"/>
        <v>83.530656</v>
      </c>
      <c r="J79" s="9">
        <f t="shared" si="6"/>
        <v>88.8624</v>
      </c>
      <c r="K79" s="9">
        <f t="shared" si="7"/>
        <v>97.74864</v>
      </c>
      <c r="L79" s="9">
        <f t="shared" si="8"/>
        <v>124.40736</v>
      </c>
      <c r="M79" s="9">
        <f t="shared" si="9"/>
        <v>151.06608</v>
      </c>
    </row>
    <row r="80" ht="27" spans="2:13">
      <c r="B80" t="s">
        <v>171</v>
      </c>
      <c r="C80" s="4" t="s">
        <v>172</v>
      </c>
      <c r="D80" s="4" t="s">
        <v>172</v>
      </c>
      <c r="E80" s="4" t="s">
        <v>172</v>
      </c>
      <c r="F80" s="4" t="s">
        <v>172</v>
      </c>
      <c r="G80" s="5">
        <v>129.03</v>
      </c>
      <c r="H80" s="9"/>
      <c r="I80" s="9">
        <f t="shared" si="5"/>
        <v>60.6441</v>
      </c>
      <c r="J80" s="9">
        <f t="shared" si="6"/>
        <v>64.515</v>
      </c>
      <c r="K80" s="9">
        <f t="shared" si="7"/>
        <v>70.9665</v>
      </c>
      <c r="L80" s="9">
        <f t="shared" si="8"/>
        <v>90.321</v>
      </c>
      <c r="M80" s="9">
        <f t="shared" si="9"/>
        <v>109.6755</v>
      </c>
    </row>
    <row r="81" ht="27" spans="2:13">
      <c r="B81" t="s">
        <v>173</v>
      </c>
      <c r="C81" s="4" t="s">
        <v>174</v>
      </c>
      <c r="D81" s="4" t="s">
        <v>174</v>
      </c>
      <c r="E81" s="4" t="s">
        <v>174</v>
      </c>
      <c r="F81" s="4" t="s">
        <v>174</v>
      </c>
      <c r="G81" s="5">
        <v>187.935</v>
      </c>
      <c r="H81" s="9"/>
      <c r="I81" s="9">
        <f t="shared" si="5"/>
        <v>88.32945</v>
      </c>
      <c r="J81" s="9">
        <f t="shared" si="6"/>
        <v>93.9675</v>
      </c>
      <c r="K81" s="9">
        <f t="shared" si="7"/>
        <v>103.36425</v>
      </c>
      <c r="L81" s="9">
        <f t="shared" si="8"/>
        <v>131.5545</v>
      </c>
      <c r="M81" s="9">
        <f t="shared" si="9"/>
        <v>159.74475</v>
      </c>
    </row>
    <row r="82" ht="27" spans="2:13">
      <c r="B82" t="s">
        <v>175</v>
      </c>
      <c r="C82" s="4" t="s">
        <v>176</v>
      </c>
      <c r="D82" s="4" t="s">
        <v>176</v>
      </c>
      <c r="E82" s="4" t="s">
        <v>176</v>
      </c>
      <c r="F82" s="4" t="s">
        <v>176</v>
      </c>
      <c r="G82" s="5">
        <v>158.3142</v>
      </c>
      <c r="H82" s="9"/>
      <c r="I82" s="9">
        <f t="shared" si="5"/>
        <v>74.407674</v>
      </c>
      <c r="J82" s="9">
        <f t="shared" si="6"/>
        <v>79.1571</v>
      </c>
      <c r="K82" s="9">
        <f t="shared" si="7"/>
        <v>87.07281</v>
      </c>
      <c r="L82" s="9">
        <f t="shared" si="8"/>
        <v>110.81994</v>
      </c>
      <c r="M82" s="9">
        <f t="shared" si="9"/>
        <v>134.56707</v>
      </c>
    </row>
    <row r="83" ht="27" spans="2:13">
      <c r="B83" t="s">
        <v>177</v>
      </c>
      <c r="C83" s="4" t="s">
        <v>178</v>
      </c>
      <c r="D83" s="4" t="s">
        <v>178</v>
      </c>
      <c r="E83" s="4" t="s">
        <v>178</v>
      </c>
      <c r="F83" s="4" t="s">
        <v>178</v>
      </c>
      <c r="G83" s="5">
        <v>217.107</v>
      </c>
      <c r="H83" s="9"/>
      <c r="I83" s="9">
        <f t="shared" si="5"/>
        <v>102.04029</v>
      </c>
      <c r="J83" s="9">
        <f t="shared" si="6"/>
        <v>108.5535</v>
      </c>
      <c r="K83" s="9">
        <f t="shared" si="7"/>
        <v>119.40885</v>
      </c>
      <c r="L83" s="9">
        <f t="shared" si="8"/>
        <v>151.9749</v>
      </c>
      <c r="M83" s="9">
        <f t="shared" si="9"/>
        <v>184.54095</v>
      </c>
    </row>
    <row r="84" ht="27" spans="2:13">
      <c r="B84" t="s">
        <v>179</v>
      </c>
      <c r="C84" s="4" t="s">
        <v>180</v>
      </c>
      <c r="D84" s="4" t="s">
        <v>180</v>
      </c>
      <c r="E84" s="4" t="s">
        <v>180</v>
      </c>
      <c r="F84" s="4" t="s">
        <v>180</v>
      </c>
      <c r="G84" s="5">
        <v>168.5244</v>
      </c>
      <c r="H84" s="9"/>
      <c r="I84" s="9">
        <f t="shared" si="5"/>
        <v>79.206468</v>
      </c>
      <c r="J84" s="9">
        <f t="shared" si="6"/>
        <v>84.2622</v>
      </c>
      <c r="K84" s="9">
        <f t="shared" si="7"/>
        <v>92.68842</v>
      </c>
      <c r="L84" s="9">
        <f t="shared" si="8"/>
        <v>117.96708</v>
      </c>
      <c r="M84" s="9">
        <f t="shared" si="9"/>
        <v>143.24574</v>
      </c>
    </row>
    <row r="85" ht="40.5" spans="2:13">
      <c r="B85" t="s">
        <v>181</v>
      </c>
      <c r="C85" s="4" t="s">
        <v>182</v>
      </c>
      <c r="D85" s="4" t="s">
        <v>182</v>
      </c>
      <c r="E85" s="4" t="s">
        <v>182</v>
      </c>
      <c r="F85" s="4" t="s">
        <v>182</v>
      </c>
      <c r="G85" s="5">
        <v>227.4294</v>
      </c>
      <c r="H85" s="9"/>
      <c r="I85" s="9">
        <f t="shared" si="5"/>
        <v>106.891818</v>
      </c>
      <c r="J85" s="9">
        <f t="shared" si="6"/>
        <v>113.7147</v>
      </c>
      <c r="K85" s="9">
        <f t="shared" si="7"/>
        <v>125.08617</v>
      </c>
      <c r="L85" s="9">
        <f t="shared" si="8"/>
        <v>159.20058</v>
      </c>
      <c r="M85" s="9">
        <f t="shared" si="9"/>
        <v>193.31499</v>
      </c>
    </row>
    <row r="86" ht="27" spans="2:13">
      <c r="B86" t="s">
        <v>183</v>
      </c>
      <c r="C86" s="4" t="s">
        <v>184</v>
      </c>
      <c r="D86" s="4" t="s">
        <v>184</v>
      </c>
      <c r="E86" s="4" t="s">
        <v>184</v>
      </c>
      <c r="F86" s="4" t="s">
        <v>184</v>
      </c>
      <c r="G86" s="5">
        <v>104.2338</v>
      </c>
      <c r="H86" s="9"/>
      <c r="I86" s="9">
        <f t="shared" si="5"/>
        <v>48.989886</v>
      </c>
      <c r="J86" s="9">
        <f t="shared" si="6"/>
        <v>52.1169</v>
      </c>
      <c r="K86" s="9">
        <f t="shared" si="7"/>
        <v>57.32859</v>
      </c>
      <c r="L86" s="9">
        <f t="shared" si="8"/>
        <v>72.96366</v>
      </c>
      <c r="M86" s="9">
        <f t="shared" si="9"/>
        <v>88.59873</v>
      </c>
    </row>
    <row r="87" ht="27" spans="2:13">
      <c r="B87" s="13" t="s">
        <v>185</v>
      </c>
      <c r="C87" s="4" t="s">
        <v>186</v>
      </c>
      <c r="D87" s="4" t="s">
        <v>186</v>
      </c>
      <c r="E87" s="4" t="s">
        <v>186</v>
      </c>
      <c r="F87" s="4" t="s">
        <v>186</v>
      </c>
      <c r="G87" s="5">
        <v>99.44235</v>
      </c>
      <c r="H87" s="9"/>
      <c r="I87" s="9">
        <f t="shared" si="5"/>
        <v>46.7379045</v>
      </c>
      <c r="J87" s="9">
        <f t="shared" si="6"/>
        <v>49.721175</v>
      </c>
      <c r="K87" s="9">
        <f t="shared" si="7"/>
        <v>54.6932925</v>
      </c>
      <c r="L87" s="9">
        <f t="shared" si="8"/>
        <v>69.609645</v>
      </c>
      <c r="M87" s="9">
        <f t="shared" si="9"/>
        <v>84.5259975</v>
      </c>
    </row>
    <row r="88" ht="27" spans="2:13">
      <c r="B88" s="13" t="s">
        <v>187</v>
      </c>
      <c r="C88" s="4" t="s">
        <v>188</v>
      </c>
      <c r="D88" s="4" t="s">
        <v>188</v>
      </c>
      <c r="E88" s="4" t="s">
        <v>188</v>
      </c>
      <c r="F88" s="4" t="s">
        <v>188</v>
      </c>
      <c r="G88" s="5">
        <v>163.2</v>
      </c>
      <c r="H88" s="9"/>
      <c r="I88" s="9">
        <f t="shared" si="5"/>
        <v>76.704</v>
      </c>
      <c r="J88" s="9">
        <f t="shared" si="6"/>
        <v>81.6</v>
      </c>
      <c r="K88" s="9">
        <f t="shared" si="7"/>
        <v>89.76</v>
      </c>
      <c r="L88" s="9">
        <f t="shared" si="8"/>
        <v>114.24</v>
      </c>
      <c r="M88" s="9">
        <f t="shared" si="9"/>
        <v>138.72</v>
      </c>
    </row>
    <row r="89" ht="27" spans="2:13">
      <c r="B89" t="s">
        <v>189</v>
      </c>
      <c r="C89" s="4" t="s">
        <v>190</v>
      </c>
      <c r="D89" s="4" t="s">
        <v>190</v>
      </c>
      <c r="E89" s="4" t="s">
        <v>190</v>
      </c>
      <c r="F89" s="4" t="s">
        <v>190</v>
      </c>
      <c r="G89" s="5">
        <v>169.3032</v>
      </c>
      <c r="H89" s="9"/>
      <c r="I89" s="9">
        <f t="shared" si="5"/>
        <v>79.572504</v>
      </c>
      <c r="J89" s="9">
        <f t="shared" si="6"/>
        <v>84.6516</v>
      </c>
      <c r="K89" s="9">
        <f t="shared" si="7"/>
        <v>93.11676</v>
      </c>
      <c r="L89" s="9">
        <f t="shared" si="8"/>
        <v>118.51224</v>
      </c>
      <c r="M89" s="9">
        <f t="shared" si="9"/>
        <v>143.90772</v>
      </c>
    </row>
    <row r="90" ht="27" spans="2:13">
      <c r="B90" t="s">
        <v>191</v>
      </c>
      <c r="C90" s="4" t="s">
        <v>192</v>
      </c>
      <c r="D90" s="4" t="s">
        <v>192</v>
      </c>
      <c r="E90" s="4" t="s">
        <v>192</v>
      </c>
      <c r="F90" s="4" t="s">
        <v>192</v>
      </c>
      <c r="G90" s="5">
        <v>114.5562</v>
      </c>
      <c r="H90" s="9"/>
      <c r="I90" s="9">
        <f t="shared" si="5"/>
        <v>53.841414</v>
      </c>
      <c r="J90" s="9">
        <f t="shared" si="6"/>
        <v>57.2781</v>
      </c>
      <c r="K90" s="9">
        <f t="shared" si="7"/>
        <v>63.00591</v>
      </c>
      <c r="L90" s="9">
        <f t="shared" si="8"/>
        <v>80.18934</v>
      </c>
      <c r="M90" s="9">
        <f t="shared" si="9"/>
        <v>97.37277</v>
      </c>
    </row>
    <row r="91" ht="27" spans="2:13">
      <c r="B91" s="13" t="s">
        <v>193</v>
      </c>
      <c r="C91" s="4" t="s">
        <v>194</v>
      </c>
      <c r="D91" s="4" t="s">
        <v>194</v>
      </c>
      <c r="E91" s="4" t="s">
        <v>194</v>
      </c>
      <c r="F91" s="4" t="s">
        <v>194</v>
      </c>
      <c r="G91" s="5">
        <v>110.0988</v>
      </c>
      <c r="H91" s="9"/>
      <c r="I91" s="9">
        <f t="shared" si="5"/>
        <v>51.746436</v>
      </c>
      <c r="J91" s="9">
        <f t="shared" si="6"/>
        <v>55.0494</v>
      </c>
      <c r="K91" s="9">
        <f t="shared" si="7"/>
        <v>60.55434</v>
      </c>
      <c r="L91" s="9">
        <f t="shared" si="8"/>
        <v>77.06916</v>
      </c>
      <c r="M91" s="9">
        <f t="shared" si="9"/>
        <v>93.58398</v>
      </c>
    </row>
    <row r="92" ht="27" spans="2:13">
      <c r="B92" t="s">
        <v>195</v>
      </c>
      <c r="C92" s="4" t="s">
        <v>196</v>
      </c>
      <c r="D92" s="4" t="s">
        <v>196</v>
      </c>
      <c r="E92" s="4" t="s">
        <v>196</v>
      </c>
      <c r="F92" s="4" t="s">
        <v>196</v>
      </c>
      <c r="G92" s="5">
        <v>173.349</v>
      </c>
      <c r="H92" s="9"/>
      <c r="I92" s="9">
        <f t="shared" si="5"/>
        <v>81.47403</v>
      </c>
      <c r="J92" s="9">
        <f t="shared" si="6"/>
        <v>86.6745</v>
      </c>
      <c r="K92" s="9">
        <f t="shared" si="7"/>
        <v>95.34195</v>
      </c>
      <c r="L92" s="9">
        <f t="shared" si="8"/>
        <v>121.3443</v>
      </c>
      <c r="M92" s="9">
        <f t="shared" si="9"/>
        <v>147.34665</v>
      </c>
    </row>
    <row r="93" spans="2:13">
      <c r="B93" t="s">
        <v>197</v>
      </c>
      <c r="C93" s="4" t="s">
        <v>198</v>
      </c>
      <c r="D93" s="4" t="s">
        <v>198</v>
      </c>
      <c r="E93" s="4" t="s">
        <v>198</v>
      </c>
      <c r="F93" s="4" t="s">
        <v>198</v>
      </c>
      <c r="G93" s="5">
        <v>60.102</v>
      </c>
      <c r="H93" s="9"/>
      <c r="I93" s="9">
        <f t="shared" si="5"/>
        <v>28.24794</v>
      </c>
      <c r="J93" s="9">
        <f t="shared" si="6"/>
        <v>30.051</v>
      </c>
      <c r="K93" s="9">
        <f t="shared" si="7"/>
        <v>33.0561</v>
      </c>
      <c r="L93" s="9">
        <f t="shared" si="8"/>
        <v>42.0714</v>
      </c>
      <c r="M93" s="9">
        <f t="shared" si="9"/>
        <v>51.0867</v>
      </c>
    </row>
    <row r="94" ht="27" spans="2:13">
      <c r="B94" t="s">
        <v>199</v>
      </c>
      <c r="C94" s="4" t="s">
        <v>200</v>
      </c>
      <c r="D94" s="4" t="s">
        <v>200</v>
      </c>
      <c r="E94" s="4" t="s">
        <v>200</v>
      </c>
      <c r="F94" s="4" t="s">
        <v>200</v>
      </c>
      <c r="G94" s="5">
        <v>66.1815</v>
      </c>
      <c r="H94" s="9"/>
      <c r="I94" s="9">
        <f t="shared" si="5"/>
        <v>31.105305</v>
      </c>
      <c r="J94" s="9">
        <f t="shared" si="6"/>
        <v>33.09075</v>
      </c>
      <c r="K94" s="9">
        <f t="shared" si="7"/>
        <v>36.399825</v>
      </c>
      <c r="L94" s="9">
        <f t="shared" si="8"/>
        <v>46.32705</v>
      </c>
      <c r="M94" s="9">
        <f t="shared" si="9"/>
        <v>56.254275</v>
      </c>
    </row>
    <row r="95" ht="27" spans="2:13">
      <c r="B95" t="s">
        <v>201</v>
      </c>
      <c r="C95" s="4" t="s">
        <v>202</v>
      </c>
      <c r="D95" s="4" t="s">
        <v>202</v>
      </c>
      <c r="E95" s="4" t="s">
        <v>202</v>
      </c>
      <c r="F95" s="4" t="s">
        <v>202</v>
      </c>
      <c r="G95" s="5">
        <v>139.5384</v>
      </c>
      <c r="H95" s="9"/>
      <c r="I95" s="9">
        <f t="shared" si="5"/>
        <v>65.583048</v>
      </c>
      <c r="J95" s="9">
        <f t="shared" si="6"/>
        <v>69.7692</v>
      </c>
      <c r="K95" s="9">
        <f t="shared" si="7"/>
        <v>76.74612</v>
      </c>
      <c r="L95" s="9">
        <f t="shared" si="8"/>
        <v>97.67688</v>
      </c>
      <c r="M95" s="9">
        <f t="shared" si="9"/>
        <v>118.60764</v>
      </c>
    </row>
    <row r="96" spans="2:13">
      <c r="B96" t="s">
        <v>203</v>
      </c>
      <c r="C96" s="4" t="s">
        <v>204</v>
      </c>
      <c r="D96" s="4" t="s">
        <v>204</v>
      </c>
      <c r="E96" s="4" t="s">
        <v>204</v>
      </c>
      <c r="F96" s="4" t="s">
        <v>204</v>
      </c>
      <c r="G96" s="5">
        <v>56.2122</v>
      </c>
      <c r="H96" s="9"/>
      <c r="I96" s="9">
        <f t="shared" si="5"/>
        <v>26.419734</v>
      </c>
      <c r="J96" s="9">
        <f t="shared" si="6"/>
        <v>28.1061</v>
      </c>
      <c r="K96" s="9">
        <f t="shared" si="7"/>
        <v>30.91671</v>
      </c>
      <c r="L96" s="9">
        <f t="shared" si="8"/>
        <v>39.34854</v>
      </c>
      <c r="M96" s="9">
        <f t="shared" si="9"/>
        <v>47.78037</v>
      </c>
    </row>
    <row r="97" spans="2:13">
      <c r="B97" t="s">
        <v>205</v>
      </c>
      <c r="C97" s="4" t="s">
        <v>206</v>
      </c>
      <c r="D97" s="4" t="s">
        <v>206</v>
      </c>
      <c r="E97" s="4" t="s">
        <v>206</v>
      </c>
      <c r="F97" s="4" t="s">
        <v>206</v>
      </c>
      <c r="G97" s="5">
        <v>96.3798</v>
      </c>
      <c r="H97" s="9"/>
      <c r="I97" s="9">
        <f t="shared" si="5"/>
        <v>45.298506</v>
      </c>
      <c r="J97" s="9">
        <f t="shared" si="6"/>
        <v>48.1899</v>
      </c>
      <c r="K97" s="9">
        <f t="shared" si="7"/>
        <v>53.00889</v>
      </c>
      <c r="L97" s="9">
        <f t="shared" si="8"/>
        <v>67.46586</v>
      </c>
      <c r="M97" s="9">
        <f t="shared" si="9"/>
        <v>81.92283</v>
      </c>
    </row>
    <row r="98" ht="27" spans="2:13">
      <c r="B98" t="s">
        <v>207</v>
      </c>
      <c r="C98" s="4" t="s">
        <v>208</v>
      </c>
      <c r="D98" s="4" t="s">
        <v>208</v>
      </c>
      <c r="E98" s="4" t="s">
        <v>208</v>
      </c>
      <c r="F98" s="4" t="s">
        <v>208</v>
      </c>
      <c r="G98" s="5">
        <v>104.4582</v>
      </c>
      <c r="H98" s="9"/>
      <c r="I98" s="9">
        <f t="shared" si="5"/>
        <v>49.095354</v>
      </c>
      <c r="J98" s="9">
        <f t="shared" si="6"/>
        <v>52.2291</v>
      </c>
      <c r="K98" s="9">
        <f t="shared" si="7"/>
        <v>57.45201</v>
      </c>
      <c r="L98" s="9">
        <f t="shared" si="8"/>
        <v>73.12074</v>
      </c>
      <c r="M98" s="9">
        <f t="shared" si="9"/>
        <v>88.78947</v>
      </c>
    </row>
    <row r="99" spans="2:13">
      <c r="B99" t="s">
        <v>209</v>
      </c>
      <c r="C99" s="4" t="s">
        <v>210</v>
      </c>
      <c r="D99" s="4" t="s">
        <v>210</v>
      </c>
      <c r="E99" s="4" t="s">
        <v>210</v>
      </c>
      <c r="F99" s="4" t="s">
        <v>210</v>
      </c>
      <c r="G99" s="5">
        <v>60.6375</v>
      </c>
      <c r="H99" s="9"/>
      <c r="I99" s="9">
        <f t="shared" si="5"/>
        <v>28.499625</v>
      </c>
      <c r="J99" s="9">
        <f t="shared" si="6"/>
        <v>30.31875</v>
      </c>
      <c r="K99" s="9">
        <f t="shared" si="7"/>
        <v>33.350625</v>
      </c>
      <c r="L99" s="9">
        <f t="shared" si="8"/>
        <v>42.44625</v>
      </c>
      <c r="M99" s="9">
        <f t="shared" si="9"/>
        <v>51.541875</v>
      </c>
    </row>
    <row r="100" spans="2:13">
      <c r="B100" t="s">
        <v>211</v>
      </c>
      <c r="C100" s="4" t="s">
        <v>212</v>
      </c>
      <c r="D100" s="4" t="s">
        <v>212</v>
      </c>
      <c r="E100" s="4" t="s">
        <v>212</v>
      </c>
      <c r="F100" s="4" t="s">
        <v>212</v>
      </c>
      <c r="G100" s="5">
        <v>64.7955</v>
      </c>
      <c r="H100" s="9"/>
      <c r="I100" s="9">
        <f t="shared" si="5"/>
        <v>30.453885</v>
      </c>
      <c r="J100" s="9">
        <f t="shared" si="6"/>
        <v>32.39775</v>
      </c>
      <c r="K100" s="9">
        <f t="shared" si="7"/>
        <v>35.637525</v>
      </c>
      <c r="L100" s="9">
        <f t="shared" si="8"/>
        <v>45.35685</v>
      </c>
      <c r="M100" s="9">
        <f t="shared" si="9"/>
        <v>55.076175</v>
      </c>
    </row>
    <row r="101" spans="2:13">
      <c r="B101" t="s">
        <v>213</v>
      </c>
      <c r="C101" s="4" t="s">
        <v>214</v>
      </c>
      <c r="D101" s="4" t="s">
        <v>214</v>
      </c>
      <c r="E101" s="4" t="s">
        <v>214</v>
      </c>
      <c r="F101" s="4" t="s">
        <v>214</v>
      </c>
      <c r="G101" s="5">
        <v>113.81976</v>
      </c>
      <c r="H101" s="9"/>
      <c r="I101" s="9">
        <f t="shared" si="5"/>
        <v>53.4952872</v>
      </c>
      <c r="J101" s="9">
        <f t="shared" si="6"/>
        <v>56.90988</v>
      </c>
      <c r="K101" s="9">
        <f t="shared" si="7"/>
        <v>62.600868</v>
      </c>
      <c r="L101" s="9">
        <f t="shared" si="8"/>
        <v>79.673832</v>
      </c>
      <c r="M101" s="9">
        <f t="shared" si="9"/>
        <v>96.746796</v>
      </c>
    </row>
    <row r="102" ht="27" spans="2:13">
      <c r="B102" s="13" t="s">
        <v>215</v>
      </c>
      <c r="C102" s="4" t="s">
        <v>216</v>
      </c>
      <c r="D102" s="4" t="s">
        <v>216</v>
      </c>
      <c r="E102" s="4" t="s">
        <v>216</v>
      </c>
      <c r="F102" s="4" t="s">
        <v>216</v>
      </c>
      <c r="G102" s="5">
        <v>53.78205</v>
      </c>
      <c r="H102" s="9"/>
      <c r="I102" s="9">
        <f t="shared" si="5"/>
        <v>25.2775635</v>
      </c>
      <c r="J102" s="9">
        <f t="shared" si="6"/>
        <v>26.891025</v>
      </c>
      <c r="K102" s="9">
        <f t="shared" si="7"/>
        <v>29.5801275</v>
      </c>
      <c r="L102" s="9">
        <f t="shared" si="8"/>
        <v>37.647435</v>
      </c>
      <c r="M102" s="9">
        <f t="shared" si="9"/>
        <v>45.7147425</v>
      </c>
    </row>
    <row r="103" spans="2:13">
      <c r="B103" s="13" t="s">
        <v>217</v>
      </c>
      <c r="C103" s="4" t="s">
        <v>218</v>
      </c>
      <c r="D103" s="4" t="s">
        <v>218</v>
      </c>
      <c r="E103" s="4" t="s">
        <v>218</v>
      </c>
      <c r="F103" s="4" t="s">
        <v>218</v>
      </c>
      <c r="G103" s="5">
        <v>102.8874</v>
      </c>
      <c r="H103" s="9"/>
      <c r="I103" s="9">
        <f t="shared" si="5"/>
        <v>48.357078</v>
      </c>
      <c r="J103" s="9">
        <f t="shared" si="6"/>
        <v>51.4437</v>
      </c>
      <c r="K103" s="9">
        <f t="shared" si="7"/>
        <v>56.58807</v>
      </c>
      <c r="L103" s="9">
        <f t="shared" si="8"/>
        <v>72.02118</v>
      </c>
      <c r="M103" s="9">
        <f t="shared" si="9"/>
        <v>87.45429</v>
      </c>
    </row>
    <row r="104" ht="27" spans="2:13">
      <c r="B104" s="13" t="s">
        <v>219</v>
      </c>
      <c r="C104" s="4" t="s">
        <v>220</v>
      </c>
      <c r="D104" s="4" t="s">
        <v>220</v>
      </c>
      <c r="E104" s="4" t="s">
        <v>220</v>
      </c>
      <c r="F104" s="4" t="s">
        <v>220</v>
      </c>
      <c r="G104" s="5">
        <v>109.31085</v>
      </c>
      <c r="H104" s="9"/>
      <c r="I104" s="9">
        <f t="shared" si="5"/>
        <v>51.3760995</v>
      </c>
      <c r="J104" s="9">
        <f t="shared" si="6"/>
        <v>54.655425</v>
      </c>
      <c r="K104" s="9">
        <f t="shared" si="7"/>
        <v>60.1209675</v>
      </c>
      <c r="L104" s="9">
        <f t="shared" si="8"/>
        <v>76.517595</v>
      </c>
      <c r="M104" s="9">
        <f t="shared" si="9"/>
        <v>92.9142225</v>
      </c>
    </row>
    <row r="105" spans="2:13">
      <c r="B105" s="13" t="s">
        <v>221</v>
      </c>
      <c r="C105" s="4" t="s">
        <v>222</v>
      </c>
      <c r="D105" s="4" t="s">
        <v>222</v>
      </c>
      <c r="E105" s="4" t="s">
        <v>222</v>
      </c>
      <c r="F105" s="4" t="s">
        <v>222</v>
      </c>
      <c r="G105" s="5">
        <v>164.00835</v>
      </c>
      <c r="H105" s="9"/>
      <c r="I105" s="9">
        <f t="shared" si="5"/>
        <v>77.0839245</v>
      </c>
      <c r="J105" s="9">
        <f t="shared" si="6"/>
        <v>82.004175</v>
      </c>
      <c r="K105" s="9">
        <f t="shared" si="7"/>
        <v>90.2045925</v>
      </c>
      <c r="L105" s="9">
        <f t="shared" si="8"/>
        <v>114.805845</v>
      </c>
      <c r="M105" s="9">
        <f t="shared" si="9"/>
        <v>139.4070975</v>
      </c>
    </row>
    <row r="106" ht="27" spans="2:13">
      <c r="B106" s="13" t="s">
        <v>223</v>
      </c>
      <c r="C106" s="4" t="s">
        <v>224</v>
      </c>
      <c r="D106" s="4" t="s">
        <v>224</v>
      </c>
      <c r="E106" s="4" t="s">
        <v>224</v>
      </c>
      <c r="F106" s="4" t="s">
        <v>224</v>
      </c>
      <c r="G106" s="5">
        <v>170.4318</v>
      </c>
      <c r="H106" s="9"/>
      <c r="I106" s="9">
        <f t="shared" si="5"/>
        <v>80.102946</v>
      </c>
      <c r="J106" s="9">
        <f t="shared" si="6"/>
        <v>85.2159</v>
      </c>
      <c r="K106" s="9">
        <f t="shared" si="7"/>
        <v>93.73749</v>
      </c>
      <c r="L106" s="9">
        <f t="shared" si="8"/>
        <v>119.30226</v>
      </c>
      <c r="M106" s="9">
        <f t="shared" si="9"/>
        <v>144.86703</v>
      </c>
    </row>
    <row r="107" spans="2:13">
      <c r="B107" t="s">
        <v>225</v>
      </c>
      <c r="C107" s="4" t="s">
        <v>226</v>
      </c>
      <c r="D107" s="4" t="s">
        <v>226</v>
      </c>
      <c r="E107" s="4" t="s">
        <v>226</v>
      </c>
      <c r="F107" s="4" t="s">
        <v>226</v>
      </c>
      <c r="G107" s="5">
        <v>6.171</v>
      </c>
      <c r="H107" s="9"/>
      <c r="I107" s="9">
        <f t="shared" si="5"/>
        <v>2.90037</v>
      </c>
      <c r="J107" s="9">
        <f t="shared" si="6"/>
        <v>3.0855</v>
      </c>
      <c r="K107" s="9">
        <f t="shared" si="7"/>
        <v>3.39405</v>
      </c>
      <c r="L107" s="9">
        <f t="shared" si="8"/>
        <v>4.3197</v>
      </c>
      <c r="M107" s="9">
        <f t="shared" si="9"/>
        <v>5.24535</v>
      </c>
    </row>
    <row r="108" ht="27" spans="2:13">
      <c r="B108" s="13" t="s">
        <v>227</v>
      </c>
      <c r="C108" s="4" t="s">
        <v>228</v>
      </c>
      <c r="D108" s="4" t="s">
        <v>228</v>
      </c>
      <c r="E108" s="4" t="s">
        <v>228</v>
      </c>
      <c r="F108" s="4" t="s">
        <v>228</v>
      </c>
      <c r="G108" s="5">
        <v>117.6978</v>
      </c>
      <c r="H108" s="9"/>
      <c r="I108" s="9">
        <f t="shared" si="5"/>
        <v>55.317966</v>
      </c>
      <c r="J108" s="9">
        <f t="shared" si="6"/>
        <v>58.8489</v>
      </c>
      <c r="K108" s="9">
        <f t="shared" si="7"/>
        <v>64.73379</v>
      </c>
      <c r="L108" s="9">
        <f t="shared" si="8"/>
        <v>82.38846</v>
      </c>
      <c r="M108" s="9">
        <f t="shared" si="9"/>
        <v>100.04313</v>
      </c>
    </row>
    <row r="109" ht="40.5" spans="2:13">
      <c r="B109" t="s">
        <v>229</v>
      </c>
      <c r="C109" s="4" t="s">
        <v>230</v>
      </c>
      <c r="D109" s="4" t="s">
        <v>230</v>
      </c>
      <c r="E109" s="4" t="s">
        <v>230</v>
      </c>
      <c r="F109" s="4" t="s">
        <v>230</v>
      </c>
      <c r="G109" s="5">
        <v>213.9504</v>
      </c>
      <c r="H109" s="9"/>
      <c r="I109" s="9">
        <f t="shared" si="5"/>
        <v>100.556688</v>
      </c>
      <c r="J109" s="9">
        <f t="shared" si="6"/>
        <v>106.9752</v>
      </c>
      <c r="K109" s="9">
        <f t="shared" si="7"/>
        <v>117.67272</v>
      </c>
      <c r="L109" s="9">
        <f t="shared" si="8"/>
        <v>149.76528</v>
      </c>
      <c r="M109" s="9">
        <f t="shared" si="9"/>
        <v>181.85784</v>
      </c>
    </row>
    <row r="110" ht="27" spans="2:13">
      <c r="B110" t="s">
        <v>231</v>
      </c>
      <c r="C110" s="4" t="s">
        <v>232</v>
      </c>
      <c r="D110" s="4" t="s">
        <v>232</v>
      </c>
      <c r="E110" s="4" t="s">
        <v>232</v>
      </c>
      <c r="F110" s="4" t="s">
        <v>232</v>
      </c>
      <c r="G110" s="5">
        <v>109.13796</v>
      </c>
      <c r="H110" s="9"/>
      <c r="I110" s="9">
        <f t="shared" si="5"/>
        <v>51.2948412</v>
      </c>
      <c r="J110" s="9">
        <f t="shared" si="6"/>
        <v>54.56898</v>
      </c>
      <c r="K110" s="9">
        <f t="shared" si="7"/>
        <v>60.025878</v>
      </c>
      <c r="L110" s="9">
        <f t="shared" si="8"/>
        <v>76.396572</v>
      </c>
      <c r="M110" s="9">
        <f t="shared" si="9"/>
        <v>92.767266</v>
      </c>
    </row>
    <row r="111" ht="27" spans="2:13">
      <c r="B111" t="s">
        <v>233</v>
      </c>
      <c r="C111" s="4" t="s">
        <v>234</v>
      </c>
      <c r="D111" s="4" t="s">
        <v>234</v>
      </c>
      <c r="E111" s="4" t="s">
        <v>234</v>
      </c>
      <c r="F111" s="4" t="s">
        <v>234</v>
      </c>
      <c r="G111" s="5">
        <v>128.3976</v>
      </c>
      <c r="H111" s="9"/>
      <c r="I111" s="9">
        <f t="shared" si="5"/>
        <v>60.346872</v>
      </c>
      <c r="J111" s="9">
        <f t="shared" si="6"/>
        <v>64.1988</v>
      </c>
      <c r="K111" s="9">
        <f t="shared" si="7"/>
        <v>70.61868</v>
      </c>
      <c r="L111" s="9">
        <f t="shared" si="8"/>
        <v>89.87832</v>
      </c>
      <c r="M111" s="9">
        <f t="shared" si="9"/>
        <v>109.13796</v>
      </c>
    </row>
    <row r="112" ht="27" spans="2:13">
      <c r="B112" t="s">
        <v>235</v>
      </c>
      <c r="C112" s="4" t="s">
        <v>236</v>
      </c>
      <c r="D112" s="4" t="s">
        <v>236</v>
      </c>
      <c r="E112" s="4" t="s">
        <v>236</v>
      </c>
      <c r="F112" s="4" t="s">
        <v>236</v>
      </c>
      <c r="G112" s="5">
        <v>158.661</v>
      </c>
      <c r="H112" s="9"/>
      <c r="I112" s="9">
        <f t="shared" si="5"/>
        <v>74.57067</v>
      </c>
      <c r="J112" s="9">
        <f t="shared" si="6"/>
        <v>79.3305</v>
      </c>
      <c r="K112" s="9">
        <f t="shared" si="7"/>
        <v>87.26355</v>
      </c>
      <c r="L112" s="9">
        <f t="shared" si="8"/>
        <v>111.0627</v>
      </c>
      <c r="M112" s="9">
        <f t="shared" si="9"/>
        <v>134.86185</v>
      </c>
    </row>
    <row r="113" ht="27" spans="2:13">
      <c r="B113" t="s">
        <v>237</v>
      </c>
      <c r="C113" s="4" t="s">
        <v>238</v>
      </c>
      <c r="D113" s="4" t="s">
        <v>238</v>
      </c>
      <c r="E113" s="4" t="s">
        <v>238</v>
      </c>
      <c r="F113" s="4" t="s">
        <v>238</v>
      </c>
      <c r="G113" s="5">
        <v>136.76976</v>
      </c>
      <c r="H113" s="9"/>
      <c r="I113" s="9">
        <f t="shared" si="5"/>
        <v>64.2817872</v>
      </c>
      <c r="J113" s="9">
        <f t="shared" si="6"/>
        <v>68.38488</v>
      </c>
      <c r="K113" s="9">
        <f t="shared" si="7"/>
        <v>75.223368</v>
      </c>
      <c r="L113" s="9">
        <f t="shared" si="8"/>
        <v>95.738832</v>
      </c>
      <c r="M113" s="9">
        <f t="shared" si="9"/>
        <v>116.254296</v>
      </c>
    </row>
    <row r="114" ht="40.5" spans="2:13">
      <c r="B114" t="s">
        <v>239</v>
      </c>
      <c r="C114" s="4" t="s">
        <v>240</v>
      </c>
      <c r="D114" s="4" t="s">
        <v>240</v>
      </c>
      <c r="E114" s="4" t="s">
        <v>240</v>
      </c>
      <c r="F114" s="4" t="s">
        <v>240</v>
      </c>
      <c r="G114" s="5">
        <v>206.3358</v>
      </c>
      <c r="H114" s="9"/>
      <c r="I114" s="9">
        <f t="shared" si="5"/>
        <v>96.977826</v>
      </c>
      <c r="J114" s="9">
        <f t="shared" si="6"/>
        <v>103.1679</v>
      </c>
      <c r="K114" s="9">
        <f t="shared" si="7"/>
        <v>113.48469</v>
      </c>
      <c r="L114" s="9">
        <f t="shared" si="8"/>
        <v>144.43506</v>
      </c>
      <c r="M114" s="9">
        <f t="shared" si="9"/>
        <v>175.38543</v>
      </c>
    </row>
    <row r="115" ht="27" spans="2:13">
      <c r="B115" t="s">
        <v>241</v>
      </c>
      <c r="C115" s="4" t="s">
        <v>242</v>
      </c>
      <c r="D115" s="4" t="s">
        <v>242</v>
      </c>
      <c r="E115" s="4" t="s">
        <v>242</v>
      </c>
      <c r="F115" s="4" t="s">
        <v>242</v>
      </c>
      <c r="G115" s="5">
        <v>231.03867</v>
      </c>
      <c r="H115" s="9"/>
      <c r="I115" s="9">
        <f t="shared" si="5"/>
        <v>108.5881749</v>
      </c>
      <c r="J115" s="9">
        <f t="shared" si="6"/>
        <v>115.519335</v>
      </c>
      <c r="K115" s="9">
        <f t="shared" si="7"/>
        <v>127.0712685</v>
      </c>
      <c r="L115" s="9">
        <f t="shared" si="8"/>
        <v>161.727069</v>
      </c>
      <c r="M115" s="9">
        <f t="shared" si="9"/>
        <v>196.3828695</v>
      </c>
    </row>
    <row r="116" ht="27" spans="2:13">
      <c r="B116" t="s">
        <v>243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5">
        <v>179.469</v>
      </c>
      <c r="H116" s="9"/>
      <c r="I116" s="9">
        <f t="shared" si="5"/>
        <v>84.35043</v>
      </c>
      <c r="J116" s="9">
        <f t="shared" si="6"/>
        <v>89.7345</v>
      </c>
      <c r="K116" s="9">
        <f t="shared" si="7"/>
        <v>98.70795</v>
      </c>
      <c r="L116" s="9">
        <f t="shared" si="8"/>
        <v>125.6283</v>
      </c>
      <c r="M116" s="9">
        <f t="shared" si="9"/>
        <v>152.54865</v>
      </c>
    </row>
    <row r="117" ht="27" spans="2:13">
      <c r="B117" t="s">
        <v>245</v>
      </c>
      <c r="C117" s="4" t="s">
        <v>246</v>
      </c>
      <c r="D117" s="4" t="s">
        <v>246</v>
      </c>
      <c r="E117" s="4" t="s">
        <v>246</v>
      </c>
      <c r="F117" s="4" t="s">
        <v>246</v>
      </c>
      <c r="G117" s="5">
        <v>183.52656</v>
      </c>
      <c r="H117" s="9"/>
      <c r="I117" s="9">
        <f t="shared" si="5"/>
        <v>86.2574832</v>
      </c>
      <c r="J117" s="9">
        <f t="shared" si="6"/>
        <v>91.76328</v>
      </c>
      <c r="K117" s="9">
        <f t="shared" si="7"/>
        <v>100.939608</v>
      </c>
      <c r="L117" s="9">
        <f t="shared" si="8"/>
        <v>128.468592</v>
      </c>
      <c r="M117" s="9">
        <f t="shared" si="9"/>
        <v>155.997576</v>
      </c>
    </row>
    <row r="118" ht="40.5" spans="2:13">
      <c r="B118" t="s">
        <v>247</v>
      </c>
      <c r="C118" s="4" t="s">
        <v>248</v>
      </c>
      <c r="D118" s="4" t="s">
        <v>248</v>
      </c>
      <c r="E118" s="4" t="s">
        <v>248</v>
      </c>
      <c r="F118" s="4" t="s">
        <v>248</v>
      </c>
      <c r="G118" s="5">
        <v>268.8312</v>
      </c>
      <c r="H118" s="9"/>
      <c r="I118" s="9">
        <f t="shared" si="5"/>
        <v>126.350664</v>
      </c>
      <c r="J118" s="9">
        <f t="shared" si="6"/>
        <v>134.4156</v>
      </c>
      <c r="K118" s="9">
        <f t="shared" si="7"/>
        <v>147.85716</v>
      </c>
      <c r="L118" s="9">
        <f t="shared" si="8"/>
        <v>188.18184</v>
      </c>
      <c r="M118" s="9">
        <f t="shared" si="9"/>
        <v>228.50652</v>
      </c>
    </row>
    <row r="119" ht="27" spans="2:13">
      <c r="B119" s="13" t="s">
        <v>249</v>
      </c>
      <c r="C119" s="4" t="s">
        <v>250</v>
      </c>
      <c r="D119" s="4" t="s">
        <v>250</v>
      </c>
      <c r="E119" s="4" t="s">
        <v>250</v>
      </c>
      <c r="F119" s="4" t="s">
        <v>250</v>
      </c>
      <c r="G119" s="5">
        <v>199.34064</v>
      </c>
      <c r="H119" s="9"/>
      <c r="I119" s="9">
        <f t="shared" si="5"/>
        <v>93.6901008</v>
      </c>
      <c r="J119" s="9">
        <f t="shared" si="6"/>
        <v>99.67032</v>
      </c>
      <c r="K119" s="9">
        <f t="shared" si="7"/>
        <v>109.637352</v>
      </c>
      <c r="L119" s="9">
        <f t="shared" si="8"/>
        <v>139.538448</v>
      </c>
      <c r="M119" s="9">
        <f t="shared" si="9"/>
        <v>169.439544</v>
      </c>
    </row>
    <row r="120" ht="40.5" spans="2:13">
      <c r="B120" t="s">
        <v>251</v>
      </c>
      <c r="C120" s="4" t="s">
        <v>252</v>
      </c>
      <c r="D120" s="4" t="s">
        <v>252</v>
      </c>
      <c r="E120" s="4" t="s">
        <v>252</v>
      </c>
      <c r="F120" s="4" t="s">
        <v>252</v>
      </c>
      <c r="G120" s="5">
        <v>286.11</v>
      </c>
      <c r="H120" s="9"/>
      <c r="I120" s="9">
        <f t="shared" si="5"/>
        <v>134.4717</v>
      </c>
      <c r="J120" s="9">
        <f t="shared" si="6"/>
        <v>143.055</v>
      </c>
      <c r="K120" s="9">
        <f t="shared" si="7"/>
        <v>157.3605</v>
      </c>
      <c r="L120" s="9">
        <f t="shared" si="8"/>
        <v>200.277</v>
      </c>
      <c r="M120" s="9">
        <f t="shared" si="9"/>
        <v>243.1935</v>
      </c>
    </row>
    <row r="121" ht="27" spans="2:13">
      <c r="B121" t="s">
        <v>253</v>
      </c>
      <c r="C121" s="4" t="s">
        <v>254</v>
      </c>
      <c r="D121" s="4" t="s">
        <v>254</v>
      </c>
      <c r="E121" s="4" t="s">
        <v>254</v>
      </c>
      <c r="F121" s="4" t="s">
        <v>254</v>
      </c>
      <c r="G121" s="5">
        <v>244.59804</v>
      </c>
      <c r="H121" s="9"/>
      <c r="I121" s="9">
        <f t="shared" si="5"/>
        <v>114.9610788</v>
      </c>
      <c r="J121" s="9">
        <f t="shared" si="6"/>
        <v>122.29902</v>
      </c>
      <c r="K121" s="9">
        <f t="shared" si="7"/>
        <v>134.528922</v>
      </c>
      <c r="L121" s="9">
        <f t="shared" si="8"/>
        <v>171.218628</v>
      </c>
      <c r="M121" s="9">
        <f t="shared" si="9"/>
        <v>207.908334</v>
      </c>
    </row>
    <row r="122" ht="40.5" spans="2:13">
      <c r="B122" t="s">
        <v>255</v>
      </c>
      <c r="C122" s="4" t="s">
        <v>256</v>
      </c>
      <c r="D122" s="4" t="s">
        <v>256</v>
      </c>
      <c r="E122" s="4" t="s">
        <v>256</v>
      </c>
      <c r="F122" s="4" t="s">
        <v>256</v>
      </c>
      <c r="G122" s="5">
        <v>310.35132</v>
      </c>
      <c r="H122" s="9"/>
      <c r="I122" s="9">
        <f t="shared" si="5"/>
        <v>145.8651204</v>
      </c>
      <c r="J122" s="9">
        <f t="shared" si="6"/>
        <v>155.17566</v>
      </c>
      <c r="K122" s="9">
        <f t="shared" si="7"/>
        <v>170.693226</v>
      </c>
      <c r="L122" s="9">
        <f t="shared" si="8"/>
        <v>217.245924</v>
      </c>
      <c r="M122" s="9">
        <f t="shared" si="9"/>
        <v>263.798622</v>
      </c>
    </row>
    <row r="123" ht="27" spans="2:13">
      <c r="B123" t="s">
        <v>257</v>
      </c>
      <c r="C123" s="4" t="s">
        <v>258</v>
      </c>
      <c r="D123" s="4" t="s">
        <v>258</v>
      </c>
      <c r="E123" s="4" t="s">
        <v>258</v>
      </c>
      <c r="F123" s="4" t="s">
        <v>258</v>
      </c>
      <c r="G123" s="5">
        <v>260.6202</v>
      </c>
      <c r="H123" s="9"/>
      <c r="I123" s="9">
        <f t="shared" si="5"/>
        <v>122.491494</v>
      </c>
      <c r="J123" s="9">
        <f t="shared" si="6"/>
        <v>130.3101</v>
      </c>
      <c r="K123" s="9">
        <f t="shared" si="7"/>
        <v>143.34111</v>
      </c>
      <c r="L123" s="9">
        <f t="shared" si="8"/>
        <v>182.43414</v>
      </c>
      <c r="M123" s="9">
        <f t="shared" si="9"/>
        <v>221.52717</v>
      </c>
    </row>
    <row r="124" ht="40.5" spans="2:13">
      <c r="B124" t="s">
        <v>259</v>
      </c>
      <c r="C124" s="4" t="s">
        <v>260</v>
      </c>
      <c r="D124" s="4" t="s">
        <v>260</v>
      </c>
      <c r="E124" s="4" t="s">
        <v>260</v>
      </c>
      <c r="F124" s="4" t="s">
        <v>260</v>
      </c>
      <c r="G124" s="5">
        <v>326.58156</v>
      </c>
      <c r="H124" s="9"/>
      <c r="I124" s="9">
        <f t="shared" si="5"/>
        <v>153.4933332</v>
      </c>
      <c r="J124" s="9">
        <f t="shared" si="6"/>
        <v>163.29078</v>
      </c>
      <c r="K124" s="9">
        <f t="shared" si="7"/>
        <v>179.619858</v>
      </c>
      <c r="L124" s="9">
        <f t="shared" si="8"/>
        <v>228.607092</v>
      </c>
      <c r="M124" s="9">
        <f t="shared" si="9"/>
        <v>277.594326</v>
      </c>
    </row>
    <row r="125" ht="27" spans="2:13">
      <c r="B125" t="s">
        <v>261</v>
      </c>
      <c r="C125" s="4" t="s">
        <v>262</v>
      </c>
      <c r="D125" s="4" t="s">
        <v>262</v>
      </c>
      <c r="E125" s="4" t="s">
        <v>262</v>
      </c>
      <c r="F125" s="4" t="s">
        <v>262</v>
      </c>
      <c r="G125" s="5">
        <v>160.7418</v>
      </c>
      <c r="H125" s="9"/>
      <c r="I125" s="9">
        <f t="shared" si="5"/>
        <v>75.548646</v>
      </c>
      <c r="J125" s="9">
        <f t="shared" si="6"/>
        <v>80.3709</v>
      </c>
      <c r="K125" s="9">
        <f t="shared" si="7"/>
        <v>88.40799</v>
      </c>
      <c r="L125" s="9">
        <f t="shared" si="8"/>
        <v>112.51926</v>
      </c>
      <c r="M125" s="9">
        <f t="shared" si="9"/>
        <v>136.63053</v>
      </c>
    </row>
    <row r="126" spans="2:13">
      <c r="B126" t="s">
        <v>263</v>
      </c>
      <c r="C126" s="4" t="s">
        <v>264</v>
      </c>
      <c r="D126" s="4" t="s">
        <v>264</v>
      </c>
      <c r="E126" s="4" t="s">
        <v>264</v>
      </c>
      <c r="F126" s="4" t="s">
        <v>264</v>
      </c>
      <c r="G126" s="5">
        <v>160.7418</v>
      </c>
      <c r="H126" s="9"/>
      <c r="I126" s="9">
        <f t="shared" si="5"/>
        <v>75.548646</v>
      </c>
      <c r="J126" s="9">
        <f t="shared" si="6"/>
        <v>80.3709</v>
      </c>
      <c r="K126" s="9">
        <f t="shared" si="7"/>
        <v>88.40799</v>
      </c>
      <c r="L126" s="9">
        <f t="shared" si="8"/>
        <v>112.51926</v>
      </c>
      <c r="M126" s="9">
        <f t="shared" si="9"/>
        <v>136.63053</v>
      </c>
    </row>
    <row r="127" ht="40.5" spans="2:13">
      <c r="B127" t="s">
        <v>265</v>
      </c>
      <c r="C127" s="4" t="s">
        <v>266</v>
      </c>
      <c r="D127" s="4" t="s">
        <v>266</v>
      </c>
      <c r="E127" s="4" t="s">
        <v>266</v>
      </c>
      <c r="F127" s="4" t="s">
        <v>266</v>
      </c>
      <c r="G127" s="5">
        <v>244.3716</v>
      </c>
      <c r="H127" s="9"/>
      <c r="I127" s="9">
        <f t="shared" si="5"/>
        <v>114.854652</v>
      </c>
      <c r="J127" s="9">
        <f t="shared" si="6"/>
        <v>122.1858</v>
      </c>
      <c r="K127" s="9">
        <f t="shared" si="7"/>
        <v>134.40438</v>
      </c>
      <c r="L127" s="9">
        <f t="shared" si="8"/>
        <v>171.06012</v>
      </c>
      <c r="M127" s="9">
        <f t="shared" si="9"/>
        <v>207.71586</v>
      </c>
    </row>
    <row r="128" ht="27" spans="2:13">
      <c r="B128" t="s">
        <v>267</v>
      </c>
      <c r="C128" s="4" t="s">
        <v>268</v>
      </c>
      <c r="D128" s="4" t="s">
        <v>268</v>
      </c>
      <c r="E128" s="4" t="s">
        <v>268</v>
      </c>
      <c r="F128" s="4" t="s">
        <v>268</v>
      </c>
      <c r="G128" s="5">
        <v>176.868</v>
      </c>
      <c r="H128" s="9"/>
      <c r="I128" s="9">
        <f t="shared" si="5"/>
        <v>83.12796</v>
      </c>
      <c r="J128" s="9">
        <f t="shared" si="6"/>
        <v>88.434</v>
      </c>
      <c r="K128" s="9">
        <f t="shared" si="7"/>
        <v>97.2774</v>
      </c>
      <c r="L128" s="9">
        <f t="shared" si="8"/>
        <v>123.8076</v>
      </c>
      <c r="M128" s="9">
        <f t="shared" si="9"/>
        <v>150.3378</v>
      </c>
    </row>
    <row r="129" ht="40.5" spans="2:13">
      <c r="B129" t="s">
        <v>269</v>
      </c>
      <c r="C129" s="4" t="s">
        <v>270</v>
      </c>
      <c r="D129" s="4" t="s">
        <v>270</v>
      </c>
      <c r="E129" s="4" t="s">
        <v>270</v>
      </c>
      <c r="F129" s="4" t="s">
        <v>270</v>
      </c>
      <c r="G129" s="5">
        <v>261.6504</v>
      </c>
      <c r="H129" s="9"/>
      <c r="I129" s="9">
        <f t="shared" si="5"/>
        <v>122.975688</v>
      </c>
      <c r="J129" s="9">
        <f t="shared" si="6"/>
        <v>130.8252</v>
      </c>
      <c r="K129" s="9">
        <f t="shared" si="7"/>
        <v>143.90772</v>
      </c>
      <c r="L129" s="9">
        <f t="shared" si="8"/>
        <v>183.15528</v>
      </c>
      <c r="M129" s="9">
        <f t="shared" si="9"/>
        <v>222.40284</v>
      </c>
    </row>
    <row r="130" ht="40.5" spans="2:13">
      <c r="B130" t="s">
        <v>271</v>
      </c>
      <c r="C130" s="4" t="s">
        <v>272</v>
      </c>
      <c r="D130" s="4" t="s">
        <v>272</v>
      </c>
      <c r="E130" s="4" t="s">
        <v>272</v>
      </c>
      <c r="F130" s="4" t="s">
        <v>272</v>
      </c>
      <c r="G130" s="5">
        <v>292.14432</v>
      </c>
      <c r="H130" s="9"/>
      <c r="I130" s="9">
        <f t="shared" si="5"/>
        <v>137.3078304</v>
      </c>
      <c r="J130" s="9">
        <f t="shared" si="6"/>
        <v>146.07216</v>
      </c>
      <c r="K130" s="9">
        <f t="shared" si="7"/>
        <v>160.679376</v>
      </c>
      <c r="L130" s="9">
        <f t="shared" si="8"/>
        <v>204.501024</v>
      </c>
      <c r="M130" s="9">
        <f t="shared" si="9"/>
        <v>248.322672</v>
      </c>
    </row>
    <row r="131" spans="2:13">
      <c r="B131" t="s">
        <v>273</v>
      </c>
      <c r="C131" s="4" t="s">
        <v>274</v>
      </c>
      <c r="D131" s="4" t="s">
        <v>274</v>
      </c>
      <c r="E131" s="4" t="s">
        <v>274</v>
      </c>
      <c r="F131" s="4" t="s">
        <v>274</v>
      </c>
      <c r="G131" s="5">
        <v>75.429</v>
      </c>
      <c r="H131" s="9"/>
      <c r="I131" s="9">
        <f t="shared" ref="I131:I194" si="10">G131*0.47</f>
        <v>35.45163</v>
      </c>
      <c r="J131" s="9">
        <f t="shared" ref="J131:J194" si="11">G131*0.5</f>
        <v>37.7145</v>
      </c>
      <c r="K131" s="9">
        <f t="shared" ref="K131:K194" si="12">G131*0.55</f>
        <v>41.48595</v>
      </c>
      <c r="L131" s="9">
        <f t="shared" ref="L131:L194" si="13">G131*0.7</f>
        <v>52.8003</v>
      </c>
      <c r="M131" s="9">
        <f t="shared" ref="M131:M194" si="14">G131*0.85</f>
        <v>64.11465</v>
      </c>
    </row>
    <row r="132" ht="27" spans="2:13">
      <c r="B132" t="s">
        <v>275</v>
      </c>
      <c r="C132" s="4" t="s">
        <v>276</v>
      </c>
      <c r="D132" s="4" t="s">
        <v>276</v>
      </c>
      <c r="E132" s="4" t="s">
        <v>276</v>
      </c>
      <c r="F132" s="4" t="s">
        <v>276</v>
      </c>
      <c r="G132" s="5">
        <v>99.1848</v>
      </c>
      <c r="H132" s="9"/>
      <c r="I132" s="9">
        <f t="shared" si="10"/>
        <v>46.616856</v>
      </c>
      <c r="J132" s="9">
        <f t="shared" si="11"/>
        <v>49.5924</v>
      </c>
      <c r="K132" s="9">
        <f t="shared" si="12"/>
        <v>54.55164</v>
      </c>
      <c r="L132" s="9">
        <f t="shared" si="13"/>
        <v>69.42936</v>
      </c>
      <c r="M132" s="9">
        <f t="shared" si="14"/>
        <v>84.30708</v>
      </c>
    </row>
    <row r="133" ht="27" spans="2:13">
      <c r="B133" t="s">
        <v>277</v>
      </c>
      <c r="C133" s="4" t="s">
        <v>278</v>
      </c>
      <c r="D133" s="4" t="s">
        <v>278</v>
      </c>
      <c r="E133" s="4" t="s">
        <v>278</v>
      </c>
      <c r="F133" s="4" t="s">
        <v>278</v>
      </c>
      <c r="G133" s="5">
        <v>163.8018</v>
      </c>
      <c r="H133" s="9"/>
      <c r="I133" s="9">
        <f t="shared" si="10"/>
        <v>76.986846</v>
      </c>
      <c r="J133" s="9">
        <f t="shared" si="11"/>
        <v>81.9009</v>
      </c>
      <c r="K133" s="9">
        <f t="shared" si="12"/>
        <v>90.09099</v>
      </c>
      <c r="L133" s="9">
        <f t="shared" si="13"/>
        <v>114.66126</v>
      </c>
      <c r="M133" s="9">
        <f t="shared" si="14"/>
        <v>139.23153</v>
      </c>
    </row>
    <row r="134" spans="2:13">
      <c r="B134" t="s">
        <v>279</v>
      </c>
      <c r="C134" s="4" t="s">
        <v>280</v>
      </c>
      <c r="D134" s="4" t="s">
        <v>280</v>
      </c>
      <c r="E134" s="4" t="s">
        <v>280</v>
      </c>
      <c r="F134" s="4" t="s">
        <v>280</v>
      </c>
      <c r="G134" s="5">
        <v>82.29564</v>
      </c>
      <c r="H134" s="9"/>
      <c r="I134" s="9">
        <f t="shared" si="10"/>
        <v>38.6789508</v>
      </c>
      <c r="J134" s="9">
        <f t="shared" si="11"/>
        <v>41.14782</v>
      </c>
      <c r="K134" s="9">
        <f t="shared" si="12"/>
        <v>45.262602</v>
      </c>
      <c r="L134" s="9">
        <f t="shared" si="13"/>
        <v>57.606948</v>
      </c>
      <c r="M134" s="9">
        <f t="shared" si="14"/>
        <v>69.951294</v>
      </c>
    </row>
    <row r="135" spans="2:13">
      <c r="B135" t="s">
        <v>281</v>
      </c>
      <c r="C135" s="4" t="s">
        <v>282</v>
      </c>
      <c r="D135" s="4" t="s">
        <v>282</v>
      </c>
      <c r="E135" s="4" t="s">
        <v>282</v>
      </c>
      <c r="F135" s="4" t="s">
        <v>282</v>
      </c>
      <c r="G135" s="5">
        <v>144.82368</v>
      </c>
      <c r="H135" s="9"/>
      <c r="I135" s="9">
        <f t="shared" si="10"/>
        <v>68.0671296</v>
      </c>
      <c r="J135" s="9">
        <f t="shared" si="11"/>
        <v>72.41184</v>
      </c>
      <c r="K135" s="9">
        <f t="shared" si="12"/>
        <v>79.653024</v>
      </c>
      <c r="L135" s="9">
        <f t="shared" si="13"/>
        <v>101.376576</v>
      </c>
      <c r="M135" s="9">
        <f t="shared" si="14"/>
        <v>123.100128</v>
      </c>
    </row>
    <row r="136" ht="27" spans="2:13">
      <c r="B136" t="s">
        <v>283</v>
      </c>
      <c r="C136" s="4" t="s">
        <v>284</v>
      </c>
      <c r="D136" s="4" t="s">
        <v>284</v>
      </c>
      <c r="E136" s="4" t="s">
        <v>284</v>
      </c>
      <c r="F136" s="4" t="s">
        <v>284</v>
      </c>
      <c r="G136" s="5">
        <v>160.7418</v>
      </c>
      <c r="H136" s="9"/>
      <c r="I136" s="9">
        <f t="shared" si="10"/>
        <v>75.548646</v>
      </c>
      <c r="J136" s="9">
        <f t="shared" si="11"/>
        <v>80.3709</v>
      </c>
      <c r="K136" s="9">
        <f t="shared" si="12"/>
        <v>88.40799</v>
      </c>
      <c r="L136" s="9">
        <f t="shared" si="13"/>
        <v>112.51926</v>
      </c>
      <c r="M136" s="9">
        <f t="shared" si="14"/>
        <v>136.63053</v>
      </c>
    </row>
    <row r="137" ht="27" spans="2:13">
      <c r="B137" t="s">
        <v>285</v>
      </c>
      <c r="C137" s="4" t="s">
        <v>286</v>
      </c>
      <c r="D137" s="4" t="s">
        <v>286</v>
      </c>
      <c r="E137" s="4" t="s">
        <v>286</v>
      </c>
      <c r="F137" s="4" t="s">
        <v>286</v>
      </c>
      <c r="G137" s="5">
        <v>196.5876</v>
      </c>
      <c r="H137" s="9"/>
      <c r="I137" s="9">
        <f t="shared" si="10"/>
        <v>92.396172</v>
      </c>
      <c r="J137" s="9">
        <f t="shared" si="11"/>
        <v>98.2938</v>
      </c>
      <c r="K137" s="9">
        <f t="shared" si="12"/>
        <v>108.12318</v>
      </c>
      <c r="L137" s="9">
        <f t="shared" si="13"/>
        <v>137.61132</v>
      </c>
      <c r="M137" s="9">
        <f t="shared" si="14"/>
        <v>167.09946</v>
      </c>
    </row>
    <row r="138" ht="27" spans="2:13">
      <c r="B138" t="s">
        <v>287</v>
      </c>
      <c r="C138" s="4" t="s">
        <v>288</v>
      </c>
      <c r="D138" s="4" t="s">
        <v>288</v>
      </c>
      <c r="E138" s="4" t="s">
        <v>288</v>
      </c>
      <c r="F138" s="4" t="s">
        <v>288</v>
      </c>
      <c r="G138" s="5">
        <v>233.88192</v>
      </c>
      <c r="H138" s="9"/>
      <c r="I138" s="9">
        <f t="shared" si="10"/>
        <v>109.9245024</v>
      </c>
      <c r="J138" s="9">
        <f t="shared" si="11"/>
        <v>116.94096</v>
      </c>
      <c r="K138" s="9">
        <f t="shared" si="12"/>
        <v>128.635056</v>
      </c>
      <c r="L138" s="9">
        <f t="shared" si="13"/>
        <v>163.717344</v>
      </c>
      <c r="M138" s="9">
        <f t="shared" si="14"/>
        <v>198.799632</v>
      </c>
    </row>
    <row r="139" spans="2:13">
      <c r="B139" t="s">
        <v>289</v>
      </c>
      <c r="C139" s="4" t="s">
        <v>290</v>
      </c>
      <c r="D139" s="4" t="s">
        <v>290</v>
      </c>
      <c r="E139" s="4" t="s">
        <v>290</v>
      </c>
      <c r="F139" s="4" t="s">
        <v>290</v>
      </c>
      <c r="G139" s="5">
        <v>89.05824</v>
      </c>
      <c r="H139" s="9"/>
      <c r="I139" s="9">
        <f t="shared" si="10"/>
        <v>41.8573728</v>
      </c>
      <c r="J139" s="9">
        <f t="shared" si="11"/>
        <v>44.52912</v>
      </c>
      <c r="K139" s="9">
        <f t="shared" si="12"/>
        <v>48.982032</v>
      </c>
      <c r="L139" s="9">
        <f t="shared" si="13"/>
        <v>62.340768</v>
      </c>
      <c r="M139" s="9">
        <f t="shared" si="14"/>
        <v>75.699504</v>
      </c>
    </row>
    <row r="140" spans="2:13">
      <c r="B140" t="s">
        <v>291</v>
      </c>
      <c r="C140" s="4" t="s">
        <v>292</v>
      </c>
      <c r="D140" s="4" t="s">
        <v>292</v>
      </c>
      <c r="E140" s="4" t="s">
        <v>292</v>
      </c>
      <c r="F140" s="4" t="s">
        <v>292</v>
      </c>
      <c r="G140" s="5">
        <v>105.6006</v>
      </c>
      <c r="H140" s="9"/>
      <c r="I140" s="9">
        <f t="shared" si="10"/>
        <v>49.632282</v>
      </c>
      <c r="J140" s="9">
        <f t="shared" si="11"/>
        <v>52.8003</v>
      </c>
      <c r="K140" s="9">
        <f t="shared" si="12"/>
        <v>58.08033</v>
      </c>
      <c r="L140" s="9">
        <f t="shared" si="13"/>
        <v>73.92042</v>
      </c>
      <c r="M140" s="9">
        <f t="shared" si="14"/>
        <v>89.76051</v>
      </c>
    </row>
    <row r="141" spans="2:13">
      <c r="B141" t="s">
        <v>293</v>
      </c>
      <c r="C141" s="4" t="s">
        <v>294</v>
      </c>
      <c r="D141" s="4" t="s">
        <v>294</v>
      </c>
      <c r="E141" s="4" t="s">
        <v>294</v>
      </c>
      <c r="F141" s="4" t="s">
        <v>294</v>
      </c>
      <c r="G141" s="5">
        <v>126.51264</v>
      </c>
      <c r="H141" s="9"/>
      <c r="I141" s="9">
        <f t="shared" si="10"/>
        <v>59.4609408</v>
      </c>
      <c r="J141" s="9">
        <f t="shared" si="11"/>
        <v>63.25632</v>
      </c>
      <c r="K141" s="9">
        <f t="shared" si="12"/>
        <v>69.581952</v>
      </c>
      <c r="L141" s="9">
        <f t="shared" si="13"/>
        <v>88.558848</v>
      </c>
      <c r="M141" s="9">
        <f t="shared" si="14"/>
        <v>107.535744</v>
      </c>
    </row>
    <row r="142" spans="2:13">
      <c r="B142" t="s">
        <v>295</v>
      </c>
      <c r="C142" s="4" t="s">
        <v>296</v>
      </c>
      <c r="D142" s="4" t="s">
        <v>296</v>
      </c>
      <c r="E142" s="4" t="s">
        <v>296</v>
      </c>
      <c r="F142" s="4" t="s">
        <v>296</v>
      </c>
      <c r="G142" s="5">
        <v>236.06676</v>
      </c>
      <c r="H142" s="9"/>
      <c r="I142" s="9">
        <f t="shared" si="10"/>
        <v>110.9513772</v>
      </c>
      <c r="J142" s="9">
        <f t="shared" si="11"/>
        <v>118.03338</v>
      </c>
      <c r="K142" s="9">
        <f t="shared" si="12"/>
        <v>129.836718</v>
      </c>
      <c r="L142" s="9">
        <f t="shared" si="13"/>
        <v>165.246732</v>
      </c>
      <c r="M142" s="9">
        <f t="shared" si="14"/>
        <v>200.656746</v>
      </c>
    </row>
    <row r="143" ht="27" spans="2:13">
      <c r="B143" t="s">
        <v>297</v>
      </c>
      <c r="C143" s="4" t="s">
        <v>298</v>
      </c>
      <c r="D143" s="4" t="s">
        <v>298</v>
      </c>
      <c r="E143" s="4" t="s">
        <v>298</v>
      </c>
      <c r="F143" s="4" t="s">
        <v>298</v>
      </c>
      <c r="G143" s="5">
        <v>290.99988</v>
      </c>
      <c r="H143" s="9"/>
      <c r="I143" s="9">
        <f t="shared" si="10"/>
        <v>136.7699436</v>
      </c>
      <c r="J143" s="9">
        <f t="shared" si="11"/>
        <v>145.49994</v>
      </c>
      <c r="K143" s="9">
        <f t="shared" si="12"/>
        <v>160.049934</v>
      </c>
      <c r="L143" s="9">
        <f t="shared" si="13"/>
        <v>203.699916</v>
      </c>
      <c r="M143" s="9">
        <f t="shared" si="14"/>
        <v>247.349898</v>
      </c>
    </row>
    <row r="144" ht="27" spans="2:13">
      <c r="B144" t="s">
        <v>299</v>
      </c>
      <c r="C144" s="4" t="s">
        <v>300</v>
      </c>
      <c r="D144" s="4" t="s">
        <v>300</v>
      </c>
      <c r="E144" s="4" t="s">
        <v>300</v>
      </c>
      <c r="F144" s="4" t="s">
        <v>300</v>
      </c>
      <c r="G144" s="5">
        <v>356.8572</v>
      </c>
      <c r="H144" s="9"/>
      <c r="I144" s="9">
        <f t="shared" si="10"/>
        <v>167.722884</v>
      </c>
      <c r="J144" s="9">
        <f t="shared" si="11"/>
        <v>178.4286</v>
      </c>
      <c r="K144" s="9">
        <f t="shared" si="12"/>
        <v>196.27146</v>
      </c>
      <c r="L144" s="9">
        <f t="shared" si="13"/>
        <v>249.80004</v>
      </c>
      <c r="M144" s="9">
        <f t="shared" si="14"/>
        <v>303.32862</v>
      </c>
    </row>
    <row r="145" spans="2:13">
      <c r="B145" t="s">
        <v>301</v>
      </c>
      <c r="C145" s="4" t="s">
        <v>302</v>
      </c>
      <c r="D145" s="4" t="s">
        <v>302</v>
      </c>
      <c r="E145" s="4" t="s">
        <v>302</v>
      </c>
      <c r="F145" s="4" t="s">
        <v>302</v>
      </c>
      <c r="G145" s="5">
        <v>373.90752</v>
      </c>
      <c r="H145" s="9"/>
      <c r="I145" s="9">
        <f t="shared" si="10"/>
        <v>175.7365344</v>
      </c>
      <c r="J145" s="9">
        <f t="shared" si="11"/>
        <v>186.95376</v>
      </c>
      <c r="K145" s="9">
        <f t="shared" si="12"/>
        <v>205.649136</v>
      </c>
      <c r="L145" s="9">
        <f t="shared" si="13"/>
        <v>261.735264</v>
      </c>
      <c r="M145" s="9">
        <f t="shared" si="14"/>
        <v>317.821392</v>
      </c>
    </row>
    <row r="146" spans="2:13">
      <c r="B146" t="s">
        <v>303</v>
      </c>
      <c r="C146" s="4" t="s">
        <v>304</v>
      </c>
      <c r="D146" s="4" t="s">
        <v>304</v>
      </c>
      <c r="E146" s="4" t="s">
        <v>304</v>
      </c>
      <c r="F146" s="4" t="s">
        <v>304</v>
      </c>
      <c r="G146" s="5">
        <v>393.3732</v>
      </c>
      <c r="H146" s="9"/>
      <c r="I146" s="9">
        <f t="shared" si="10"/>
        <v>184.885404</v>
      </c>
      <c r="J146" s="9">
        <f t="shared" si="11"/>
        <v>196.6866</v>
      </c>
      <c r="K146" s="9">
        <f t="shared" si="12"/>
        <v>216.35526</v>
      </c>
      <c r="L146" s="9">
        <f t="shared" si="13"/>
        <v>275.36124</v>
      </c>
      <c r="M146" s="9">
        <f t="shared" si="14"/>
        <v>334.36722</v>
      </c>
    </row>
    <row r="147" spans="2:13">
      <c r="B147" t="s">
        <v>305</v>
      </c>
      <c r="C147" s="4" t="s">
        <v>306</v>
      </c>
      <c r="D147" s="4" t="s">
        <v>306</v>
      </c>
      <c r="E147" s="4" t="s">
        <v>306</v>
      </c>
      <c r="F147" s="4" t="s">
        <v>306</v>
      </c>
      <c r="G147" s="5">
        <v>406.6128</v>
      </c>
      <c r="H147" s="9"/>
      <c r="I147" s="9">
        <f t="shared" si="10"/>
        <v>191.108016</v>
      </c>
      <c r="J147" s="9">
        <f t="shared" si="11"/>
        <v>203.3064</v>
      </c>
      <c r="K147" s="9">
        <f t="shared" si="12"/>
        <v>223.63704</v>
      </c>
      <c r="L147" s="9">
        <f t="shared" si="13"/>
        <v>284.62896</v>
      </c>
      <c r="M147" s="9">
        <f t="shared" si="14"/>
        <v>345.62088</v>
      </c>
    </row>
    <row r="148" spans="2:13">
      <c r="B148" t="s">
        <v>307</v>
      </c>
      <c r="C148" s="4" t="s">
        <v>308</v>
      </c>
      <c r="D148" s="4" t="s">
        <v>308</v>
      </c>
      <c r="E148" s="4" t="s">
        <v>308</v>
      </c>
      <c r="F148" s="4" t="s">
        <v>308</v>
      </c>
      <c r="G148" s="5">
        <v>24.2352</v>
      </c>
      <c r="H148" s="9"/>
      <c r="I148" s="9">
        <f t="shared" si="10"/>
        <v>11.390544</v>
      </c>
      <c r="J148" s="9">
        <f t="shared" si="11"/>
        <v>12.1176</v>
      </c>
      <c r="K148" s="9">
        <f t="shared" si="12"/>
        <v>13.32936</v>
      </c>
      <c r="L148" s="9">
        <f t="shared" si="13"/>
        <v>16.96464</v>
      </c>
      <c r="M148" s="9">
        <f t="shared" si="14"/>
        <v>20.59992</v>
      </c>
    </row>
    <row r="149" spans="2:13">
      <c r="B149" t="s">
        <v>309</v>
      </c>
      <c r="C149" s="4" t="s">
        <v>310</v>
      </c>
      <c r="D149" s="4" t="s">
        <v>310</v>
      </c>
      <c r="E149" s="4" t="s">
        <v>310</v>
      </c>
      <c r="F149" s="4" t="s">
        <v>310</v>
      </c>
      <c r="G149" s="5">
        <v>6.4872</v>
      </c>
      <c r="H149" s="9"/>
      <c r="I149" s="9">
        <f t="shared" si="10"/>
        <v>3.048984</v>
      </c>
      <c r="J149" s="9">
        <f t="shared" si="11"/>
        <v>3.2436</v>
      </c>
      <c r="K149" s="9">
        <f t="shared" si="12"/>
        <v>3.56796</v>
      </c>
      <c r="L149" s="9">
        <f t="shared" si="13"/>
        <v>4.54104</v>
      </c>
      <c r="M149" s="9">
        <f t="shared" si="14"/>
        <v>5.51412</v>
      </c>
    </row>
    <row r="150" ht="27" spans="2:13">
      <c r="B150" t="s">
        <v>311</v>
      </c>
      <c r="C150" s="4" t="s">
        <v>312</v>
      </c>
      <c r="D150" s="4" t="s">
        <v>312</v>
      </c>
      <c r="E150" s="4" t="s">
        <v>312</v>
      </c>
      <c r="F150" s="4" t="s">
        <v>312</v>
      </c>
      <c r="G150" s="5">
        <v>158.55696</v>
      </c>
      <c r="H150" s="9"/>
      <c r="I150" s="9">
        <f t="shared" si="10"/>
        <v>74.5217712</v>
      </c>
      <c r="J150" s="9">
        <f t="shared" si="11"/>
        <v>79.27848</v>
      </c>
      <c r="K150" s="9">
        <f t="shared" si="12"/>
        <v>87.206328</v>
      </c>
      <c r="L150" s="9">
        <f t="shared" si="13"/>
        <v>110.989872</v>
      </c>
      <c r="M150" s="9">
        <f t="shared" si="14"/>
        <v>134.773416</v>
      </c>
    </row>
    <row r="151" ht="27" spans="2:13">
      <c r="B151" t="s">
        <v>313</v>
      </c>
      <c r="C151" s="4" t="s">
        <v>314</v>
      </c>
      <c r="D151" s="4" t="s">
        <v>314</v>
      </c>
      <c r="E151" s="4" t="s">
        <v>314</v>
      </c>
      <c r="F151" s="4" t="s">
        <v>314</v>
      </c>
      <c r="G151" s="5">
        <v>227.11932</v>
      </c>
      <c r="H151" s="9"/>
      <c r="I151" s="9">
        <f t="shared" si="10"/>
        <v>106.7460804</v>
      </c>
      <c r="J151" s="9">
        <f t="shared" si="11"/>
        <v>113.55966</v>
      </c>
      <c r="K151" s="9">
        <f t="shared" si="12"/>
        <v>124.915626</v>
      </c>
      <c r="L151" s="9">
        <f t="shared" si="13"/>
        <v>158.983524</v>
      </c>
      <c r="M151" s="9">
        <f t="shared" si="14"/>
        <v>193.051422</v>
      </c>
    </row>
    <row r="152" ht="27" spans="2:13">
      <c r="B152" t="s">
        <v>315</v>
      </c>
      <c r="C152" s="4" t="s">
        <v>316</v>
      </c>
      <c r="D152" s="4" t="s">
        <v>316</v>
      </c>
      <c r="E152" s="4" t="s">
        <v>316</v>
      </c>
      <c r="F152" s="4" t="s">
        <v>316</v>
      </c>
      <c r="G152" s="5">
        <v>145.656</v>
      </c>
      <c r="H152" s="9"/>
      <c r="I152" s="9">
        <f t="shared" si="10"/>
        <v>68.45832</v>
      </c>
      <c r="J152" s="9">
        <f t="shared" si="11"/>
        <v>72.828</v>
      </c>
      <c r="K152" s="9">
        <f t="shared" si="12"/>
        <v>80.1108</v>
      </c>
      <c r="L152" s="9">
        <f t="shared" si="13"/>
        <v>101.9592</v>
      </c>
      <c r="M152" s="9">
        <f t="shared" si="14"/>
        <v>123.8076</v>
      </c>
    </row>
    <row r="153" ht="27" spans="2:13">
      <c r="B153" t="s">
        <v>317</v>
      </c>
      <c r="C153" s="4" t="s">
        <v>318</v>
      </c>
      <c r="D153" s="4" t="s">
        <v>318</v>
      </c>
      <c r="E153" s="4" t="s">
        <v>318</v>
      </c>
      <c r="F153" s="4" t="s">
        <v>318</v>
      </c>
      <c r="G153" s="5">
        <v>248.03136</v>
      </c>
      <c r="H153" s="9"/>
      <c r="I153" s="9">
        <f t="shared" si="10"/>
        <v>116.5747392</v>
      </c>
      <c r="J153" s="9">
        <f t="shared" si="11"/>
        <v>124.01568</v>
      </c>
      <c r="K153" s="9">
        <f t="shared" si="12"/>
        <v>136.417248</v>
      </c>
      <c r="L153" s="9">
        <f t="shared" si="13"/>
        <v>173.621952</v>
      </c>
      <c r="M153" s="9">
        <f t="shared" si="14"/>
        <v>210.826656</v>
      </c>
    </row>
    <row r="154" ht="27" spans="2:13">
      <c r="B154" t="s">
        <v>319</v>
      </c>
      <c r="C154" s="4" t="s">
        <v>320</v>
      </c>
      <c r="D154" s="4" t="s">
        <v>320</v>
      </c>
      <c r="E154" s="4" t="s">
        <v>320</v>
      </c>
      <c r="F154" s="4" t="s">
        <v>320</v>
      </c>
      <c r="G154" s="5">
        <v>177.18012</v>
      </c>
      <c r="H154" s="9"/>
      <c r="I154" s="9">
        <f t="shared" si="10"/>
        <v>83.2746564</v>
      </c>
      <c r="J154" s="9">
        <f t="shared" si="11"/>
        <v>88.59006</v>
      </c>
      <c r="K154" s="9">
        <f t="shared" si="12"/>
        <v>97.449066</v>
      </c>
      <c r="L154" s="9">
        <f t="shared" si="13"/>
        <v>124.026084</v>
      </c>
      <c r="M154" s="9">
        <f t="shared" si="14"/>
        <v>150.603102</v>
      </c>
    </row>
    <row r="155" ht="40.5" spans="2:13">
      <c r="B155" t="s">
        <v>321</v>
      </c>
      <c r="C155" s="4" t="s">
        <v>322</v>
      </c>
      <c r="D155" s="4" t="s">
        <v>322</v>
      </c>
      <c r="E155" s="4" t="s">
        <v>322</v>
      </c>
      <c r="F155" s="4" t="s">
        <v>322</v>
      </c>
      <c r="G155" s="5">
        <v>245.63844</v>
      </c>
      <c r="H155" s="9"/>
      <c r="I155" s="9">
        <f t="shared" si="10"/>
        <v>115.4500668</v>
      </c>
      <c r="J155" s="9">
        <f t="shared" si="11"/>
        <v>122.81922</v>
      </c>
      <c r="K155" s="9">
        <f t="shared" si="12"/>
        <v>135.101142</v>
      </c>
      <c r="L155" s="9">
        <f t="shared" si="13"/>
        <v>171.946908</v>
      </c>
      <c r="M155" s="9">
        <f t="shared" si="14"/>
        <v>208.792674</v>
      </c>
    </row>
    <row r="156" ht="27" spans="2:13">
      <c r="B156" t="s">
        <v>323</v>
      </c>
      <c r="C156" s="4" t="s">
        <v>324</v>
      </c>
      <c r="D156" s="4" t="s">
        <v>324</v>
      </c>
      <c r="E156" s="4" t="s">
        <v>324</v>
      </c>
      <c r="F156" s="4" t="s">
        <v>324</v>
      </c>
      <c r="G156" s="5">
        <v>263.2212</v>
      </c>
      <c r="H156" s="9"/>
      <c r="I156" s="9">
        <f t="shared" si="10"/>
        <v>123.713964</v>
      </c>
      <c r="J156" s="9">
        <f t="shared" si="11"/>
        <v>131.6106</v>
      </c>
      <c r="K156" s="9">
        <f t="shared" si="12"/>
        <v>144.77166</v>
      </c>
      <c r="L156" s="9">
        <f t="shared" si="13"/>
        <v>184.25484</v>
      </c>
      <c r="M156" s="9">
        <f t="shared" si="14"/>
        <v>223.73802</v>
      </c>
    </row>
    <row r="157" ht="27" spans="2:13">
      <c r="B157" t="s">
        <v>325</v>
      </c>
      <c r="C157" s="4" t="s">
        <v>326</v>
      </c>
      <c r="D157" s="4" t="s">
        <v>326</v>
      </c>
      <c r="E157" s="4" t="s">
        <v>326</v>
      </c>
      <c r="F157" s="4" t="s">
        <v>326</v>
      </c>
      <c r="G157" s="5">
        <v>331.67952</v>
      </c>
      <c r="H157" s="9"/>
      <c r="I157" s="9">
        <f t="shared" si="10"/>
        <v>155.8893744</v>
      </c>
      <c r="J157" s="9">
        <f t="shared" si="11"/>
        <v>165.83976</v>
      </c>
      <c r="K157" s="9">
        <f t="shared" si="12"/>
        <v>182.423736</v>
      </c>
      <c r="L157" s="9">
        <f t="shared" si="13"/>
        <v>232.175664</v>
      </c>
      <c r="M157" s="9">
        <f t="shared" si="14"/>
        <v>281.927592</v>
      </c>
    </row>
    <row r="158" ht="27" spans="2:13">
      <c r="B158" t="s">
        <v>327</v>
      </c>
      <c r="C158" s="4" t="s">
        <v>328</v>
      </c>
      <c r="D158" s="4" t="s">
        <v>328</v>
      </c>
      <c r="E158" s="4" t="s">
        <v>328</v>
      </c>
      <c r="F158" s="4" t="s">
        <v>328</v>
      </c>
      <c r="G158" s="5">
        <v>281.84436</v>
      </c>
      <c r="H158" s="9"/>
      <c r="I158" s="9">
        <f t="shared" si="10"/>
        <v>132.4668492</v>
      </c>
      <c r="J158" s="9">
        <f t="shared" si="11"/>
        <v>140.92218</v>
      </c>
      <c r="K158" s="9">
        <f t="shared" si="12"/>
        <v>155.014398</v>
      </c>
      <c r="L158" s="9">
        <f t="shared" si="13"/>
        <v>197.291052</v>
      </c>
      <c r="M158" s="9">
        <f t="shared" si="14"/>
        <v>239.567706</v>
      </c>
    </row>
    <row r="159" ht="40.5" spans="2:13">
      <c r="B159" t="s">
        <v>329</v>
      </c>
      <c r="C159" s="4" t="s">
        <v>330</v>
      </c>
      <c r="D159" s="4" t="s">
        <v>330</v>
      </c>
      <c r="E159" s="4" t="s">
        <v>330</v>
      </c>
      <c r="F159" s="4" t="s">
        <v>330</v>
      </c>
      <c r="G159" s="5">
        <v>350.40672</v>
      </c>
      <c r="H159" s="9"/>
      <c r="I159" s="9">
        <f t="shared" si="10"/>
        <v>164.6911584</v>
      </c>
      <c r="J159" s="9">
        <f t="shared" si="11"/>
        <v>175.20336</v>
      </c>
      <c r="K159" s="9">
        <f t="shared" si="12"/>
        <v>192.723696</v>
      </c>
      <c r="L159" s="9">
        <f t="shared" si="13"/>
        <v>245.284704</v>
      </c>
      <c r="M159" s="9">
        <f t="shared" si="14"/>
        <v>297.845712</v>
      </c>
    </row>
    <row r="160" ht="27" spans="2:13">
      <c r="B160" t="s">
        <v>331</v>
      </c>
      <c r="C160" s="4" t="s">
        <v>332</v>
      </c>
      <c r="D160" s="4" t="s">
        <v>332</v>
      </c>
      <c r="E160" s="4" t="s">
        <v>332</v>
      </c>
      <c r="F160" s="4" t="s">
        <v>332</v>
      </c>
      <c r="G160" s="5">
        <v>331.15932</v>
      </c>
      <c r="H160" s="9"/>
      <c r="I160" s="9">
        <f t="shared" si="10"/>
        <v>155.6448804</v>
      </c>
      <c r="J160" s="9">
        <f t="shared" si="11"/>
        <v>165.57966</v>
      </c>
      <c r="K160" s="9">
        <f t="shared" si="12"/>
        <v>182.137626</v>
      </c>
      <c r="L160" s="9">
        <f t="shared" si="13"/>
        <v>231.811524</v>
      </c>
      <c r="M160" s="9">
        <f t="shared" si="14"/>
        <v>281.485422</v>
      </c>
    </row>
    <row r="161" ht="27" spans="2:13">
      <c r="B161" t="s">
        <v>333</v>
      </c>
      <c r="C161" s="4" t="s">
        <v>334</v>
      </c>
      <c r="D161" s="4" t="s">
        <v>334</v>
      </c>
      <c r="E161" s="4" t="s">
        <v>334</v>
      </c>
      <c r="F161" s="4" t="s">
        <v>334</v>
      </c>
      <c r="G161" s="5">
        <v>399.5136</v>
      </c>
      <c r="H161" s="9"/>
      <c r="I161" s="9">
        <f t="shared" si="10"/>
        <v>187.771392</v>
      </c>
      <c r="J161" s="9">
        <f t="shared" si="11"/>
        <v>199.7568</v>
      </c>
      <c r="K161" s="9">
        <f t="shared" si="12"/>
        <v>219.73248</v>
      </c>
      <c r="L161" s="9">
        <f t="shared" si="13"/>
        <v>279.65952</v>
      </c>
      <c r="M161" s="9">
        <f t="shared" si="14"/>
        <v>339.58656</v>
      </c>
    </row>
    <row r="162" ht="27" spans="2:13">
      <c r="B162" t="s">
        <v>335</v>
      </c>
      <c r="C162" s="4" t="s">
        <v>336</v>
      </c>
      <c r="D162" s="4" t="s">
        <v>336</v>
      </c>
      <c r="E162" s="4" t="s">
        <v>336</v>
      </c>
      <c r="F162" s="4" t="s">
        <v>336</v>
      </c>
      <c r="G162" s="5">
        <v>351.03096</v>
      </c>
      <c r="H162" s="9"/>
      <c r="I162" s="9">
        <f t="shared" si="10"/>
        <v>164.9845512</v>
      </c>
      <c r="J162" s="9">
        <f t="shared" si="11"/>
        <v>175.51548</v>
      </c>
      <c r="K162" s="9">
        <f t="shared" si="12"/>
        <v>193.067028</v>
      </c>
      <c r="L162" s="9">
        <f t="shared" si="13"/>
        <v>245.721672</v>
      </c>
      <c r="M162" s="9">
        <f t="shared" si="14"/>
        <v>298.376316</v>
      </c>
    </row>
    <row r="163" ht="40.5" spans="2:13">
      <c r="B163" t="s">
        <v>337</v>
      </c>
      <c r="C163" s="4" t="s">
        <v>338</v>
      </c>
      <c r="D163" s="4" t="s">
        <v>338</v>
      </c>
      <c r="E163" s="4" t="s">
        <v>338</v>
      </c>
      <c r="F163" s="4" t="s">
        <v>338</v>
      </c>
      <c r="G163" s="5">
        <v>419.38524</v>
      </c>
      <c r="H163" s="9"/>
      <c r="I163" s="9">
        <f t="shared" si="10"/>
        <v>197.1110628</v>
      </c>
      <c r="J163" s="9">
        <f t="shared" si="11"/>
        <v>209.69262</v>
      </c>
      <c r="K163" s="9">
        <f t="shared" si="12"/>
        <v>230.661882</v>
      </c>
      <c r="L163" s="9">
        <f t="shared" si="13"/>
        <v>293.569668</v>
      </c>
      <c r="M163" s="9">
        <f t="shared" si="14"/>
        <v>356.477454</v>
      </c>
    </row>
    <row r="164" ht="27" spans="2:13">
      <c r="B164" t="s">
        <v>339</v>
      </c>
      <c r="C164" s="4" t="s">
        <v>340</v>
      </c>
      <c r="D164" s="4" t="s">
        <v>340</v>
      </c>
      <c r="E164" s="4" t="s">
        <v>340</v>
      </c>
      <c r="F164" s="4" t="s">
        <v>340</v>
      </c>
      <c r="G164" s="5">
        <v>241.06068</v>
      </c>
      <c r="H164" s="9"/>
      <c r="I164" s="9">
        <f t="shared" si="10"/>
        <v>113.2985196</v>
      </c>
      <c r="J164" s="9">
        <f t="shared" si="11"/>
        <v>120.53034</v>
      </c>
      <c r="K164" s="9">
        <f t="shared" si="12"/>
        <v>132.583374</v>
      </c>
      <c r="L164" s="9">
        <f t="shared" si="13"/>
        <v>168.742476</v>
      </c>
      <c r="M164" s="9">
        <f t="shared" si="14"/>
        <v>204.901578</v>
      </c>
    </row>
    <row r="165" ht="27" spans="2:13">
      <c r="B165" t="s">
        <v>341</v>
      </c>
      <c r="C165" s="4" t="s">
        <v>342</v>
      </c>
      <c r="D165" s="4" t="s">
        <v>342</v>
      </c>
      <c r="E165" s="4" t="s">
        <v>342</v>
      </c>
      <c r="F165" s="4" t="s">
        <v>342</v>
      </c>
      <c r="G165" s="5">
        <v>309.519</v>
      </c>
      <c r="H165" s="9"/>
      <c r="I165" s="9">
        <f t="shared" si="10"/>
        <v>145.47393</v>
      </c>
      <c r="J165" s="9">
        <f t="shared" si="11"/>
        <v>154.7595</v>
      </c>
      <c r="K165" s="9">
        <f t="shared" si="12"/>
        <v>170.23545</v>
      </c>
      <c r="L165" s="9">
        <f t="shared" si="13"/>
        <v>216.6633</v>
      </c>
      <c r="M165" s="9">
        <f t="shared" si="14"/>
        <v>263.09115</v>
      </c>
    </row>
    <row r="166" ht="27" spans="2:13">
      <c r="B166" t="s">
        <v>343</v>
      </c>
      <c r="C166" s="4" t="s">
        <v>344</v>
      </c>
      <c r="D166" s="4" t="s">
        <v>344</v>
      </c>
      <c r="E166" s="4" t="s">
        <v>344</v>
      </c>
      <c r="F166" s="4" t="s">
        <v>344</v>
      </c>
      <c r="G166" s="5">
        <v>259.68384</v>
      </c>
      <c r="H166" s="9"/>
      <c r="I166" s="9">
        <f t="shared" si="10"/>
        <v>122.0514048</v>
      </c>
      <c r="J166" s="9">
        <f t="shared" si="11"/>
        <v>129.84192</v>
      </c>
      <c r="K166" s="9">
        <f t="shared" si="12"/>
        <v>142.826112</v>
      </c>
      <c r="L166" s="9">
        <f t="shared" si="13"/>
        <v>181.778688</v>
      </c>
      <c r="M166" s="9">
        <f t="shared" si="14"/>
        <v>220.731264</v>
      </c>
    </row>
    <row r="167" ht="40.5" spans="2:13">
      <c r="B167" t="s">
        <v>345</v>
      </c>
      <c r="C167" s="4" t="s">
        <v>346</v>
      </c>
      <c r="D167" s="4" t="s">
        <v>346</v>
      </c>
      <c r="E167" s="4" t="s">
        <v>346</v>
      </c>
      <c r="F167" s="4" t="s">
        <v>346</v>
      </c>
      <c r="G167" s="5">
        <v>328.14216</v>
      </c>
      <c r="H167" s="9"/>
      <c r="I167" s="9">
        <f t="shared" si="10"/>
        <v>154.2268152</v>
      </c>
      <c r="J167" s="9">
        <f t="shared" si="11"/>
        <v>164.07108</v>
      </c>
      <c r="K167" s="9">
        <f t="shared" si="12"/>
        <v>180.478188</v>
      </c>
      <c r="L167" s="9">
        <f t="shared" si="13"/>
        <v>229.699512</v>
      </c>
      <c r="M167" s="9">
        <f t="shared" si="14"/>
        <v>278.920836</v>
      </c>
    </row>
    <row r="168" ht="27" spans="2:13">
      <c r="B168" t="s">
        <v>347</v>
      </c>
      <c r="C168" s="4" t="s">
        <v>348</v>
      </c>
      <c r="D168" s="4" t="s">
        <v>348</v>
      </c>
      <c r="E168" s="4" t="s">
        <v>348</v>
      </c>
      <c r="F168" s="4" t="s">
        <v>348</v>
      </c>
      <c r="G168" s="5">
        <v>409.428</v>
      </c>
      <c r="H168" s="9"/>
      <c r="I168" s="9">
        <f t="shared" si="10"/>
        <v>192.43116</v>
      </c>
      <c r="J168" s="9">
        <f t="shared" si="11"/>
        <v>204.714</v>
      </c>
      <c r="K168" s="9">
        <f t="shared" si="12"/>
        <v>225.1854</v>
      </c>
      <c r="L168" s="9">
        <f t="shared" si="13"/>
        <v>286.5996</v>
      </c>
      <c r="M168" s="9">
        <f t="shared" si="14"/>
        <v>348.0138</v>
      </c>
    </row>
    <row r="169" ht="27" spans="2:13">
      <c r="B169" t="s">
        <v>349</v>
      </c>
      <c r="C169" s="4" t="s">
        <v>350</v>
      </c>
      <c r="D169" s="4" t="s">
        <v>350</v>
      </c>
      <c r="E169" s="4" t="s">
        <v>350</v>
      </c>
      <c r="F169" s="4" t="s">
        <v>350</v>
      </c>
      <c r="G169" s="5">
        <v>102.79152</v>
      </c>
      <c r="H169" s="9"/>
      <c r="I169" s="9">
        <f t="shared" si="10"/>
        <v>48.3120144</v>
      </c>
      <c r="J169" s="9">
        <f t="shared" si="11"/>
        <v>51.39576</v>
      </c>
      <c r="K169" s="9">
        <f t="shared" si="12"/>
        <v>56.535336</v>
      </c>
      <c r="L169" s="9">
        <f t="shared" si="13"/>
        <v>71.954064</v>
      </c>
      <c r="M169" s="9">
        <f t="shared" si="14"/>
        <v>87.372792</v>
      </c>
    </row>
    <row r="170" ht="27" spans="2:13">
      <c r="B170" t="s">
        <v>351</v>
      </c>
      <c r="C170" s="4" t="s">
        <v>352</v>
      </c>
      <c r="D170" s="4" t="s">
        <v>352</v>
      </c>
      <c r="E170" s="4" t="s">
        <v>352</v>
      </c>
      <c r="F170" s="4" t="s">
        <v>352</v>
      </c>
      <c r="G170" s="5">
        <v>121.83084</v>
      </c>
      <c r="H170" s="9"/>
      <c r="I170" s="9">
        <f t="shared" si="10"/>
        <v>57.2604948</v>
      </c>
      <c r="J170" s="9">
        <f t="shared" si="11"/>
        <v>60.91542</v>
      </c>
      <c r="K170" s="9">
        <f t="shared" si="12"/>
        <v>67.006962</v>
      </c>
      <c r="L170" s="9">
        <f t="shared" si="13"/>
        <v>85.281588</v>
      </c>
      <c r="M170" s="9">
        <f t="shared" si="14"/>
        <v>103.556214</v>
      </c>
    </row>
    <row r="171" ht="27" spans="2:13">
      <c r="B171" t="s">
        <v>353</v>
      </c>
      <c r="C171" s="4" t="s">
        <v>354</v>
      </c>
      <c r="D171" s="4" t="s">
        <v>354</v>
      </c>
      <c r="E171" s="4" t="s">
        <v>354</v>
      </c>
      <c r="F171" s="4" t="s">
        <v>354</v>
      </c>
      <c r="G171" s="5">
        <v>189.76896</v>
      </c>
      <c r="H171" s="9"/>
      <c r="I171" s="9">
        <f t="shared" si="10"/>
        <v>89.1914112</v>
      </c>
      <c r="J171" s="9">
        <f t="shared" si="11"/>
        <v>94.88448</v>
      </c>
      <c r="K171" s="9">
        <f t="shared" si="12"/>
        <v>104.372928</v>
      </c>
      <c r="L171" s="9">
        <f t="shared" si="13"/>
        <v>132.838272</v>
      </c>
      <c r="M171" s="9">
        <f t="shared" si="14"/>
        <v>161.303616</v>
      </c>
    </row>
    <row r="172" spans="2:13">
      <c r="B172" t="s">
        <v>355</v>
      </c>
      <c r="C172" s="4" t="s">
        <v>356</v>
      </c>
      <c r="D172" s="4" t="s">
        <v>356</v>
      </c>
      <c r="E172" s="4" t="s">
        <v>356</v>
      </c>
      <c r="F172" s="4" t="s">
        <v>356</v>
      </c>
      <c r="G172" s="5">
        <v>109.65816</v>
      </c>
      <c r="H172" s="9"/>
      <c r="I172" s="9">
        <f t="shared" si="10"/>
        <v>51.5393352</v>
      </c>
      <c r="J172" s="9">
        <f t="shared" si="11"/>
        <v>54.82908</v>
      </c>
      <c r="K172" s="9">
        <f t="shared" si="12"/>
        <v>60.311988</v>
      </c>
      <c r="L172" s="9">
        <f t="shared" si="13"/>
        <v>76.760712</v>
      </c>
      <c r="M172" s="9">
        <f t="shared" si="14"/>
        <v>93.209436</v>
      </c>
    </row>
    <row r="173" spans="2:13">
      <c r="B173" t="s">
        <v>357</v>
      </c>
      <c r="C173" s="4" t="s">
        <v>358</v>
      </c>
      <c r="D173" s="4" t="s">
        <v>358</v>
      </c>
      <c r="E173" s="4" t="s">
        <v>358</v>
      </c>
      <c r="F173" s="4" t="s">
        <v>358</v>
      </c>
      <c r="G173" s="5">
        <v>178.11648</v>
      </c>
      <c r="H173" s="9"/>
      <c r="I173" s="9">
        <f t="shared" si="10"/>
        <v>83.7147456</v>
      </c>
      <c r="J173" s="9">
        <f t="shared" si="11"/>
        <v>89.05824</v>
      </c>
      <c r="K173" s="9">
        <f t="shared" si="12"/>
        <v>97.964064</v>
      </c>
      <c r="L173" s="9">
        <f t="shared" si="13"/>
        <v>124.681536</v>
      </c>
      <c r="M173" s="9">
        <f t="shared" si="14"/>
        <v>151.399008</v>
      </c>
    </row>
    <row r="174" spans="2:13">
      <c r="B174" t="s">
        <v>359</v>
      </c>
      <c r="C174" s="4" t="s">
        <v>360</v>
      </c>
      <c r="D174" s="4" t="s">
        <v>360</v>
      </c>
      <c r="E174" s="4" t="s">
        <v>360</v>
      </c>
      <c r="F174" s="4" t="s">
        <v>360</v>
      </c>
      <c r="G174" s="5">
        <v>204.64668</v>
      </c>
      <c r="H174" s="9"/>
      <c r="I174" s="9">
        <f t="shared" si="10"/>
        <v>96.1839396</v>
      </c>
      <c r="J174" s="9">
        <f t="shared" si="11"/>
        <v>102.32334</v>
      </c>
      <c r="K174" s="9">
        <f t="shared" si="12"/>
        <v>112.555674</v>
      </c>
      <c r="L174" s="9">
        <f t="shared" si="13"/>
        <v>143.252676</v>
      </c>
      <c r="M174" s="9">
        <f t="shared" si="14"/>
        <v>173.949678</v>
      </c>
    </row>
    <row r="175" ht="27" spans="2:13">
      <c r="B175" t="s">
        <v>361</v>
      </c>
      <c r="C175" s="4" t="s">
        <v>362</v>
      </c>
      <c r="D175" s="4" t="s">
        <v>362</v>
      </c>
      <c r="E175" s="4" t="s">
        <v>362</v>
      </c>
      <c r="F175" s="4" t="s">
        <v>362</v>
      </c>
      <c r="G175" s="5">
        <v>240.74856</v>
      </c>
      <c r="H175" s="9"/>
      <c r="I175" s="9">
        <f t="shared" si="10"/>
        <v>113.1518232</v>
      </c>
      <c r="J175" s="9">
        <f t="shared" si="11"/>
        <v>120.37428</v>
      </c>
      <c r="K175" s="9">
        <f t="shared" si="12"/>
        <v>132.411708</v>
      </c>
      <c r="L175" s="9">
        <f t="shared" si="13"/>
        <v>168.523992</v>
      </c>
      <c r="M175" s="9">
        <f t="shared" si="14"/>
        <v>204.636276</v>
      </c>
    </row>
    <row r="176" ht="27" spans="2:13">
      <c r="B176" t="s">
        <v>363</v>
      </c>
      <c r="C176" s="4" t="s">
        <v>364</v>
      </c>
      <c r="D176" s="4" t="s">
        <v>364</v>
      </c>
      <c r="E176" s="4" t="s">
        <v>364</v>
      </c>
      <c r="F176" s="4" t="s">
        <v>364</v>
      </c>
      <c r="G176" s="5">
        <v>418.761</v>
      </c>
      <c r="H176" s="9"/>
      <c r="I176" s="9">
        <f t="shared" si="10"/>
        <v>196.81767</v>
      </c>
      <c r="J176" s="9">
        <f t="shared" si="11"/>
        <v>209.3805</v>
      </c>
      <c r="K176" s="9">
        <f t="shared" si="12"/>
        <v>230.31855</v>
      </c>
      <c r="L176" s="9">
        <f t="shared" si="13"/>
        <v>293.1327</v>
      </c>
      <c r="M176" s="9">
        <f t="shared" si="14"/>
        <v>355.94685</v>
      </c>
    </row>
    <row r="177" spans="2:13">
      <c r="B177" t="s">
        <v>365</v>
      </c>
      <c r="C177" s="4" t="s">
        <v>366</v>
      </c>
      <c r="D177" s="4" t="s">
        <v>366</v>
      </c>
      <c r="E177" s="4" t="s">
        <v>366</v>
      </c>
      <c r="F177" s="4" t="s">
        <v>366</v>
      </c>
      <c r="G177" s="5">
        <v>116.42076</v>
      </c>
      <c r="H177" s="9"/>
      <c r="I177" s="9">
        <f t="shared" si="10"/>
        <v>54.7177572</v>
      </c>
      <c r="J177" s="9">
        <f t="shared" si="11"/>
        <v>58.21038</v>
      </c>
      <c r="K177" s="9">
        <f t="shared" si="12"/>
        <v>64.031418</v>
      </c>
      <c r="L177" s="9">
        <f t="shared" si="13"/>
        <v>81.494532</v>
      </c>
      <c r="M177" s="9">
        <f t="shared" si="14"/>
        <v>98.957646</v>
      </c>
    </row>
    <row r="178" spans="2:13">
      <c r="B178" t="s">
        <v>367</v>
      </c>
      <c r="C178" s="4" t="s">
        <v>368</v>
      </c>
      <c r="D178" s="4" t="s">
        <v>368</v>
      </c>
      <c r="E178" s="4" t="s">
        <v>368</v>
      </c>
      <c r="F178" s="4" t="s">
        <v>368</v>
      </c>
      <c r="G178" s="5">
        <v>135.66816</v>
      </c>
      <c r="H178" s="9"/>
      <c r="I178" s="9">
        <f t="shared" si="10"/>
        <v>63.7640352</v>
      </c>
      <c r="J178" s="9">
        <f t="shared" si="11"/>
        <v>67.83408</v>
      </c>
      <c r="K178" s="9">
        <f t="shared" si="12"/>
        <v>74.617488</v>
      </c>
      <c r="L178" s="9">
        <f t="shared" si="13"/>
        <v>94.967712</v>
      </c>
      <c r="M178" s="9">
        <f t="shared" si="14"/>
        <v>115.317936</v>
      </c>
    </row>
    <row r="179" spans="2:13">
      <c r="B179" t="s">
        <v>369</v>
      </c>
      <c r="C179" s="4" t="s">
        <v>370</v>
      </c>
      <c r="D179" s="4" t="s">
        <v>370</v>
      </c>
      <c r="E179" s="4" t="s">
        <v>370</v>
      </c>
      <c r="F179" s="4" t="s">
        <v>370</v>
      </c>
      <c r="G179" s="5">
        <v>145.86408</v>
      </c>
      <c r="H179" s="9"/>
      <c r="I179" s="9">
        <f t="shared" si="10"/>
        <v>68.5561176</v>
      </c>
      <c r="J179" s="9">
        <f t="shared" si="11"/>
        <v>72.93204</v>
      </c>
      <c r="K179" s="9">
        <f t="shared" si="12"/>
        <v>80.225244</v>
      </c>
      <c r="L179" s="9">
        <f t="shared" si="13"/>
        <v>102.104856</v>
      </c>
      <c r="M179" s="9">
        <f t="shared" si="14"/>
        <v>123.984468</v>
      </c>
    </row>
    <row r="180" spans="2:13">
      <c r="B180" t="s">
        <v>371</v>
      </c>
      <c r="C180" s="4" t="s">
        <v>372</v>
      </c>
      <c r="D180" s="4" t="s">
        <v>372</v>
      </c>
      <c r="E180" s="4" t="s">
        <v>372</v>
      </c>
      <c r="F180" s="4" t="s">
        <v>372</v>
      </c>
      <c r="G180" s="5">
        <v>179.67708</v>
      </c>
      <c r="H180" s="9"/>
      <c r="I180" s="9">
        <f t="shared" si="10"/>
        <v>84.4482276</v>
      </c>
      <c r="J180" s="9">
        <f t="shared" si="11"/>
        <v>89.83854</v>
      </c>
      <c r="K180" s="9">
        <f t="shared" si="12"/>
        <v>98.822394</v>
      </c>
      <c r="L180" s="9">
        <f t="shared" si="13"/>
        <v>125.773956</v>
      </c>
      <c r="M180" s="9">
        <f t="shared" si="14"/>
        <v>152.725518</v>
      </c>
    </row>
    <row r="181" spans="2:13">
      <c r="B181" t="s">
        <v>373</v>
      </c>
      <c r="C181" s="4" t="s">
        <v>374</v>
      </c>
      <c r="D181" s="4" t="s">
        <v>374</v>
      </c>
      <c r="E181" s="4" t="s">
        <v>374</v>
      </c>
      <c r="F181" s="4" t="s">
        <v>374</v>
      </c>
      <c r="G181" s="5">
        <v>511.4382</v>
      </c>
      <c r="H181" s="9"/>
      <c r="I181" s="9">
        <f t="shared" si="10"/>
        <v>240.375954</v>
      </c>
      <c r="J181" s="9">
        <f t="shared" si="11"/>
        <v>255.7191</v>
      </c>
      <c r="K181" s="9">
        <f t="shared" si="12"/>
        <v>281.29101</v>
      </c>
      <c r="L181" s="9">
        <f t="shared" si="13"/>
        <v>358.00674</v>
      </c>
      <c r="M181" s="9">
        <f t="shared" si="14"/>
        <v>434.72247</v>
      </c>
    </row>
    <row r="182" spans="2:13">
      <c r="B182" t="s">
        <v>375</v>
      </c>
      <c r="C182" s="4" t="s">
        <v>376</v>
      </c>
      <c r="D182" s="4" t="s">
        <v>376</v>
      </c>
      <c r="E182" s="4" t="s">
        <v>376</v>
      </c>
      <c r="F182" s="4" t="s">
        <v>376</v>
      </c>
      <c r="G182" s="5">
        <v>557.9808</v>
      </c>
      <c r="H182" s="9"/>
      <c r="I182" s="9">
        <f t="shared" si="10"/>
        <v>262.250976</v>
      </c>
      <c r="J182" s="9">
        <f t="shared" si="11"/>
        <v>278.9904</v>
      </c>
      <c r="K182" s="9">
        <f t="shared" si="12"/>
        <v>306.88944</v>
      </c>
      <c r="L182" s="9">
        <f t="shared" si="13"/>
        <v>390.58656</v>
      </c>
      <c r="M182" s="9">
        <f t="shared" si="14"/>
        <v>474.28368</v>
      </c>
    </row>
    <row r="183" spans="2:13">
      <c r="B183" t="s">
        <v>377</v>
      </c>
      <c r="C183" s="4" t="s">
        <v>378</v>
      </c>
      <c r="D183" s="4" t="s">
        <v>378</v>
      </c>
      <c r="E183" s="4" t="s">
        <v>378</v>
      </c>
      <c r="F183" s="4" t="s">
        <v>378</v>
      </c>
      <c r="G183" s="5">
        <v>575.41668</v>
      </c>
      <c r="H183" s="9"/>
      <c r="I183" s="9">
        <f t="shared" si="10"/>
        <v>270.4458396</v>
      </c>
      <c r="J183" s="9">
        <f t="shared" si="11"/>
        <v>287.70834</v>
      </c>
      <c r="K183" s="9">
        <f t="shared" si="12"/>
        <v>316.479174</v>
      </c>
      <c r="L183" s="9">
        <f t="shared" si="13"/>
        <v>402.791676</v>
      </c>
      <c r="M183" s="9">
        <f t="shared" si="14"/>
        <v>489.104178</v>
      </c>
    </row>
    <row r="184" ht="27" spans="2:13">
      <c r="B184" t="s">
        <v>379</v>
      </c>
      <c r="C184" s="4" t="s">
        <v>380</v>
      </c>
      <c r="D184" s="4" t="s">
        <v>380</v>
      </c>
      <c r="E184" s="4" t="s">
        <v>380</v>
      </c>
      <c r="F184" s="4" t="s">
        <v>380</v>
      </c>
      <c r="G184" s="5">
        <v>223.47792</v>
      </c>
      <c r="H184" s="9"/>
      <c r="I184" s="9">
        <f t="shared" si="10"/>
        <v>105.0346224</v>
      </c>
      <c r="J184" s="9">
        <f t="shared" si="11"/>
        <v>111.73896</v>
      </c>
      <c r="K184" s="9">
        <f t="shared" si="12"/>
        <v>122.912856</v>
      </c>
      <c r="L184" s="9">
        <f t="shared" si="13"/>
        <v>156.434544</v>
      </c>
      <c r="M184" s="9">
        <f t="shared" si="14"/>
        <v>189.956232</v>
      </c>
    </row>
    <row r="185" ht="27" spans="2:13">
      <c r="B185" t="s">
        <v>381</v>
      </c>
      <c r="C185" s="4" t="s">
        <v>382</v>
      </c>
      <c r="D185" s="4" t="s">
        <v>382</v>
      </c>
      <c r="E185" s="4" t="s">
        <v>382</v>
      </c>
      <c r="F185" s="4" t="s">
        <v>382</v>
      </c>
      <c r="G185" s="5">
        <v>223.47792</v>
      </c>
      <c r="H185" s="9"/>
      <c r="I185" s="9">
        <f t="shared" si="10"/>
        <v>105.0346224</v>
      </c>
      <c r="J185" s="9">
        <f t="shared" si="11"/>
        <v>111.73896</v>
      </c>
      <c r="K185" s="9">
        <f t="shared" si="12"/>
        <v>122.912856</v>
      </c>
      <c r="L185" s="9">
        <f t="shared" si="13"/>
        <v>156.434544</v>
      </c>
      <c r="M185" s="9">
        <f t="shared" si="14"/>
        <v>189.956232</v>
      </c>
    </row>
    <row r="186" ht="27" spans="2:13">
      <c r="B186" t="s">
        <v>383</v>
      </c>
      <c r="C186" s="4" t="s">
        <v>384</v>
      </c>
      <c r="D186" s="4" t="s">
        <v>384</v>
      </c>
      <c r="E186" s="4" t="s">
        <v>384</v>
      </c>
      <c r="F186" s="4" t="s">
        <v>384</v>
      </c>
      <c r="G186" s="5">
        <v>223.47792</v>
      </c>
      <c r="H186" s="9"/>
      <c r="I186" s="9">
        <f t="shared" si="10"/>
        <v>105.0346224</v>
      </c>
      <c r="J186" s="9">
        <f t="shared" si="11"/>
        <v>111.73896</v>
      </c>
      <c r="K186" s="9">
        <f t="shared" si="12"/>
        <v>122.912856</v>
      </c>
      <c r="L186" s="9">
        <f t="shared" si="13"/>
        <v>156.434544</v>
      </c>
      <c r="M186" s="9">
        <f t="shared" si="14"/>
        <v>189.956232</v>
      </c>
    </row>
    <row r="187" spans="2:13">
      <c r="B187" t="s">
        <v>385</v>
      </c>
      <c r="C187" s="4" t="s">
        <v>386</v>
      </c>
      <c r="D187" s="4" t="s">
        <v>386</v>
      </c>
      <c r="E187" s="4" t="s">
        <v>386</v>
      </c>
      <c r="F187" s="4" t="s">
        <v>386</v>
      </c>
      <c r="G187" s="5">
        <v>333.76032</v>
      </c>
      <c r="H187" s="9"/>
      <c r="I187" s="9">
        <f t="shared" si="10"/>
        <v>156.8673504</v>
      </c>
      <c r="J187" s="9">
        <f t="shared" si="11"/>
        <v>166.88016</v>
      </c>
      <c r="K187" s="9">
        <f t="shared" si="12"/>
        <v>183.568176</v>
      </c>
      <c r="L187" s="9">
        <f t="shared" si="13"/>
        <v>233.632224</v>
      </c>
      <c r="M187" s="9">
        <f t="shared" si="14"/>
        <v>283.696272</v>
      </c>
    </row>
    <row r="188" ht="27" spans="2:13">
      <c r="B188" t="s">
        <v>387</v>
      </c>
      <c r="C188" s="4" t="s">
        <v>388</v>
      </c>
      <c r="D188" s="4" t="s">
        <v>388</v>
      </c>
      <c r="E188" s="4" t="s">
        <v>388</v>
      </c>
      <c r="F188" s="4" t="s">
        <v>388</v>
      </c>
      <c r="G188" s="5">
        <v>247.30308</v>
      </c>
      <c r="H188" s="9"/>
      <c r="I188" s="9">
        <f t="shared" si="10"/>
        <v>116.2324476</v>
      </c>
      <c r="J188" s="9">
        <f t="shared" si="11"/>
        <v>123.65154</v>
      </c>
      <c r="K188" s="9">
        <f t="shared" si="12"/>
        <v>136.016694</v>
      </c>
      <c r="L188" s="9">
        <f t="shared" si="13"/>
        <v>173.112156</v>
      </c>
      <c r="M188" s="9">
        <f t="shared" si="14"/>
        <v>210.207618</v>
      </c>
    </row>
    <row r="189" ht="40.5" spans="2:13">
      <c r="B189" t="s">
        <v>389</v>
      </c>
      <c r="C189" s="4" t="s">
        <v>390</v>
      </c>
      <c r="D189" s="4" t="s">
        <v>390</v>
      </c>
      <c r="E189" s="4" t="s">
        <v>390</v>
      </c>
      <c r="F189" s="4" t="s">
        <v>390</v>
      </c>
      <c r="G189" s="5">
        <v>262.242</v>
      </c>
      <c r="H189" s="9"/>
      <c r="I189" s="9">
        <f t="shared" si="10"/>
        <v>123.25374</v>
      </c>
      <c r="J189" s="9">
        <f t="shared" si="11"/>
        <v>131.121</v>
      </c>
      <c r="K189" s="9">
        <f t="shared" si="12"/>
        <v>144.2331</v>
      </c>
      <c r="L189" s="9">
        <f t="shared" si="13"/>
        <v>183.5694</v>
      </c>
      <c r="M189" s="9">
        <f t="shared" si="14"/>
        <v>222.9057</v>
      </c>
    </row>
    <row r="190" ht="27" spans="2:13">
      <c r="B190" t="s">
        <v>391</v>
      </c>
      <c r="C190" s="4" t="s">
        <v>392</v>
      </c>
      <c r="D190" s="4" t="s">
        <v>392</v>
      </c>
      <c r="E190" s="4" t="s">
        <v>392</v>
      </c>
      <c r="F190" s="4" t="s">
        <v>392</v>
      </c>
      <c r="G190" s="5">
        <v>331.15932</v>
      </c>
      <c r="H190" s="9"/>
      <c r="I190" s="9">
        <f t="shared" si="10"/>
        <v>155.6448804</v>
      </c>
      <c r="J190" s="9">
        <f t="shared" si="11"/>
        <v>165.57966</v>
      </c>
      <c r="K190" s="9">
        <f t="shared" si="12"/>
        <v>182.137626</v>
      </c>
      <c r="L190" s="9">
        <f t="shared" si="13"/>
        <v>231.811524</v>
      </c>
      <c r="M190" s="9">
        <f t="shared" si="14"/>
        <v>281.485422</v>
      </c>
    </row>
    <row r="191" ht="27" spans="2:13">
      <c r="B191" t="s">
        <v>393</v>
      </c>
      <c r="C191" s="4" t="s">
        <v>394</v>
      </c>
      <c r="D191" s="4" t="s">
        <v>394</v>
      </c>
      <c r="E191" s="4" t="s">
        <v>394</v>
      </c>
      <c r="F191" s="4" t="s">
        <v>394</v>
      </c>
      <c r="G191" s="5">
        <v>331.15932</v>
      </c>
      <c r="H191" s="9"/>
      <c r="I191" s="9">
        <f t="shared" si="10"/>
        <v>155.6448804</v>
      </c>
      <c r="J191" s="9">
        <f t="shared" si="11"/>
        <v>165.57966</v>
      </c>
      <c r="K191" s="9">
        <f t="shared" si="12"/>
        <v>182.137626</v>
      </c>
      <c r="L191" s="9">
        <f t="shared" si="13"/>
        <v>231.811524</v>
      </c>
      <c r="M191" s="9">
        <f t="shared" si="14"/>
        <v>281.485422</v>
      </c>
    </row>
    <row r="192" ht="27" spans="2:13">
      <c r="B192" t="s">
        <v>395</v>
      </c>
      <c r="C192" s="4" t="s">
        <v>396</v>
      </c>
      <c r="D192" s="4" t="s">
        <v>396</v>
      </c>
      <c r="E192" s="4" t="s">
        <v>396</v>
      </c>
      <c r="F192" s="4" t="s">
        <v>396</v>
      </c>
      <c r="G192" s="5">
        <v>312.43212</v>
      </c>
      <c r="H192" s="9"/>
      <c r="I192" s="9">
        <f t="shared" si="10"/>
        <v>146.8430964</v>
      </c>
      <c r="J192" s="9">
        <f t="shared" si="11"/>
        <v>156.21606</v>
      </c>
      <c r="K192" s="9">
        <f t="shared" si="12"/>
        <v>171.837666</v>
      </c>
      <c r="L192" s="9">
        <f t="shared" si="13"/>
        <v>218.702484</v>
      </c>
      <c r="M192" s="9">
        <f t="shared" si="14"/>
        <v>265.567302</v>
      </c>
    </row>
    <row r="193" ht="27" spans="2:13">
      <c r="B193" t="s">
        <v>397</v>
      </c>
      <c r="C193" s="4" t="s">
        <v>398</v>
      </c>
      <c r="D193" s="4" t="s">
        <v>398</v>
      </c>
      <c r="E193" s="4" t="s">
        <v>398</v>
      </c>
      <c r="F193" s="4" t="s">
        <v>398</v>
      </c>
      <c r="G193" s="5">
        <v>336.46536</v>
      </c>
      <c r="H193" s="9"/>
      <c r="I193" s="9">
        <f t="shared" si="10"/>
        <v>158.1387192</v>
      </c>
      <c r="J193" s="9">
        <f t="shared" si="11"/>
        <v>168.23268</v>
      </c>
      <c r="K193" s="9">
        <f t="shared" si="12"/>
        <v>185.055948</v>
      </c>
      <c r="L193" s="9">
        <f t="shared" si="13"/>
        <v>235.525752</v>
      </c>
      <c r="M193" s="9">
        <f t="shared" si="14"/>
        <v>285.995556</v>
      </c>
    </row>
    <row r="194" spans="2:13">
      <c r="B194" t="s">
        <v>399</v>
      </c>
      <c r="C194" s="4" t="s">
        <v>400</v>
      </c>
      <c r="D194" s="4" t="s">
        <v>400</v>
      </c>
      <c r="E194" s="4" t="s">
        <v>400</v>
      </c>
      <c r="F194" s="4" t="s">
        <v>400</v>
      </c>
      <c r="G194" s="5">
        <v>123.18336</v>
      </c>
      <c r="H194" s="9"/>
      <c r="I194" s="9">
        <f t="shared" si="10"/>
        <v>57.8961792</v>
      </c>
      <c r="J194" s="9">
        <f t="shared" si="11"/>
        <v>61.59168</v>
      </c>
      <c r="K194" s="9">
        <f t="shared" si="12"/>
        <v>67.750848</v>
      </c>
      <c r="L194" s="9">
        <f t="shared" si="13"/>
        <v>86.228352</v>
      </c>
      <c r="M194" s="9">
        <f t="shared" si="14"/>
        <v>104.705856</v>
      </c>
    </row>
    <row r="195" spans="2:13">
      <c r="B195" t="s">
        <v>401</v>
      </c>
      <c r="C195" s="4" t="s">
        <v>402</v>
      </c>
      <c r="D195" s="4" t="s">
        <v>402</v>
      </c>
      <c r="E195" s="4" t="s">
        <v>402</v>
      </c>
      <c r="F195" s="4" t="s">
        <v>402</v>
      </c>
      <c r="G195" s="5">
        <v>149.08932</v>
      </c>
      <c r="H195" s="9"/>
      <c r="I195" s="9">
        <f t="shared" ref="I195:I258" si="15">G195*0.47</f>
        <v>70.0719804</v>
      </c>
      <c r="J195" s="9">
        <f t="shared" ref="J195:J258" si="16">G195*0.5</f>
        <v>74.54466</v>
      </c>
      <c r="K195" s="9">
        <f t="shared" ref="K195:K258" si="17">G195*0.55</f>
        <v>81.999126</v>
      </c>
      <c r="L195" s="9">
        <f t="shared" ref="L195:L258" si="18">G195*0.7</f>
        <v>104.362524</v>
      </c>
      <c r="M195" s="9">
        <f t="shared" ref="M195:M258" si="19">G195*0.85</f>
        <v>126.725922</v>
      </c>
    </row>
    <row r="196" spans="2:13">
      <c r="B196" t="s">
        <v>403</v>
      </c>
      <c r="C196" s="4" t="s">
        <v>404</v>
      </c>
      <c r="D196" s="4" t="s">
        <v>404</v>
      </c>
      <c r="E196" s="4" t="s">
        <v>404</v>
      </c>
      <c r="F196" s="4" t="s">
        <v>404</v>
      </c>
      <c r="G196" s="5">
        <v>151.48224</v>
      </c>
      <c r="H196" s="9"/>
      <c r="I196" s="9">
        <f t="shared" si="15"/>
        <v>71.1966528</v>
      </c>
      <c r="J196" s="9">
        <f t="shared" si="16"/>
        <v>75.74112</v>
      </c>
      <c r="K196" s="9">
        <f t="shared" si="17"/>
        <v>83.315232</v>
      </c>
      <c r="L196" s="9">
        <f t="shared" si="18"/>
        <v>106.037568</v>
      </c>
      <c r="M196" s="9">
        <f t="shared" si="19"/>
        <v>128.759904</v>
      </c>
    </row>
    <row r="197" spans="2:13">
      <c r="B197" t="s">
        <v>405</v>
      </c>
      <c r="C197" s="4" t="s">
        <v>406</v>
      </c>
      <c r="D197" s="4" t="s">
        <v>406</v>
      </c>
      <c r="E197" s="4" t="s">
        <v>406</v>
      </c>
      <c r="F197" s="4" t="s">
        <v>406</v>
      </c>
      <c r="G197" s="5">
        <v>247.30308</v>
      </c>
      <c r="H197" s="9"/>
      <c r="I197" s="9">
        <f t="shared" si="15"/>
        <v>116.2324476</v>
      </c>
      <c r="J197" s="9">
        <f t="shared" si="16"/>
        <v>123.65154</v>
      </c>
      <c r="K197" s="9">
        <f t="shared" si="17"/>
        <v>136.016694</v>
      </c>
      <c r="L197" s="9">
        <f t="shared" si="18"/>
        <v>173.112156</v>
      </c>
      <c r="M197" s="9">
        <f t="shared" si="19"/>
        <v>210.207618</v>
      </c>
    </row>
    <row r="198" spans="2:13">
      <c r="B198" t="s">
        <v>407</v>
      </c>
      <c r="C198" s="4" t="s">
        <v>408</v>
      </c>
      <c r="D198" s="4" t="s">
        <v>408</v>
      </c>
      <c r="E198" s="4" t="s">
        <v>408</v>
      </c>
      <c r="F198" s="4" t="s">
        <v>408</v>
      </c>
      <c r="G198" s="5">
        <v>269.9838</v>
      </c>
      <c r="H198" s="9"/>
      <c r="I198" s="9">
        <f t="shared" si="15"/>
        <v>126.892386</v>
      </c>
      <c r="J198" s="9">
        <f t="shared" si="16"/>
        <v>134.9919</v>
      </c>
      <c r="K198" s="9">
        <f t="shared" si="17"/>
        <v>148.49109</v>
      </c>
      <c r="L198" s="9">
        <f t="shared" si="18"/>
        <v>188.98866</v>
      </c>
      <c r="M198" s="9">
        <f t="shared" si="19"/>
        <v>229.48623</v>
      </c>
    </row>
    <row r="199" ht="27" spans="2:13">
      <c r="B199" t="s">
        <v>409</v>
      </c>
      <c r="C199" s="4" t="s">
        <v>410</v>
      </c>
      <c r="D199" s="4" t="s">
        <v>410</v>
      </c>
      <c r="E199" s="4" t="s">
        <v>410</v>
      </c>
      <c r="F199" s="4" t="s">
        <v>410</v>
      </c>
      <c r="G199" s="5">
        <v>312.22404</v>
      </c>
      <c r="H199" s="9"/>
      <c r="I199" s="9">
        <f t="shared" si="15"/>
        <v>146.7452988</v>
      </c>
      <c r="J199" s="9">
        <f t="shared" si="16"/>
        <v>156.11202</v>
      </c>
      <c r="K199" s="9">
        <f t="shared" si="17"/>
        <v>171.723222</v>
      </c>
      <c r="L199" s="9">
        <f t="shared" si="18"/>
        <v>218.556828</v>
      </c>
      <c r="M199" s="9">
        <f t="shared" si="19"/>
        <v>265.390434</v>
      </c>
    </row>
    <row r="200" ht="27" spans="2:13">
      <c r="B200" t="s">
        <v>411</v>
      </c>
      <c r="C200" s="4" t="s">
        <v>412</v>
      </c>
      <c r="D200" s="4" t="s">
        <v>412</v>
      </c>
      <c r="E200" s="4" t="s">
        <v>412</v>
      </c>
      <c r="F200" s="4" t="s">
        <v>412</v>
      </c>
      <c r="G200" s="5">
        <v>491.90112</v>
      </c>
      <c r="H200" s="9"/>
      <c r="I200" s="9">
        <f t="shared" si="15"/>
        <v>231.1935264</v>
      </c>
      <c r="J200" s="9">
        <f t="shared" si="16"/>
        <v>245.95056</v>
      </c>
      <c r="K200" s="9">
        <f t="shared" si="17"/>
        <v>270.545616</v>
      </c>
      <c r="L200" s="9">
        <f t="shared" si="18"/>
        <v>344.330784</v>
      </c>
      <c r="M200" s="9">
        <f t="shared" si="19"/>
        <v>418.115952</v>
      </c>
    </row>
    <row r="201" spans="2:13">
      <c r="B201" t="s">
        <v>413</v>
      </c>
      <c r="C201" s="4" t="s">
        <v>414</v>
      </c>
      <c r="D201" s="4" t="s">
        <v>414</v>
      </c>
      <c r="E201" s="4" t="s">
        <v>414</v>
      </c>
      <c r="F201" s="4" t="s">
        <v>414</v>
      </c>
      <c r="G201" s="5">
        <v>151.48224</v>
      </c>
      <c r="H201" s="9"/>
      <c r="I201" s="9">
        <f t="shared" si="15"/>
        <v>71.1966528</v>
      </c>
      <c r="J201" s="9">
        <f t="shared" si="16"/>
        <v>75.74112</v>
      </c>
      <c r="K201" s="9">
        <f t="shared" si="17"/>
        <v>83.315232</v>
      </c>
      <c r="L201" s="9">
        <f t="shared" si="18"/>
        <v>106.037568</v>
      </c>
      <c r="M201" s="9">
        <f t="shared" si="19"/>
        <v>128.759904</v>
      </c>
    </row>
    <row r="202" ht="27" spans="2:13">
      <c r="B202" s="13" t="s">
        <v>415</v>
      </c>
      <c r="C202" s="4" t="s">
        <v>416</v>
      </c>
      <c r="D202" s="4" t="s">
        <v>416</v>
      </c>
      <c r="E202" s="4" t="s">
        <v>416</v>
      </c>
      <c r="F202" s="4" t="s">
        <v>416</v>
      </c>
      <c r="G202" s="5">
        <v>140.89005</v>
      </c>
      <c r="H202" s="9"/>
      <c r="I202" s="9">
        <f t="shared" si="15"/>
        <v>66.2183235</v>
      </c>
      <c r="J202" s="9">
        <f t="shared" si="16"/>
        <v>70.445025</v>
      </c>
      <c r="K202" s="9">
        <f t="shared" si="17"/>
        <v>77.4895275</v>
      </c>
      <c r="L202" s="9">
        <f t="shared" si="18"/>
        <v>98.623035</v>
      </c>
      <c r="M202" s="9">
        <f t="shared" si="19"/>
        <v>119.7565425</v>
      </c>
    </row>
    <row r="203" spans="2:13">
      <c r="B203" t="s">
        <v>417</v>
      </c>
      <c r="C203" s="4" t="s">
        <v>418</v>
      </c>
      <c r="D203" s="4" t="s">
        <v>418</v>
      </c>
      <c r="E203" s="4" t="s">
        <v>418</v>
      </c>
      <c r="F203" s="4" t="s">
        <v>418</v>
      </c>
      <c r="G203" s="5">
        <v>198.7164</v>
      </c>
      <c r="H203" s="9"/>
      <c r="I203" s="9">
        <f t="shared" si="15"/>
        <v>93.396708</v>
      </c>
      <c r="J203" s="9">
        <f t="shared" si="16"/>
        <v>99.3582</v>
      </c>
      <c r="K203" s="9">
        <f t="shared" si="17"/>
        <v>109.29402</v>
      </c>
      <c r="L203" s="9">
        <f t="shared" si="18"/>
        <v>139.10148</v>
      </c>
      <c r="M203" s="9">
        <f t="shared" si="19"/>
        <v>168.90894</v>
      </c>
    </row>
    <row r="204" spans="2:13">
      <c r="B204" t="s">
        <v>419</v>
      </c>
      <c r="C204" s="4" t="s">
        <v>420</v>
      </c>
      <c r="D204" s="4" t="s">
        <v>420</v>
      </c>
      <c r="E204" s="4" t="s">
        <v>420</v>
      </c>
      <c r="F204" s="4" t="s">
        <v>420</v>
      </c>
      <c r="G204" s="5">
        <v>250.52832</v>
      </c>
      <c r="H204" s="9"/>
      <c r="I204" s="9">
        <f t="shared" si="15"/>
        <v>117.7483104</v>
      </c>
      <c r="J204" s="9">
        <f t="shared" si="16"/>
        <v>125.26416</v>
      </c>
      <c r="K204" s="9">
        <f t="shared" si="17"/>
        <v>137.790576</v>
      </c>
      <c r="L204" s="9">
        <f t="shared" si="18"/>
        <v>175.369824</v>
      </c>
      <c r="M204" s="9">
        <f t="shared" si="19"/>
        <v>212.949072</v>
      </c>
    </row>
    <row r="205" spans="2:13">
      <c r="B205" t="s">
        <v>421</v>
      </c>
      <c r="C205" s="4" t="s">
        <v>422</v>
      </c>
      <c r="D205" s="4" t="s">
        <v>422</v>
      </c>
      <c r="E205" s="4" t="s">
        <v>422</v>
      </c>
      <c r="F205" s="4" t="s">
        <v>422</v>
      </c>
      <c r="G205" s="5">
        <v>321.89976</v>
      </c>
      <c r="H205" s="9"/>
      <c r="I205" s="9">
        <f t="shared" si="15"/>
        <v>151.2928872</v>
      </c>
      <c r="J205" s="9">
        <f t="shared" si="16"/>
        <v>160.94988</v>
      </c>
      <c r="K205" s="9">
        <f t="shared" si="17"/>
        <v>177.044868</v>
      </c>
      <c r="L205" s="9">
        <f t="shared" si="18"/>
        <v>225.329832</v>
      </c>
      <c r="M205" s="9">
        <f t="shared" si="19"/>
        <v>273.614796</v>
      </c>
    </row>
    <row r="206" ht="27" spans="2:13">
      <c r="B206" t="s">
        <v>423</v>
      </c>
      <c r="C206" s="4" t="s">
        <v>424</v>
      </c>
      <c r="D206" s="4" t="s">
        <v>424</v>
      </c>
      <c r="E206" s="4" t="s">
        <v>424</v>
      </c>
      <c r="F206" s="4" t="s">
        <v>424</v>
      </c>
      <c r="G206" s="5">
        <v>366.94908</v>
      </c>
      <c r="H206" s="9"/>
      <c r="I206" s="9">
        <f t="shared" si="15"/>
        <v>172.4660676</v>
      </c>
      <c r="J206" s="9">
        <f t="shared" si="16"/>
        <v>183.47454</v>
      </c>
      <c r="K206" s="9">
        <f t="shared" si="17"/>
        <v>201.821994</v>
      </c>
      <c r="L206" s="9">
        <f t="shared" si="18"/>
        <v>256.864356</v>
      </c>
      <c r="M206" s="9">
        <f t="shared" si="19"/>
        <v>311.906718</v>
      </c>
    </row>
    <row r="207" spans="2:13">
      <c r="B207" t="s">
        <v>425</v>
      </c>
      <c r="C207" s="4" t="s">
        <v>426</v>
      </c>
      <c r="D207" s="4" t="s">
        <v>426</v>
      </c>
      <c r="E207" s="4" t="s">
        <v>426</v>
      </c>
      <c r="F207" s="4" t="s">
        <v>426</v>
      </c>
      <c r="G207" s="5">
        <v>35.34096</v>
      </c>
      <c r="H207" s="9"/>
      <c r="I207" s="9">
        <f t="shared" si="15"/>
        <v>16.6102512</v>
      </c>
      <c r="J207" s="9">
        <f t="shared" si="16"/>
        <v>17.67048</v>
      </c>
      <c r="K207" s="9">
        <f t="shared" si="17"/>
        <v>19.437528</v>
      </c>
      <c r="L207" s="9">
        <f t="shared" si="18"/>
        <v>24.738672</v>
      </c>
      <c r="M207" s="9">
        <f t="shared" si="19"/>
        <v>30.039816</v>
      </c>
    </row>
    <row r="208" spans="2:13">
      <c r="B208" t="s">
        <v>427</v>
      </c>
      <c r="C208" s="4" t="s">
        <v>428</v>
      </c>
      <c r="D208" s="4" t="s">
        <v>428</v>
      </c>
      <c r="E208" s="4" t="s">
        <v>428</v>
      </c>
      <c r="F208" s="4" t="s">
        <v>428</v>
      </c>
      <c r="G208" s="5">
        <v>9.945</v>
      </c>
      <c r="H208" s="9"/>
      <c r="I208" s="9">
        <f t="shared" si="15"/>
        <v>4.67415</v>
      </c>
      <c r="J208" s="9">
        <f t="shared" si="16"/>
        <v>4.9725</v>
      </c>
      <c r="K208" s="9">
        <f t="shared" si="17"/>
        <v>5.46975</v>
      </c>
      <c r="L208" s="9">
        <f t="shared" si="18"/>
        <v>6.9615</v>
      </c>
      <c r="M208" s="9">
        <f t="shared" si="19"/>
        <v>8.45325</v>
      </c>
    </row>
    <row r="209" spans="2:13">
      <c r="B209" t="s">
        <v>429</v>
      </c>
      <c r="C209" s="4" t="s">
        <v>430</v>
      </c>
      <c r="D209" s="4" t="s">
        <v>430</v>
      </c>
      <c r="E209" s="4" t="s">
        <v>430</v>
      </c>
      <c r="F209" s="4" t="s">
        <v>430</v>
      </c>
      <c r="G209" s="5">
        <v>324.70884</v>
      </c>
      <c r="H209" s="9"/>
      <c r="I209" s="9">
        <f t="shared" si="15"/>
        <v>152.6131548</v>
      </c>
      <c r="J209" s="9">
        <f t="shared" si="16"/>
        <v>162.35442</v>
      </c>
      <c r="K209" s="9">
        <f t="shared" si="17"/>
        <v>178.589862</v>
      </c>
      <c r="L209" s="9">
        <f t="shared" si="18"/>
        <v>227.296188</v>
      </c>
      <c r="M209" s="9">
        <f t="shared" si="19"/>
        <v>276.002514</v>
      </c>
    </row>
    <row r="210" ht="27" spans="2:13">
      <c r="B210" t="s">
        <v>431</v>
      </c>
      <c r="C210" s="4" t="s">
        <v>432</v>
      </c>
      <c r="D210" s="4" t="s">
        <v>432</v>
      </c>
      <c r="E210" s="4" t="s">
        <v>432</v>
      </c>
      <c r="F210" s="4" t="s">
        <v>432</v>
      </c>
      <c r="G210" s="5">
        <v>324.70884</v>
      </c>
      <c r="H210" s="9"/>
      <c r="I210" s="9">
        <f t="shared" si="15"/>
        <v>152.6131548</v>
      </c>
      <c r="J210" s="9">
        <f t="shared" si="16"/>
        <v>162.35442</v>
      </c>
      <c r="K210" s="9">
        <f t="shared" si="17"/>
        <v>178.589862</v>
      </c>
      <c r="L210" s="9">
        <f t="shared" si="18"/>
        <v>227.296188</v>
      </c>
      <c r="M210" s="9">
        <f t="shared" si="19"/>
        <v>276.002514</v>
      </c>
    </row>
    <row r="211" ht="27" spans="2:13">
      <c r="B211" t="s">
        <v>433</v>
      </c>
      <c r="C211" s="4" t="s">
        <v>434</v>
      </c>
      <c r="D211" s="4" t="s">
        <v>434</v>
      </c>
      <c r="E211" s="4" t="s">
        <v>434</v>
      </c>
      <c r="F211" s="4" t="s">
        <v>434</v>
      </c>
      <c r="G211" s="5">
        <v>580.95936</v>
      </c>
      <c r="H211" s="9"/>
      <c r="I211" s="9">
        <f t="shared" si="15"/>
        <v>273.0508992</v>
      </c>
      <c r="J211" s="9">
        <f t="shared" si="16"/>
        <v>290.47968</v>
      </c>
      <c r="K211" s="9">
        <f t="shared" si="17"/>
        <v>319.527648</v>
      </c>
      <c r="L211" s="9">
        <f t="shared" si="18"/>
        <v>406.671552</v>
      </c>
      <c r="M211" s="9">
        <f t="shared" si="19"/>
        <v>493.815456</v>
      </c>
    </row>
    <row r="212" ht="27" spans="2:13">
      <c r="B212" t="s">
        <v>435</v>
      </c>
      <c r="C212" s="4" t="s">
        <v>436</v>
      </c>
      <c r="D212" s="4" t="s">
        <v>436</v>
      </c>
      <c r="E212" s="4" t="s">
        <v>436</v>
      </c>
      <c r="F212" s="4" t="s">
        <v>436</v>
      </c>
      <c r="G212" s="5">
        <v>359.04204</v>
      </c>
      <c r="H212" s="9"/>
      <c r="I212" s="9">
        <f t="shared" si="15"/>
        <v>168.7497588</v>
      </c>
      <c r="J212" s="9">
        <f t="shared" si="16"/>
        <v>179.52102</v>
      </c>
      <c r="K212" s="9">
        <f t="shared" si="17"/>
        <v>197.473122</v>
      </c>
      <c r="L212" s="9">
        <f t="shared" si="18"/>
        <v>251.329428</v>
      </c>
      <c r="M212" s="9">
        <f t="shared" si="19"/>
        <v>305.185734</v>
      </c>
    </row>
    <row r="213" spans="2:13">
      <c r="B213" t="s">
        <v>437</v>
      </c>
      <c r="C213" s="4" t="s">
        <v>438</v>
      </c>
      <c r="D213" s="4" t="s">
        <v>438</v>
      </c>
      <c r="E213" s="4" t="s">
        <v>438</v>
      </c>
      <c r="F213" s="4" t="s">
        <v>438</v>
      </c>
      <c r="G213" s="5">
        <v>713.29824</v>
      </c>
      <c r="H213" s="9"/>
      <c r="I213" s="9">
        <f t="shared" si="15"/>
        <v>335.2501728</v>
      </c>
      <c r="J213" s="9">
        <f t="shared" si="16"/>
        <v>356.64912</v>
      </c>
      <c r="K213" s="9">
        <f t="shared" si="17"/>
        <v>392.314032</v>
      </c>
      <c r="L213" s="9">
        <f t="shared" si="18"/>
        <v>499.308768</v>
      </c>
      <c r="M213" s="9">
        <f t="shared" si="19"/>
        <v>606.303504</v>
      </c>
    </row>
    <row r="214" ht="27" spans="2:13">
      <c r="B214" t="s">
        <v>439</v>
      </c>
      <c r="C214" s="4" t="s">
        <v>440</v>
      </c>
      <c r="D214" s="4" t="s">
        <v>440</v>
      </c>
      <c r="E214" s="4" t="s">
        <v>440</v>
      </c>
      <c r="F214" s="4" t="s">
        <v>440</v>
      </c>
      <c r="G214" s="5">
        <v>448.20432</v>
      </c>
      <c r="H214" s="9"/>
      <c r="I214" s="9">
        <f t="shared" si="15"/>
        <v>210.6560304</v>
      </c>
      <c r="J214" s="9">
        <f t="shared" si="16"/>
        <v>224.10216</v>
      </c>
      <c r="K214" s="9">
        <f t="shared" si="17"/>
        <v>246.512376</v>
      </c>
      <c r="L214" s="9">
        <f t="shared" si="18"/>
        <v>313.743024</v>
      </c>
      <c r="M214" s="9">
        <f t="shared" si="19"/>
        <v>380.973672</v>
      </c>
    </row>
    <row r="215" ht="27" spans="2:13">
      <c r="B215" t="s">
        <v>441</v>
      </c>
      <c r="C215" s="4" t="s">
        <v>442</v>
      </c>
      <c r="D215" s="4" t="s">
        <v>442</v>
      </c>
      <c r="E215" s="4" t="s">
        <v>442</v>
      </c>
      <c r="F215" s="4" t="s">
        <v>442</v>
      </c>
      <c r="G215" s="5">
        <v>481.49712</v>
      </c>
      <c r="H215" s="9"/>
      <c r="I215" s="9">
        <f t="shared" si="15"/>
        <v>226.3036464</v>
      </c>
      <c r="J215" s="9">
        <f t="shared" si="16"/>
        <v>240.74856</v>
      </c>
      <c r="K215" s="9">
        <f t="shared" si="17"/>
        <v>264.823416</v>
      </c>
      <c r="L215" s="9">
        <f t="shared" si="18"/>
        <v>337.047984</v>
      </c>
      <c r="M215" s="9">
        <f t="shared" si="19"/>
        <v>409.272552</v>
      </c>
    </row>
    <row r="216" spans="2:13">
      <c r="B216" t="s">
        <v>443</v>
      </c>
      <c r="C216" s="4" t="s">
        <v>444</v>
      </c>
      <c r="D216" s="4" t="s">
        <v>444</v>
      </c>
      <c r="E216" s="4" t="s">
        <v>444</v>
      </c>
      <c r="F216" s="4" t="s">
        <v>444</v>
      </c>
      <c r="G216" s="5">
        <v>171.45792</v>
      </c>
      <c r="H216" s="9"/>
      <c r="I216" s="9">
        <f t="shared" si="15"/>
        <v>80.5852224</v>
      </c>
      <c r="J216" s="9">
        <f t="shared" si="16"/>
        <v>85.72896</v>
      </c>
      <c r="K216" s="9">
        <f t="shared" si="17"/>
        <v>94.301856</v>
      </c>
      <c r="L216" s="9">
        <f t="shared" si="18"/>
        <v>120.020544</v>
      </c>
      <c r="M216" s="9">
        <f t="shared" si="19"/>
        <v>145.739232</v>
      </c>
    </row>
    <row r="217" spans="2:13">
      <c r="B217" t="s">
        <v>445</v>
      </c>
      <c r="C217" s="4" t="s">
        <v>446</v>
      </c>
      <c r="D217" s="4" t="s">
        <v>446</v>
      </c>
      <c r="E217" s="4" t="s">
        <v>446</v>
      </c>
      <c r="F217" s="4" t="s">
        <v>446</v>
      </c>
      <c r="G217" s="5">
        <v>206.10324</v>
      </c>
      <c r="H217" s="9"/>
      <c r="I217" s="9">
        <f t="shared" si="15"/>
        <v>96.8685228</v>
      </c>
      <c r="J217" s="9">
        <f t="shared" si="16"/>
        <v>103.05162</v>
      </c>
      <c r="K217" s="9">
        <f t="shared" si="17"/>
        <v>113.356782</v>
      </c>
      <c r="L217" s="9">
        <f t="shared" si="18"/>
        <v>144.272268</v>
      </c>
      <c r="M217" s="9">
        <f t="shared" si="19"/>
        <v>175.187754</v>
      </c>
    </row>
    <row r="218" spans="2:13">
      <c r="B218" t="s">
        <v>447</v>
      </c>
      <c r="C218" s="4" t="s">
        <v>448</v>
      </c>
      <c r="D218" s="4" t="s">
        <v>448</v>
      </c>
      <c r="E218" s="4" t="s">
        <v>448</v>
      </c>
      <c r="F218" s="4" t="s">
        <v>448</v>
      </c>
      <c r="G218" s="5">
        <v>219.31632</v>
      </c>
      <c r="H218" s="9"/>
      <c r="I218" s="9">
        <f t="shared" si="15"/>
        <v>103.0786704</v>
      </c>
      <c r="J218" s="9">
        <f t="shared" si="16"/>
        <v>109.65816</v>
      </c>
      <c r="K218" s="9">
        <f t="shared" si="17"/>
        <v>120.623976</v>
      </c>
      <c r="L218" s="9">
        <f t="shared" si="18"/>
        <v>153.521424</v>
      </c>
      <c r="M218" s="9">
        <f t="shared" si="19"/>
        <v>186.418872</v>
      </c>
    </row>
    <row r="219" spans="2:13">
      <c r="B219" t="s">
        <v>449</v>
      </c>
      <c r="C219" s="4" t="s">
        <v>450</v>
      </c>
      <c r="D219" s="4" t="s">
        <v>450</v>
      </c>
      <c r="E219" s="4" t="s">
        <v>450</v>
      </c>
      <c r="F219" s="4" t="s">
        <v>450</v>
      </c>
      <c r="G219" s="5">
        <v>356.337</v>
      </c>
      <c r="H219" s="9"/>
      <c r="I219" s="9">
        <f t="shared" si="15"/>
        <v>167.47839</v>
      </c>
      <c r="J219" s="9">
        <f t="shared" si="16"/>
        <v>178.1685</v>
      </c>
      <c r="K219" s="9">
        <f t="shared" si="17"/>
        <v>195.98535</v>
      </c>
      <c r="L219" s="9">
        <f t="shared" si="18"/>
        <v>249.4359</v>
      </c>
      <c r="M219" s="9">
        <f t="shared" si="19"/>
        <v>302.88645</v>
      </c>
    </row>
    <row r="220" spans="2:13">
      <c r="B220" t="s">
        <v>451</v>
      </c>
      <c r="C220" s="4" t="s">
        <v>452</v>
      </c>
      <c r="D220" s="4" t="s">
        <v>452</v>
      </c>
      <c r="E220" s="4" t="s">
        <v>452</v>
      </c>
      <c r="F220" s="4" t="s">
        <v>452</v>
      </c>
      <c r="G220" s="5">
        <v>416.05596</v>
      </c>
      <c r="H220" s="9"/>
      <c r="I220" s="9">
        <f t="shared" si="15"/>
        <v>195.5463012</v>
      </c>
      <c r="J220" s="9">
        <f t="shared" si="16"/>
        <v>208.02798</v>
      </c>
      <c r="K220" s="9">
        <f t="shared" si="17"/>
        <v>228.830778</v>
      </c>
      <c r="L220" s="9">
        <f t="shared" si="18"/>
        <v>291.239172</v>
      </c>
      <c r="M220" s="9">
        <f t="shared" si="19"/>
        <v>353.647566</v>
      </c>
    </row>
    <row r="221" ht="27" spans="2:13">
      <c r="B221" t="s">
        <v>453</v>
      </c>
      <c r="C221" s="4" t="s">
        <v>454</v>
      </c>
      <c r="D221" s="4" t="s">
        <v>454</v>
      </c>
      <c r="E221" s="4" t="s">
        <v>454</v>
      </c>
      <c r="F221" s="4" t="s">
        <v>454</v>
      </c>
      <c r="G221" s="5">
        <v>616.85316</v>
      </c>
      <c r="H221" s="9"/>
      <c r="I221" s="9">
        <f t="shared" si="15"/>
        <v>289.9209852</v>
      </c>
      <c r="J221" s="9">
        <f t="shared" si="16"/>
        <v>308.42658</v>
      </c>
      <c r="K221" s="9">
        <f t="shared" si="17"/>
        <v>339.269238</v>
      </c>
      <c r="L221" s="9">
        <f t="shared" si="18"/>
        <v>431.797212</v>
      </c>
      <c r="M221" s="9">
        <f t="shared" si="19"/>
        <v>524.325186</v>
      </c>
    </row>
    <row r="222" spans="2:13">
      <c r="B222" t="s">
        <v>455</v>
      </c>
      <c r="C222" s="4" t="s">
        <v>456</v>
      </c>
      <c r="D222" s="4" t="s">
        <v>456</v>
      </c>
      <c r="E222" s="4" t="s">
        <v>456</v>
      </c>
      <c r="F222" s="4" t="s">
        <v>456</v>
      </c>
      <c r="G222" s="5">
        <v>219.31632</v>
      </c>
      <c r="H222" s="9"/>
      <c r="I222" s="9">
        <f t="shared" si="15"/>
        <v>103.0786704</v>
      </c>
      <c r="J222" s="9">
        <f t="shared" si="16"/>
        <v>109.65816</v>
      </c>
      <c r="K222" s="9">
        <f t="shared" si="17"/>
        <v>120.623976</v>
      </c>
      <c r="L222" s="9">
        <f t="shared" si="18"/>
        <v>153.521424</v>
      </c>
      <c r="M222" s="9">
        <f t="shared" si="19"/>
        <v>186.418872</v>
      </c>
    </row>
    <row r="223" spans="2:13">
      <c r="B223" t="s">
        <v>457</v>
      </c>
      <c r="C223" s="4" t="s">
        <v>458</v>
      </c>
      <c r="D223" s="4" t="s">
        <v>458</v>
      </c>
      <c r="E223" s="4" t="s">
        <v>458</v>
      </c>
      <c r="F223" s="4" t="s">
        <v>458</v>
      </c>
      <c r="G223" s="5">
        <v>278.8272</v>
      </c>
      <c r="H223" s="9"/>
      <c r="I223" s="9">
        <f t="shared" si="15"/>
        <v>131.048784</v>
      </c>
      <c r="J223" s="9">
        <f t="shared" si="16"/>
        <v>139.4136</v>
      </c>
      <c r="K223" s="9">
        <f t="shared" si="17"/>
        <v>153.35496</v>
      </c>
      <c r="L223" s="9">
        <f t="shared" si="18"/>
        <v>195.17904</v>
      </c>
      <c r="M223" s="9">
        <f t="shared" si="19"/>
        <v>237.00312</v>
      </c>
    </row>
    <row r="224" spans="2:13">
      <c r="B224" t="s">
        <v>459</v>
      </c>
      <c r="C224" s="4" t="s">
        <v>460</v>
      </c>
      <c r="D224" s="4" t="s">
        <v>460</v>
      </c>
      <c r="E224" s="4" t="s">
        <v>460</v>
      </c>
      <c r="F224" s="4" t="s">
        <v>460</v>
      </c>
      <c r="G224" s="5">
        <v>366.94908</v>
      </c>
      <c r="H224" s="9"/>
      <c r="I224" s="9">
        <f t="shared" si="15"/>
        <v>172.4660676</v>
      </c>
      <c r="J224" s="9">
        <f t="shared" si="16"/>
        <v>183.47454</v>
      </c>
      <c r="K224" s="9">
        <f t="shared" si="17"/>
        <v>201.821994</v>
      </c>
      <c r="L224" s="9">
        <f t="shared" si="18"/>
        <v>256.864356</v>
      </c>
      <c r="M224" s="9">
        <f t="shared" si="19"/>
        <v>311.906718</v>
      </c>
    </row>
    <row r="225" spans="2:13">
      <c r="B225" t="s">
        <v>461</v>
      </c>
      <c r="C225" s="4" t="s">
        <v>462</v>
      </c>
      <c r="D225" s="4" t="s">
        <v>462</v>
      </c>
      <c r="E225" s="4" t="s">
        <v>462</v>
      </c>
      <c r="F225" s="4" t="s">
        <v>462</v>
      </c>
      <c r="G225" s="5">
        <v>429.26904</v>
      </c>
      <c r="H225" s="9"/>
      <c r="I225" s="9">
        <f t="shared" si="15"/>
        <v>201.7564488</v>
      </c>
      <c r="J225" s="9">
        <f t="shared" si="16"/>
        <v>214.63452</v>
      </c>
      <c r="K225" s="9">
        <f t="shared" si="17"/>
        <v>236.097972</v>
      </c>
      <c r="L225" s="9">
        <f t="shared" si="18"/>
        <v>300.488328</v>
      </c>
      <c r="M225" s="9">
        <f t="shared" si="19"/>
        <v>364.878684</v>
      </c>
    </row>
    <row r="226" ht="27" spans="2:13">
      <c r="B226" t="s">
        <v>463</v>
      </c>
      <c r="C226" s="4" t="s">
        <v>464</v>
      </c>
      <c r="D226" s="4" t="s">
        <v>464</v>
      </c>
      <c r="E226" s="4" t="s">
        <v>464</v>
      </c>
      <c r="F226" s="4" t="s">
        <v>464</v>
      </c>
      <c r="G226" s="5">
        <v>506.1546</v>
      </c>
      <c r="H226" s="9"/>
      <c r="I226" s="9">
        <f t="shared" si="15"/>
        <v>237.892662</v>
      </c>
      <c r="J226" s="9">
        <f t="shared" si="16"/>
        <v>253.0773</v>
      </c>
      <c r="K226" s="9">
        <f t="shared" si="17"/>
        <v>278.38503</v>
      </c>
      <c r="L226" s="9">
        <f t="shared" si="18"/>
        <v>354.30822</v>
      </c>
      <c r="M226" s="9">
        <f t="shared" si="19"/>
        <v>430.23141</v>
      </c>
    </row>
    <row r="227" spans="2:13">
      <c r="B227" s="13" t="s">
        <v>465</v>
      </c>
      <c r="C227" s="4" t="s">
        <v>466</v>
      </c>
      <c r="D227" s="4" t="s">
        <v>466</v>
      </c>
      <c r="E227" s="4" t="s">
        <v>466</v>
      </c>
      <c r="F227" s="4" t="s">
        <v>466</v>
      </c>
      <c r="G227" s="5">
        <v>749.088</v>
      </c>
      <c r="H227" s="9"/>
      <c r="I227" s="9">
        <f t="shared" si="15"/>
        <v>352.07136</v>
      </c>
      <c r="J227" s="9">
        <f t="shared" si="16"/>
        <v>374.544</v>
      </c>
      <c r="K227" s="9">
        <f t="shared" si="17"/>
        <v>411.9984</v>
      </c>
      <c r="L227" s="9">
        <f t="shared" si="18"/>
        <v>524.3616</v>
      </c>
      <c r="M227" s="9">
        <f t="shared" si="19"/>
        <v>636.7248</v>
      </c>
    </row>
    <row r="228" spans="2:13">
      <c r="B228" t="s">
        <v>467</v>
      </c>
      <c r="C228" s="4" t="s">
        <v>468</v>
      </c>
      <c r="D228" s="4" t="s">
        <v>468</v>
      </c>
      <c r="E228" s="4" t="s">
        <v>468</v>
      </c>
      <c r="F228" s="4" t="s">
        <v>468</v>
      </c>
      <c r="G228" s="5">
        <v>60.435</v>
      </c>
      <c r="H228" s="9"/>
      <c r="I228" s="9">
        <f t="shared" si="15"/>
        <v>28.40445</v>
      </c>
      <c r="J228" s="9">
        <f t="shared" si="16"/>
        <v>30.2175</v>
      </c>
      <c r="K228" s="9">
        <f t="shared" si="17"/>
        <v>33.23925</v>
      </c>
      <c r="L228" s="9">
        <f t="shared" si="18"/>
        <v>42.3045</v>
      </c>
      <c r="M228" s="9">
        <f t="shared" si="19"/>
        <v>51.36975</v>
      </c>
    </row>
    <row r="229" spans="2:13">
      <c r="B229" t="s">
        <v>469</v>
      </c>
      <c r="C229" s="4" t="s">
        <v>470</v>
      </c>
      <c r="D229" s="4" t="s">
        <v>470</v>
      </c>
      <c r="E229" s="4" t="s">
        <v>470</v>
      </c>
      <c r="F229" s="4" t="s">
        <v>470</v>
      </c>
      <c r="G229" s="5">
        <v>13.005</v>
      </c>
      <c r="H229" s="9"/>
      <c r="I229" s="9">
        <f t="shared" si="15"/>
        <v>6.11235</v>
      </c>
      <c r="J229" s="9">
        <f t="shared" si="16"/>
        <v>6.5025</v>
      </c>
      <c r="K229" s="9">
        <f t="shared" si="17"/>
        <v>7.15275</v>
      </c>
      <c r="L229" s="9">
        <f t="shared" si="18"/>
        <v>9.1035</v>
      </c>
      <c r="M229" s="9">
        <f t="shared" si="19"/>
        <v>11.05425</v>
      </c>
    </row>
    <row r="230" spans="2:13">
      <c r="B230" t="s">
        <v>471</v>
      </c>
      <c r="C230" s="4" t="s">
        <v>472</v>
      </c>
      <c r="D230" s="4" t="s">
        <v>472</v>
      </c>
      <c r="E230" s="4" t="s">
        <v>472</v>
      </c>
      <c r="F230" s="4" t="s">
        <v>472</v>
      </c>
      <c r="G230" s="5">
        <v>534.2454</v>
      </c>
      <c r="H230" s="9"/>
      <c r="I230" s="9">
        <f t="shared" si="15"/>
        <v>251.095338</v>
      </c>
      <c r="J230" s="9">
        <f t="shared" si="16"/>
        <v>267.1227</v>
      </c>
      <c r="K230" s="9">
        <f t="shared" si="17"/>
        <v>293.83497</v>
      </c>
      <c r="L230" s="9">
        <f t="shared" si="18"/>
        <v>373.97178</v>
      </c>
      <c r="M230" s="9">
        <f t="shared" si="19"/>
        <v>454.10859</v>
      </c>
    </row>
    <row r="231" ht="27" spans="2:13">
      <c r="B231" t="s">
        <v>473</v>
      </c>
      <c r="C231" s="4" t="s">
        <v>474</v>
      </c>
      <c r="D231" s="4" t="s">
        <v>474</v>
      </c>
      <c r="E231" s="4" t="s">
        <v>474</v>
      </c>
      <c r="F231" s="4" t="s">
        <v>474</v>
      </c>
      <c r="G231" s="5">
        <v>573.88464</v>
      </c>
      <c r="H231" s="9"/>
      <c r="I231" s="9">
        <f t="shared" si="15"/>
        <v>269.7257808</v>
      </c>
      <c r="J231" s="9">
        <f t="shared" si="16"/>
        <v>286.94232</v>
      </c>
      <c r="K231" s="9">
        <f t="shared" si="17"/>
        <v>315.636552</v>
      </c>
      <c r="L231" s="9">
        <f t="shared" si="18"/>
        <v>401.719248</v>
      </c>
      <c r="M231" s="9">
        <f t="shared" si="19"/>
        <v>487.801944</v>
      </c>
    </row>
    <row r="232" spans="2:13">
      <c r="B232" t="s">
        <v>475</v>
      </c>
      <c r="C232" s="4" t="s">
        <v>476</v>
      </c>
      <c r="D232" s="4" t="s">
        <v>476</v>
      </c>
      <c r="E232" s="4" t="s">
        <v>476</v>
      </c>
      <c r="F232" s="4" t="s">
        <v>476</v>
      </c>
      <c r="G232" s="5">
        <v>293.70492</v>
      </c>
      <c r="H232" s="9"/>
      <c r="I232" s="9">
        <f t="shared" si="15"/>
        <v>138.0413124</v>
      </c>
      <c r="J232" s="9">
        <f t="shared" si="16"/>
        <v>146.85246</v>
      </c>
      <c r="K232" s="9">
        <f t="shared" si="17"/>
        <v>161.537706</v>
      </c>
      <c r="L232" s="9">
        <f t="shared" si="18"/>
        <v>205.593444</v>
      </c>
      <c r="M232" s="9">
        <f t="shared" si="19"/>
        <v>249.649182</v>
      </c>
    </row>
    <row r="233" spans="2:13">
      <c r="B233" t="s">
        <v>477</v>
      </c>
      <c r="C233" s="4" t="s">
        <v>478</v>
      </c>
      <c r="D233" s="4" t="s">
        <v>478</v>
      </c>
      <c r="E233" s="4" t="s">
        <v>478</v>
      </c>
      <c r="F233" s="4" t="s">
        <v>478</v>
      </c>
      <c r="G233" s="5">
        <v>332.61588</v>
      </c>
      <c r="H233" s="9"/>
      <c r="I233" s="9">
        <f t="shared" si="15"/>
        <v>156.3294636</v>
      </c>
      <c r="J233" s="9">
        <f t="shared" si="16"/>
        <v>166.30794</v>
      </c>
      <c r="K233" s="9">
        <f t="shared" si="17"/>
        <v>182.938734</v>
      </c>
      <c r="L233" s="9">
        <f t="shared" si="18"/>
        <v>232.831116</v>
      </c>
      <c r="M233" s="9">
        <f t="shared" si="19"/>
        <v>282.723498</v>
      </c>
    </row>
    <row r="234" spans="2:13">
      <c r="B234" t="s">
        <v>479</v>
      </c>
      <c r="C234" s="4" t="s">
        <v>480</v>
      </c>
      <c r="D234" s="4" t="s">
        <v>480</v>
      </c>
      <c r="E234" s="4" t="s">
        <v>480</v>
      </c>
      <c r="F234" s="4" t="s">
        <v>480</v>
      </c>
      <c r="G234" s="5">
        <v>365.59656</v>
      </c>
      <c r="H234" s="9"/>
      <c r="I234" s="9">
        <f t="shared" si="15"/>
        <v>171.8303832</v>
      </c>
      <c r="J234" s="9">
        <f t="shared" si="16"/>
        <v>182.79828</v>
      </c>
      <c r="K234" s="9">
        <f t="shared" si="17"/>
        <v>201.078108</v>
      </c>
      <c r="L234" s="9">
        <f t="shared" si="18"/>
        <v>255.917592</v>
      </c>
      <c r="M234" s="9">
        <f t="shared" si="19"/>
        <v>310.757076</v>
      </c>
    </row>
    <row r="235" spans="2:13">
      <c r="B235" t="s">
        <v>481</v>
      </c>
      <c r="C235" s="4" t="s">
        <v>482</v>
      </c>
      <c r="D235" s="4" t="s">
        <v>482</v>
      </c>
      <c r="E235" s="4" t="s">
        <v>482</v>
      </c>
      <c r="F235" s="4" t="s">
        <v>482</v>
      </c>
      <c r="G235" s="5">
        <v>572.94828</v>
      </c>
      <c r="H235" s="9"/>
      <c r="I235" s="9">
        <f t="shared" si="15"/>
        <v>269.2856916</v>
      </c>
      <c r="J235" s="9">
        <f t="shared" si="16"/>
        <v>286.47414</v>
      </c>
      <c r="K235" s="9">
        <f t="shared" si="17"/>
        <v>315.121554</v>
      </c>
      <c r="L235" s="9">
        <f t="shared" si="18"/>
        <v>401.063796</v>
      </c>
      <c r="M235" s="9">
        <f t="shared" si="19"/>
        <v>487.006038</v>
      </c>
    </row>
    <row r="236" ht="27" spans="2:13">
      <c r="B236" t="s">
        <v>483</v>
      </c>
      <c r="C236" s="4" t="s">
        <v>484</v>
      </c>
      <c r="D236" s="4" t="s">
        <v>484</v>
      </c>
      <c r="E236" s="4" t="s">
        <v>484</v>
      </c>
      <c r="F236" s="4" t="s">
        <v>484</v>
      </c>
      <c r="G236" s="5">
        <v>647.23284</v>
      </c>
      <c r="H236" s="9"/>
      <c r="I236" s="9">
        <f t="shared" si="15"/>
        <v>304.1994348</v>
      </c>
      <c r="J236" s="9">
        <f t="shared" si="16"/>
        <v>323.61642</v>
      </c>
      <c r="K236" s="9">
        <f t="shared" si="17"/>
        <v>355.978062</v>
      </c>
      <c r="L236" s="9">
        <f t="shared" si="18"/>
        <v>453.062988</v>
      </c>
      <c r="M236" s="9">
        <f t="shared" si="19"/>
        <v>550.147914</v>
      </c>
    </row>
    <row r="237" ht="27" spans="2:13">
      <c r="B237" t="s">
        <v>485</v>
      </c>
      <c r="C237" s="4" t="s">
        <v>486</v>
      </c>
      <c r="D237" s="4" t="s">
        <v>486</v>
      </c>
      <c r="E237" s="4" t="s">
        <v>486</v>
      </c>
      <c r="F237" s="4" t="s">
        <v>486</v>
      </c>
      <c r="G237" s="5">
        <v>838.87452</v>
      </c>
      <c r="H237" s="9"/>
      <c r="I237" s="9">
        <f t="shared" si="15"/>
        <v>394.2710244</v>
      </c>
      <c r="J237" s="9">
        <f t="shared" si="16"/>
        <v>419.43726</v>
      </c>
      <c r="K237" s="9">
        <f t="shared" si="17"/>
        <v>461.380986</v>
      </c>
      <c r="L237" s="9">
        <f t="shared" si="18"/>
        <v>587.212164</v>
      </c>
      <c r="M237" s="9">
        <f t="shared" si="19"/>
        <v>713.043342</v>
      </c>
    </row>
    <row r="238" spans="2:13">
      <c r="B238" t="s">
        <v>487</v>
      </c>
      <c r="C238" s="4" t="s">
        <v>488</v>
      </c>
      <c r="D238" s="4" t="s">
        <v>488</v>
      </c>
      <c r="E238" s="4" t="s">
        <v>488</v>
      </c>
      <c r="F238" s="4" t="s">
        <v>488</v>
      </c>
      <c r="G238" s="5">
        <v>390.98232</v>
      </c>
      <c r="H238" s="9"/>
      <c r="I238" s="9">
        <f t="shared" si="15"/>
        <v>183.7616904</v>
      </c>
      <c r="J238" s="9">
        <f t="shared" si="16"/>
        <v>195.49116</v>
      </c>
      <c r="K238" s="9">
        <f t="shared" si="17"/>
        <v>215.040276</v>
      </c>
      <c r="L238" s="9">
        <f t="shared" si="18"/>
        <v>273.687624</v>
      </c>
      <c r="M238" s="9">
        <f t="shared" si="19"/>
        <v>332.334972</v>
      </c>
    </row>
    <row r="239" spans="2:13">
      <c r="B239" t="s">
        <v>489</v>
      </c>
      <c r="C239" s="4" t="s">
        <v>490</v>
      </c>
      <c r="D239" s="4" t="s">
        <v>490</v>
      </c>
      <c r="E239" s="4" t="s">
        <v>490</v>
      </c>
      <c r="F239" s="4" t="s">
        <v>490</v>
      </c>
      <c r="G239" s="5">
        <v>442.79424</v>
      </c>
      <c r="H239" s="9"/>
      <c r="I239" s="9">
        <f t="shared" si="15"/>
        <v>208.1132928</v>
      </c>
      <c r="J239" s="9">
        <f t="shared" si="16"/>
        <v>221.39712</v>
      </c>
      <c r="K239" s="9">
        <f t="shared" si="17"/>
        <v>243.536832</v>
      </c>
      <c r="L239" s="9">
        <f t="shared" si="18"/>
        <v>309.955968</v>
      </c>
      <c r="M239" s="9">
        <f t="shared" si="19"/>
        <v>376.375104</v>
      </c>
    </row>
    <row r="240" spans="2:13">
      <c r="B240" t="s">
        <v>491</v>
      </c>
      <c r="C240" s="4" t="s">
        <v>492</v>
      </c>
      <c r="D240" s="4" t="s">
        <v>492</v>
      </c>
      <c r="E240" s="4" t="s">
        <v>492</v>
      </c>
      <c r="F240" s="4" t="s">
        <v>492</v>
      </c>
      <c r="G240" s="5">
        <v>569.51496</v>
      </c>
      <c r="H240" s="9"/>
      <c r="I240" s="9">
        <f t="shared" si="15"/>
        <v>267.6720312</v>
      </c>
      <c r="J240" s="9">
        <f t="shared" si="16"/>
        <v>284.75748</v>
      </c>
      <c r="K240" s="9">
        <f t="shared" si="17"/>
        <v>313.233228</v>
      </c>
      <c r="L240" s="9">
        <f t="shared" si="18"/>
        <v>398.660472</v>
      </c>
      <c r="M240" s="9">
        <f t="shared" si="19"/>
        <v>484.087716</v>
      </c>
    </row>
    <row r="241" spans="2:13">
      <c r="B241" t="s">
        <v>493</v>
      </c>
      <c r="C241" s="4" t="s">
        <v>494</v>
      </c>
      <c r="D241" s="4" t="s">
        <v>494</v>
      </c>
      <c r="E241" s="4" t="s">
        <v>494</v>
      </c>
      <c r="F241" s="4" t="s">
        <v>494</v>
      </c>
      <c r="G241" s="5">
        <v>90.2088</v>
      </c>
      <c r="H241" s="9"/>
      <c r="I241" s="9">
        <f t="shared" si="15"/>
        <v>42.398136</v>
      </c>
      <c r="J241" s="9">
        <f t="shared" si="16"/>
        <v>45.1044</v>
      </c>
      <c r="K241" s="9">
        <f t="shared" si="17"/>
        <v>49.61484</v>
      </c>
      <c r="L241" s="9">
        <f t="shared" si="18"/>
        <v>63.14616</v>
      </c>
      <c r="M241" s="9">
        <f t="shared" si="19"/>
        <v>76.67748</v>
      </c>
    </row>
    <row r="242" spans="2:13">
      <c r="B242" t="s">
        <v>495</v>
      </c>
      <c r="C242" s="4" t="s">
        <v>496</v>
      </c>
      <c r="D242" s="4" t="s">
        <v>496</v>
      </c>
      <c r="E242" s="4" t="s">
        <v>496</v>
      </c>
      <c r="F242" s="4" t="s">
        <v>496</v>
      </c>
      <c r="G242" s="5">
        <v>22.8888</v>
      </c>
      <c r="H242" s="9"/>
      <c r="I242" s="9">
        <f t="shared" si="15"/>
        <v>10.757736</v>
      </c>
      <c r="J242" s="9">
        <f t="shared" si="16"/>
        <v>11.4444</v>
      </c>
      <c r="K242" s="9">
        <f t="shared" si="17"/>
        <v>12.58884</v>
      </c>
      <c r="L242" s="9">
        <f t="shared" si="18"/>
        <v>16.02216</v>
      </c>
      <c r="M242" s="9">
        <f t="shared" si="19"/>
        <v>19.45548</v>
      </c>
    </row>
    <row r="243" spans="2:13">
      <c r="B243" t="s">
        <v>497</v>
      </c>
      <c r="C243" s="4" t="s">
        <v>498</v>
      </c>
      <c r="D243" s="4" t="s">
        <v>498</v>
      </c>
      <c r="E243" s="4" t="s">
        <v>498</v>
      </c>
      <c r="F243" s="4" t="s">
        <v>498</v>
      </c>
      <c r="G243" s="5">
        <v>795.07368</v>
      </c>
      <c r="H243" s="9"/>
      <c r="I243" s="9">
        <f t="shared" si="15"/>
        <v>373.6846296</v>
      </c>
      <c r="J243" s="9">
        <f t="shared" si="16"/>
        <v>397.53684</v>
      </c>
      <c r="K243" s="9">
        <f t="shared" si="17"/>
        <v>437.290524</v>
      </c>
      <c r="L243" s="9">
        <f t="shared" si="18"/>
        <v>556.551576</v>
      </c>
      <c r="M243" s="9">
        <f t="shared" si="19"/>
        <v>675.812628</v>
      </c>
    </row>
    <row r="244" ht="27" spans="2:13">
      <c r="B244" t="s">
        <v>499</v>
      </c>
      <c r="C244" s="4" t="s">
        <v>500</v>
      </c>
      <c r="D244" s="4" t="s">
        <v>500</v>
      </c>
      <c r="E244" s="4" t="s">
        <v>500</v>
      </c>
      <c r="F244" s="4" t="s">
        <v>500</v>
      </c>
      <c r="G244" s="5">
        <v>853.44012</v>
      </c>
      <c r="H244" s="9"/>
      <c r="I244" s="9">
        <f t="shared" si="15"/>
        <v>401.1168564</v>
      </c>
      <c r="J244" s="9">
        <f t="shared" si="16"/>
        <v>426.72006</v>
      </c>
      <c r="K244" s="9">
        <f t="shared" si="17"/>
        <v>469.392066</v>
      </c>
      <c r="L244" s="9">
        <f t="shared" si="18"/>
        <v>597.408084</v>
      </c>
      <c r="M244" s="9">
        <f t="shared" si="19"/>
        <v>725.424102</v>
      </c>
    </row>
    <row r="245" spans="2:13">
      <c r="B245" t="s">
        <v>501</v>
      </c>
      <c r="C245" s="4" t="s">
        <v>502</v>
      </c>
      <c r="D245" s="4" t="s">
        <v>502</v>
      </c>
      <c r="E245" s="4" t="s">
        <v>502</v>
      </c>
      <c r="F245" s="4" t="s">
        <v>502</v>
      </c>
      <c r="G245" s="5">
        <v>441.44172</v>
      </c>
      <c r="H245" s="9"/>
      <c r="I245" s="9">
        <f t="shared" si="15"/>
        <v>207.4776084</v>
      </c>
      <c r="J245" s="9">
        <f t="shared" si="16"/>
        <v>220.72086</v>
      </c>
      <c r="K245" s="9">
        <f t="shared" si="17"/>
        <v>242.792946</v>
      </c>
      <c r="L245" s="9">
        <f t="shared" si="18"/>
        <v>309.009204</v>
      </c>
      <c r="M245" s="9">
        <f t="shared" si="19"/>
        <v>375.225462</v>
      </c>
    </row>
    <row r="246" spans="2:13">
      <c r="B246" t="s">
        <v>503</v>
      </c>
      <c r="C246" s="4" t="s">
        <v>504</v>
      </c>
      <c r="D246" s="4" t="s">
        <v>504</v>
      </c>
      <c r="E246" s="4" t="s">
        <v>504</v>
      </c>
      <c r="F246" s="4" t="s">
        <v>504</v>
      </c>
      <c r="G246" s="5">
        <v>499.9122</v>
      </c>
      <c r="H246" s="9"/>
      <c r="I246" s="9">
        <f t="shared" si="15"/>
        <v>234.958734</v>
      </c>
      <c r="J246" s="9">
        <f t="shared" si="16"/>
        <v>249.9561</v>
      </c>
      <c r="K246" s="9">
        <f t="shared" si="17"/>
        <v>274.95171</v>
      </c>
      <c r="L246" s="9">
        <f t="shared" si="18"/>
        <v>349.93854</v>
      </c>
      <c r="M246" s="9">
        <f t="shared" si="19"/>
        <v>424.92537</v>
      </c>
    </row>
    <row r="247" spans="2:13">
      <c r="B247" t="s">
        <v>505</v>
      </c>
      <c r="C247" s="4" t="s">
        <v>506</v>
      </c>
      <c r="D247" s="4" t="s">
        <v>506</v>
      </c>
      <c r="E247" s="4" t="s">
        <v>506</v>
      </c>
      <c r="F247" s="4" t="s">
        <v>506</v>
      </c>
      <c r="G247" s="5">
        <v>549.12312</v>
      </c>
      <c r="H247" s="9"/>
      <c r="I247" s="9">
        <f t="shared" si="15"/>
        <v>258.0878664</v>
      </c>
      <c r="J247" s="9">
        <f t="shared" si="16"/>
        <v>274.56156</v>
      </c>
      <c r="K247" s="9">
        <f t="shared" si="17"/>
        <v>302.017716</v>
      </c>
      <c r="L247" s="9">
        <f t="shared" si="18"/>
        <v>384.386184</v>
      </c>
      <c r="M247" s="9">
        <f t="shared" si="19"/>
        <v>466.754652</v>
      </c>
    </row>
    <row r="248" spans="2:13">
      <c r="B248" t="s">
        <v>507</v>
      </c>
      <c r="C248" s="4" t="s">
        <v>508</v>
      </c>
      <c r="D248" s="4" t="s">
        <v>508</v>
      </c>
      <c r="E248" s="4" t="s">
        <v>508</v>
      </c>
      <c r="F248" s="4" t="s">
        <v>508</v>
      </c>
      <c r="G248" s="5">
        <v>861.55524</v>
      </c>
      <c r="H248" s="9"/>
      <c r="I248" s="9">
        <f t="shared" si="15"/>
        <v>404.9309628</v>
      </c>
      <c r="J248" s="9">
        <f t="shared" si="16"/>
        <v>430.77762</v>
      </c>
      <c r="K248" s="9">
        <f t="shared" si="17"/>
        <v>473.855382</v>
      </c>
      <c r="L248" s="9">
        <f t="shared" si="18"/>
        <v>603.088668</v>
      </c>
      <c r="M248" s="9">
        <f t="shared" si="19"/>
        <v>732.321954</v>
      </c>
    </row>
    <row r="249" spans="2:13">
      <c r="B249" t="s">
        <v>509</v>
      </c>
      <c r="C249" s="4" t="s">
        <v>510</v>
      </c>
      <c r="D249" s="4" t="s">
        <v>510</v>
      </c>
      <c r="E249" s="4" t="s">
        <v>510</v>
      </c>
      <c r="F249" s="4" t="s">
        <v>510</v>
      </c>
      <c r="G249" s="5">
        <v>974.3346</v>
      </c>
      <c r="H249" s="9"/>
      <c r="I249" s="9">
        <f t="shared" si="15"/>
        <v>457.937262</v>
      </c>
      <c r="J249" s="9">
        <f t="shared" si="16"/>
        <v>487.1673</v>
      </c>
      <c r="K249" s="9">
        <f t="shared" si="17"/>
        <v>535.88403</v>
      </c>
      <c r="L249" s="9">
        <f t="shared" si="18"/>
        <v>682.03422</v>
      </c>
      <c r="M249" s="9">
        <f t="shared" si="19"/>
        <v>828.18441</v>
      </c>
    </row>
    <row r="250" ht="27" spans="2:13">
      <c r="B250" t="s">
        <v>511</v>
      </c>
      <c r="C250" s="4" t="s">
        <v>512</v>
      </c>
      <c r="D250" s="4" t="s">
        <v>512</v>
      </c>
      <c r="E250" s="4" t="s">
        <v>512</v>
      </c>
      <c r="F250" s="4" t="s">
        <v>512</v>
      </c>
      <c r="G250" s="5">
        <v>1260.54864</v>
      </c>
      <c r="H250" s="9"/>
      <c r="I250" s="9">
        <f t="shared" si="15"/>
        <v>592.4578608</v>
      </c>
      <c r="J250" s="9">
        <f t="shared" si="16"/>
        <v>630.27432</v>
      </c>
      <c r="K250" s="9">
        <f t="shared" si="17"/>
        <v>693.301752</v>
      </c>
      <c r="L250" s="9">
        <f t="shared" si="18"/>
        <v>882.384048</v>
      </c>
      <c r="M250" s="9">
        <f t="shared" si="19"/>
        <v>1071.466344</v>
      </c>
    </row>
    <row r="251" spans="2:13">
      <c r="B251" t="s">
        <v>513</v>
      </c>
      <c r="C251" s="4" t="s">
        <v>514</v>
      </c>
      <c r="D251" s="4" t="s">
        <v>514</v>
      </c>
      <c r="E251" s="4" t="s">
        <v>514</v>
      </c>
      <c r="F251" s="4" t="s">
        <v>514</v>
      </c>
      <c r="G251" s="5">
        <v>851.35932</v>
      </c>
      <c r="H251" s="9"/>
      <c r="I251" s="9">
        <f t="shared" si="15"/>
        <v>400.1388804</v>
      </c>
      <c r="J251" s="9">
        <f t="shared" si="16"/>
        <v>425.67966</v>
      </c>
      <c r="K251" s="9">
        <f t="shared" si="17"/>
        <v>468.247626</v>
      </c>
      <c r="L251" s="9">
        <f t="shared" si="18"/>
        <v>595.951524</v>
      </c>
      <c r="M251" s="9">
        <f t="shared" si="19"/>
        <v>723.655422</v>
      </c>
    </row>
    <row r="252" spans="2:13">
      <c r="B252" t="s">
        <v>515</v>
      </c>
      <c r="C252" s="4" t="s">
        <v>516</v>
      </c>
      <c r="D252" s="4" t="s">
        <v>516</v>
      </c>
      <c r="E252" s="4" t="s">
        <v>516</v>
      </c>
      <c r="F252" s="4" t="s">
        <v>516</v>
      </c>
      <c r="G252" s="5">
        <v>131.58</v>
      </c>
      <c r="H252" s="9"/>
      <c r="I252" s="9">
        <f t="shared" si="15"/>
        <v>61.8426</v>
      </c>
      <c r="J252" s="9">
        <f t="shared" si="16"/>
        <v>65.79</v>
      </c>
      <c r="K252" s="9">
        <f t="shared" si="17"/>
        <v>72.369</v>
      </c>
      <c r="L252" s="9">
        <f t="shared" si="18"/>
        <v>92.106</v>
      </c>
      <c r="M252" s="9">
        <f t="shared" si="19"/>
        <v>111.843</v>
      </c>
    </row>
    <row r="253" spans="2:13">
      <c r="B253" t="s">
        <v>517</v>
      </c>
      <c r="C253" s="4" t="s">
        <v>518</v>
      </c>
      <c r="D253" s="4" t="s">
        <v>518</v>
      </c>
      <c r="E253" s="4" t="s">
        <v>518</v>
      </c>
      <c r="F253" s="4" t="s">
        <v>518</v>
      </c>
      <c r="G253" s="5">
        <v>31.8648</v>
      </c>
      <c r="H253" s="9"/>
      <c r="I253" s="9">
        <f t="shared" si="15"/>
        <v>14.976456</v>
      </c>
      <c r="J253" s="9">
        <f t="shared" si="16"/>
        <v>15.9324</v>
      </c>
      <c r="K253" s="9">
        <f t="shared" si="17"/>
        <v>17.52564</v>
      </c>
      <c r="L253" s="9">
        <f t="shared" si="18"/>
        <v>22.30536</v>
      </c>
      <c r="M253" s="9">
        <f t="shared" si="19"/>
        <v>27.08508</v>
      </c>
    </row>
    <row r="254" ht="27" spans="2:13">
      <c r="B254" t="s">
        <v>519</v>
      </c>
      <c r="C254" s="4" t="s">
        <v>520</v>
      </c>
      <c r="D254" s="4" t="s">
        <v>520</v>
      </c>
      <c r="E254" s="4" t="s">
        <v>520</v>
      </c>
      <c r="F254" s="4" t="s">
        <v>520</v>
      </c>
      <c r="G254" s="5">
        <v>25.535088</v>
      </c>
      <c r="H254" s="9"/>
      <c r="I254" s="9">
        <f t="shared" si="15"/>
        <v>12.00149136</v>
      </c>
      <c r="J254" s="9">
        <f t="shared" si="16"/>
        <v>12.767544</v>
      </c>
      <c r="K254" s="9">
        <f t="shared" si="17"/>
        <v>14.0442984</v>
      </c>
      <c r="L254" s="9">
        <f t="shared" si="18"/>
        <v>17.8745616</v>
      </c>
      <c r="M254" s="9">
        <f t="shared" si="19"/>
        <v>21.7048248</v>
      </c>
    </row>
    <row r="255" ht="27" spans="2:13">
      <c r="B255" t="s">
        <v>521</v>
      </c>
      <c r="C255" s="4" t="s">
        <v>522</v>
      </c>
      <c r="D255" s="4" t="s">
        <v>522</v>
      </c>
      <c r="E255" s="4" t="s">
        <v>522</v>
      </c>
      <c r="F255" s="4" t="s">
        <v>522</v>
      </c>
      <c r="G255" s="5">
        <v>18.41508</v>
      </c>
      <c r="H255" s="9"/>
      <c r="I255" s="9">
        <f t="shared" si="15"/>
        <v>8.6550876</v>
      </c>
      <c r="J255" s="9">
        <f t="shared" si="16"/>
        <v>9.20754</v>
      </c>
      <c r="K255" s="9">
        <f t="shared" si="17"/>
        <v>10.128294</v>
      </c>
      <c r="L255" s="9">
        <f t="shared" si="18"/>
        <v>12.890556</v>
      </c>
      <c r="M255" s="9">
        <f t="shared" si="19"/>
        <v>15.652818</v>
      </c>
    </row>
    <row r="256" ht="40.5" spans="2:13">
      <c r="B256" t="s">
        <v>523</v>
      </c>
      <c r="C256" s="4" t="s">
        <v>524</v>
      </c>
      <c r="D256" s="4" t="s">
        <v>524</v>
      </c>
      <c r="E256" s="4" t="s">
        <v>524</v>
      </c>
      <c r="F256" s="4" t="s">
        <v>524</v>
      </c>
      <c r="G256" s="5">
        <v>18.93528</v>
      </c>
      <c r="H256" s="9"/>
      <c r="I256" s="9">
        <f t="shared" si="15"/>
        <v>8.8995816</v>
      </c>
      <c r="J256" s="9">
        <f t="shared" si="16"/>
        <v>9.46764</v>
      </c>
      <c r="K256" s="9">
        <f t="shared" si="17"/>
        <v>10.414404</v>
      </c>
      <c r="L256" s="9">
        <f t="shared" si="18"/>
        <v>13.254696</v>
      </c>
      <c r="M256" s="9">
        <f t="shared" si="19"/>
        <v>16.094988</v>
      </c>
    </row>
    <row r="257" ht="27" spans="2:13">
      <c r="B257" t="s">
        <v>525</v>
      </c>
      <c r="C257" s="4" t="s">
        <v>526</v>
      </c>
      <c r="D257" s="4" t="s">
        <v>526</v>
      </c>
      <c r="E257" s="4" t="s">
        <v>526</v>
      </c>
      <c r="F257" s="4" t="s">
        <v>526</v>
      </c>
      <c r="G257" s="5">
        <v>22.05648</v>
      </c>
      <c r="H257" s="9"/>
      <c r="I257" s="9">
        <f t="shared" si="15"/>
        <v>10.3665456</v>
      </c>
      <c r="J257" s="9">
        <f t="shared" si="16"/>
        <v>11.02824</v>
      </c>
      <c r="K257" s="9">
        <f t="shared" si="17"/>
        <v>12.131064</v>
      </c>
      <c r="L257" s="9">
        <f t="shared" si="18"/>
        <v>15.439536</v>
      </c>
      <c r="M257" s="9">
        <f t="shared" si="19"/>
        <v>18.748008</v>
      </c>
    </row>
    <row r="258" ht="40.5" spans="2:13">
      <c r="B258" t="s">
        <v>527</v>
      </c>
      <c r="C258" s="4" t="s">
        <v>528</v>
      </c>
      <c r="D258" s="4" t="s">
        <v>528</v>
      </c>
      <c r="E258" s="4" t="s">
        <v>528</v>
      </c>
      <c r="F258" s="4" t="s">
        <v>528</v>
      </c>
      <c r="G258" s="5">
        <v>22.05648</v>
      </c>
      <c r="H258" s="9"/>
      <c r="I258" s="9">
        <f t="shared" si="15"/>
        <v>10.3665456</v>
      </c>
      <c r="J258" s="9">
        <f t="shared" si="16"/>
        <v>11.02824</v>
      </c>
      <c r="K258" s="9">
        <f t="shared" si="17"/>
        <v>12.131064</v>
      </c>
      <c r="L258" s="9">
        <f t="shared" si="18"/>
        <v>15.439536</v>
      </c>
      <c r="M258" s="9">
        <f t="shared" si="19"/>
        <v>18.748008</v>
      </c>
    </row>
    <row r="259" ht="27" spans="2:13">
      <c r="B259" t="s">
        <v>529</v>
      </c>
      <c r="C259" s="4" t="s">
        <v>530</v>
      </c>
      <c r="D259" s="4" t="s">
        <v>530</v>
      </c>
      <c r="E259" s="4" t="s">
        <v>530</v>
      </c>
      <c r="F259" s="4" t="s">
        <v>530</v>
      </c>
      <c r="G259" s="5">
        <v>54.82908</v>
      </c>
      <c r="H259" s="9"/>
      <c r="I259" s="9">
        <f t="shared" ref="I259:I322" si="20">G259*0.47</f>
        <v>25.7696676</v>
      </c>
      <c r="J259" s="9">
        <f t="shared" ref="J259:J322" si="21">G259*0.5</f>
        <v>27.41454</v>
      </c>
      <c r="K259" s="9">
        <f t="shared" ref="K259:K322" si="22">G259*0.55</f>
        <v>30.155994</v>
      </c>
      <c r="L259" s="9">
        <f t="shared" ref="L259:L322" si="23">G259*0.7</f>
        <v>38.380356</v>
      </c>
      <c r="M259" s="9">
        <f t="shared" ref="M259:M322" si="24">G259*0.85</f>
        <v>46.604718</v>
      </c>
    </row>
    <row r="260" ht="27" spans="2:13">
      <c r="B260" t="s">
        <v>531</v>
      </c>
      <c r="C260" s="4" t="s">
        <v>532</v>
      </c>
      <c r="D260" s="4" t="s">
        <v>532</v>
      </c>
      <c r="E260" s="4" t="s">
        <v>532</v>
      </c>
      <c r="F260" s="4" t="s">
        <v>532</v>
      </c>
      <c r="G260" s="5">
        <v>26.01</v>
      </c>
      <c r="H260" s="9"/>
      <c r="I260" s="9">
        <f t="shared" si="20"/>
        <v>12.2247</v>
      </c>
      <c r="J260" s="9">
        <f t="shared" si="21"/>
        <v>13.005</v>
      </c>
      <c r="K260" s="9">
        <f t="shared" si="22"/>
        <v>14.3055</v>
      </c>
      <c r="L260" s="9">
        <f t="shared" si="23"/>
        <v>18.207</v>
      </c>
      <c r="M260" s="9">
        <f t="shared" si="24"/>
        <v>22.1085</v>
      </c>
    </row>
    <row r="261" ht="27" spans="2:13">
      <c r="B261" t="s">
        <v>533</v>
      </c>
      <c r="C261" s="4" t="s">
        <v>534</v>
      </c>
      <c r="D261" s="4" t="s">
        <v>534</v>
      </c>
      <c r="E261" s="4" t="s">
        <v>534</v>
      </c>
      <c r="F261" s="4" t="s">
        <v>534</v>
      </c>
      <c r="G261" s="5">
        <v>36.72612</v>
      </c>
      <c r="H261" s="9"/>
      <c r="I261" s="9">
        <f t="shared" si="20"/>
        <v>17.2612764</v>
      </c>
      <c r="J261" s="9">
        <f t="shared" si="21"/>
        <v>18.36306</v>
      </c>
      <c r="K261" s="9">
        <f t="shared" si="22"/>
        <v>20.199366</v>
      </c>
      <c r="L261" s="9">
        <f t="shared" si="23"/>
        <v>25.708284</v>
      </c>
      <c r="M261" s="9">
        <f t="shared" si="24"/>
        <v>31.217202</v>
      </c>
    </row>
    <row r="262" ht="27" spans="2:13">
      <c r="B262" t="s">
        <v>535</v>
      </c>
      <c r="C262" s="4" t="s">
        <v>536</v>
      </c>
      <c r="D262" s="4" t="s">
        <v>536</v>
      </c>
      <c r="E262" s="4" t="s">
        <v>536</v>
      </c>
      <c r="F262" s="4" t="s">
        <v>536</v>
      </c>
      <c r="G262" s="5">
        <v>86.56128</v>
      </c>
      <c r="H262" s="9"/>
      <c r="I262" s="9">
        <f t="shared" si="20"/>
        <v>40.6838016</v>
      </c>
      <c r="J262" s="9">
        <f t="shared" si="21"/>
        <v>43.28064</v>
      </c>
      <c r="K262" s="9">
        <f t="shared" si="22"/>
        <v>47.608704</v>
      </c>
      <c r="L262" s="9">
        <f t="shared" si="23"/>
        <v>60.592896</v>
      </c>
      <c r="M262" s="9">
        <f t="shared" si="24"/>
        <v>73.577088</v>
      </c>
    </row>
    <row r="263" ht="27" spans="2:13">
      <c r="B263" t="s">
        <v>537</v>
      </c>
      <c r="C263" s="4" t="s">
        <v>538</v>
      </c>
      <c r="D263" s="4" t="s">
        <v>538</v>
      </c>
      <c r="E263" s="4" t="s">
        <v>538</v>
      </c>
      <c r="F263" s="4" t="s">
        <v>538</v>
      </c>
      <c r="G263" s="5">
        <v>48.06648</v>
      </c>
      <c r="H263" s="9"/>
      <c r="I263" s="9">
        <f t="shared" si="20"/>
        <v>22.5912456</v>
      </c>
      <c r="J263" s="9">
        <f t="shared" si="21"/>
        <v>24.03324</v>
      </c>
      <c r="K263" s="9">
        <f t="shared" si="22"/>
        <v>26.436564</v>
      </c>
      <c r="L263" s="9">
        <f t="shared" si="23"/>
        <v>33.646536</v>
      </c>
      <c r="M263" s="9">
        <f t="shared" si="24"/>
        <v>40.856508</v>
      </c>
    </row>
    <row r="264" ht="27" spans="2:13">
      <c r="B264" t="s">
        <v>539</v>
      </c>
      <c r="C264" s="4" t="s">
        <v>540</v>
      </c>
      <c r="D264" s="4" t="s">
        <v>540</v>
      </c>
      <c r="E264" s="4" t="s">
        <v>540</v>
      </c>
      <c r="F264" s="4" t="s">
        <v>540</v>
      </c>
      <c r="G264" s="5">
        <v>90.5556</v>
      </c>
      <c r="H264" s="9"/>
      <c r="I264" s="9">
        <f t="shared" si="20"/>
        <v>42.561132</v>
      </c>
      <c r="J264" s="9">
        <f t="shared" si="21"/>
        <v>45.2778</v>
      </c>
      <c r="K264" s="9">
        <f t="shared" si="22"/>
        <v>49.80558</v>
      </c>
      <c r="L264" s="9">
        <f t="shared" si="23"/>
        <v>63.38892</v>
      </c>
      <c r="M264" s="9">
        <f t="shared" si="24"/>
        <v>76.97226</v>
      </c>
    </row>
    <row r="265" ht="40.5" spans="2:13">
      <c r="B265" t="s">
        <v>541</v>
      </c>
      <c r="C265" s="4" t="s">
        <v>542</v>
      </c>
      <c r="D265" s="4" t="s">
        <v>542</v>
      </c>
      <c r="E265" s="4" t="s">
        <v>542</v>
      </c>
      <c r="F265" s="4" t="s">
        <v>542</v>
      </c>
      <c r="G265" s="5">
        <v>93.3708</v>
      </c>
      <c r="H265" s="9"/>
      <c r="I265" s="9">
        <f t="shared" si="20"/>
        <v>43.884276</v>
      </c>
      <c r="J265" s="9">
        <f t="shared" si="21"/>
        <v>46.6854</v>
      </c>
      <c r="K265" s="9">
        <f t="shared" si="22"/>
        <v>51.35394</v>
      </c>
      <c r="L265" s="9">
        <f t="shared" si="23"/>
        <v>65.35956</v>
      </c>
      <c r="M265" s="9">
        <f t="shared" si="24"/>
        <v>79.36518</v>
      </c>
    </row>
    <row r="266" ht="27" spans="2:13">
      <c r="B266" t="s">
        <v>543</v>
      </c>
      <c r="C266" s="4" t="s">
        <v>544</v>
      </c>
      <c r="D266" s="4" t="s">
        <v>544</v>
      </c>
      <c r="E266" s="4" t="s">
        <v>544</v>
      </c>
      <c r="F266" s="4" t="s">
        <v>544</v>
      </c>
      <c r="G266" s="5">
        <v>139.1535</v>
      </c>
      <c r="H266" s="9"/>
      <c r="I266" s="9">
        <f t="shared" si="20"/>
        <v>65.402145</v>
      </c>
      <c r="J266" s="9">
        <f t="shared" si="21"/>
        <v>69.57675</v>
      </c>
      <c r="K266" s="9">
        <f t="shared" si="22"/>
        <v>76.534425</v>
      </c>
      <c r="L266" s="9">
        <f t="shared" si="23"/>
        <v>97.40745</v>
      </c>
      <c r="M266" s="9">
        <f t="shared" si="24"/>
        <v>118.280475</v>
      </c>
    </row>
    <row r="267" ht="27" spans="2:13">
      <c r="B267" t="s">
        <v>545</v>
      </c>
      <c r="C267" s="4" t="s">
        <v>546</v>
      </c>
      <c r="D267" s="4" t="s">
        <v>546</v>
      </c>
      <c r="E267" s="4" t="s">
        <v>546</v>
      </c>
      <c r="F267" s="4" t="s">
        <v>546</v>
      </c>
      <c r="G267" s="5">
        <v>68.45832</v>
      </c>
      <c r="H267" s="9"/>
      <c r="I267" s="9">
        <f t="shared" si="20"/>
        <v>32.1754104</v>
      </c>
      <c r="J267" s="9">
        <f t="shared" si="21"/>
        <v>34.22916</v>
      </c>
      <c r="K267" s="9">
        <f t="shared" si="22"/>
        <v>37.652076</v>
      </c>
      <c r="L267" s="9">
        <f t="shared" si="23"/>
        <v>47.920824</v>
      </c>
      <c r="M267" s="9">
        <f t="shared" si="24"/>
        <v>58.189572</v>
      </c>
    </row>
    <row r="268" ht="40.5" spans="2:13">
      <c r="B268" t="s">
        <v>547</v>
      </c>
      <c r="C268" s="4" t="s">
        <v>548</v>
      </c>
      <c r="D268" s="4" t="s">
        <v>548</v>
      </c>
      <c r="E268" s="4" t="s">
        <v>548</v>
      </c>
      <c r="F268" s="4" t="s">
        <v>548</v>
      </c>
      <c r="G268" s="5">
        <v>111.843</v>
      </c>
      <c r="H268" s="9"/>
      <c r="I268" s="9">
        <f t="shared" si="20"/>
        <v>52.56621</v>
      </c>
      <c r="J268" s="9">
        <f t="shared" si="21"/>
        <v>55.9215</v>
      </c>
      <c r="K268" s="9">
        <f t="shared" si="22"/>
        <v>61.51365</v>
      </c>
      <c r="L268" s="9">
        <f t="shared" si="23"/>
        <v>78.2901</v>
      </c>
      <c r="M268" s="9">
        <f t="shared" si="24"/>
        <v>95.06655</v>
      </c>
    </row>
    <row r="269" ht="40.5" spans="2:13">
      <c r="B269" t="s">
        <v>549</v>
      </c>
      <c r="C269" s="4" t="s">
        <v>550</v>
      </c>
      <c r="D269" s="4" t="s">
        <v>550</v>
      </c>
      <c r="E269" s="4" t="s">
        <v>550</v>
      </c>
      <c r="F269" s="4" t="s">
        <v>550</v>
      </c>
      <c r="G269" s="5">
        <v>114.33996</v>
      </c>
      <c r="H269" s="9"/>
      <c r="I269" s="9">
        <f t="shared" si="20"/>
        <v>53.7397812</v>
      </c>
      <c r="J269" s="9">
        <f t="shared" si="21"/>
        <v>57.16998</v>
      </c>
      <c r="K269" s="9">
        <f t="shared" si="22"/>
        <v>62.886978</v>
      </c>
      <c r="L269" s="9">
        <f t="shared" si="23"/>
        <v>80.037972</v>
      </c>
      <c r="M269" s="9">
        <f t="shared" si="24"/>
        <v>97.188966</v>
      </c>
    </row>
    <row r="270" ht="27" spans="2:13">
      <c r="B270" t="s">
        <v>551</v>
      </c>
      <c r="C270" s="4" t="s">
        <v>552</v>
      </c>
      <c r="D270" s="4" t="s">
        <v>552</v>
      </c>
      <c r="E270" s="4" t="s">
        <v>552</v>
      </c>
      <c r="F270" s="4" t="s">
        <v>552</v>
      </c>
      <c r="G270" s="5">
        <v>112.3632</v>
      </c>
      <c r="H270" s="9"/>
      <c r="I270" s="9">
        <f t="shared" si="20"/>
        <v>52.810704</v>
      </c>
      <c r="J270" s="9">
        <f t="shared" si="21"/>
        <v>56.1816</v>
      </c>
      <c r="K270" s="9">
        <f t="shared" si="22"/>
        <v>61.79976</v>
      </c>
      <c r="L270" s="9">
        <f t="shared" si="23"/>
        <v>78.65424</v>
      </c>
      <c r="M270" s="9">
        <f t="shared" si="24"/>
        <v>95.50872</v>
      </c>
    </row>
    <row r="271" ht="27" spans="2:13">
      <c r="B271" t="s">
        <v>553</v>
      </c>
      <c r="C271" s="4" t="s">
        <v>554</v>
      </c>
      <c r="D271" s="4" t="s">
        <v>554</v>
      </c>
      <c r="E271" s="4" t="s">
        <v>554</v>
      </c>
      <c r="F271" s="4" t="s">
        <v>554</v>
      </c>
      <c r="G271" s="5">
        <v>109.65816</v>
      </c>
      <c r="H271" s="9"/>
      <c r="I271" s="9">
        <f t="shared" si="20"/>
        <v>51.5393352</v>
      </c>
      <c r="J271" s="9">
        <f t="shared" si="21"/>
        <v>54.82908</v>
      </c>
      <c r="K271" s="9">
        <f t="shared" si="22"/>
        <v>60.311988</v>
      </c>
      <c r="L271" s="9">
        <f t="shared" si="23"/>
        <v>76.760712</v>
      </c>
      <c r="M271" s="9">
        <f t="shared" si="24"/>
        <v>93.209436</v>
      </c>
    </row>
    <row r="272" spans="2:13">
      <c r="B272" t="s">
        <v>555</v>
      </c>
      <c r="C272" s="4" t="s">
        <v>556</v>
      </c>
      <c r="D272" s="4" t="s">
        <v>556</v>
      </c>
      <c r="E272" s="4" t="s">
        <v>556</v>
      </c>
      <c r="F272" s="4" t="s">
        <v>556</v>
      </c>
      <c r="G272" s="5">
        <v>179.9892</v>
      </c>
      <c r="H272" s="9"/>
      <c r="I272" s="9">
        <f t="shared" si="20"/>
        <v>84.594924</v>
      </c>
      <c r="J272" s="9">
        <f t="shared" si="21"/>
        <v>89.9946</v>
      </c>
      <c r="K272" s="9">
        <f t="shared" si="22"/>
        <v>98.99406</v>
      </c>
      <c r="L272" s="9">
        <f t="shared" si="23"/>
        <v>125.99244</v>
      </c>
      <c r="M272" s="9">
        <f t="shared" si="24"/>
        <v>152.99082</v>
      </c>
    </row>
    <row r="273" ht="40.5" spans="2:13">
      <c r="B273" t="s">
        <v>557</v>
      </c>
      <c r="C273" s="4" t="s">
        <v>558</v>
      </c>
      <c r="D273" s="4" t="s">
        <v>558</v>
      </c>
      <c r="E273" s="4" t="s">
        <v>558</v>
      </c>
      <c r="F273" s="4" t="s">
        <v>558</v>
      </c>
      <c r="G273" s="5">
        <v>184.87908</v>
      </c>
      <c r="H273" s="9"/>
      <c r="I273" s="9">
        <f t="shared" si="20"/>
        <v>86.8931676</v>
      </c>
      <c r="J273" s="9">
        <f t="shared" si="21"/>
        <v>92.43954</v>
      </c>
      <c r="K273" s="9">
        <f t="shared" si="22"/>
        <v>101.683494</v>
      </c>
      <c r="L273" s="9">
        <f t="shared" si="23"/>
        <v>129.415356</v>
      </c>
      <c r="M273" s="9">
        <f t="shared" si="24"/>
        <v>157.147218</v>
      </c>
    </row>
    <row r="274" ht="27" spans="2:13">
      <c r="B274" t="s">
        <v>559</v>
      </c>
      <c r="C274" s="4" t="s">
        <v>560</v>
      </c>
      <c r="D274" s="4" t="s">
        <v>560</v>
      </c>
      <c r="E274" s="4" t="s">
        <v>560</v>
      </c>
      <c r="F274" s="4" t="s">
        <v>560</v>
      </c>
      <c r="G274" s="5">
        <v>199.34064</v>
      </c>
      <c r="H274" s="9"/>
      <c r="I274" s="9">
        <f t="shared" si="20"/>
        <v>93.6901008</v>
      </c>
      <c r="J274" s="9">
        <f t="shared" si="21"/>
        <v>99.67032</v>
      </c>
      <c r="K274" s="9">
        <f t="shared" si="22"/>
        <v>109.637352</v>
      </c>
      <c r="L274" s="9">
        <f t="shared" si="23"/>
        <v>139.538448</v>
      </c>
      <c r="M274" s="9">
        <f t="shared" si="24"/>
        <v>169.439544</v>
      </c>
    </row>
    <row r="275" ht="27" spans="2:13">
      <c r="B275" t="s">
        <v>561</v>
      </c>
      <c r="C275" s="4" t="s">
        <v>562</v>
      </c>
      <c r="D275" s="4" t="s">
        <v>562</v>
      </c>
      <c r="E275" s="4" t="s">
        <v>562</v>
      </c>
      <c r="F275" s="4" t="s">
        <v>562</v>
      </c>
      <c r="G275" s="5">
        <v>271.33632</v>
      </c>
      <c r="H275" s="9"/>
      <c r="I275" s="9">
        <f t="shared" si="20"/>
        <v>127.5280704</v>
      </c>
      <c r="J275" s="9">
        <f t="shared" si="21"/>
        <v>135.66816</v>
      </c>
      <c r="K275" s="9">
        <f t="shared" si="22"/>
        <v>149.234976</v>
      </c>
      <c r="L275" s="9">
        <f t="shared" si="23"/>
        <v>189.935424</v>
      </c>
      <c r="M275" s="9">
        <f t="shared" si="24"/>
        <v>230.635872</v>
      </c>
    </row>
    <row r="276" ht="27" spans="2:13">
      <c r="B276" t="s">
        <v>563</v>
      </c>
      <c r="C276" s="4" t="s">
        <v>564</v>
      </c>
      <c r="D276" s="4" t="s">
        <v>564</v>
      </c>
      <c r="E276" s="4" t="s">
        <v>564</v>
      </c>
      <c r="F276" s="4" t="s">
        <v>564</v>
      </c>
      <c r="G276" s="5">
        <v>328.45428</v>
      </c>
      <c r="H276" s="9"/>
      <c r="I276" s="9">
        <f t="shared" si="20"/>
        <v>154.3735116</v>
      </c>
      <c r="J276" s="9">
        <f t="shared" si="21"/>
        <v>164.22714</v>
      </c>
      <c r="K276" s="9">
        <f t="shared" si="22"/>
        <v>180.649854</v>
      </c>
      <c r="L276" s="9">
        <f t="shared" si="23"/>
        <v>229.917996</v>
      </c>
      <c r="M276" s="9">
        <f t="shared" si="24"/>
        <v>279.186138</v>
      </c>
    </row>
    <row r="277" ht="27" spans="2:13">
      <c r="B277" t="s">
        <v>565</v>
      </c>
      <c r="C277" s="4" t="s">
        <v>566</v>
      </c>
      <c r="D277" s="4" t="s">
        <v>566</v>
      </c>
      <c r="E277" s="4" t="s">
        <v>566</v>
      </c>
      <c r="F277" s="4" t="s">
        <v>566</v>
      </c>
      <c r="G277" s="5">
        <v>445.39524</v>
      </c>
      <c r="H277" s="9"/>
      <c r="I277" s="9">
        <f t="shared" si="20"/>
        <v>209.3357628</v>
      </c>
      <c r="J277" s="9">
        <f t="shared" si="21"/>
        <v>222.69762</v>
      </c>
      <c r="K277" s="9">
        <f t="shared" si="22"/>
        <v>244.967382</v>
      </c>
      <c r="L277" s="9">
        <f t="shared" si="23"/>
        <v>311.776668</v>
      </c>
      <c r="M277" s="9">
        <f t="shared" si="24"/>
        <v>378.585954</v>
      </c>
    </row>
    <row r="278" spans="2:13">
      <c r="B278" t="s">
        <v>567</v>
      </c>
      <c r="C278" s="4" t="s">
        <v>568</v>
      </c>
      <c r="D278" s="4" t="s">
        <v>568</v>
      </c>
      <c r="E278" s="4" t="s">
        <v>568</v>
      </c>
      <c r="F278" s="4" t="s">
        <v>568</v>
      </c>
      <c r="G278" s="5">
        <v>81.56736</v>
      </c>
      <c r="H278" s="9"/>
      <c r="I278" s="9">
        <f t="shared" si="20"/>
        <v>38.3366592</v>
      </c>
      <c r="J278" s="9">
        <f t="shared" si="21"/>
        <v>40.78368</v>
      </c>
      <c r="K278" s="9">
        <f t="shared" si="22"/>
        <v>44.862048</v>
      </c>
      <c r="L278" s="9">
        <f t="shared" si="23"/>
        <v>57.097152</v>
      </c>
      <c r="M278" s="9">
        <f t="shared" si="24"/>
        <v>69.332256</v>
      </c>
    </row>
    <row r="279" ht="27" spans="2:13">
      <c r="B279" t="s">
        <v>569</v>
      </c>
      <c r="C279" s="4" t="s">
        <v>570</v>
      </c>
      <c r="D279" s="4" t="s">
        <v>570</v>
      </c>
      <c r="E279" s="4" t="s">
        <v>570</v>
      </c>
      <c r="F279" s="4" t="s">
        <v>570</v>
      </c>
      <c r="G279" s="5">
        <v>77.61384</v>
      </c>
      <c r="H279" s="9"/>
      <c r="I279" s="9">
        <f t="shared" si="20"/>
        <v>36.4785048</v>
      </c>
      <c r="J279" s="9">
        <f t="shared" si="21"/>
        <v>38.80692</v>
      </c>
      <c r="K279" s="9">
        <f t="shared" si="22"/>
        <v>42.687612</v>
      </c>
      <c r="L279" s="9">
        <f t="shared" si="23"/>
        <v>54.329688</v>
      </c>
      <c r="M279" s="9">
        <f t="shared" si="24"/>
        <v>65.971764</v>
      </c>
    </row>
    <row r="280" ht="27" spans="2:13">
      <c r="B280" t="s">
        <v>571</v>
      </c>
      <c r="C280" s="4" t="s">
        <v>572</v>
      </c>
      <c r="D280" s="4" t="s">
        <v>572</v>
      </c>
      <c r="E280" s="4" t="s">
        <v>572</v>
      </c>
      <c r="F280" s="4" t="s">
        <v>572</v>
      </c>
      <c r="G280" s="5">
        <v>107.78544</v>
      </c>
      <c r="H280" s="9"/>
      <c r="I280" s="9">
        <f t="shared" si="20"/>
        <v>50.6591568</v>
      </c>
      <c r="J280" s="9">
        <f t="shared" si="21"/>
        <v>53.89272</v>
      </c>
      <c r="K280" s="9">
        <f t="shared" si="22"/>
        <v>59.281992</v>
      </c>
      <c r="L280" s="9">
        <f t="shared" si="23"/>
        <v>75.449808</v>
      </c>
      <c r="M280" s="9">
        <f t="shared" si="24"/>
        <v>91.617624</v>
      </c>
    </row>
    <row r="281" spans="2:13">
      <c r="B281" t="s">
        <v>573</v>
      </c>
      <c r="C281" s="4" t="s">
        <v>574</v>
      </c>
      <c r="D281" s="4" t="s">
        <v>574</v>
      </c>
      <c r="E281" s="4" t="s">
        <v>574</v>
      </c>
      <c r="F281" s="4" t="s">
        <v>574</v>
      </c>
      <c r="G281" s="5">
        <v>89.37036</v>
      </c>
      <c r="H281" s="9"/>
      <c r="I281" s="9">
        <f t="shared" si="20"/>
        <v>42.0040692</v>
      </c>
      <c r="J281" s="9">
        <f t="shared" si="21"/>
        <v>44.68518</v>
      </c>
      <c r="K281" s="9">
        <f t="shared" si="22"/>
        <v>49.153698</v>
      </c>
      <c r="L281" s="9">
        <f t="shared" si="23"/>
        <v>62.559252</v>
      </c>
      <c r="M281" s="9">
        <f t="shared" si="24"/>
        <v>75.964806</v>
      </c>
    </row>
    <row r="282" ht="27" spans="2:13">
      <c r="B282" t="s">
        <v>575</v>
      </c>
      <c r="C282" s="4" t="s">
        <v>576</v>
      </c>
      <c r="D282" s="4" t="s">
        <v>576</v>
      </c>
      <c r="E282" s="4" t="s">
        <v>576</v>
      </c>
      <c r="F282" s="4" t="s">
        <v>576</v>
      </c>
      <c r="G282" s="5">
        <v>82.7118</v>
      </c>
      <c r="H282" s="9"/>
      <c r="I282" s="9">
        <f t="shared" si="20"/>
        <v>38.874546</v>
      </c>
      <c r="J282" s="9">
        <f t="shared" si="21"/>
        <v>41.3559</v>
      </c>
      <c r="K282" s="9">
        <f t="shared" si="22"/>
        <v>45.49149</v>
      </c>
      <c r="L282" s="9">
        <f t="shared" si="23"/>
        <v>57.89826</v>
      </c>
      <c r="M282" s="9">
        <f t="shared" si="24"/>
        <v>70.30503</v>
      </c>
    </row>
    <row r="283" ht="27" spans="2:13">
      <c r="B283" t="s">
        <v>577</v>
      </c>
      <c r="C283" s="4" t="s">
        <v>578</v>
      </c>
      <c r="D283" s="4" t="s">
        <v>578</v>
      </c>
      <c r="E283" s="4" t="s">
        <v>578</v>
      </c>
      <c r="F283" s="4" t="s">
        <v>578</v>
      </c>
      <c r="G283" s="5">
        <v>81.56736</v>
      </c>
      <c r="H283" s="9"/>
      <c r="I283" s="9">
        <f t="shared" si="20"/>
        <v>38.3366592</v>
      </c>
      <c r="J283" s="9">
        <f t="shared" si="21"/>
        <v>40.78368</v>
      </c>
      <c r="K283" s="9">
        <f t="shared" si="22"/>
        <v>44.862048</v>
      </c>
      <c r="L283" s="9">
        <f t="shared" si="23"/>
        <v>57.097152</v>
      </c>
      <c r="M283" s="9">
        <f t="shared" si="24"/>
        <v>69.332256</v>
      </c>
    </row>
    <row r="284" spans="2:13">
      <c r="B284" t="s">
        <v>579</v>
      </c>
      <c r="C284" s="4" t="s">
        <v>580</v>
      </c>
      <c r="D284" s="4" t="s">
        <v>580</v>
      </c>
      <c r="E284" s="4" t="s">
        <v>580</v>
      </c>
      <c r="F284" s="4" t="s">
        <v>580</v>
      </c>
      <c r="G284" s="5">
        <v>93.74004</v>
      </c>
      <c r="H284" s="9"/>
      <c r="I284" s="9">
        <f t="shared" si="20"/>
        <v>44.0578188</v>
      </c>
      <c r="J284" s="9">
        <f t="shared" si="21"/>
        <v>46.87002</v>
      </c>
      <c r="K284" s="9">
        <f t="shared" si="22"/>
        <v>51.557022</v>
      </c>
      <c r="L284" s="9">
        <f t="shared" si="23"/>
        <v>65.618028</v>
      </c>
      <c r="M284" s="9">
        <f t="shared" si="24"/>
        <v>79.679034</v>
      </c>
    </row>
    <row r="285" ht="27" spans="2:13">
      <c r="B285" t="s">
        <v>581</v>
      </c>
      <c r="C285" s="4" t="s">
        <v>582</v>
      </c>
      <c r="D285" s="4" t="s">
        <v>582</v>
      </c>
      <c r="E285" s="4" t="s">
        <v>582</v>
      </c>
      <c r="F285" s="4" t="s">
        <v>582</v>
      </c>
      <c r="G285" s="5">
        <v>88.12188</v>
      </c>
      <c r="H285" s="9"/>
      <c r="I285" s="9">
        <f t="shared" si="20"/>
        <v>41.4172836</v>
      </c>
      <c r="J285" s="9">
        <f t="shared" si="21"/>
        <v>44.06094</v>
      </c>
      <c r="K285" s="9">
        <f t="shared" si="22"/>
        <v>48.467034</v>
      </c>
      <c r="L285" s="9">
        <f t="shared" si="23"/>
        <v>61.685316</v>
      </c>
      <c r="M285" s="9">
        <f t="shared" si="24"/>
        <v>74.903598</v>
      </c>
    </row>
    <row r="286" ht="27" spans="2:13">
      <c r="B286" t="s">
        <v>583</v>
      </c>
      <c r="C286" s="4" t="s">
        <v>584</v>
      </c>
      <c r="D286" s="4" t="s">
        <v>584</v>
      </c>
      <c r="E286" s="4" t="s">
        <v>584</v>
      </c>
      <c r="F286" s="4" t="s">
        <v>584</v>
      </c>
      <c r="G286" s="5">
        <v>118.39752</v>
      </c>
      <c r="H286" s="9"/>
      <c r="I286" s="9">
        <f t="shared" si="20"/>
        <v>55.6468344</v>
      </c>
      <c r="J286" s="9">
        <f t="shared" si="21"/>
        <v>59.19876</v>
      </c>
      <c r="K286" s="9">
        <f t="shared" si="22"/>
        <v>65.118636</v>
      </c>
      <c r="L286" s="9">
        <f t="shared" si="23"/>
        <v>82.878264</v>
      </c>
      <c r="M286" s="9">
        <f t="shared" si="24"/>
        <v>100.637892</v>
      </c>
    </row>
    <row r="287" spans="2:13">
      <c r="B287" t="s">
        <v>585</v>
      </c>
      <c r="C287" s="4" t="s">
        <v>586</v>
      </c>
      <c r="D287" s="4" t="s">
        <v>586</v>
      </c>
      <c r="E287" s="4" t="s">
        <v>586</v>
      </c>
      <c r="F287" s="4" t="s">
        <v>586</v>
      </c>
      <c r="G287" s="5">
        <v>100.3986</v>
      </c>
      <c r="H287" s="9"/>
      <c r="I287" s="9">
        <f t="shared" si="20"/>
        <v>47.187342</v>
      </c>
      <c r="J287" s="9">
        <f t="shared" si="21"/>
        <v>50.1993</v>
      </c>
      <c r="K287" s="9">
        <f t="shared" si="22"/>
        <v>55.21923</v>
      </c>
      <c r="L287" s="9">
        <f t="shared" si="23"/>
        <v>70.27902</v>
      </c>
      <c r="M287" s="9">
        <f t="shared" si="24"/>
        <v>85.33881</v>
      </c>
    </row>
    <row r="288" ht="27" spans="2:13">
      <c r="B288" t="s">
        <v>587</v>
      </c>
      <c r="C288" s="4" t="s">
        <v>582</v>
      </c>
      <c r="D288" s="4" t="s">
        <v>582</v>
      </c>
      <c r="E288" s="4" t="s">
        <v>582</v>
      </c>
      <c r="F288" s="4" t="s">
        <v>582</v>
      </c>
      <c r="G288" s="5">
        <v>93.636</v>
      </c>
      <c r="H288" s="9"/>
      <c r="I288" s="9">
        <f t="shared" si="20"/>
        <v>44.00892</v>
      </c>
      <c r="J288" s="9">
        <f t="shared" si="21"/>
        <v>46.818</v>
      </c>
      <c r="K288" s="9">
        <f t="shared" si="22"/>
        <v>51.4998</v>
      </c>
      <c r="L288" s="9">
        <f t="shared" si="23"/>
        <v>65.5452</v>
      </c>
      <c r="M288" s="9">
        <f t="shared" si="24"/>
        <v>79.5906</v>
      </c>
    </row>
    <row r="289" ht="27" spans="2:13">
      <c r="B289" t="s">
        <v>588</v>
      </c>
      <c r="C289" s="4" t="s">
        <v>589</v>
      </c>
      <c r="D289" s="4" t="s">
        <v>589</v>
      </c>
      <c r="E289" s="4" t="s">
        <v>589</v>
      </c>
      <c r="F289" s="4" t="s">
        <v>589</v>
      </c>
      <c r="G289" s="5">
        <v>121.31064</v>
      </c>
      <c r="H289" s="9"/>
      <c r="I289" s="9">
        <f t="shared" si="20"/>
        <v>57.0160008</v>
      </c>
      <c r="J289" s="9">
        <f t="shared" si="21"/>
        <v>60.65532</v>
      </c>
      <c r="K289" s="9">
        <f t="shared" si="22"/>
        <v>66.720852</v>
      </c>
      <c r="L289" s="9">
        <f t="shared" si="23"/>
        <v>84.917448</v>
      </c>
      <c r="M289" s="9">
        <f t="shared" si="24"/>
        <v>103.114044</v>
      </c>
    </row>
    <row r="290" ht="27" spans="2:13">
      <c r="B290" t="s">
        <v>590</v>
      </c>
      <c r="C290" s="4" t="s">
        <v>591</v>
      </c>
      <c r="D290" s="4" t="s">
        <v>591</v>
      </c>
      <c r="E290" s="4" t="s">
        <v>591</v>
      </c>
      <c r="F290" s="4" t="s">
        <v>591</v>
      </c>
      <c r="G290" s="5">
        <v>114.54804</v>
      </c>
      <c r="H290" s="9"/>
      <c r="I290" s="9">
        <f t="shared" si="20"/>
        <v>53.8375788</v>
      </c>
      <c r="J290" s="9">
        <f t="shared" si="21"/>
        <v>57.27402</v>
      </c>
      <c r="K290" s="9">
        <f t="shared" si="22"/>
        <v>63.001422</v>
      </c>
      <c r="L290" s="9">
        <f t="shared" si="23"/>
        <v>80.183628</v>
      </c>
      <c r="M290" s="9">
        <f t="shared" si="24"/>
        <v>97.365834</v>
      </c>
    </row>
    <row r="291" spans="2:13">
      <c r="B291" t="s">
        <v>592</v>
      </c>
      <c r="C291" s="4" t="s">
        <v>593</v>
      </c>
      <c r="D291" s="4" t="s">
        <v>593</v>
      </c>
      <c r="E291" s="4" t="s">
        <v>593</v>
      </c>
      <c r="F291" s="4" t="s">
        <v>593</v>
      </c>
      <c r="G291" s="5">
        <v>183.1104</v>
      </c>
      <c r="H291" s="9"/>
      <c r="I291" s="9">
        <f t="shared" si="20"/>
        <v>86.061888</v>
      </c>
      <c r="J291" s="9">
        <f t="shared" si="21"/>
        <v>91.5552</v>
      </c>
      <c r="K291" s="9">
        <f t="shared" si="22"/>
        <v>100.71072</v>
      </c>
      <c r="L291" s="9">
        <f t="shared" si="23"/>
        <v>128.17728</v>
      </c>
      <c r="M291" s="9">
        <f t="shared" si="24"/>
        <v>155.64384</v>
      </c>
    </row>
    <row r="292" ht="27" spans="2:13">
      <c r="B292" t="s">
        <v>594</v>
      </c>
      <c r="C292" s="4" t="s">
        <v>595</v>
      </c>
      <c r="D292" s="4" t="s">
        <v>595</v>
      </c>
      <c r="E292" s="4" t="s">
        <v>595</v>
      </c>
      <c r="F292" s="4" t="s">
        <v>595</v>
      </c>
      <c r="G292" s="5">
        <v>179.15688</v>
      </c>
      <c r="H292" s="9"/>
      <c r="I292" s="9">
        <f t="shared" si="20"/>
        <v>84.2037336</v>
      </c>
      <c r="J292" s="9">
        <f t="shared" si="21"/>
        <v>89.57844</v>
      </c>
      <c r="K292" s="9">
        <f t="shared" si="22"/>
        <v>98.536284</v>
      </c>
      <c r="L292" s="9">
        <f t="shared" si="23"/>
        <v>125.409816</v>
      </c>
      <c r="M292" s="9">
        <f t="shared" si="24"/>
        <v>152.283348</v>
      </c>
    </row>
    <row r="293" ht="27" spans="2:13">
      <c r="B293" t="s">
        <v>596</v>
      </c>
      <c r="C293" s="4" t="s">
        <v>597</v>
      </c>
      <c r="D293" s="4" t="s">
        <v>597</v>
      </c>
      <c r="E293" s="4" t="s">
        <v>597</v>
      </c>
      <c r="F293" s="4" t="s">
        <v>597</v>
      </c>
      <c r="G293" s="5">
        <v>208.08</v>
      </c>
      <c r="H293" s="9"/>
      <c r="I293" s="9">
        <f t="shared" si="20"/>
        <v>97.7976</v>
      </c>
      <c r="J293" s="9">
        <f t="shared" si="21"/>
        <v>104.04</v>
      </c>
      <c r="K293" s="9">
        <f t="shared" si="22"/>
        <v>114.444</v>
      </c>
      <c r="L293" s="9">
        <f t="shared" si="23"/>
        <v>145.656</v>
      </c>
      <c r="M293" s="9">
        <f t="shared" si="24"/>
        <v>176.868</v>
      </c>
    </row>
    <row r="294" ht="27" spans="2:13">
      <c r="B294" t="s">
        <v>598</v>
      </c>
      <c r="C294" s="4" t="s">
        <v>599</v>
      </c>
      <c r="D294" s="4" t="s">
        <v>599</v>
      </c>
      <c r="E294" s="4" t="s">
        <v>599</v>
      </c>
      <c r="F294" s="4" t="s">
        <v>599</v>
      </c>
      <c r="G294" s="5">
        <v>208.08</v>
      </c>
      <c r="H294" s="9"/>
      <c r="I294" s="9">
        <f t="shared" si="20"/>
        <v>97.7976</v>
      </c>
      <c r="J294" s="9">
        <f t="shared" si="21"/>
        <v>104.04</v>
      </c>
      <c r="K294" s="9">
        <f t="shared" si="22"/>
        <v>114.444</v>
      </c>
      <c r="L294" s="9">
        <f t="shared" si="23"/>
        <v>145.656</v>
      </c>
      <c r="M294" s="9">
        <f t="shared" si="24"/>
        <v>176.868</v>
      </c>
    </row>
    <row r="295" ht="27" spans="2:13">
      <c r="B295" t="s">
        <v>600</v>
      </c>
      <c r="C295" s="4" t="s">
        <v>601</v>
      </c>
      <c r="D295" s="4" t="s">
        <v>601</v>
      </c>
      <c r="E295" s="4" t="s">
        <v>601</v>
      </c>
      <c r="F295" s="4" t="s">
        <v>601</v>
      </c>
      <c r="G295" s="5">
        <v>196.6356</v>
      </c>
      <c r="H295" s="9"/>
      <c r="I295" s="9">
        <f t="shared" si="20"/>
        <v>92.418732</v>
      </c>
      <c r="J295" s="9">
        <f t="shared" si="21"/>
        <v>98.3178</v>
      </c>
      <c r="K295" s="9">
        <f t="shared" si="22"/>
        <v>108.14958</v>
      </c>
      <c r="L295" s="9">
        <f t="shared" si="23"/>
        <v>137.64492</v>
      </c>
      <c r="M295" s="9">
        <f t="shared" si="24"/>
        <v>167.14026</v>
      </c>
    </row>
    <row r="296" ht="27" spans="2:13">
      <c r="B296" t="s">
        <v>602</v>
      </c>
      <c r="C296" s="4" t="s">
        <v>603</v>
      </c>
      <c r="D296" s="4" t="s">
        <v>603</v>
      </c>
      <c r="E296" s="4" t="s">
        <v>603</v>
      </c>
      <c r="F296" s="4" t="s">
        <v>603</v>
      </c>
      <c r="G296" s="5">
        <v>192.36996</v>
      </c>
      <c r="H296" s="9"/>
      <c r="I296" s="9">
        <f t="shared" si="20"/>
        <v>90.4138812</v>
      </c>
      <c r="J296" s="9">
        <f t="shared" si="21"/>
        <v>96.18498</v>
      </c>
      <c r="K296" s="9">
        <f t="shared" si="22"/>
        <v>105.803478</v>
      </c>
      <c r="L296" s="9">
        <f t="shared" si="23"/>
        <v>134.658972</v>
      </c>
      <c r="M296" s="9">
        <f t="shared" si="24"/>
        <v>163.514466</v>
      </c>
    </row>
    <row r="297" ht="27" spans="2:13">
      <c r="B297" t="s">
        <v>604</v>
      </c>
      <c r="C297" s="4" t="s">
        <v>605</v>
      </c>
      <c r="D297" s="4" t="s">
        <v>605</v>
      </c>
      <c r="E297" s="4" t="s">
        <v>605</v>
      </c>
      <c r="F297" s="4" t="s">
        <v>605</v>
      </c>
      <c r="G297" s="5">
        <v>213.49008</v>
      </c>
      <c r="H297" s="9"/>
      <c r="I297" s="9">
        <f t="shared" si="20"/>
        <v>100.3403376</v>
      </c>
      <c r="J297" s="9">
        <f t="shared" si="21"/>
        <v>106.74504</v>
      </c>
      <c r="K297" s="9">
        <f t="shared" si="22"/>
        <v>117.419544</v>
      </c>
      <c r="L297" s="9">
        <f t="shared" si="23"/>
        <v>149.443056</v>
      </c>
      <c r="M297" s="9">
        <f t="shared" si="24"/>
        <v>181.466568</v>
      </c>
    </row>
    <row r="298" ht="40.5" spans="2:13">
      <c r="B298" t="s">
        <v>606</v>
      </c>
      <c r="C298" s="4" t="s">
        <v>607</v>
      </c>
      <c r="D298" s="4" t="s">
        <v>607</v>
      </c>
      <c r="E298" s="4" t="s">
        <v>607</v>
      </c>
      <c r="F298" s="4" t="s">
        <v>607</v>
      </c>
      <c r="G298" s="5">
        <v>209.1204</v>
      </c>
      <c r="H298" s="9"/>
      <c r="I298" s="9">
        <f t="shared" si="20"/>
        <v>98.286588</v>
      </c>
      <c r="J298" s="9">
        <f t="shared" si="21"/>
        <v>104.5602</v>
      </c>
      <c r="K298" s="9">
        <f t="shared" si="22"/>
        <v>115.01622</v>
      </c>
      <c r="L298" s="9">
        <f t="shared" si="23"/>
        <v>146.38428</v>
      </c>
      <c r="M298" s="9">
        <f t="shared" si="24"/>
        <v>177.75234</v>
      </c>
    </row>
    <row r="299" ht="27" spans="2:13">
      <c r="B299" s="13" t="s">
        <v>608</v>
      </c>
      <c r="C299" s="4" t="s">
        <v>609</v>
      </c>
      <c r="D299" s="4" t="s">
        <v>609</v>
      </c>
      <c r="E299" s="4" t="s">
        <v>609</v>
      </c>
      <c r="F299" s="4" t="s">
        <v>609</v>
      </c>
      <c r="G299" s="5">
        <v>90.41076</v>
      </c>
      <c r="H299" s="9"/>
      <c r="I299" s="9">
        <f t="shared" si="20"/>
        <v>42.4930572</v>
      </c>
      <c r="J299" s="9">
        <f t="shared" si="21"/>
        <v>45.20538</v>
      </c>
      <c r="K299" s="9">
        <f t="shared" si="22"/>
        <v>49.725918</v>
      </c>
      <c r="L299" s="9">
        <f t="shared" si="23"/>
        <v>63.287532</v>
      </c>
      <c r="M299" s="9">
        <f t="shared" si="24"/>
        <v>76.849146</v>
      </c>
    </row>
    <row r="300" ht="27" spans="2:13">
      <c r="B300" s="13" t="s">
        <v>610</v>
      </c>
      <c r="C300" s="4" t="s">
        <v>611</v>
      </c>
      <c r="D300" s="4" t="s">
        <v>611</v>
      </c>
      <c r="E300" s="4" t="s">
        <v>611</v>
      </c>
      <c r="F300" s="4" t="s">
        <v>611</v>
      </c>
      <c r="G300" s="5">
        <v>98.21376</v>
      </c>
      <c r="H300" s="9"/>
      <c r="I300" s="9">
        <f t="shared" si="20"/>
        <v>46.1604672</v>
      </c>
      <c r="J300" s="9">
        <f t="shared" si="21"/>
        <v>49.10688</v>
      </c>
      <c r="K300" s="9">
        <f t="shared" si="22"/>
        <v>54.017568</v>
      </c>
      <c r="L300" s="9">
        <f t="shared" si="23"/>
        <v>68.749632</v>
      </c>
      <c r="M300" s="9">
        <f t="shared" si="24"/>
        <v>83.481696</v>
      </c>
    </row>
    <row r="301" ht="27" spans="2:13">
      <c r="B301" s="13" t="s">
        <v>612</v>
      </c>
      <c r="C301" s="4" t="s">
        <v>613</v>
      </c>
      <c r="D301" s="4" t="s">
        <v>613</v>
      </c>
      <c r="E301" s="4" t="s">
        <v>613</v>
      </c>
      <c r="F301" s="4" t="s">
        <v>613</v>
      </c>
      <c r="G301" s="5">
        <v>90.41076</v>
      </c>
      <c r="H301" s="9"/>
      <c r="I301" s="9">
        <f t="shared" si="20"/>
        <v>42.4930572</v>
      </c>
      <c r="J301" s="9">
        <f t="shared" si="21"/>
        <v>45.20538</v>
      </c>
      <c r="K301" s="9">
        <f t="shared" si="22"/>
        <v>49.725918</v>
      </c>
      <c r="L301" s="9">
        <f t="shared" si="23"/>
        <v>63.287532</v>
      </c>
      <c r="M301" s="9">
        <f t="shared" si="24"/>
        <v>76.849146</v>
      </c>
    </row>
    <row r="302" spans="2:13">
      <c r="B302" t="s">
        <v>614</v>
      </c>
      <c r="C302" s="4" t="s">
        <v>615</v>
      </c>
      <c r="D302" s="4" t="s">
        <v>615</v>
      </c>
      <c r="E302" s="4" t="s">
        <v>615</v>
      </c>
      <c r="F302" s="4" t="s">
        <v>615</v>
      </c>
      <c r="G302" s="5">
        <v>102.58344</v>
      </c>
      <c r="H302" s="9"/>
      <c r="I302" s="9">
        <f t="shared" si="20"/>
        <v>48.2142168</v>
      </c>
      <c r="J302" s="9">
        <f t="shared" si="21"/>
        <v>51.29172</v>
      </c>
      <c r="K302" s="9">
        <f t="shared" si="22"/>
        <v>56.420892</v>
      </c>
      <c r="L302" s="9">
        <f t="shared" si="23"/>
        <v>71.808408</v>
      </c>
      <c r="M302" s="9">
        <f t="shared" si="24"/>
        <v>87.195924</v>
      </c>
    </row>
    <row r="303" ht="27" spans="2:13">
      <c r="B303" t="s">
        <v>616</v>
      </c>
      <c r="C303" s="4" t="s">
        <v>617</v>
      </c>
      <c r="D303" s="4" t="s">
        <v>617</v>
      </c>
      <c r="E303" s="4" t="s">
        <v>617</v>
      </c>
      <c r="F303" s="4" t="s">
        <v>617</v>
      </c>
      <c r="G303" s="5">
        <v>113.61168</v>
      </c>
      <c r="H303" s="9"/>
      <c r="I303" s="9">
        <f t="shared" si="20"/>
        <v>53.3974896</v>
      </c>
      <c r="J303" s="9">
        <f t="shared" si="21"/>
        <v>56.80584</v>
      </c>
      <c r="K303" s="9">
        <f t="shared" si="22"/>
        <v>62.486424</v>
      </c>
      <c r="L303" s="9">
        <f t="shared" si="23"/>
        <v>79.528176</v>
      </c>
      <c r="M303" s="9">
        <f t="shared" si="24"/>
        <v>96.569928</v>
      </c>
    </row>
    <row r="304" ht="27" spans="2:13">
      <c r="B304" t="s">
        <v>618</v>
      </c>
      <c r="C304" s="4" t="s">
        <v>619</v>
      </c>
      <c r="D304" s="4" t="s">
        <v>619</v>
      </c>
      <c r="E304" s="4" t="s">
        <v>619</v>
      </c>
      <c r="F304" s="4" t="s">
        <v>619</v>
      </c>
      <c r="G304" s="5">
        <v>127.9692</v>
      </c>
      <c r="H304" s="9"/>
      <c r="I304" s="9">
        <f t="shared" si="20"/>
        <v>60.145524</v>
      </c>
      <c r="J304" s="9">
        <f t="shared" si="21"/>
        <v>63.9846</v>
      </c>
      <c r="K304" s="9">
        <f t="shared" si="22"/>
        <v>70.38306</v>
      </c>
      <c r="L304" s="9">
        <f t="shared" si="23"/>
        <v>89.57844</v>
      </c>
      <c r="M304" s="9">
        <f t="shared" si="24"/>
        <v>108.77382</v>
      </c>
    </row>
    <row r="305" ht="27" spans="2:13">
      <c r="B305" t="s">
        <v>620</v>
      </c>
      <c r="C305" s="4" t="s">
        <v>621</v>
      </c>
      <c r="D305" s="4" t="s">
        <v>621</v>
      </c>
      <c r="E305" s="4" t="s">
        <v>621</v>
      </c>
      <c r="F305" s="4" t="s">
        <v>621</v>
      </c>
      <c r="G305" s="5">
        <v>570.76344</v>
      </c>
      <c r="H305" s="9"/>
      <c r="I305" s="9">
        <f t="shared" si="20"/>
        <v>268.2588168</v>
      </c>
      <c r="J305" s="9">
        <f t="shared" si="21"/>
        <v>285.38172</v>
      </c>
      <c r="K305" s="9">
        <f t="shared" si="22"/>
        <v>313.919892</v>
      </c>
      <c r="L305" s="9">
        <f t="shared" si="23"/>
        <v>399.534408</v>
      </c>
      <c r="M305" s="9">
        <f t="shared" si="24"/>
        <v>485.148924</v>
      </c>
    </row>
    <row r="306" spans="2:13">
      <c r="B306" t="s">
        <v>622</v>
      </c>
      <c r="C306" s="4" t="s">
        <v>623</v>
      </c>
      <c r="D306" s="4" t="s">
        <v>623</v>
      </c>
      <c r="E306" s="4" t="s">
        <v>623</v>
      </c>
      <c r="F306" s="4" t="s">
        <v>623</v>
      </c>
      <c r="G306" s="5">
        <v>602.18352</v>
      </c>
      <c r="H306" s="9"/>
      <c r="I306" s="9">
        <f t="shared" si="20"/>
        <v>283.0262544</v>
      </c>
      <c r="J306" s="9">
        <f t="shared" si="21"/>
        <v>301.09176</v>
      </c>
      <c r="K306" s="9">
        <f t="shared" si="22"/>
        <v>331.200936</v>
      </c>
      <c r="L306" s="9">
        <f t="shared" si="23"/>
        <v>421.528464</v>
      </c>
      <c r="M306" s="9">
        <f t="shared" si="24"/>
        <v>511.855992</v>
      </c>
    </row>
    <row r="307" ht="27" spans="2:13">
      <c r="B307" t="s">
        <v>624</v>
      </c>
      <c r="C307" s="4" t="s">
        <v>625</v>
      </c>
      <c r="D307" s="4" t="s">
        <v>625</v>
      </c>
      <c r="E307" s="4" t="s">
        <v>625</v>
      </c>
      <c r="F307" s="4" t="s">
        <v>625</v>
      </c>
      <c r="G307" s="5">
        <v>645.048</v>
      </c>
      <c r="H307" s="9"/>
      <c r="I307" s="9">
        <f t="shared" si="20"/>
        <v>303.17256</v>
      </c>
      <c r="J307" s="9">
        <f t="shared" si="21"/>
        <v>322.524</v>
      </c>
      <c r="K307" s="9">
        <f t="shared" si="22"/>
        <v>354.7764</v>
      </c>
      <c r="L307" s="9">
        <f t="shared" si="23"/>
        <v>451.5336</v>
      </c>
      <c r="M307" s="9">
        <f t="shared" si="24"/>
        <v>548.2908</v>
      </c>
    </row>
    <row r="308" ht="27" spans="2:13">
      <c r="B308" t="s">
        <v>626</v>
      </c>
      <c r="C308" s="4" t="s">
        <v>627</v>
      </c>
      <c r="D308" s="4" t="s">
        <v>627</v>
      </c>
      <c r="E308" s="4" t="s">
        <v>627</v>
      </c>
      <c r="F308" s="4" t="s">
        <v>627</v>
      </c>
      <c r="G308" s="5">
        <v>645.048</v>
      </c>
      <c r="H308" s="9"/>
      <c r="I308" s="9">
        <f t="shared" si="20"/>
        <v>303.17256</v>
      </c>
      <c r="J308" s="9">
        <f t="shared" si="21"/>
        <v>322.524</v>
      </c>
      <c r="K308" s="9">
        <f t="shared" si="22"/>
        <v>354.7764</v>
      </c>
      <c r="L308" s="9">
        <f t="shared" si="23"/>
        <v>451.5336</v>
      </c>
      <c r="M308" s="9">
        <f t="shared" si="24"/>
        <v>548.2908</v>
      </c>
    </row>
    <row r="309" spans="2:13">
      <c r="B309" t="s">
        <v>628</v>
      </c>
      <c r="C309" s="4" t="s">
        <v>629</v>
      </c>
      <c r="D309" s="4" t="s">
        <v>629</v>
      </c>
      <c r="E309" s="4" t="s">
        <v>629</v>
      </c>
      <c r="F309" s="4" t="s">
        <v>629</v>
      </c>
      <c r="G309" s="5">
        <v>120.99852</v>
      </c>
      <c r="H309" s="9"/>
      <c r="I309" s="9">
        <f t="shared" si="20"/>
        <v>56.8693044</v>
      </c>
      <c r="J309" s="9">
        <f t="shared" si="21"/>
        <v>60.49926</v>
      </c>
      <c r="K309" s="9">
        <f t="shared" si="22"/>
        <v>66.549186</v>
      </c>
      <c r="L309" s="9">
        <f t="shared" si="23"/>
        <v>84.698964</v>
      </c>
      <c r="M309" s="9">
        <f t="shared" si="24"/>
        <v>102.848742</v>
      </c>
    </row>
    <row r="310" spans="2:13">
      <c r="B310" t="s">
        <v>630</v>
      </c>
      <c r="C310" s="4" t="s">
        <v>631</v>
      </c>
      <c r="D310" s="4" t="s">
        <v>631</v>
      </c>
      <c r="E310" s="4" t="s">
        <v>631</v>
      </c>
      <c r="F310" s="4" t="s">
        <v>631</v>
      </c>
      <c r="G310" s="5">
        <v>120.99852</v>
      </c>
      <c r="H310" s="9"/>
      <c r="I310" s="9">
        <f t="shared" si="20"/>
        <v>56.8693044</v>
      </c>
      <c r="J310" s="9">
        <f t="shared" si="21"/>
        <v>60.49926</v>
      </c>
      <c r="K310" s="9">
        <f t="shared" si="22"/>
        <v>66.549186</v>
      </c>
      <c r="L310" s="9">
        <f t="shared" si="23"/>
        <v>84.698964</v>
      </c>
      <c r="M310" s="9">
        <f t="shared" si="24"/>
        <v>102.848742</v>
      </c>
    </row>
    <row r="311" spans="2:13">
      <c r="B311" t="s">
        <v>632</v>
      </c>
      <c r="C311" s="4" t="s">
        <v>633</v>
      </c>
      <c r="D311" s="4" t="s">
        <v>633</v>
      </c>
      <c r="E311" s="4" t="s">
        <v>633</v>
      </c>
      <c r="F311" s="4" t="s">
        <v>633</v>
      </c>
      <c r="G311" s="5">
        <v>33.813</v>
      </c>
      <c r="H311" s="9"/>
      <c r="I311" s="9">
        <f t="shared" si="20"/>
        <v>15.89211</v>
      </c>
      <c r="J311" s="9">
        <f t="shared" si="21"/>
        <v>16.9065</v>
      </c>
      <c r="K311" s="9">
        <f t="shared" si="22"/>
        <v>18.59715</v>
      </c>
      <c r="L311" s="9">
        <f t="shared" si="23"/>
        <v>23.6691</v>
      </c>
      <c r="M311" s="9">
        <f t="shared" si="24"/>
        <v>28.74105</v>
      </c>
    </row>
    <row r="312" ht="27" spans="2:13">
      <c r="B312" t="s">
        <v>634</v>
      </c>
      <c r="C312" s="4" t="s">
        <v>635</v>
      </c>
      <c r="D312" s="4" t="s">
        <v>635</v>
      </c>
      <c r="E312" s="4" t="s">
        <v>635</v>
      </c>
      <c r="F312" s="4" t="s">
        <v>635</v>
      </c>
      <c r="G312" s="5">
        <v>34.43724</v>
      </c>
      <c r="H312" s="9"/>
      <c r="I312" s="9">
        <f t="shared" si="20"/>
        <v>16.1855028</v>
      </c>
      <c r="J312" s="9">
        <f t="shared" si="21"/>
        <v>17.21862</v>
      </c>
      <c r="K312" s="9">
        <f t="shared" si="22"/>
        <v>18.940482</v>
      </c>
      <c r="L312" s="9">
        <f t="shared" si="23"/>
        <v>24.106068</v>
      </c>
      <c r="M312" s="9">
        <f t="shared" si="24"/>
        <v>29.271654</v>
      </c>
    </row>
    <row r="313" spans="2:13">
      <c r="B313" t="s">
        <v>636</v>
      </c>
      <c r="C313" s="4" t="s">
        <v>637</v>
      </c>
      <c r="D313" s="4" t="s">
        <v>637</v>
      </c>
      <c r="E313" s="4" t="s">
        <v>637</v>
      </c>
      <c r="F313" s="4" t="s">
        <v>637</v>
      </c>
      <c r="G313" s="5">
        <v>34.43724</v>
      </c>
      <c r="H313" s="9"/>
      <c r="I313" s="9">
        <f t="shared" si="20"/>
        <v>16.1855028</v>
      </c>
      <c r="J313" s="9">
        <f t="shared" si="21"/>
        <v>17.21862</v>
      </c>
      <c r="K313" s="9">
        <f t="shared" si="22"/>
        <v>18.940482</v>
      </c>
      <c r="L313" s="9">
        <f t="shared" si="23"/>
        <v>24.106068</v>
      </c>
      <c r="M313" s="9">
        <f t="shared" si="24"/>
        <v>29.271654</v>
      </c>
    </row>
    <row r="314" spans="2:13">
      <c r="B314" t="s">
        <v>638</v>
      </c>
      <c r="C314" s="4" t="s">
        <v>639</v>
      </c>
      <c r="D314" s="4" t="s">
        <v>639</v>
      </c>
      <c r="E314" s="4" t="s">
        <v>639</v>
      </c>
      <c r="F314" s="4" t="s">
        <v>639</v>
      </c>
      <c r="G314" s="5">
        <v>33.813</v>
      </c>
      <c r="H314" s="9"/>
      <c r="I314" s="9">
        <f t="shared" si="20"/>
        <v>15.89211</v>
      </c>
      <c r="J314" s="9">
        <f t="shared" si="21"/>
        <v>16.9065</v>
      </c>
      <c r="K314" s="9">
        <f t="shared" si="22"/>
        <v>18.59715</v>
      </c>
      <c r="L314" s="9">
        <f t="shared" si="23"/>
        <v>23.6691</v>
      </c>
      <c r="M314" s="9">
        <f t="shared" si="24"/>
        <v>28.74105</v>
      </c>
    </row>
    <row r="315" ht="27" spans="2:13">
      <c r="B315" t="s">
        <v>640</v>
      </c>
      <c r="C315" s="4" t="s">
        <v>641</v>
      </c>
      <c r="D315" s="4" t="s">
        <v>641</v>
      </c>
      <c r="E315" s="4" t="s">
        <v>641</v>
      </c>
      <c r="F315" s="4" t="s">
        <v>641</v>
      </c>
      <c r="G315" s="5">
        <v>194.208</v>
      </c>
      <c r="H315" s="9"/>
      <c r="I315" s="9">
        <f t="shared" si="20"/>
        <v>91.27776</v>
      </c>
      <c r="J315" s="9">
        <f t="shared" si="21"/>
        <v>97.104</v>
      </c>
      <c r="K315" s="9">
        <f t="shared" si="22"/>
        <v>106.8144</v>
      </c>
      <c r="L315" s="9">
        <f t="shared" si="23"/>
        <v>135.9456</v>
      </c>
      <c r="M315" s="9">
        <f t="shared" si="24"/>
        <v>165.0768</v>
      </c>
    </row>
    <row r="316" spans="2:13">
      <c r="B316" t="s">
        <v>642</v>
      </c>
      <c r="C316" s="4" t="s">
        <v>643</v>
      </c>
      <c r="D316" s="4" t="s">
        <v>643</v>
      </c>
      <c r="E316" s="4" t="s">
        <v>643</v>
      </c>
      <c r="F316" s="4" t="s">
        <v>643</v>
      </c>
      <c r="G316" s="5">
        <v>194.208</v>
      </c>
      <c r="H316" s="9"/>
      <c r="I316" s="9">
        <f t="shared" si="20"/>
        <v>91.27776</v>
      </c>
      <c r="J316" s="9">
        <f t="shared" si="21"/>
        <v>97.104</v>
      </c>
      <c r="K316" s="9">
        <f t="shared" si="22"/>
        <v>106.8144</v>
      </c>
      <c r="L316" s="9">
        <f t="shared" si="23"/>
        <v>135.9456</v>
      </c>
      <c r="M316" s="9">
        <f t="shared" si="24"/>
        <v>165.0768</v>
      </c>
    </row>
    <row r="317" ht="27" spans="2:13">
      <c r="B317" t="s">
        <v>644</v>
      </c>
      <c r="C317" s="4" t="s">
        <v>645</v>
      </c>
      <c r="D317" s="4" t="s">
        <v>645</v>
      </c>
      <c r="E317" s="4" t="s">
        <v>645</v>
      </c>
      <c r="F317" s="4" t="s">
        <v>645</v>
      </c>
      <c r="G317" s="5">
        <v>206.10324</v>
      </c>
      <c r="H317" s="9"/>
      <c r="I317" s="9">
        <f t="shared" si="20"/>
        <v>96.8685228</v>
      </c>
      <c r="J317" s="9">
        <f t="shared" si="21"/>
        <v>103.05162</v>
      </c>
      <c r="K317" s="9">
        <f t="shared" si="22"/>
        <v>113.356782</v>
      </c>
      <c r="L317" s="9">
        <f t="shared" si="23"/>
        <v>144.272268</v>
      </c>
      <c r="M317" s="9">
        <f t="shared" si="24"/>
        <v>175.187754</v>
      </c>
    </row>
    <row r="318" ht="27" spans="2:13">
      <c r="B318" t="s">
        <v>646</v>
      </c>
      <c r="C318" s="4" t="s">
        <v>647</v>
      </c>
      <c r="D318" s="4" t="s">
        <v>647</v>
      </c>
      <c r="E318" s="4" t="s">
        <v>647</v>
      </c>
      <c r="F318" s="4" t="s">
        <v>647</v>
      </c>
      <c r="G318" s="5">
        <v>206.83152</v>
      </c>
      <c r="H318" s="9"/>
      <c r="I318" s="9">
        <f t="shared" si="20"/>
        <v>97.2108144</v>
      </c>
      <c r="J318" s="9">
        <f t="shared" si="21"/>
        <v>103.41576</v>
      </c>
      <c r="K318" s="9">
        <f t="shared" si="22"/>
        <v>113.757336</v>
      </c>
      <c r="L318" s="9">
        <f t="shared" si="23"/>
        <v>144.782064</v>
      </c>
      <c r="M318" s="9">
        <f t="shared" si="24"/>
        <v>175.806792</v>
      </c>
    </row>
    <row r="319" ht="27" spans="2:13">
      <c r="B319" t="s">
        <v>648</v>
      </c>
      <c r="C319" s="4" t="s">
        <v>649</v>
      </c>
      <c r="D319" s="4" t="s">
        <v>649</v>
      </c>
      <c r="E319" s="4" t="s">
        <v>649</v>
      </c>
      <c r="F319" s="4" t="s">
        <v>649</v>
      </c>
      <c r="G319" s="5">
        <v>206.10324</v>
      </c>
      <c r="H319" s="9"/>
      <c r="I319" s="9">
        <f t="shared" si="20"/>
        <v>96.8685228</v>
      </c>
      <c r="J319" s="9">
        <f t="shared" si="21"/>
        <v>103.05162</v>
      </c>
      <c r="K319" s="9">
        <f t="shared" si="22"/>
        <v>113.356782</v>
      </c>
      <c r="L319" s="9">
        <f t="shared" si="23"/>
        <v>144.272268</v>
      </c>
      <c r="M319" s="9">
        <f t="shared" si="24"/>
        <v>175.187754</v>
      </c>
    </row>
    <row r="320" ht="27" spans="2:13">
      <c r="B320" t="s">
        <v>650</v>
      </c>
      <c r="C320" s="4" t="s">
        <v>651</v>
      </c>
      <c r="D320" s="4" t="s">
        <v>651</v>
      </c>
      <c r="E320" s="4" t="s">
        <v>651</v>
      </c>
      <c r="F320" s="4" t="s">
        <v>651</v>
      </c>
      <c r="G320" s="5">
        <v>219.31632</v>
      </c>
      <c r="H320" s="9"/>
      <c r="I320" s="9">
        <f t="shared" si="20"/>
        <v>103.0786704</v>
      </c>
      <c r="J320" s="9">
        <f t="shared" si="21"/>
        <v>109.65816</v>
      </c>
      <c r="K320" s="9">
        <f t="shared" si="22"/>
        <v>120.623976</v>
      </c>
      <c r="L320" s="9">
        <f t="shared" si="23"/>
        <v>153.521424</v>
      </c>
      <c r="M320" s="9">
        <f t="shared" si="24"/>
        <v>186.418872</v>
      </c>
    </row>
    <row r="321" ht="27" spans="2:13">
      <c r="B321" t="s">
        <v>652</v>
      </c>
      <c r="C321" s="4" t="s">
        <v>653</v>
      </c>
      <c r="D321" s="4" t="s">
        <v>653</v>
      </c>
      <c r="E321" s="4" t="s">
        <v>653</v>
      </c>
      <c r="F321" s="4" t="s">
        <v>653</v>
      </c>
      <c r="G321" s="5">
        <v>260.6202</v>
      </c>
      <c r="H321" s="9"/>
      <c r="I321" s="9">
        <f t="shared" si="20"/>
        <v>122.491494</v>
      </c>
      <c r="J321" s="9">
        <f t="shared" si="21"/>
        <v>130.3101</v>
      </c>
      <c r="K321" s="9">
        <f t="shared" si="22"/>
        <v>143.34111</v>
      </c>
      <c r="L321" s="9">
        <f t="shared" si="23"/>
        <v>182.43414</v>
      </c>
      <c r="M321" s="9">
        <f t="shared" si="24"/>
        <v>221.52717</v>
      </c>
    </row>
    <row r="322" ht="27" spans="2:13">
      <c r="B322" t="s">
        <v>654</v>
      </c>
      <c r="C322" s="4" t="s">
        <v>655</v>
      </c>
      <c r="D322" s="4" t="s">
        <v>655</v>
      </c>
      <c r="E322" s="4" t="s">
        <v>655</v>
      </c>
      <c r="F322" s="4" t="s">
        <v>655</v>
      </c>
      <c r="G322" s="5">
        <v>260.6202</v>
      </c>
      <c r="H322" s="9"/>
      <c r="I322" s="9">
        <f t="shared" si="20"/>
        <v>122.491494</v>
      </c>
      <c r="J322" s="9">
        <f t="shared" si="21"/>
        <v>130.3101</v>
      </c>
      <c r="K322" s="9">
        <f t="shared" si="22"/>
        <v>143.34111</v>
      </c>
      <c r="L322" s="9">
        <f t="shared" si="23"/>
        <v>182.43414</v>
      </c>
      <c r="M322" s="9">
        <f t="shared" si="24"/>
        <v>221.52717</v>
      </c>
    </row>
    <row r="323" ht="27" spans="2:13">
      <c r="B323" t="s">
        <v>656</v>
      </c>
      <c r="C323" s="4" t="s">
        <v>653</v>
      </c>
      <c r="D323" s="4" t="s">
        <v>653</v>
      </c>
      <c r="E323" s="4" t="s">
        <v>653</v>
      </c>
      <c r="F323" s="4" t="s">
        <v>653</v>
      </c>
      <c r="G323" s="5">
        <v>273.83328</v>
      </c>
      <c r="H323" s="9"/>
      <c r="I323" s="9">
        <f t="shared" ref="I323:I386" si="25">G323*0.47</f>
        <v>128.7016416</v>
      </c>
      <c r="J323" s="9">
        <f t="shared" ref="J323:J386" si="26">G323*0.5</f>
        <v>136.91664</v>
      </c>
      <c r="K323" s="9">
        <f t="shared" ref="K323:K386" si="27">G323*0.55</f>
        <v>150.608304</v>
      </c>
      <c r="L323" s="9">
        <f t="shared" ref="L323:L386" si="28">G323*0.7</f>
        <v>191.683296</v>
      </c>
      <c r="M323" s="9">
        <f t="shared" ref="M323:M386" si="29">G323*0.85</f>
        <v>232.758288</v>
      </c>
    </row>
    <row r="324" ht="27" spans="2:13">
      <c r="B324" t="s">
        <v>657</v>
      </c>
      <c r="C324" s="4" t="s">
        <v>655</v>
      </c>
      <c r="D324" s="4" t="s">
        <v>655</v>
      </c>
      <c r="E324" s="4" t="s">
        <v>655</v>
      </c>
      <c r="F324" s="4" t="s">
        <v>655</v>
      </c>
      <c r="G324" s="5">
        <v>273.83328</v>
      </c>
      <c r="H324" s="9"/>
      <c r="I324" s="9">
        <f t="shared" si="25"/>
        <v>128.7016416</v>
      </c>
      <c r="J324" s="9">
        <f t="shared" si="26"/>
        <v>136.91664</v>
      </c>
      <c r="K324" s="9">
        <f t="shared" si="27"/>
        <v>150.608304</v>
      </c>
      <c r="L324" s="9">
        <f t="shared" si="28"/>
        <v>191.683296</v>
      </c>
      <c r="M324" s="9">
        <f t="shared" si="29"/>
        <v>232.758288</v>
      </c>
    </row>
    <row r="325" ht="27" spans="2:13">
      <c r="B325" t="s">
        <v>658</v>
      </c>
      <c r="C325" s="4" t="s">
        <v>659</v>
      </c>
      <c r="D325" s="4" t="s">
        <v>659</v>
      </c>
      <c r="E325" s="4" t="s">
        <v>659</v>
      </c>
      <c r="F325" s="4" t="s">
        <v>659</v>
      </c>
      <c r="G325" s="5">
        <v>357.79356</v>
      </c>
      <c r="H325" s="9"/>
      <c r="I325" s="9">
        <f t="shared" si="25"/>
        <v>168.1629732</v>
      </c>
      <c r="J325" s="9">
        <f t="shared" si="26"/>
        <v>178.89678</v>
      </c>
      <c r="K325" s="9">
        <f t="shared" si="27"/>
        <v>196.786458</v>
      </c>
      <c r="L325" s="9">
        <f t="shared" si="28"/>
        <v>250.455492</v>
      </c>
      <c r="M325" s="9">
        <f t="shared" si="29"/>
        <v>304.124526</v>
      </c>
    </row>
    <row r="326" ht="27" spans="2:13">
      <c r="B326" t="s">
        <v>660</v>
      </c>
      <c r="C326" s="4" t="s">
        <v>661</v>
      </c>
      <c r="D326" s="4" t="s">
        <v>661</v>
      </c>
      <c r="E326" s="4" t="s">
        <v>661</v>
      </c>
      <c r="F326" s="4" t="s">
        <v>661</v>
      </c>
      <c r="G326" s="5">
        <v>448.9326</v>
      </c>
      <c r="H326" s="9"/>
      <c r="I326" s="9">
        <f t="shared" si="25"/>
        <v>210.998322</v>
      </c>
      <c r="J326" s="9">
        <f t="shared" si="26"/>
        <v>224.4663</v>
      </c>
      <c r="K326" s="9">
        <f t="shared" si="27"/>
        <v>246.91293</v>
      </c>
      <c r="L326" s="9">
        <f t="shared" si="28"/>
        <v>314.25282</v>
      </c>
      <c r="M326" s="9">
        <f t="shared" si="29"/>
        <v>381.59271</v>
      </c>
    </row>
    <row r="327" ht="27" spans="2:13">
      <c r="B327" t="s">
        <v>662</v>
      </c>
      <c r="C327" s="4" t="s">
        <v>663</v>
      </c>
      <c r="D327" s="4" t="s">
        <v>663</v>
      </c>
      <c r="E327" s="4" t="s">
        <v>663</v>
      </c>
      <c r="F327" s="4" t="s">
        <v>663</v>
      </c>
      <c r="G327" s="5">
        <v>352.6956</v>
      </c>
      <c r="H327" s="9"/>
      <c r="I327" s="9">
        <f t="shared" si="25"/>
        <v>165.766932</v>
      </c>
      <c r="J327" s="9">
        <f t="shared" si="26"/>
        <v>176.3478</v>
      </c>
      <c r="K327" s="9">
        <f t="shared" si="27"/>
        <v>193.98258</v>
      </c>
      <c r="L327" s="9">
        <f t="shared" si="28"/>
        <v>246.88692</v>
      </c>
      <c r="M327" s="9">
        <f t="shared" si="29"/>
        <v>299.79126</v>
      </c>
    </row>
    <row r="328" ht="40.5" spans="2:13">
      <c r="B328" t="s">
        <v>664</v>
      </c>
      <c r="C328" s="4" t="s">
        <v>665</v>
      </c>
      <c r="D328" s="4" t="s">
        <v>665</v>
      </c>
      <c r="E328" s="4" t="s">
        <v>665</v>
      </c>
      <c r="F328" s="4" t="s">
        <v>665</v>
      </c>
      <c r="G328" s="5">
        <v>385.00002</v>
      </c>
      <c r="H328" s="9"/>
      <c r="I328" s="9">
        <f t="shared" si="25"/>
        <v>180.9500094</v>
      </c>
      <c r="J328" s="9">
        <f t="shared" si="26"/>
        <v>192.50001</v>
      </c>
      <c r="K328" s="9">
        <f t="shared" si="27"/>
        <v>211.750011</v>
      </c>
      <c r="L328" s="9">
        <f t="shared" si="28"/>
        <v>269.500014</v>
      </c>
      <c r="M328" s="9">
        <f t="shared" si="29"/>
        <v>327.250017</v>
      </c>
    </row>
    <row r="329" ht="27" spans="2:13">
      <c r="B329" t="s">
        <v>666</v>
      </c>
      <c r="C329" s="4" t="s">
        <v>667</v>
      </c>
      <c r="D329" s="4" t="s">
        <v>667</v>
      </c>
      <c r="E329" s="4" t="s">
        <v>667</v>
      </c>
      <c r="F329" s="4" t="s">
        <v>667</v>
      </c>
      <c r="G329" s="5">
        <v>349.47036</v>
      </c>
      <c r="H329" s="9"/>
      <c r="I329" s="9">
        <f t="shared" si="25"/>
        <v>164.2510692</v>
      </c>
      <c r="J329" s="9">
        <f t="shared" si="26"/>
        <v>174.73518</v>
      </c>
      <c r="K329" s="9">
        <f t="shared" si="27"/>
        <v>192.208698</v>
      </c>
      <c r="L329" s="9">
        <f t="shared" si="28"/>
        <v>244.629252</v>
      </c>
      <c r="M329" s="9">
        <f t="shared" si="29"/>
        <v>297.049806</v>
      </c>
    </row>
    <row r="330" ht="27" spans="2:13">
      <c r="B330" t="s">
        <v>668</v>
      </c>
      <c r="C330" s="4" t="s">
        <v>669</v>
      </c>
      <c r="D330" s="4" t="s">
        <v>669</v>
      </c>
      <c r="E330" s="4" t="s">
        <v>669</v>
      </c>
      <c r="F330" s="4" t="s">
        <v>669</v>
      </c>
      <c r="G330" s="5">
        <v>466.72344</v>
      </c>
      <c r="H330" s="9"/>
      <c r="I330" s="9">
        <f t="shared" si="25"/>
        <v>219.3600168</v>
      </c>
      <c r="J330" s="9">
        <f t="shared" si="26"/>
        <v>233.36172</v>
      </c>
      <c r="K330" s="9">
        <f t="shared" si="27"/>
        <v>256.697892</v>
      </c>
      <c r="L330" s="9">
        <f t="shared" si="28"/>
        <v>326.706408</v>
      </c>
      <c r="M330" s="9">
        <f t="shared" si="29"/>
        <v>396.714924</v>
      </c>
    </row>
    <row r="331" ht="27" spans="2:13">
      <c r="B331" t="s">
        <v>670</v>
      </c>
      <c r="C331" s="4" t="s">
        <v>669</v>
      </c>
      <c r="D331" s="4" t="s">
        <v>669</v>
      </c>
      <c r="E331" s="4" t="s">
        <v>669</v>
      </c>
      <c r="F331" s="4" t="s">
        <v>669</v>
      </c>
      <c r="G331" s="5">
        <v>526.33836</v>
      </c>
      <c r="H331" s="9"/>
      <c r="I331" s="9">
        <f t="shared" si="25"/>
        <v>247.3790292</v>
      </c>
      <c r="J331" s="9">
        <f t="shared" si="26"/>
        <v>263.16918</v>
      </c>
      <c r="K331" s="9">
        <f t="shared" si="27"/>
        <v>289.486098</v>
      </c>
      <c r="L331" s="9">
        <f t="shared" si="28"/>
        <v>368.436852</v>
      </c>
      <c r="M331" s="9">
        <f t="shared" si="29"/>
        <v>447.387606</v>
      </c>
    </row>
    <row r="332" spans="2:13">
      <c r="B332" t="s">
        <v>671</v>
      </c>
      <c r="C332" s="4" t="s">
        <v>672</v>
      </c>
      <c r="D332" s="4" t="s">
        <v>672</v>
      </c>
      <c r="E332" s="4" t="s">
        <v>672</v>
      </c>
      <c r="F332" s="4" t="s">
        <v>672</v>
      </c>
      <c r="G332" s="5">
        <v>583.6644</v>
      </c>
      <c r="H332" s="9"/>
      <c r="I332" s="9">
        <f t="shared" si="25"/>
        <v>274.322268</v>
      </c>
      <c r="J332" s="9">
        <f t="shared" si="26"/>
        <v>291.8322</v>
      </c>
      <c r="K332" s="9">
        <f t="shared" si="27"/>
        <v>321.01542</v>
      </c>
      <c r="L332" s="9">
        <f t="shared" si="28"/>
        <v>408.56508</v>
      </c>
      <c r="M332" s="9">
        <f t="shared" si="29"/>
        <v>496.11474</v>
      </c>
    </row>
    <row r="333" ht="27" spans="2:13">
      <c r="B333" t="s">
        <v>673</v>
      </c>
      <c r="C333" s="4" t="s">
        <v>674</v>
      </c>
      <c r="D333" s="4" t="s">
        <v>674</v>
      </c>
      <c r="E333" s="4" t="s">
        <v>674</v>
      </c>
      <c r="F333" s="4" t="s">
        <v>674</v>
      </c>
      <c r="G333" s="5">
        <v>607.90572</v>
      </c>
      <c r="H333" s="9"/>
      <c r="I333" s="9">
        <f t="shared" si="25"/>
        <v>285.7156884</v>
      </c>
      <c r="J333" s="9">
        <f t="shared" si="26"/>
        <v>303.95286</v>
      </c>
      <c r="K333" s="9">
        <f t="shared" si="27"/>
        <v>334.348146</v>
      </c>
      <c r="L333" s="9">
        <f t="shared" si="28"/>
        <v>425.534004</v>
      </c>
      <c r="M333" s="9">
        <f t="shared" si="29"/>
        <v>516.719862</v>
      </c>
    </row>
    <row r="334" ht="27" spans="2:13">
      <c r="B334" t="s">
        <v>675</v>
      </c>
      <c r="C334" s="4" t="s">
        <v>676</v>
      </c>
      <c r="D334" s="4" t="s">
        <v>676</v>
      </c>
      <c r="E334" s="4" t="s">
        <v>676</v>
      </c>
      <c r="F334" s="4" t="s">
        <v>676</v>
      </c>
      <c r="G334" s="5">
        <v>357.68952</v>
      </c>
      <c r="H334" s="9"/>
      <c r="I334" s="9">
        <f t="shared" si="25"/>
        <v>168.1140744</v>
      </c>
      <c r="J334" s="9">
        <f t="shared" si="26"/>
        <v>178.84476</v>
      </c>
      <c r="K334" s="9">
        <f t="shared" si="27"/>
        <v>196.729236</v>
      </c>
      <c r="L334" s="9">
        <f t="shared" si="28"/>
        <v>250.382664</v>
      </c>
      <c r="M334" s="9">
        <f t="shared" si="29"/>
        <v>304.036092</v>
      </c>
    </row>
    <row r="335" ht="27" spans="2:13">
      <c r="B335" t="s">
        <v>677</v>
      </c>
      <c r="C335" s="4" t="s">
        <v>678</v>
      </c>
      <c r="D335" s="4" t="s">
        <v>678</v>
      </c>
      <c r="E335" s="4" t="s">
        <v>678</v>
      </c>
      <c r="F335" s="4" t="s">
        <v>678</v>
      </c>
      <c r="G335" s="5">
        <v>982.76184</v>
      </c>
      <c r="H335" s="9"/>
      <c r="I335" s="9">
        <f t="shared" si="25"/>
        <v>461.8980648</v>
      </c>
      <c r="J335" s="9">
        <f t="shared" si="26"/>
        <v>491.38092</v>
      </c>
      <c r="K335" s="9">
        <f t="shared" si="27"/>
        <v>540.519012</v>
      </c>
      <c r="L335" s="9">
        <f t="shared" si="28"/>
        <v>687.933288</v>
      </c>
      <c r="M335" s="9">
        <f t="shared" si="29"/>
        <v>835.347564</v>
      </c>
    </row>
    <row r="336" spans="2:13">
      <c r="B336" t="s">
        <v>679</v>
      </c>
      <c r="C336" s="4" t="s">
        <v>680</v>
      </c>
      <c r="D336" s="4" t="s">
        <v>680</v>
      </c>
      <c r="E336" s="4" t="s">
        <v>680</v>
      </c>
      <c r="F336" s="4" t="s">
        <v>680</v>
      </c>
      <c r="G336" s="5">
        <v>1045.91412</v>
      </c>
      <c r="H336" s="9"/>
      <c r="I336" s="9">
        <f t="shared" si="25"/>
        <v>491.5796364</v>
      </c>
      <c r="J336" s="9">
        <f t="shared" si="26"/>
        <v>522.95706</v>
      </c>
      <c r="K336" s="9">
        <f t="shared" si="27"/>
        <v>575.252766</v>
      </c>
      <c r="L336" s="9">
        <f t="shared" si="28"/>
        <v>732.139884</v>
      </c>
      <c r="M336" s="9">
        <f t="shared" si="29"/>
        <v>889.027002</v>
      </c>
    </row>
    <row r="337" ht="27" spans="2:13">
      <c r="B337" t="s">
        <v>681</v>
      </c>
      <c r="C337" s="4" t="s">
        <v>682</v>
      </c>
      <c r="D337" s="4" t="s">
        <v>682</v>
      </c>
      <c r="E337" s="4" t="s">
        <v>682</v>
      </c>
      <c r="F337" s="4" t="s">
        <v>682</v>
      </c>
      <c r="G337" s="5">
        <v>1058.0868</v>
      </c>
      <c r="H337" s="9"/>
      <c r="I337" s="9">
        <f t="shared" si="25"/>
        <v>497.300796</v>
      </c>
      <c r="J337" s="9">
        <f t="shared" si="26"/>
        <v>529.0434</v>
      </c>
      <c r="K337" s="9">
        <f t="shared" si="27"/>
        <v>581.94774</v>
      </c>
      <c r="L337" s="9">
        <f t="shared" si="28"/>
        <v>740.66076</v>
      </c>
      <c r="M337" s="9">
        <f t="shared" si="29"/>
        <v>899.37378</v>
      </c>
    </row>
    <row r="338" spans="2:13">
      <c r="B338" t="s">
        <v>683</v>
      </c>
      <c r="C338" s="4" t="s">
        <v>684</v>
      </c>
      <c r="D338" s="4" t="s">
        <v>684</v>
      </c>
      <c r="E338" s="4" t="s">
        <v>684</v>
      </c>
      <c r="F338" s="4" t="s">
        <v>684</v>
      </c>
      <c r="G338" s="5">
        <v>459.96084</v>
      </c>
      <c r="H338" s="9"/>
      <c r="I338" s="9">
        <f t="shared" si="25"/>
        <v>216.1815948</v>
      </c>
      <c r="J338" s="9">
        <f t="shared" si="26"/>
        <v>229.98042</v>
      </c>
      <c r="K338" s="9">
        <f t="shared" si="27"/>
        <v>252.978462</v>
      </c>
      <c r="L338" s="9">
        <f t="shared" si="28"/>
        <v>321.972588</v>
      </c>
      <c r="M338" s="9">
        <f t="shared" si="29"/>
        <v>390.966714</v>
      </c>
    </row>
    <row r="339" ht="27" spans="2:13">
      <c r="B339" t="s">
        <v>685</v>
      </c>
      <c r="C339" s="4" t="s">
        <v>686</v>
      </c>
      <c r="D339" s="4" t="s">
        <v>686</v>
      </c>
      <c r="E339" s="4" t="s">
        <v>686</v>
      </c>
      <c r="F339" s="4" t="s">
        <v>686</v>
      </c>
      <c r="G339" s="5">
        <v>668.87316</v>
      </c>
      <c r="H339" s="9"/>
      <c r="I339" s="9">
        <f t="shared" si="25"/>
        <v>314.3703852</v>
      </c>
      <c r="J339" s="9">
        <f t="shared" si="26"/>
        <v>334.43658</v>
      </c>
      <c r="K339" s="9">
        <f t="shared" si="27"/>
        <v>367.880238</v>
      </c>
      <c r="L339" s="9">
        <f t="shared" si="28"/>
        <v>468.211212</v>
      </c>
      <c r="M339" s="9">
        <f t="shared" si="29"/>
        <v>568.542186</v>
      </c>
    </row>
    <row r="340" ht="27" spans="2:13">
      <c r="B340" t="s">
        <v>687</v>
      </c>
      <c r="C340" s="4" t="s">
        <v>688</v>
      </c>
      <c r="D340" s="4" t="s">
        <v>688</v>
      </c>
      <c r="E340" s="4" t="s">
        <v>688</v>
      </c>
      <c r="F340" s="4" t="s">
        <v>688</v>
      </c>
      <c r="G340" s="5">
        <v>575.75736</v>
      </c>
      <c r="H340" s="9"/>
      <c r="I340" s="9">
        <f t="shared" si="25"/>
        <v>270.6059592</v>
      </c>
      <c r="J340" s="9">
        <f t="shared" si="26"/>
        <v>287.87868</v>
      </c>
      <c r="K340" s="9">
        <f t="shared" si="27"/>
        <v>316.666548</v>
      </c>
      <c r="L340" s="9">
        <f t="shared" si="28"/>
        <v>403.030152</v>
      </c>
      <c r="M340" s="9">
        <f t="shared" si="29"/>
        <v>489.393756</v>
      </c>
    </row>
    <row r="341" ht="27" spans="2:13">
      <c r="B341" t="s">
        <v>689</v>
      </c>
      <c r="C341" s="4" t="s">
        <v>690</v>
      </c>
      <c r="D341" s="4" t="s">
        <v>690</v>
      </c>
      <c r="E341" s="4" t="s">
        <v>690</v>
      </c>
      <c r="F341" s="4" t="s">
        <v>690</v>
      </c>
      <c r="G341" s="5">
        <v>449.973</v>
      </c>
      <c r="H341" s="9"/>
      <c r="I341" s="9">
        <f t="shared" si="25"/>
        <v>211.48731</v>
      </c>
      <c r="J341" s="9">
        <f t="shared" si="26"/>
        <v>224.9865</v>
      </c>
      <c r="K341" s="9">
        <f t="shared" si="27"/>
        <v>247.48515</v>
      </c>
      <c r="L341" s="9">
        <f t="shared" si="28"/>
        <v>314.9811</v>
      </c>
      <c r="M341" s="9">
        <f t="shared" si="29"/>
        <v>382.47705</v>
      </c>
    </row>
    <row r="342" ht="27" spans="2:13">
      <c r="B342" t="s">
        <v>691</v>
      </c>
      <c r="C342" s="4" t="s">
        <v>692</v>
      </c>
      <c r="D342" s="4" t="s">
        <v>692</v>
      </c>
      <c r="E342" s="4" t="s">
        <v>692</v>
      </c>
      <c r="F342" s="4" t="s">
        <v>692</v>
      </c>
      <c r="G342" s="5">
        <v>451.94976</v>
      </c>
      <c r="H342" s="9"/>
      <c r="I342" s="9">
        <f t="shared" si="25"/>
        <v>212.4163872</v>
      </c>
      <c r="J342" s="9">
        <f t="shared" si="26"/>
        <v>225.97488</v>
      </c>
      <c r="K342" s="9">
        <f t="shared" si="27"/>
        <v>248.572368</v>
      </c>
      <c r="L342" s="9">
        <f t="shared" si="28"/>
        <v>316.364832</v>
      </c>
      <c r="M342" s="9">
        <f t="shared" si="29"/>
        <v>384.157296</v>
      </c>
    </row>
    <row r="343" ht="27" spans="2:13">
      <c r="B343" t="s">
        <v>693</v>
      </c>
      <c r="C343" s="4" t="s">
        <v>694</v>
      </c>
      <c r="D343" s="4" t="s">
        <v>694</v>
      </c>
      <c r="E343" s="4" t="s">
        <v>694</v>
      </c>
      <c r="F343" s="4" t="s">
        <v>694</v>
      </c>
      <c r="G343" s="5">
        <v>627.3612</v>
      </c>
      <c r="H343" s="9"/>
      <c r="I343" s="9">
        <f t="shared" si="25"/>
        <v>294.859764</v>
      </c>
      <c r="J343" s="9">
        <f t="shared" si="26"/>
        <v>313.6806</v>
      </c>
      <c r="K343" s="9">
        <f t="shared" si="27"/>
        <v>345.04866</v>
      </c>
      <c r="L343" s="9">
        <f t="shared" si="28"/>
        <v>439.15284</v>
      </c>
      <c r="M343" s="9">
        <f t="shared" si="29"/>
        <v>533.25702</v>
      </c>
    </row>
    <row r="344" ht="27" spans="2:13">
      <c r="B344" t="s">
        <v>695</v>
      </c>
      <c r="C344" s="4" t="s">
        <v>696</v>
      </c>
      <c r="D344" s="4" t="s">
        <v>696</v>
      </c>
      <c r="E344" s="4" t="s">
        <v>696</v>
      </c>
      <c r="F344" s="4" t="s">
        <v>696</v>
      </c>
      <c r="G344" s="5">
        <v>684.5832</v>
      </c>
      <c r="H344" s="9"/>
      <c r="I344" s="9">
        <f t="shared" si="25"/>
        <v>321.754104</v>
      </c>
      <c r="J344" s="9">
        <f t="shared" si="26"/>
        <v>342.2916</v>
      </c>
      <c r="K344" s="9">
        <f t="shared" si="27"/>
        <v>376.52076</v>
      </c>
      <c r="L344" s="9">
        <f t="shared" si="28"/>
        <v>479.20824</v>
      </c>
      <c r="M344" s="9">
        <f t="shared" si="29"/>
        <v>581.89572</v>
      </c>
    </row>
    <row r="345" ht="27" spans="2:13">
      <c r="B345" t="s">
        <v>697</v>
      </c>
      <c r="C345" s="4" t="s">
        <v>698</v>
      </c>
      <c r="D345" s="4" t="s">
        <v>698</v>
      </c>
      <c r="E345" s="4" t="s">
        <v>698</v>
      </c>
      <c r="F345" s="4" t="s">
        <v>698</v>
      </c>
      <c r="G345" s="5">
        <v>745.86276</v>
      </c>
      <c r="H345" s="9"/>
      <c r="I345" s="9">
        <f t="shared" si="25"/>
        <v>350.5554972</v>
      </c>
      <c r="J345" s="9">
        <f t="shared" si="26"/>
        <v>372.93138</v>
      </c>
      <c r="K345" s="9">
        <f t="shared" si="27"/>
        <v>410.224518</v>
      </c>
      <c r="L345" s="9">
        <f t="shared" si="28"/>
        <v>522.103932</v>
      </c>
      <c r="M345" s="9">
        <f t="shared" si="29"/>
        <v>633.983346</v>
      </c>
    </row>
    <row r="346" ht="27" spans="2:13">
      <c r="B346" t="s">
        <v>699</v>
      </c>
      <c r="C346" s="4" t="s">
        <v>700</v>
      </c>
      <c r="D346" s="4" t="s">
        <v>700</v>
      </c>
      <c r="E346" s="4" t="s">
        <v>700</v>
      </c>
      <c r="F346" s="4" t="s">
        <v>700</v>
      </c>
      <c r="G346" s="5">
        <v>552.9726</v>
      </c>
      <c r="H346" s="9"/>
      <c r="I346" s="9">
        <f t="shared" si="25"/>
        <v>259.897122</v>
      </c>
      <c r="J346" s="9">
        <f t="shared" si="26"/>
        <v>276.4863</v>
      </c>
      <c r="K346" s="9">
        <f t="shared" si="27"/>
        <v>304.13493</v>
      </c>
      <c r="L346" s="9">
        <f t="shared" si="28"/>
        <v>387.08082</v>
      </c>
      <c r="M346" s="9">
        <f t="shared" si="29"/>
        <v>470.02671</v>
      </c>
    </row>
    <row r="347" ht="27" spans="2:13">
      <c r="B347" t="s">
        <v>701</v>
      </c>
      <c r="C347" s="4" t="s">
        <v>702</v>
      </c>
      <c r="D347" s="4" t="s">
        <v>702</v>
      </c>
      <c r="E347" s="4" t="s">
        <v>702</v>
      </c>
      <c r="F347" s="4" t="s">
        <v>702</v>
      </c>
      <c r="G347" s="5">
        <v>693.4266</v>
      </c>
      <c r="H347" s="9"/>
      <c r="I347" s="9">
        <f t="shared" si="25"/>
        <v>325.910502</v>
      </c>
      <c r="J347" s="9">
        <f t="shared" si="26"/>
        <v>346.7133</v>
      </c>
      <c r="K347" s="9">
        <f t="shared" si="27"/>
        <v>381.38463</v>
      </c>
      <c r="L347" s="9">
        <f t="shared" si="28"/>
        <v>485.39862</v>
      </c>
      <c r="M347" s="9">
        <f t="shared" si="29"/>
        <v>589.41261</v>
      </c>
    </row>
    <row r="348" ht="27" spans="2:13">
      <c r="B348" t="s">
        <v>703</v>
      </c>
      <c r="C348" s="4" t="s">
        <v>704</v>
      </c>
      <c r="D348" s="4" t="s">
        <v>704</v>
      </c>
      <c r="E348" s="4" t="s">
        <v>704</v>
      </c>
      <c r="F348" s="4" t="s">
        <v>704</v>
      </c>
      <c r="G348" s="5">
        <v>535.18176</v>
      </c>
      <c r="H348" s="9"/>
      <c r="I348" s="9">
        <f t="shared" si="25"/>
        <v>251.5354272</v>
      </c>
      <c r="J348" s="9">
        <f t="shared" si="26"/>
        <v>267.59088</v>
      </c>
      <c r="K348" s="9">
        <f t="shared" si="27"/>
        <v>294.349968</v>
      </c>
      <c r="L348" s="9">
        <f t="shared" si="28"/>
        <v>374.627232</v>
      </c>
      <c r="M348" s="9">
        <f t="shared" si="29"/>
        <v>454.904496</v>
      </c>
    </row>
    <row r="349" ht="27" spans="2:13">
      <c r="B349" t="s">
        <v>705</v>
      </c>
      <c r="C349" s="4" t="s">
        <v>706</v>
      </c>
      <c r="D349" s="4" t="s">
        <v>706</v>
      </c>
      <c r="E349" s="4" t="s">
        <v>706</v>
      </c>
      <c r="F349" s="4" t="s">
        <v>706</v>
      </c>
      <c r="G349" s="5">
        <v>809.9514</v>
      </c>
      <c r="H349" s="9"/>
      <c r="I349" s="9">
        <f t="shared" si="25"/>
        <v>380.677158</v>
      </c>
      <c r="J349" s="9">
        <f t="shared" si="26"/>
        <v>404.9757</v>
      </c>
      <c r="K349" s="9">
        <f t="shared" si="27"/>
        <v>445.47327</v>
      </c>
      <c r="L349" s="9">
        <f t="shared" si="28"/>
        <v>566.96598</v>
      </c>
      <c r="M349" s="9">
        <f t="shared" si="29"/>
        <v>688.45869</v>
      </c>
    </row>
    <row r="350" ht="27" spans="2:13">
      <c r="B350" t="s">
        <v>707</v>
      </c>
      <c r="C350" s="4" t="s">
        <v>708</v>
      </c>
      <c r="D350" s="4" t="s">
        <v>708</v>
      </c>
      <c r="E350" s="4" t="s">
        <v>708</v>
      </c>
      <c r="F350" s="4" t="s">
        <v>708</v>
      </c>
      <c r="G350" s="5">
        <v>545.06556</v>
      </c>
      <c r="H350" s="9"/>
      <c r="I350" s="9">
        <f t="shared" si="25"/>
        <v>256.1808132</v>
      </c>
      <c r="J350" s="9">
        <f t="shared" si="26"/>
        <v>272.53278</v>
      </c>
      <c r="K350" s="9">
        <f t="shared" si="27"/>
        <v>299.786058</v>
      </c>
      <c r="L350" s="9">
        <f t="shared" si="28"/>
        <v>381.545892</v>
      </c>
      <c r="M350" s="9">
        <f t="shared" si="29"/>
        <v>463.305726</v>
      </c>
    </row>
    <row r="351" ht="27" spans="2:13">
      <c r="B351" t="s">
        <v>709</v>
      </c>
      <c r="C351" s="4" t="s">
        <v>710</v>
      </c>
      <c r="D351" s="4" t="s">
        <v>710</v>
      </c>
      <c r="E351" s="4" t="s">
        <v>710</v>
      </c>
      <c r="F351" s="4" t="s">
        <v>710</v>
      </c>
      <c r="G351" s="5">
        <v>780.40404</v>
      </c>
      <c r="H351" s="9"/>
      <c r="I351" s="9">
        <f t="shared" si="25"/>
        <v>366.7898988</v>
      </c>
      <c r="J351" s="9">
        <f t="shared" si="26"/>
        <v>390.20202</v>
      </c>
      <c r="K351" s="9">
        <f t="shared" si="27"/>
        <v>429.222222</v>
      </c>
      <c r="L351" s="9">
        <f t="shared" si="28"/>
        <v>546.282828</v>
      </c>
      <c r="M351" s="9">
        <f t="shared" si="29"/>
        <v>663.343434</v>
      </c>
    </row>
    <row r="352" ht="27" spans="2:13">
      <c r="B352" t="s">
        <v>711</v>
      </c>
      <c r="C352" s="4" t="s">
        <v>712</v>
      </c>
      <c r="D352" s="4" t="s">
        <v>712</v>
      </c>
      <c r="E352" s="4" t="s">
        <v>712</v>
      </c>
      <c r="F352" s="4" t="s">
        <v>712</v>
      </c>
      <c r="G352" s="5">
        <v>838.87452</v>
      </c>
      <c r="H352" s="9"/>
      <c r="I352" s="9">
        <f t="shared" si="25"/>
        <v>394.2710244</v>
      </c>
      <c r="J352" s="9">
        <f t="shared" si="26"/>
        <v>419.43726</v>
      </c>
      <c r="K352" s="9">
        <f t="shared" si="27"/>
        <v>461.380986</v>
      </c>
      <c r="L352" s="9">
        <f t="shared" si="28"/>
        <v>587.212164</v>
      </c>
      <c r="M352" s="9">
        <f t="shared" si="29"/>
        <v>713.043342</v>
      </c>
    </row>
    <row r="353" spans="2:13">
      <c r="B353" t="s">
        <v>713</v>
      </c>
      <c r="C353" s="4" t="s">
        <v>714</v>
      </c>
      <c r="D353" s="4" t="s">
        <v>714</v>
      </c>
      <c r="E353" s="4" t="s">
        <v>714</v>
      </c>
      <c r="F353" s="4" t="s">
        <v>714</v>
      </c>
      <c r="G353" s="5">
        <v>897.55308</v>
      </c>
      <c r="H353" s="9"/>
      <c r="I353" s="9">
        <f t="shared" si="25"/>
        <v>421.8499476</v>
      </c>
      <c r="J353" s="9">
        <f t="shared" si="26"/>
        <v>448.77654</v>
      </c>
      <c r="K353" s="9">
        <f t="shared" si="27"/>
        <v>493.654194</v>
      </c>
      <c r="L353" s="9">
        <f t="shared" si="28"/>
        <v>628.287156</v>
      </c>
      <c r="M353" s="9">
        <f t="shared" si="29"/>
        <v>762.920118</v>
      </c>
    </row>
    <row r="354" ht="27" spans="2:13">
      <c r="B354" t="s">
        <v>715</v>
      </c>
      <c r="C354" s="4" t="s">
        <v>716</v>
      </c>
      <c r="D354" s="4" t="s">
        <v>716</v>
      </c>
      <c r="E354" s="4" t="s">
        <v>716</v>
      </c>
      <c r="F354" s="4" t="s">
        <v>716</v>
      </c>
      <c r="G354" s="5">
        <v>853.44012</v>
      </c>
      <c r="H354" s="9"/>
      <c r="I354" s="9">
        <f t="shared" si="25"/>
        <v>401.1168564</v>
      </c>
      <c r="J354" s="9">
        <f t="shared" si="26"/>
        <v>426.72006</v>
      </c>
      <c r="K354" s="9">
        <f t="shared" si="27"/>
        <v>469.392066</v>
      </c>
      <c r="L354" s="9">
        <f t="shared" si="28"/>
        <v>597.408084</v>
      </c>
      <c r="M354" s="9">
        <f t="shared" si="29"/>
        <v>725.424102</v>
      </c>
    </row>
    <row r="355" ht="27" spans="2:13">
      <c r="B355" t="s">
        <v>717</v>
      </c>
      <c r="C355" s="4" t="s">
        <v>718</v>
      </c>
      <c r="D355" s="4" t="s">
        <v>718</v>
      </c>
      <c r="E355" s="4" t="s">
        <v>718</v>
      </c>
      <c r="F355" s="4" t="s">
        <v>718</v>
      </c>
      <c r="G355" s="5">
        <v>808.80696</v>
      </c>
      <c r="H355" s="9"/>
      <c r="I355" s="9">
        <f t="shared" si="25"/>
        <v>380.1392712</v>
      </c>
      <c r="J355" s="9">
        <f t="shared" si="26"/>
        <v>404.40348</v>
      </c>
      <c r="K355" s="9">
        <f t="shared" si="27"/>
        <v>444.843828</v>
      </c>
      <c r="L355" s="9">
        <f t="shared" si="28"/>
        <v>566.164872</v>
      </c>
      <c r="M355" s="9">
        <f t="shared" si="29"/>
        <v>687.485916</v>
      </c>
    </row>
    <row r="356" spans="2:13">
      <c r="B356" t="s">
        <v>719</v>
      </c>
      <c r="C356" s="4" t="s">
        <v>720</v>
      </c>
      <c r="D356" s="4" t="s">
        <v>720</v>
      </c>
      <c r="E356" s="4" t="s">
        <v>720</v>
      </c>
      <c r="F356" s="4" t="s">
        <v>720</v>
      </c>
      <c r="G356" s="5">
        <v>1037.69496</v>
      </c>
      <c r="H356" s="9"/>
      <c r="I356" s="9">
        <f t="shared" si="25"/>
        <v>487.7166312</v>
      </c>
      <c r="J356" s="9">
        <f t="shared" si="26"/>
        <v>518.84748</v>
      </c>
      <c r="K356" s="9">
        <f t="shared" si="27"/>
        <v>570.732228</v>
      </c>
      <c r="L356" s="9">
        <f t="shared" si="28"/>
        <v>726.386472</v>
      </c>
      <c r="M356" s="9">
        <f t="shared" si="29"/>
        <v>882.040716</v>
      </c>
    </row>
    <row r="357" ht="27" spans="2:13">
      <c r="B357" t="s">
        <v>721</v>
      </c>
      <c r="C357" s="4" t="s">
        <v>722</v>
      </c>
      <c r="D357" s="4" t="s">
        <v>722</v>
      </c>
      <c r="E357" s="4" t="s">
        <v>722</v>
      </c>
      <c r="F357" s="4" t="s">
        <v>722</v>
      </c>
      <c r="G357" s="5">
        <v>8.11512</v>
      </c>
      <c r="H357" s="9"/>
      <c r="I357" s="9">
        <f t="shared" si="25"/>
        <v>3.8141064</v>
      </c>
      <c r="J357" s="9">
        <f t="shared" si="26"/>
        <v>4.05756</v>
      </c>
      <c r="K357" s="9">
        <f t="shared" si="27"/>
        <v>4.463316</v>
      </c>
      <c r="L357" s="9">
        <f t="shared" si="28"/>
        <v>5.680584</v>
      </c>
      <c r="M357" s="9">
        <f t="shared" si="29"/>
        <v>6.897852</v>
      </c>
    </row>
    <row r="358" ht="27" spans="2:13">
      <c r="B358" t="s">
        <v>723</v>
      </c>
      <c r="C358" s="4" t="s">
        <v>724</v>
      </c>
      <c r="D358" s="4" t="s">
        <v>724</v>
      </c>
      <c r="E358" s="4" t="s">
        <v>724</v>
      </c>
      <c r="F358" s="4" t="s">
        <v>724</v>
      </c>
      <c r="G358" s="5">
        <v>61.69572</v>
      </c>
      <c r="H358" s="9"/>
      <c r="I358" s="9">
        <f t="shared" si="25"/>
        <v>28.9969884</v>
      </c>
      <c r="J358" s="9">
        <f t="shared" si="26"/>
        <v>30.84786</v>
      </c>
      <c r="K358" s="9">
        <f t="shared" si="27"/>
        <v>33.932646</v>
      </c>
      <c r="L358" s="9">
        <f t="shared" si="28"/>
        <v>43.187004</v>
      </c>
      <c r="M358" s="9">
        <f t="shared" si="29"/>
        <v>52.441362</v>
      </c>
    </row>
    <row r="359" ht="27" spans="2:13">
      <c r="B359" t="s">
        <v>725</v>
      </c>
      <c r="C359" s="4" t="s">
        <v>726</v>
      </c>
      <c r="D359" s="4" t="s">
        <v>726</v>
      </c>
      <c r="E359" s="4" t="s">
        <v>726</v>
      </c>
      <c r="F359" s="4" t="s">
        <v>726</v>
      </c>
      <c r="G359" s="5">
        <v>75.429</v>
      </c>
      <c r="H359" s="9"/>
      <c r="I359" s="9">
        <f t="shared" si="25"/>
        <v>35.45163</v>
      </c>
      <c r="J359" s="9">
        <f t="shared" si="26"/>
        <v>37.7145</v>
      </c>
      <c r="K359" s="9">
        <f t="shared" si="27"/>
        <v>41.48595</v>
      </c>
      <c r="L359" s="9">
        <f t="shared" si="28"/>
        <v>52.8003</v>
      </c>
      <c r="M359" s="9">
        <f t="shared" si="29"/>
        <v>64.11465</v>
      </c>
    </row>
    <row r="360" ht="27" spans="2:13">
      <c r="B360" t="s">
        <v>727</v>
      </c>
      <c r="C360" s="4" t="s">
        <v>728</v>
      </c>
      <c r="D360" s="4" t="s">
        <v>728</v>
      </c>
      <c r="E360" s="4" t="s">
        <v>728</v>
      </c>
      <c r="F360" s="4" t="s">
        <v>728</v>
      </c>
      <c r="G360" s="5">
        <v>102.79152</v>
      </c>
      <c r="H360" s="9"/>
      <c r="I360" s="9">
        <f t="shared" si="25"/>
        <v>48.3120144</v>
      </c>
      <c r="J360" s="9">
        <f t="shared" si="26"/>
        <v>51.39576</v>
      </c>
      <c r="K360" s="9">
        <f t="shared" si="27"/>
        <v>56.535336</v>
      </c>
      <c r="L360" s="9">
        <f t="shared" si="28"/>
        <v>71.954064</v>
      </c>
      <c r="M360" s="9">
        <f t="shared" si="29"/>
        <v>87.372792</v>
      </c>
    </row>
    <row r="361" ht="27" spans="2:13">
      <c r="B361" t="s">
        <v>729</v>
      </c>
      <c r="C361" s="4" t="s">
        <v>730</v>
      </c>
      <c r="D361" s="4" t="s">
        <v>730</v>
      </c>
      <c r="E361" s="4" t="s">
        <v>730</v>
      </c>
      <c r="F361" s="4" t="s">
        <v>730</v>
      </c>
      <c r="G361" s="5">
        <v>124.11972</v>
      </c>
      <c r="H361" s="9"/>
      <c r="I361" s="9">
        <f t="shared" si="25"/>
        <v>58.3362684</v>
      </c>
      <c r="J361" s="9">
        <f t="shared" si="26"/>
        <v>62.05986</v>
      </c>
      <c r="K361" s="9">
        <f t="shared" si="27"/>
        <v>68.265846</v>
      </c>
      <c r="L361" s="9">
        <f t="shared" si="28"/>
        <v>86.883804</v>
      </c>
      <c r="M361" s="9">
        <f t="shared" si="29"/>
        <v>105.501762</v>
      </c>
    </row>
    <row r="362" ht="27" spans="2:13">
      <c r="B362" s="13" t="s">
        <v>731</v>
      </c>
      <c r="C362" s="4" t="s">
        <v>732</v>
      </c>
      <c r="D362" s="4" t="s">
        <v>732</v>
      </c>
      <c r="E362" s="4" t="s">
        <v>732</v>
      </c>
      <c r="F362" s="4" t="s">
        <v>732</v>
      </c>
      <c r="G362" s="5">
        <v>59.79036</v>
      </c>
      <c r="H362" s="9"/>
      <c r="I362" s="9">
        <f t="shared" si="25"/>
        <v>28.1014692</v>
      </c>
      <c r="J362" s="9">
        <f t="shared" si="26"/>
        <v>29.89518</v>
      </c>
      <c r="K362" s="9">
        <f t="shared" si="27"/>
        <v>32.884698</v>
      </c>
      <c r="L362" s="9">
        <f t="shared" si="28"/>
        <v>41.853252</v>
      </c>
      <c r="M362" s="9">
        <f t="shared" si="29"/>
        <v>50.821806</v>
      </c>
    </row>
    <row r="363" ht="27" spans="2:13">
      <c r="B363" s="13" t="s">
        <v>733</v>
      </c>
      <c r="C363" s="4" t="s">
        <v>734</v>
      </c>
      <c r="D363" s="4" t="s">
        <v>734</v>
      </c>
      <c r="E363" s="4" t="s">
        <v>734</v>
      </c>
      <c r="F363" s="4" t="s">
        <v>734</v>
      </c>
      <c r="G363" s="5">
        <v>12.90096</v>
      </c>
      <c r="H363" s="9"/>
      <c r="I363" s="9">
        <f t="shared" si="25"/>
        <v>6.0634512</v>
      </c>
      <c r="J363" s="9">
        <f t="shared" si="26"/>
        <v>6.45048</v>
      </c>
      <c r="K363" s="9">
        <f t="shared" si="27"/>
        <v>7.095528</v>
      </c>
      <c r="L363" s="9">
        <f t="shared" si="28"/>
        <v>9.030672</v>
      </c>
      <c r="M363" s="9">
        <f t="shared" si="29"/>
        <v>10.965816</v>
      </c>
    </row>
    <row r="364" spans="2:13">
      <c r="B364" s="13" t="s">
        <v>735</v>
      </c>
      <c r="C364" s="4" t="s">
        <v>736</v>
      </c>
      <c r="D364" s="4" t="s">
        <v>736</v>
      </c>
      <c r="E364" s="4" t="s">
        <v>736</v>
      </c>
      <c r="F364" s="4" t="s">
        <v>736</v>
      </c>
      <c r="G364" s="5">
        <v>17.8398</v>
      </c>
      <c r="H364" s="9"/>
      <c r="I364" s="9">
        <f t="shared" si="25"/>
        <v>8.384706</v>
      </c>
      <c r="J364" s="9">
        <f t="shared" si="26"/>
        <v>8.9199</v>
      </c>
      <c r="K364" s="9">
        <f t="shared" si="27"/>
        <v>9.81189</v>
      </c>
      <c r="L364" s="9">
        <f t="shared" si="28"/>
        <v>12.48786</v>
      </c>
      <c r="M364" s="9">
        <f t="shared" si="29"/>
        <v>15.16383</v>
      </c>
    </row>
    <row r="365" ht="27" spans="2:13">
      <c r="B365" t="s">
        <v>737</v>
      </c>
      <c r="C365" s="4" t="s">
        <v>738</v>
      </c>
      <c r="D365" s="4" t="s">
        <v>738</v>
      </c>
      <c r="E365" s="4" t="s">
        <v>738</v>
      </c>
      <c r="F365" s="4" t="s">
        <v>738</v>
      </c>
      <c r="G365" s="5">
        <v>23.2407</v>
      </c>
      <c r="H365" s="9"/>
      <c r="I365" s="9">
        <f t="shared" si="25"/>
        <v>10.923129</v>
      </c>
      <c r="J365" s="9">
        <f t="shared" si="26"/>
        <v>11.62035</v>
      </c>
      <c r="K365" s="9">
        <f t="shared" si="27"/>
        <v>12.782385</v>
      </c>
      <c r="L365" s="9">
        <f t="shared" si="28"/>
        <v>16.26849</v>
      </c>
      <c r="M365" s="9">
        <f t="shared" si="29"/>
        <v>19.754595</v>
      </c>
    </row>
    <row r="366" ht="27" spans="2:13">
      <c r="B366" t="s">
        <v>739</v>
      </c>
      <c r="C366" s="4" t="s">
        <v>740</v>
      </c>
      <c r="D366" s="4" t="s">
        <v>740</v>
      </c>
      <c r="E366" s="4" t="s">
        <v>740</v>
      </c>
      <c r="F366" s="4" t="s">
        <v>740</v>
      </c>
      <c r="G366" s="5">
        <v>113.61168</v>
      </c>
      <c r="H366" s="9"/>
      <c r="I366" s="9">
        <f t="shared" si="25"/>
        <v>53.3974896</v>
      </c>
      <c r="J366" s="9">
        <f t="shared" si="26"/>
        <v>56.80584</v>
      </c>
      <c r="K366" s="9">
        <f t="shared" si="27"/>
        <v>62.486424</v>
      </c>
      <c r="L366" s="9">
        <f t="shared" si="28"/>
        <v>79.528176</v>
      </c>
      <c r="M366" s="9">
        <f t="shared" si="29"/>
        <v>96.569928</v>
      </c>
    </row>
    <row r="367" ht="27" spans="2:13">
      <c r="B367" t="s">
        <v>741</v>
      </c>
      <c r="C367" s="4" t="s">
        <v>742</v>
      </c>
      <c r="D367" s="4" t="s">
        <v>742</v>
      </c>
      <c r="E367" s="4" t="s">
        <v>742</v>
      </c>
      <c r="F367" s="4" t="s">
        <v>742</v>
      </c>
      <c r="G367" s="5">
        <v>121.64877</v>
      </c>
      <c r="H367" s="9"/>
      <c r="I367" s="9">
        <f t="shared" si="25"/>
        <v>57.1749219</v>
      </c>
      <c r="J367" s="9">
        <f t="shared" si="26"/>
        <v>60.824385</v>
      </c>
      <c r="K367" s="9">
        <f t="shared" si="27"/>
        <v>66.9068235</v>
      </c>
      <c r="L367" s="9">
        <f t="shared" si="28"/>
        <v>85.154139</v>
      </c>
      <c r="M367" s="9">
        <f t="shared" si="29"/>
        <v>103.4014545</v>
      </c>
    </row>
    <row r="368" ht="27" spans="2:13">
      <c r="B368" t="s">
        <v>743</v>
      </c>
      <c r="C368" s="4" t="s">
        <v>744</v>
      </c>
      <c r="D368" s="4" t="s">
        <v>744</v>
      </c>
      <c r="E368" s="4" t="s">
        <v>744</v>
      </c>
      <c r="F368" s="4" t="s">
        <v>744</v>
      </c>
      <c r="G368" s="5">
        <v>143.67924</v>
      </c>
      <c r="H368" s="9"/>
      <c r="I368" s="9">
        <f t="shared" si="25"/>
        <v>67.5292428</v>
      </c>
      <c r="J368" s="9">
        <f t="shared" si="26"/>
        <v>71.83962</v>
      </c>
      <c r="K368" s="9">
        <f t="shared" si="27"/>
        <v>79.023582</v>
      </c>
      <c r="L368" s="9">
        <f t="shared" si="28"/>
        <v>100.575468</v>
      </c>
      <c r="M368" s="9">
        <f t="shared" si="29"/>
        <v>122.127354</v>
      </c>
    </row>
    <row r="369" ht="40.5" spans="2:13">
      <c r="B369" t="s">
        <v>745</v>
      </c>
      <c r="C369" s="4" t="s">
        <v>746</v>
      </c>
      <c r="D369" s="4" t="s">
        <v>746</v>
      </c>
      <c r="E369" s="4" t="s">
        <v>746</v>
      </c>
      <c r="F369" s="4" t="s">
        <v>746</v>
      </c>
      <c r="G369" s="5">
        <v>167.81652</v>
      </c>
      <c r="H369" s="9"/>
      <c r="I369" s="9">
        <f t="shared" si="25"/>
        <v>78.8737644</v>
      </c>
      <c r="J369" s="9">
        <f t="shared" si="26"/>
        <v>83.90826</v>
      </c>
      <c r="K369" s="9">
        <f t="shared" si="27"/>
        <v>92.299086</v>
      </c>
      <c r="L369" s="9">
        <f t="shared" si="28"/>
        <v>117.471564</v>
      </c>
      <c r="M369" s="9">
        <f t="shared" si="29"/>
        <v>142.644042</v>
      </c>
    </row>
    <row r="370" ht="27" spans="2:13">
      <c r="B370" t="s">
        <v>747</v>
      </c>
      <c r="C370" s="4" t="s">
        <v>748</v>
      </c>
      <c r="D370" s="4" t="s">
        <v>748</v>
      </c>
      <c r="E370" s="4" t="s">
        <v>748</v>
      </c>
      <c r="F370" s="4" t="s">
        <v>748</v>
      </c>
      <c r="G370" s="5">
        <v>172.81044</v>
      </c>
      <c r="H370" s="9"/>
      <c r="I370" s="9">
        <f t="shared" si="25"/>
        <v>81.2209068</v>
      </c>
      <c r="J370" s="9">
        <f t="shared" si="26"/>
        <v>86.40522</v>
      </c>
      <c r="K370" s="9">
        <f t="shared" si="27"/>
        <v>95.045742</v>
      </c>
      <c r="L370" s="9">
        <f t="shared" si="28"/>
        <v>120.967308</v>
      </c>
      <c r="M370" s="9">
        <f t="shared" si="29"/>
        <v>146.888874</v>
      </c>
    </row>
    <row r="371" ht="27" spans="2:13">
      <c r="B371" t="s">
        <v>749</v>
      </c>
      <c r="C371" s="4" t="s">
        <v>750</v>
      </c>
      <c r="D371" s="4" t="s">
        <v>750</v>
      </c>
      <c r="E371" s="4" t="s">
        <v>750</v>
      </c>
      <c r="F371" s="4" t="s">
        <v>750</v>
      </c>
      <c r="G371" s="5">
        <v>188.8326</v>
      </c>
      <c r="H371" s="9"/>
      <c r="I371" s="9">
        <f t="shared" si="25"/>
        <v>88.751322</v>
      </c>
      <c r="J371" s="9">
        <f t="shared" si="26"/>
        <v>94.4163</v>
      </c>
      <c r="K371" s="9">
        <f t="shared" si="27"/>
        <v>103.85793</v>
      </c>
      <c r="L371" s="9">
        <f t="shared" si="28"/>
        <v>132.18282</v>
      </c>
      <c r="M371" s="9">
        <f t="shared" si="29"/>
        <v>160.50771</v>
      </c>
    </row>
    <row r="372" ht="27" spans="2:13">
      <c r="B372" t="s">
        <v>751</v>
      </c>
      <c r="C372" s="4" t="s">
        <v>752</v>
      </c>
      <c r="D372" s="4" t="s">
        <v>752</v>
      </c>
      <c r="E372" s="4" t="s">
        <v>752</v>
      </c>
      <c r="F372" s="4" t="s">
        <v>752</v>
      </c>
      <c r="G372" s="5">
        <v>216.61128</v>
      </c>
      <c r="H372" s="9"/>
      <c r="I372" s="9">
        <f t="shared" si="25"/>
        <v>101.8073016</v>
      </c>
      <c r="J372" s="9">
        <f t="shared" si="26"/>
        <v>108.30564</v>
      </c>
      <c r="K372" s="9">
        <f t="shared" si="27"/>
        <v>119.136204</v>
      </c>
      <c r="L372" s="9">
        <f t="shared" si="28"/>
        <v>151.627896</v>
      </c>
      <c r="M372" s="9">
        <f t="shared" si="29"/>
        <v>184.119588</v>
      </c>
    </row>
    <row r="373" ht="40.5" spans="2:13">
      <c r="B373" t="s">
        <v>753</v>
      </c>
      <c r="C373" s="4" t="s">
        <v>754</v>
      </c>
      <c r="D373" s="4" t="s">
        <v>754</v>
      </c>
      <c r="E373" s="4" t="s">
        <v>754</v>
      </c>
      <c r="F373" s="4" t="s">
        <v>754</v>
      </c>
      <c r="G373" s="5">
        <v>203.29416</v>
      </c>
      <c r="H373" s="9"/>
      <c r="I373" s="9">
        <f t="shared" si="25"/>
        <v>95.5482552</v>
      </c>
      <c r="J373" s="9">
        <f t="shared" si="26"/>
        <v>101.64708</v>
      </c>
      <c r="K373" s="9">
        <f t="shared" si="27"/>
        <v>111.811788</v>
      </c>
      <c r="L373" s="9">
        <f t="shared" si="28"/>
        <v>142.305912</v>
      </c>
      <c r="M373" s="9">
        <f t="shared" si="29"/>
        <v>172.800036</v>
      </c>
    </row>
    <row r="374" ht="27" spans="2:13">
      <c r="B374" t="s">
        <v>755</v>
      </c>
      <c r="C374" s="4" t="s">
        <v>756</v>
      </c>
      <c r="D374" s="4" t="s">
        <v>756</v>
      </c>
      <c r="E374" s="4" t="s">
        <v>756</v>
      </c>
      <c r="F374" s="4" t="s">
        <v>756</v>
      </c>
      <c r="G374" s="5">
        <v>240.8526</v>
      </c>
      <c r="H374" s="9"/>
      <c r="I374" s="9">
        <f t="shared" si="25"/>
        <v>113.200722</v>
      </c>
      <c r="J374" s="9">
        <f t="shared" si="26"/>
        <v>120.4263</v>
      </c>
      <c r="K374" s="9">
        <f t="shared" si="27"/>
        <v>132.46893</v>
      </c>
      <c r="L374" s="9">
        <f t="shared" si="28"/>
        <v>168.59682</v>
      </c>
      <c r="M374" s="9">
        <f t="shared" si="29"/>
        <v>204.72471</v>
      </c>
    </row>
    <row r="375" ht="27" spans="2:13">
      <c r="B375" t="s">
        <v>757</v>
      </c>
      <c r="C375" s="4" t="s">
        <v>758</v>
      </c>
      <c r="D375" s="4" t="s">
        <v>758</v>
      </c>
      <c r="E375" s="4" t="s">
        <v>758</v>
      </c>
      <c r="F375" s="4" t="s">
        <v>758</v>
      </c>
      <c r="G375" s="5">
        <v>232.73748</v>
      </c>
      <c r="H375" s="9"/>
      <c r="I375" s="9">
        <f t="shared" si="25"/>
        <v>109.3866156</v>
      </c>
      <c r="J375" s="9">
        <f t="shared" si="26"/>
        <v>116.36874</v>
      </c>
      <c r="K375" s="9">
        <f t="shared" si="27"/>
        <v>128.005614</v>
      </c>
      <c r="L375" s="9">
        <f t="shared" si="28"/>
        <v>162.916236</v>
      </c>
      <c r="M375" s="9">
        <f t="shared" si="29"/>
        <v>197.826858</v>
      </c>
    </row>
    <row r="376" ht="27" spans="2:13">
      <c r="B376" t="s">
        <v>759</v>
      </c>
      <c r="C376" s="4" t="s">
        <v>760</v>
      </c>
      <c r="D376" s="4" t="s">
        <v>760</v>
      </c>
      <c r="E376" s="4" t="s">
        <v>760</v>
      </c>
      <c r="F376" s="4" t="s">
        <v>760</v>
      </c>
      <c r="G376" s="5">
        <v>194.1723</v>
      </c>
      <c r="H376" s="9"/>
      <c r="I376" s="9">
        <f t="shared" si="25"/>
        <v>91.260981</v>
      </c>
      <c r="J376" s="9">
        <f t="shared" si="26"/>
        <v>97.08615</v>
      </c>
      <c r="K376" s="9">
        <f t="shared" si="27"/>
        <v>106.794765</v>
      </c>
      <c r="L376" s="9">
        <f t="shared" si="28"/>
        <v>135.92061</v>
      </c>
      <c r="M376" s="9">
        <f t="shared" si="29"/>
        <v>165.046455</v>
      </c>
    </row>
    <row r="377" spans="2:13">
      <c r="B377" t="s">
        <v>761</v>
      </c>
      <c r="C377" s="4" t="s">
        <v>762</v>
      </c>
      <c r="D377" s="4" t="s">
        <v>762</v>
      </c>
      <c r="E377" s="4" t="s">
        <v>762</v>
      </c>
      <c r="F377" s="4" t="s">
        <v>762</v>
      </c>
      <c r="G377" s="5">
        <v>11.9952</v>
      </c>
      <c r="H377" s="9"/>
      <c r="I377" s="9">
        <f t="shared" si="25"/>
        <v>5.637744</v>
      </c>
      <c r="J377" s="9">
        <f t="shared" si="26"/>
        <v>5.9976</v>
      </c>
      <c r="K377" s="9">
        <f t="shared" si="27"/>
        <v>6.59736</v>
      </c>
      <c r="L377" s="9">
        <f t="shared" si="28"/>
        <v>8.39664</v>
      </c>
      <c r="M377" s="9">
        <f t="shared" si="29"/>
        <v>10.19592</v>
      </c>
    </row>
    <row r="378" ht="27" spans="2:13">
      <c r="B378" t="s">
        <v>763</v>
      </c>
      <c r="C378" s="4" t="s">
        <v>764</v>
      </c>
      <c r="D378" s="4" t="s">
        <v>764</v>
      </c>
      <c r="E378" s="4" t="s">
        <v>764</v>
      </c>
      <c r="F378" s="4" t="s">
        <v>764</v>
      </c>
      <c r="G378" s="5">
        <v>97.2774</v>
      </c>
      <c r="H378" s="9"/>
      <c r="I378" s="9">
        <f t="shared" si="25"/>
        <v>45.720378</v>
      </c>
      <c r="J378" s="9">
        <f t="shared" si="26"/>
        <v>48.6387</v>
      </c>
      <c r="K378" s="9">
        <f t="shared" si="27"/>
        <v>53.50257</v>
      </c>
      <c r="L378" s="9">
        <f t="shared" si="28"/>
        <v>68.09418</v>
      </c>
      <c r="M378" s="9">
        <f t="shared" si="29"/>
        <v>82.68579</v>
      </c>
    </row>
    <row r="379" ht="27" spans="2:13">
      <c r="B379" t="s">
        <v>765</v>
      </c>
      <c r="C379" s="4" t="s">
        <v>766</v>
      </c>
      <c r="D379" s="4" t="s">
        <v>766</v>
      </c>
      <c r="E379" s="4" t="s">
        <v>766</v>
      </c>
      <c r="F379" s="4" t="s">
        <v>766</v>
      </c>
      <c r="G379" s="5">
        <v>88.7502</v>
      </c>
      <c r="H379" s="9"/>
      <c r="I379" s="9">
        <f t="shared" si="25"/>
        <v>41.712594</v>
      </c>
      <c r="J379" s="9">
        <f t="shared" si="26"/>
        <v>44.3751</v>
      </c>
      <c r="K379" s="9">
        <f t="shared" si="27"/>
        <v>48.81261</v>
      </c>
      <c r="L379" s="9">
        <f t="shared" si="28"/>
        <v>62.12514</v>
      </c>
      <c r="M379" s="9">
        <f t="shared" si="29"/>
        <v>75.43767</v>
      </c>
    </row>
    <row r="380" ht="27" spans="2:13">
      <c r="B380" t="s">
        <v>767</v>
      </c>
      <c r="C380" s="4" t="s">
        <v>768</v>
      </c>
      <c r="D380" s="4" t="s">
        <v>768</v>
      </c>
      <c r="E380" s="4" t="s">
        <v>768</v>
      </c>
      <c r="F380" s="4" t="s">
        <v>768</v>
      </c>
      <c r="G380" s="5">
        <v>61.69572</v>
      </c>
      <c r="H380" s="9"/>
      <c r="I380" s="9">
        <f t="shared" si="25"/>
        <v>28.9969884</v>
      </c>
      <c r="J380" s="9">
        <f t="shared" si="26"/>
        <v>30.84786</v>
      </c>
      <c r="K380" s="9">
        <f t="shared" si="27"/>
        <v>33.932646</v>
      </c>
      <c r="L380" s="9">
        <f t="shared" si="28"/>
        <v>43.187004</v>
      </c>
      <c r="M380" s="9">
        <f t="shared" si="29"/>
        <v>52.441362</v>
      </c>
    </row>
    <row r="381" ht="27" spans="2:13">
      <c r="B381" t="s">
        <v>769</v>
      </c>
      <c r="C381" s="4" t="s">
        <v>770</v>
      </c>
      <c r="D381" s="4" t="s">
        <v>770</v>
      </c>
      <c r="E381" s="4" t="s">
        <v>770</v>
      </c>
      <c r="F381" s="4" t="s">
        <v>770</v>
      </c>
      <c r="G381" s="5">
        <v>77.1834</v>
      </c>
      <c r="H381" s="9"/>
      <c r="I381" s="9">
        <f t="shared" si="25"/>
        <v>36.276198</v>
      </c>
      <c r="J381" s="9">
        <f t="shared" si="26"/>
        <v>38.5917</v>
      </c>
      <c r="K381" s="9">
        <f t="shared" si="27"/>
        <v>42.45087</v>
      </c>
      <c r="L381" s="9">
        <f t="shared" si="28"/>
        <v>54.02838</v>
      </c>
      <c r="M381" s="9">
        <f t="shared" si="29"/>
        <v>65.60589</v>
      </c>
    </row>
    <row r="382" ht="40.5" spans="2:13">
      <c r="B382" t="s">
        <v>771</v>
      </c>
      <c r="C382" s="4" t="s">
        <v>772</v>
      </c>
      <c r="D382" s="4" t="s">
        <v>772</v>
      </c>
      <c r="E382" s="4" t="s">
        <v>772</v>
      </c>
      <c r="F382" s="4" t="s">
        <v>772</v>
      </c>
      <c r="G382" s="5">
        <v>69.5589</v>
      </c>
      <c r="H382" s="9"/>
      <c r="I382" s="9">
        <f t="shared" si="25"/>
        <v>32.692683</v>
      </c>
      <c r="J382" s="9">
        <f t="shared" si="26"/>
        <v>34.77945</v>
      </c>
      <c r="K382" s="9">
        <f t="shared" si="27"/>
        <v>38.257395</v>
      </c>
      <c r="L382" s="9">
        <f t="shared" si="28"/>
        <v>48.69123</v>
      </c>
      <c r="M382" s="9">
        <f t="shared" si="29"/>
        <v>59.125065</v>
      </c>
    </row>
    <row r="383" ht="27" spans="2:13">
      <c r="B383" t="s">
        <v>773</v>
      </c>
      <c r="C383" s="4" t="s">
        <v>774</v>
      </c>
      <c r="D383" s="4" t="s">
        <v>774</v>
      </c>
      <c r="E383" s="4" t="s">
        <v>774</v>
      </c>
      <c r="F383" s="4" t="s">
        <v>774</v>
      </c>
      <c r="G383" s="5">
        <v>61.69572</v>
      </c>
      <c r="H383" s="9"/>
      <c r="I383" s="9">
        <f t="shared" si="25"/>
        <v>28.9969884</v>
      </c>
      <c r="J383" s="9">
        <f t="shared" si="26"/>
        <v>30.84786</v>
      </c>
      <c r="K383" s="9">
        <f t="shared" si="27"/>
        <v>33.932646</v>
      </c>
      <c r="L383" s="9">
        <f t="shared" si="28"/>
        <v>43.187004</v>
      </c>
      <c r="M383" s="9">
        <f t="shared" si="29"/>
        <v>52.441362</v>
      </c>
    </row>
    <row r="384" ht="27" spans="2:13">
      <c r="B384" t="s">
        <v>775</v>
      </c>
      <c r="C384" s="4" t="s">
        <v>776</v>
      </c>
      <c r="D384" s="4" t="s">
        <v>776</v>
      </c>
      <c r="E384" s="4" t="s">
        <v>776</v>
      </c>
      <c r="F384" s="4" t="s">
        <v>776</v>
      </c>
      <c r="G384" s="5">
        <v>90.41076</v>
      </c>
      <c r="H384" s="9"/>
      <c r="I384" s="9">
        <f t="shared" si="25"/>
        <v>42.4930572</v>
      </c>
      <c r="J384" s="9">
        <f t="shared" si="26"/>
        <v>45.20538</v>
      </c>
      <c r="K384" s="9">
        <f t="shared" si="27"/>
        <v>49.725918</v>
      </c>
      <c r="L384" s="9">
        <f t="shared" si="28"/>
        <v>63.287532</v>
      </c>
      <c r="M384" s="9">
        <f t="shared" si="29"/>
        <v>76.849146</v>
      </c>
    </row>
    <row r="385" ht="27" spans="2:13">
      <c r="B385" t="s">
        <v>777</v>
      </c>
      <c r="C385" s="4" t="s">
        <v>778</v>
      </c>
      <c r="D385" s="4" t="s">
        <v>778</v>
      </c>
      <c r="E385" s="4" t="s">
        <v>778</v>
      </c>
      <c r="F385" s="4" t="s">
        <v>778</v>
      </c>
      <c r="G385" s="5">
        <v>99.98244</v>
      </c>
      <c r="H385" s="9"/>
      <c r="I385" s="9">
        <f t="shared" si="25"/>
        <v>46.9917468</v>
      </c>
      <c r="J385" s="9">
        <f t="shared" si="26"/>
        <v>49.99122</v>
      </c>
      <c r="K385" s="9">
        <f t="shared" si="27"/>
        <v>54.990342</v>
      </c>
      <c r="L385" s="9">
        <f t="shared" si="28"/>
        <v>69.987708</v>
      </c>
      <c r="M385" s="9">
        <f t="shared" si="29"/>
        <v>84.985074</v>
      </c>
    </row>
    <row r="386" ht="27" spans="2:13">
      <c r="B386" t="s">
        <v>779</v>
      </c>
      <c r="C386" s="4" t="s">
        <v>780</v>
      </c>
      <c r="D386" s="4" t="s">
        <v>780</v>
      </c>
      <c r="E386" s="4" t="s">
        <v>780</v>
      </c>
      <c r="F386" s="4" t="s">
        <v>780</v>
      </c>
      <c r="G386" s="5">
        <v>223.37388</v>
      </c>
      <c r="H386" s="9"/>
      <c r="I386" s="9">
        <f t="shared" si="25"/>
        <v>104.9857236</v>
      </c>
      <c r="J386" s="9">
        <f t="shared" si="26"/>
        <v>111.68694</v>
      </c>
      <c r="K386" s="9">
        <f t="shared" si="27"/>
        <v>122.855634</v>
      </c>
      <c r="L386" s="9">
        <f t="shared" si="28"/>
        <v>156.361716</v>
      </c>
      <c r="M386" s="9">
        <f t="shared" si="29"/>
        <v>189.867798</v>
      </c>
    </row>
    <row r="387" ht="27" spans="2:13">
      <c r="B387" t="s">
        <v>781</v>
      </c>
      <c r="C387" s="4" t="s">
        <v>782</v>
      </c>
      <c r="D387" s="4" t="s">
        <v>782</v>
      </c>
      <c r="E387" s="4" t="s">
        <v>782</v>
      </c>
      <c r="F387" s="4" t="s">
        <v>782</v>
      </c>
      <c r="G387" s="5">
        <v>123.18336</v>
      </c>
      <c r="H387" s="9"/>
      <c r="I387" s="9">
        <f t="shared" ref="I387:I450" si="30">G387*0.47</f>
        <v>57.8961792</v>
      </c>
      <c r="J387" s="9">
        <f t="shared" ref="J387:J450" si="31">G387*0.5</f>
        <v>61.59168</v>
      </c>
      <c r="K387" s="9">
        <f t="shared" ref="K387:K450" si="32">G387*0.55</f>
        <v>67.750848</v>
      </c>
      <c r="L387" s="9">
        <f t="shared" ref="L387:L450" si="33">G387*0.7</f>
        <v>86.228352</v>
      </c>
      <c r="M387" s="9">
        <f t="shared" ref="M387:M450" si="34">G387*0.85</f>
        <v>104.705856</v>
      </c>
    </row>
    <row r="388" ht="27" spans="2:13">
      <c r="B388" t="s">
        <v>783</v>
      </c>
      <c r="C388" s="4" t="s">
        <v>784</v>
      </c>
      <c r="D388" s="4" t="s">
        <v>784</v>
      </c>
      <c r="E388" s="4" t="s">
        <v>784</v>
      </c>
      <c r="F388" s="4" t="s">
        <v>784</v>
      </c>
      <c r="G388" s="5">
        <v>102.79152</v>
      </c>
      <c r="H388" s="9"/>
      <c r="I388" s="9">
        <f t="shared" si="30"/>
        <v>48.3120144</v>
      </c>
      <c r="J388" s="9">
        <f t="shared" si="31"/>
        <v>51.39576</v>
      </c>
      <c r="K388" s="9">
        <f t="shared" si="32"/>
        <v>56.535336</v>
      </c>
      <c r="L388" s="9">
        <f t="shared" si="33"/>
        <v>71.954064</v>
      </c>
      <c r="M388" s="9">
        <f t="shared" si="34"/>
        <v>87.372792</v>
      </c>
    </row>
    <row r="389" ht="54" spans="2:13">
      <c r="B389" t="s">
        <v>785</v>
      </c>
      <c r="C389" s="4" t="s">
        <v>786</v>
      </c>
      <c r="D389" s="4" t="s">
        <v>786</v>
      </c>
      <c r="E389" s="4" t="s">
        <v>786</v>
      </c>
      <c r="F389" s="4" t="s">
        <v>786</v>
      </c>
      <c r="G389" s="5">
        <v>6.86664</v>
      </c>
      <c r="H389" s="9"/>
      <c r="I389" s="9">
        <f t="shared" si="30"/>
        <v>3.2273208</v>
      </c>
      <c r="J389" s="9">
        <f t="shared" si="31"/>
        <v>3.43332</v>
      </c>
      <c r="K389" s="9">
        <f t="shared" si="32"/>
        <v>3.776652</v>
      </c>
      <c r="L389" s="9">
        <f t="shared" si="33"/>
        <v>4.806648</v>
      </c>
      <c r="M389" s="9">
        <f t="shared" si="34"/>
        <v>5.836644</v>
      </c>
    </row>
    <row r="390" spans="2:13">
      <c r="B390" t="s">
        <v>787</v>
      </c>
      <c r="C390" s="4" t="s">
        <v>788</v>
      </c>
      <c r="D390" s="4" t="s">
        <v>788</v>
      </c>
      <c r="E390" s="4" t="s">
        <v>788</v>
      </c>
      <c r="F390" s="4" t="s">
        <v>788</v>
      </c>
      <c r="G390" s="5">
        <v>24.03324</v>
      </c>
      <c r="H390" s="9"/>
      <c r="I390" s="9">
        <f t="shared" si="30"/>
        <v>11.2956228</v>
      </c>
      <c r="J390" s="9">
        <f t="shared" si="31"/>
        <v>12.01662</v>
      </c>
      <c r="K390" s="9">
        <f t="shared" si="32"/>
        <v>13.218282</v>
      </c>
      <c r="L390" s="9">
        <f t="shared" si="33"/>
        <v>16.823268</v>
      </c>
      <c r="M390" s="9">
        <f t="shared" si="34"/>
        <v>20.428254</v>
      </c>
    </row>
    <row r="391" ht="27" spans="2:13">
      <c r="B391" t="s">
        <v>789</v>
      </c>
      <c r="C391" s="4" t="s">
        <v>790</v>
      </c>
      <c r="D391" s="4" t="s">
        <v>790</v>
      </c>
      <c r="E391" s="4" t="s">
        <v>790</v>
      </c>
      <c r="F391" s="4" t="s">
        <v>790</v>
      </c>
      <c r="G391" s="5">
        <v>36.363</v>
      </c>
      <c r="H391" s="9"/>
      <c r="I391" s="9">
        <f t="shared" si="30"/>
        <v>17.09061</v>
      </c>
      <c r="J391" s="9">
        <f t="shared" si="31"/>
        <v>18.1815</v>
      </c>
      <c r="K391" s="9">
        <f t="shared" si="32"/>
        <v>19.99965</v>
      </c>
      <c r="L391" s="9">
        <f t="shared" si="33"/>
        <v>25.4541</v>
      </c>
      <c r="M391" s="9">
        <f t="shared" si="34"/>
        <v>30.90855</v>
      </c>
    </row>
    <row r="392" ht="27" spans="2:13">
      <c r="B392" t="s">
        <v>791</v>
      </c>
      <c r="C392" s="4" t="s">
        <v>792</v>
      </c>
      <c r="D392" s="4" t="s">
        <v>792</v>
      </c>
      <c r="E392" s="4" t="s">
        <v>792</v>
      </c>
      <c r="F392" s="4" t="s">
        <v>792</v>
      </c>
      <c r="G392" s="5">
        <v>219.31632</v>
      </c>
      <c r="H392" s="9"/>
      <c r="I392" s="9">
        <f t="shared" si="30"/>
        <v>103.0786704</v>
      </c>
      <c r="J392" s="9">
        <f t="shared" si="31"/>
        <v>109.65816</v>
      </c>
      <c r="K392" s="9">
        <f t="shared" si="32"/>
        <v>120.623976</v>
      </c>
      <c r="L392" s="9">
        <f t="shared" si="33"/>
        <v>153.521424</v>
      </c>
      <c r="M392" s="9">
        <f t="shared" si="34"/>
        <v>186.418872</v>
      </c>
    </row>
    <row r="393" ht="27" spans="2:13">
      <c r="B393" t="s">
        <v>793</v>
      </c>
      <c r="C393" s="4" t="s">
        <v>794</v>
      </c>
      <c r="D393" s="4" t="s">
        <v>794</v>
      </c>
      <c r="E393" s="4" t="s">
        <v>794</v>
      </c>
      <c r="F393" s="4" t="s">
        <v>794</v>
      </c>
      <c r="G393" s="5">
        <v>273.83328</v>
      </c>
      <c r="H393" s="9"/>
      <c r="I393" s="9">
        <f t="shared" si="30"/>
        <v>128.7016416</v>
      </c>
      <c r="J393" s="9">
        <f t="shared" si="31"/>
        <v>136.91664</v>
      </c>
      <c r="K393" s="9">
        <f t="shared" si="32"/>
        <v>150.608304</v>
      </c>
      <c r="L393" s="9">
        <f t="shared" si="33"/>
        <v>191.683296</v>
      </c>
      <c r="M393" s="9">
        <f t="shared" si="34"/>
        <v>232.758288</v>
      </c>
    </row>
    <row r="394" ht="27" spans="2:13">
      <c r="B394" t="s">
        <v>795</v>
      </c>
      <c r="C394" s="4" t="s">
        <v>796</v>
      </c>
      <c r="D394" s="4" t="s">
        <v>796</v>
      </c>
      <c r="E394" s="4" t="s">
        <v>796</v>
      </c>
      <c r="F394" s="4" t="s">
        <v>796</v>
      </c>
      <c r="G394" s="5">
        <v>1139.238</v>
      </c>
      <c r="H394" s="9"/>
      <c r="I394" s="9">
        <f t="shared" si="30"/>
        <v>535.44186</v>
      </c>
      <c r="J394" s="9">
        <f t="shared" si="31"/>
        <v>569.619</v>
      </c>
      <c r="K394" s="9">
        <f t="shared" si="32"/>
        <v>626.5809</v>
      </c>
      <c r="L394" s="9">
        <f t="shared" si="33"/>
        <v>797.4666</v>
      </c>
      <c r="M394" s="9">
        <f t="shared" si="34"/>
        <v>968.3523</v>
      </c>
    </row>
    <row r="395" ht="27" spans="2:13">
      <c r="B395" t="s">
        <v>797</v>
      </c>
      <c r="C395" s="4" t="s">
        <v>798</v>
      </c>
      <c r="D395" s="4" t="s">
        <v>798</v>
      </c>
      <c r="E395" s="4" t="s">
        <v>798</v>
      </c>
      <c r="F395" s="4" t="s">
        <v>798</v>
      </c>
      <c r="G395" s="5">
        <v>662.11056</v>
      </c>
      <c r="H395" s="9"/>
      <c r="I395" s="9">
        <f t="shared" si="30"/>
        <v>311.1919632</v>
      </c>
      <c r="J395" s="9">
        <f t="shared" si="31"/>
        <v>331.05528</v>
      </c>
      <c r="K395" s="9">
        <f t="shared" si="32"/>
        <v>364.160808</v>
      </c>
      <c r="L395" s="9">
        <f t="shared" si="33"/>
        <v>463.477392</v>
      </c>
      <c r="M395" s="9">
        <f t="shared" si="34"/>
        <v>562.793976</v>
      </c>
    </row>
    <row r="396" ht="27" spans="2:13">
      <c r="B396" t="s">
        <v>799</v>
      </c>
      <c r="C396" s="4" t="s">
        <v>798</v>
      </c>
      <c r="D396" s="4" t="s">
        <v>798</v>
      </c>
      <c r="E396" s="4" t="s">
        <v>798</v>
      </c>
      <c r="F396" s="4" t="s">
        <v>798</v>
      </c>
      <c r="G396" s="5">
        <v>770.9364</v>
      </c>
      <c r="H396" s="9"/>
      <c r="I396" s="9">
        <f t="shared" si="30"/>
        <v>362.340108</v>
      </c>
      <c r="J396" s="9">
        <f t="shared" si="31"/>
        <v>385.4682</v>
      </c>
      <c r="K396" s="9">
        <f t="shared" si="32"/>
        <v>424.01502</v>
      </c>
      <c r="L396" s="9">
        <f t="shared" si="33"/>
        <v>539.65548</v>
      </c>
      <c r="M396" s="9">
        <f t="shared" si="34"/>
        <v>655.29594</v>
      </c>
    </row>
    <row r="397" ht="27" spans="2:13">
      <c r="B397" t="s">
        <v>800</v>
      </c>
      <c r="C397" s="4" t="s">
        <v>801</v>
      </c>
      <c r="D397" s="4" t="s">
        <v>801</v>
      </c>
      <c r="E397" s="4" t="s">
        <v>801</v>
      </c>
      <c r="F397" s="4" t="s">
        <v>801</v>
      </c>
      <c r="G397" s="5">
        <v>809.74332</v>
      </c>
      <c r="H397" s="9"/>
      <c r="I397" s="9">
        <f t="shared" si="30"/>
        <v>380.5793604</v>
      </c>
      <c r="J397" s="9">
        <f t="shared" si="31"/>
        <v>404.87166</v>
      </c>
      <c r="K397" s="9">
        <f t="shared" si="32"/>
        <v>445.358826</v>
      </c>
      <c r="L397" s="9">
        <f t="shared" si="33"/>
        <v>566.820324</v>
      </c>
      <c r="M397" s="9">
        <f t="shared" si="34"/>
        <v>688.281822</v>
      </c>
    </row>
    <row r="398" ht="27" spans="2:13">
      <c r="B398" t="s">
        <v>802</v>
      </c>
      <c r="C398" s="4" t="s">
        <v>801</v>
      </c>
      <c r="D398" s="4" t="s">
        <v>801</v>
      </c>
      <c r="E398" s="4" t="s">
        <v>801</v>
      </c>
      <c r="F398" s="4" t="s">
        <v>801</v>
      </c>
      <c r="G398" s="5">
        <v>957.06396</v>
      </c>
      <c r="H398" s="9"/>
      <c r="I398" s="9">
        <f t="shared" si="30"/>
        <v>449.8200612</v>
      </c>
      <c r="J398" s="9">
        <f t="shared" si="31"/>
        <v>478.53198</v>
      </c>
      <c r="K398" s="9">
        <f t="shared" si="32"/>
        <v>526.385178</v>
      </c>
      <c r="L398" s="9">
        <f t="shared" si="33"/>
        <v>669.944772</v>
      </c>
      <c r="M398" s="9">
        <f t="shared" si="34"/>
        <v>813.504366</v>
      </c>
    </row>
    <row r="399" ht="27" spans="2:13">
      <c r="B399" t="s">
        <v>803</v>
      </c>
      <c r="C399" s="4" t="s">
        <v>804</v>
      </c>
      <c r="D399" s="4" t="s">
        <v>804</v>
      </c>
      <c r="E399" s="4" t="s">
        <v>804</v>
      </c>
      <c r="F399" s="4" t="s">
        <v>804</v>
      </c>
      <c r="G399" s="5">
        <v>100.725</v>
      </c>
      <c r="H399" s="9"/>
      <c r="I399" s="9">
        <f t="shared" si="30"/>
        <v>47.34075</v>
      </c>
      <c r="J399" s="9">
        <f t="shared" si="31"/>
        <v>50.3625</v>
      </c>
      <c r="K399" s="9">
        <f t="shared" si="32"/>
        <v>55.39875</v>
      </c>
      <c r="L399" s="9">
        <f t="shared" si="33"/>
        <v>70.5075</v>
      </c>
      <c r="M399" s="9">
        <f t="shared" si="34"/>
        <v>85.61625</v>
      </c>
    </row>
    <row r="400" spans="2:13">
      <c r="B400" t="s">
        <v>805</v>
      </c>
      <c r="C400" s="4" t="s">
        <v>806</v>
      </c>
      <c r="D400" s="4" t="s">
        <v>806</v>
      </c>
      <c r="E400" s="4" t="s">
        <v>806</v>
      </c>
      <c r="F400" s="4" t="s">
        <v>806</v>
      </c>
      <c r="G400" s="5">
        <v>201.45</v>
      </c>
      <c r="H400" s="9"/>
      <c r="I400" s="9">
        <f t="shared" si="30"/>
        <v>94.6815</v>
      </c>
      <c r="J400" s="9">
        <f t="shared" si="31"/>
        <v>100.725</v>
      </c>
      <c r="K400" s="9">
        <f t="shared" si="32"/>
        <v>110.7975</v>
      </c>
      <c r="L400" s="9">
        <f t="shared" si="33"/>
        <v>141.015</v>
      </c>
      <c r="M400" s="9">
        <f t="shared" si="34"/>
        <v>171.2325</v>
      </c>
    </row>
    <row r="401" spans="2:13">
      <c r="B401" t="s">
        <v>807</v>
      </c>
      <c r="C401" s="4" t="s">
        <v>808</v>
      </c>
      <c r="D401" s="4" t="s">
        <v>808</v>
      </c>
      <c r="E401" s="4" t="s">
        <v>808</v>
      </c>
      <c r="F401" s="4" t="s">
        <v>808</v>
      </c>
      <c r="G401" s="5">
        <v>302.175</v>
      </c>
      <c r="H401" s="9"/>
      <c r="I401" s="9">
        <f t="shared" si="30"/>
        <v>142.02225</v>
      </c>
      <c r="J401" s="9">
        <f t="shared" si="31"/>
        <v>151.0875</v>
      </c>
      <c r="K401" s="9">
        <f t="shared" si="32"/>
        <v>166.19625</v>
      </c>
      <c r="L401" s="9">
        <f t="shared" si="33"/>
        <v>211.5225</v>
      </c>
      <c r="M401" s="9">
        <f t="shared" si="34"/>
        <v>256.84875</v>
      </c>
    </row>
    <row r="402" ht="27" spans="2:13">
      <c r="B402" t="s">
        <v>809</v>
      </c>
      <c r="C402" s="4" t="s">
        <v>810</v>
      </c>
      <c r="D402" s="4" t="s">
        <v>810</v>
      </c>
      <c r="E402" s="4" t="s">
        <v>810</v>
      </c>
      <c r="F402" s="4" t="s">
        <v>810</v>
      </c>
      <c r="G402" s="5">
        <v>113.1</v>
      </c>
      <c r="H402" s="9"/>
      <c r="I402" s="9">
        <f t="shared" si="30"/>
        <v>53.157</v>
      </c>
      <c r="J402" s="9">
        <f t="shared" si="31"/>
        <v>56.55</v>
      </c>
      <c r="K402" s="9">
        <f t="shared" si="32"/>
        <v>62.205</v>
      </c>
      <c r="L402" s="9">
        <f t="shared" si="33"/>
        <v>79.17</v>
      </c>
      <c r="M402" s="9">
        <f t="shared" si="34"/>
        <v>96.135</v>
      </c>
    </row>
    <row r="403" ht="27" spans="2:13">
      <c r="B403" t="s">
        <v>811</v>
      </c>
      <c r="C403" s="4" t="s">
        <v>812</v>
      </c>
      <c r="D403" s="4" t="s">
        <v>812</v>
      </c>
      <c r="E403" s="4" t="s">
        <v>812</v>
      </c>
      <c r="F403" s="4" t="s">
        <v>812</v>
      </c>
      <c r="G403" s="5">
        <v>100.725</v>
      </c>
      <c r="H403" s="9"/>
      <c r="I403" s="9">
        <f t="shared" si="30"/>
        <v>47.34075</v>
      </c>
      <c r="J403" s="9">
        <f t="shared" si="31"/>
        <v>50.3625</v>
      </c>
      <c r="K403" s="9">
        <f t="shared" si="32"/>
        <v>55.39875</v>
      </c>
      <c r="L403" s="9">
        <f t="shared" si="33"/>
        <v>70.5075</v>
      </c>
      <c r="M403" s="9">
        <f t="shared" si="34"/>
        <v>85.61625</v>
      </c>
    </row>
    <row r="404" spans="2:13">
      <c r="B404" t="s">
        <v>813</v>
      </c>
      <c r="C404" s="4" t="s">
        <v>814</v>
      </c>
      <c r="D404" s="4" t="s">
        <v>814</v>
      </c>
      <c r="E404" s="4" t="s">
        <v>814</v>
      </c>
      <c r="F404" s="4" t="s">
        <v>814</v>
      </c>
      <c r="G404" s="5">
        <v>201.45</v>
      </c>
      <c r="H404" s="9"/>
      <c r="I404" s="9">
        <f t="shared" si="30"/>
        <v>94.6815</v>
      </c>
      <c r="J404" s="9">
        <f t="shared" si="31"/>
        <v>100.725</v>
      </c>
      <c r="K404" s="9">
        <f t="shared" si="32"/>
        <v>110.7975</v>
      </c>
      <c r="L404" s="9">
        <f t="shared" si="33"/>
        <v>141.015</v>
      </c>
      <c r="M404" s="9">
        <f t="shared" si="34"/>
        <v>171.2325</v>
      </c>
    </row>
    <row r="405" spans="2:13">
      <c r="B405" t="s">
        <v>815</v>
      </c>
      <c r="C405" s="4" t="s">
        <v>816</v>
      </c>
      <c r="D405" s="4" t="s">
        <v>816</v>
      </c>
      <c r="E405" s="4" t="s">
        <v>816</v>
      </c>
      <c r="F405" s="4" t="s">
        <v>816</v>
      </c>
      <c r="G405" s="5">
        <v>302.175</v>
      </c>
      <c r="H405" s="9"/>
      <c r="I405" s="9">
        <f t="shared" si="30"/>
        <v>142.02225</v>
      </c>
      <c r="J405" s="9">
        <f t="shared" si="31"/>
        <v>151.0875</v>
      </c>
      <c r="K405" s="9">
        <f t="shared" si="32"/>
        <v>166.19625</v>
      </c>
      <c r="L405" s="9">
        <f t="shared" si="33"/>
        <v>211.5225</v>
      </c>
      <c r="M405" s="9">
        <f t="shared" si="34"/>
        <v>256.84875</v>
      </c>
    </row>
    <row r="406" ht="27" spans="2:13">
      <c r="B406" t="s">
        <v>817</v>
      </c>
      <c r="C406" s="4" t="s">
        <v>818</v>
      </c>
      <c r="D406" s="4" t="s">
        <v>818</v>
      </c>
      <c r="E406" s="4" t="s">
        <v>818</v>
      </c>
      <c r="F406" s="4" t="s">
        <v>818</v>
      </c>
      <c r="G406" s="5">
        <v>113.1</v>
      </c>
      <c r="H406" s="9"/>
      <c r="I406" s="9">
        <f t="shared" si="30"/>
        <v>53.157</v>
      </c>
      <c r="J406" s="9">
        <f t="shared" si="31"/>
        <v>56.55</v>
      </c>
      <c r="K406" s="9">
        <f t="shared" si="32"/>
        <v>62.205</v>
      </c>
      <c r="L406" s="9">
        <f t="shared" si="33"/>
        <v>79.17</v>
      </c>
      <c r="M406" s="9">
        <f t="shared" si="34"/>
        <v>96.135</v>
      </c>
    </row>
    <row r="407" spans="2:13">
      <c r="B407" t="s">
        <v>819</v>
      </c>
      <c r="C407" s="4" t="s">
        <v>820</v>
      </c>
      <c r="D407" s="4" t="s">
        <v>820</v>
      </c>
      <c r="E407" s="4" t="s">
        <v>820</v>
      </c>
      <c r="F407" s="4" t="s">
        <v>820</v>
      </c>
      <c r="G407" s="5">
        <v>31.2</v>
      </c>
      <c r="H407" s="9"/>
      <c r="I407" s="9">
        <f t="shared" si="30"/>
        <v>14.664</v>
      </c>
      <c r="J407" s="9">
        <f t="shared" si="31"/>
        <v>15.6</v>
      </c>
      <c r="K407" s="9">
        <f t="shared" si="32"/>
        <v>17.16</v>
      </c>
      <c r="L407" s="9">
        <f t="shared" si="33"/>
        <v>21.84</v>
      </c>
      <c r="M407" s="9">
        <f t="shared" si="34"/>
        <v>26.52</v>
      </c>
    </row>
    <row r="408" spans="2:13">
      <c r="B408" t="s">
        <v>821</v>
      </c>
      <c r="C408" s="4" t="s">
        <v>822</v>
      </c>
      <c r="D408" s="4" t="s">
        <v>822</v>
      </c>
      <c r="E408" s="4" t="s">
        <v>822</v>
      </c>
      <c r="F408" s="4" t="s">
        <v>822</v>
      </c>
      <c r="G408" s="5">
        <v>45.5312</v>
      </c>
      <c r="H408" s="9"/>
      <c r="I408" s="9">
        <f t="shared" si="30"/>
        <v>21.399664</v>
      </c>
      <c r="J408" s="9">
        <f t="shared" si="31"/>
        <v>22.7656</v>
      </c>
      <c r="K408" s="9">
        <f t="shared" si="32"/>
        <v>25.04216</v>
      </c>
      <c r="L408" s="9">
        <f t="shared" si="33"/>
        <v>31.87184</v>
      </c>
      <c r="M408" s="9">
        <f t="shared" si="34"/>
        <v>38.70152</v>
      </c>
    </row>
    <row r="409" spans="2:13">
      <c r="B409" t="s">
        <v>823</v>
      </c>
      <c r="C409" s="4" t="s">
        <v>824</v>
      </c>
      <c r="D409" s="4" t="s">
        <v>824</v>
      </c>
      <c r="E409" s="4" t="s">
        <v>824</v>
      </c>
      <c r="F409" s="4" t="s">
        <v>824</v>
      </c>
      <c r="G409" s="5">
        <v>49.15456</v>
      </c>
      <c r="H409" s="9"/>
      <c r="I409" s="9">
        <f t="shared" si="30"/>
        <v>23.1026432</v>
      </c>
      <c r="J409" s="9">
        <f t="shared" si="31"/>
        <v>24.57728</v>
      </c>
      <c r="K409" s="9">
        <f t="shared" si="32"/>
        <v>27.035008</v>
      </c>
      <c r="L409" s="9">
        <f t="shared" si="33"/>
        <v>34.408192</v>
      </c>
      <c r="M409" s="9">
        <f t="shared" si="34"/>
        <v>41.781376</v>
      </c>
    </row>
    <row r="410" spans="2:13">
      <c r="B410" t="s">
        <v>825</v>
      </c>
      <c r="C410" s="4" t="s">
        <v>826</v>
      </c>
      <c r="D410" s="4" t="s">
        <v>826</v>
      </c>
      <c r="E410" s="4" t="s">
        <v>826</v>
      </c>
      <c r="F410" s="4" t="s">
        <v>826</v>
      </c>
      <c r="G410" s="5">
        <v>45.5312</v>
      </c>
      <c r="H410" s="9"/>
      <c r="I410" s="9">
        <f t="shared" si="30"/>
        <v>21.399664</v>
      </c>
      <c r="J410" s="9">
        <f t="shared" si="31"/>
        <v>22.7656</v>
      </c>
      <c r="K410" s="9">
        <f t="shared" si="32"/>
        <v>25.04216</v>
      </c>
      <c r="L410" s="9">
        <f t="shared" si="33"/>
        <v>31.87184</v>
      </c>
      <c r="M410" s="9">
        <f t="shared" si="34"/>
        <v>38.70152</v>
      </c>
    </row>
    <row r="411" ht="27" spans="2:13">
      <c r="B411" t="s">
        <v>827</v>
      </c>
      <c r="C411" s="4" t="s">
        <v>828</v>
      </c>
      <c r="D411" s="4" t="s">
        <v>828</v>
      </c>
      <c r="E411" s="4" t="s">
        <v>828</v>
      </c>
      <c r="F411" s="4" t="s">
        <v>828</v>
      </c>
      <c r="G411" s="5">
        <v>668.814</v>
      </c>
      <c r="H411" s="9"/>
      <c r="I411" s="9">
        <f t="shared" si="30"/>
        <v>314.34258</v>
      </c>
      <c r="J411" s="9">
        <f t="shared" si="31"/>
        <v>334.407</v>
      </c>
      <c r="K411" s="9">
        <f t="shared" si="32"/>
        <v>367.8477</v>
      </c>
      <c r="L411" s="9">
        <f t="shared" si="33"/>
        <v>468.1698</v>
      </c>
      <c r="M411" s="9">
        <f t="shared" si="34"/>
        <v>568.4919</v>
      </c>
    </row>
    <row r="412" ht="27" spans="2:13">
      <c r="B412" t="s">
        <v>829</v>
      </c>
      <c r="C412" s="4" t="s">
        <v>830</v>
      </c>
      <c r="D412" s="4" t="s">
        <v>830</v>
      </c>
      <c r="E412" s="4" t="s">
        <v>830</v>
      </c>
      <c r="F412" s="4" t="s">
        <v>830</v>
      </c>
      <c r="G412" s="5">
        <v>632.4</v>
      </c>
      <c r="H412" s="9"/>
      <c r="I412" s="9">
        <f t="shared" si="30"/>
        <v>297.228</v>
      </c>
      <c r="J412" s="9">
        <f t="shared" si="31"/>
        <v>316.2</v>
      </c>
      <c r="K412" s="9">
        <f t="shared" si="32"/>
        <v>347.82</v>
      </c>
      <c r="L412" s="9">
        <f t="shared" si="33"/>
        <v>442.68</v>
      </c>
      <c r="M412" s="9">
        <f t="shared" si="34"/>
        <v>537.54</v>
      </c>
    </row>
    <row r="413" ht="27" spans="2:13">
      <c r="B413" t="s">
        <v>831</v>
      </c>
      <c r="C413" s="4" t="s">
        <v>832</v>
      </c>
      <c r="D413" s="4" t="s">
        <v>832</v>
      </c>
      <c r="E413" s="4" t="s">
        <v>832</v>
      </c>
      <c r="F413" s="4" t="s">
        <v>832</v>
      </c>
      <c r="G413" s="5">
        <v>717.57</v>
      </c>
      <c r="H413" s="9"/>
      <c r="I413" s="9">
        <f t="shared" si="30"/>
        <v>337.2579</v>
      </c>
      <c r="J413" s="9">
        <f t="shared" si="31"/>
        <v>358.785</v>
      </c>
      <c r="K413" s="9">
        <f t="shared" si="32"/>
        <v>394.6635</v>
      </c>
      <c r="L413" s="9">
        <f t="shared" si="33"/>
        <v>502.299</v>
      </c>
      <c r="M413" s="9">
        <f t="shared" si="34"/>
        <v>609.9345</v>
      </c>
    </row>
    <row r="414" ht="27" spans="2:13">
      <c r="B414" t="s">
        <v>833</v>
      </c>
      <c r="C414" s="4" t="s">
        <v>834</v>
      </c>
      <c r="D414" s="4" t="s">
        <v>834</v>
      </c>
      <c r="E414" s="4" t="s">
        <v>834</v>
      </c>
      <c r="F414" s="4" t="s">
        <v>834</v>
      </c>
      <c r="G414" s="5">
        <v>680.748</v>
      </c>
      <c r="H414" s="9"/>
      <c r="I414" s="9">
        <f t="shared" si="30"/>
        <v>319.95156</v>
      </c>
      <c r="J414" s="9">
        <f t="shared" si="31"/>
        <v>340.374</v>
      </c>
      <c r="K414" s="9">
        <f t="shared" si="32"/>
        <v>374.4114</v>
      </c>
      <c r="L414" s="9">
        <f t="shared" si="33"/>
        <v>476.5236</v>
      </c>
      <c r="M414" s="9">
        <f t="shared" si="34"/>
        <v>578.6358</v>
      </c>
    </row>
    <row r="415" ht="27" spans="2:13">
      <c r="B415" t="s">
        <v>835</v>
      </c>
      <c r="C415" s="4" t="s">
        <v>836</v>
      </c>
      <c r="D415" s="4" t="s">
        <v>836</v>
      </c>
      <c r="E415" s="4" t="s">
        <v>836</v>
      </c>
      <c r="F415" s="4" t="s">
        <v>836</v>
      </c>
      <c r="G415" s="5">
        <v>790.602</v>
      </c>
      <c r="H415" s="9"/>
      <c r="I415" s="9">
        <f t="shared" si="30"/>
        <v>371.58294</v>
      </c>
      <c r="J415" s="9">
        <f t="shared" si="31"/>
        <v>395.301</v>
      </c>
      <c r="K415" s="9">
        <f t="shared" si="32"/>
        <v>434.8311</v>
      </c>
      <c r="L415" s="9">
        <f t="shared" si="33"/>
        <v>553.4214</v>
      </c>
      <c r="M415" s="9">
        <f t="shared" si="34"/>
        <v>672.0117</v>
      </c>
    </row>
    <row r="416" ht="27" spans="2:13">
      <c r="B416" t="s">
        <v>837</v>
      </c>
      <c r="C416" s="4" t="s">
        <v>838</v>
      </c>
      <c r="D416" s="4" t="s">
        <v>838</v>
      </c>
      <c r="E416" s="4" t="s">
        <v>838</v>
      </c>
      <c r="F416" s="4" t="s">
        <v>838</v>
      </c>
      <c r="G416" s="5">
        <v>754.8</v>
      </c>
      <c r="H416" s="9"/>
      <c r="I416" s="9">
        <f t="shared" si="30"/>
        <v>354.756</v>
      </c>
      <c r="J416" s="9">
        <f t="shared" si="31"/>
        <v>377.4</v>
      </c>
      <c r="K416" s="9">
        <f t="shared" si="32"/>
        <v>415.14</v>
      </c>
      <c r="L416" s="9">
        <f t="shared" si="33"/>
        <v>528.36</v>
      </c>
      <c r="M416" s="9">
        <f t="shared" si="34"/>
        <v>641.58</v>
      </c>
    </row>
    <row r="417" ht="27" spans="2:13">
      <c r="B417" t="s">
        <v>839</v>
      </c>
      <c r="C417" s="4" t="s">
        <v>840</v>
      </c>
      <c r="D417" s="4" t="s">
        <v>840</v>
      </c>
      <c r="E417" s="4" t="s">
        <v>840</v>
      </c>
      <c r="F417" s="4" t="s">
        <v>840</v>
      </c>
      <c r="G417" s="5">
        <v>790.296</v>
      </c>
      <c r="H417" s="9"/>
      <c r="I417" s="9">
        <f t="shared" si="30"/>
        <v>371.43912</v>
      </c>
      <c r="J417" s="9">
        <f t="shared" si="31"/>
        <v>395.148</v>
      </c>
      <c r="K417" s="9">
        <f t="shared" si="32"/>
        <v>434.6628</v>
      </c>
      <c r="L417" s="9">
        <f t="shared" si="33"/>
        <v>553.2072</v>
      </c>
      <c r="M417" s="9">
        <f t="shared" si="34"/>
        <v>671.7516</v>
      </c>
    </row>
    <row r="418" ht="27" spans="2:13">
      <c r="B418" t="s">
        <v>841</v>
      </c>
      <c r="C418" s="4" t="s">
        <v>842</v>
      </c>
      <c r="D418" s="4" t="s">
        <v>842</v>
      </c>
      <c r="E418" s="4" t="s">
        <v>842</v>
      </c>
      <c r="F418" s="4" t="s">
        <v>842</v>
      </c>
      <c r="G418" s="5">
        <v>729.708</v>
      </c>
      <c r="H418" s="9"/>
      <c r="I418" s="9">
        <f t="shared" si="30"/>
        <v>342.96276</v>
      </c>
      <c r="J418" s="9">
        <f t="shared" si="31"/>
        <v>364.854</v>
      </c>
      <c r="K418" s="9">
        <f t="shared" si="32"/>
        <v>401.3394</v>
      </c>
      <c r="L418" s="9">
        <f t="shared" si="33"/>
        <v>510.7956</v>
      </c>
      <c r="M418" s="9">
        <f t="shared" si="34"/>
        <v>620.2518</v>
      </c>
    </row>
    <row r="419" ht="27" spans="2:13">
      <c r="B419" t="s">
        <v>843</v>
      </c>
      <c r="C419" s="4" t="s">
        <v>844</v>
      </c>
      <c r="D419" s="4" t="s">
        <v>844</v>
      </c>
      <c r="E419" s="4" t="s">
        <v>844</v>
      </c>
      <c r="F419" s="4" t="s">
        <v>844</v>
      </c>
      <c r="G419" s="5">
        <v>693.294</v>
      </c>
      <c r="H419" s="9"/>
      <c r="I419" s="9">
        <f t="shared" si="30"/>
        <v>325.84818</v>
      </c>
      <c r="J419" s="9">
        <f t="shared" si="31"/>
        <v>346.647</v>
      </c>
      <c r="K419" s="9">
        <f t="shared" si="32"/>
        <v>381.3117</v>
      </c>
      <c r="L419" s="9">
        <f t="shared" si="33"/>
        <v>485.3058</v>
      </c>
      <c r="M419" s="9">
        <f t="shared" si="34"/>
        <v>589.2999</v>
      </c>
    </row>
    <row r="420" ht="27" spans="2:13">
      <c r="B420" t="s">
        <v>845</v>
      </c>
      <c r="C420" s="4" t="s">
        <v>846</v>
      </c>
      <c r="D420" s="4" t="s">
        <v>846</v>
      </c>
      <c r="E420" s="4" t="s">
        <v>846</v>
      </c>
      <c r="F420" s="4" t="s">
        <v>846</v>
      </c>
      <c r="G420" s="5">
        <v>778.464</v>
      </c>
      <c r="H420" s="9"/>
      <c r="I420" s="9">
        <f t="shared" si="30"/>
        <v>365.87808</v>
      </c>
      <c r="J420" s="9">
        <f t="shared" si="31"/>
        <v>389.232</v>
      </c>
      <c r="K420" s="9">
        <f t="shared" si="32"/>
        <v>428.1552</v>
      </c>
      <c r="L420" s="9">
        <f t="shared" si="33"/>
        <v>544.9248</v>
      </c>
      <c r="M420" s="9">
        <f t="shared" si="34"/>
        <v>661.6944</v>
      </c>
    </row>
    <row r="421" ht="27" spans="2:13">
      <c r="B421" t="s">
        <v>847</v>
      </c>
      <c r="C421" s="4" t="s">
        <v>848</v>
      </c>
      <c r="D421" s="4" t="s">
        <v>848</v>
      </c>
      <c r="E421" s="4" t="s">
        <v>848</v>
      </c>
      <c r="F421" s="4" t="s">
        <v>848</v>
      </c>
      <c r="G421" s="5">
        <v>741.642</v>
      </c>
      <c r="H421" s="9"/>
      <c r="I421" s="9">
        <f t="shared" si="30"/>
        <v>348.57174</v>
      </c>
      <c r="J421" s="9">
        <f t="shared" si="31"/>
        <v>370.821</v>
      </c>
      <c r="K421" s="9">
        <f t="shared" si="32"/>
        <v>407.9031</v>
      </c>
      <c r="L421" s="9">
        <f t="shared" si="33"/>
        <v>519.1494</v>
      </c>
      <c r="M421" s="9">
        <f t="shared" si="34"/>
        <v>630.3957</v>
      </c>
    </row>
    <row r="422" ht="27" spans="2:13">
      <c r="B422" t="s">
        <v>849</v>
      </c>
      <c r="C422" s="4" t="s">
        <v>850</v>
      </c>
      <c r="D422" s="4" t="s">
        <v>850</v>
      </c>
      <c r="E422" s="4" t="s">
        <v>850</v>
      </c>
      <c r="F422" s="4" t="s">
        <v>850</v>
      </c>
      <c r="G422" s="5">
        <v>851.496</v>
      </c>
      <c r="H422" s="9"/>
      <c r="I422" s="9">
        <f t="shared" si="30"/>
        <v>400.20312</v>
      </c>
      <c r="J422" s="9">
        <f t="shared" si="31"/>
        <v>425.748</v>
      </c>
      <c r="K422" s="9">
        <f t="shared" si="32"/>
        <v>468.3228</v>
      </c>
      <c r="L422" s="9">
        <f t="shared" si="33"/>
        <v>596.0472</v>
      </c>
      <c r="M422" s="9">
        <f t="shared" si="34"/>
        <v>723.7716</v>
      </c>
    </row>
    <row r="423" ht="27" spans="2:13">
      <c r="B423" t="s">
        <v>851</v>
      </c>
      <c r="C423" s="4" t="s">
        <v>852</v>
      </c>
      <c r="D423" s="4" t="s">
        <v>852</v>
      </c>
      <c r="E423" s="4" t="s">
        <v>852</v>
      </c>
      <c r="F423" s="4" t="s">
        <v>852</v>
      </c>
      <c r="G423" s="5">
        <v>815.694</v>
      </c>
      <c r="H423" s="9"/>
      <c r="I423" s="9">
        <f t="shared" si="30"/>
        <v>383.37618</v>
      </c>
      <c r="J423" s="9">
        <f t="shared" si="31"/>
        <v>407.847</v>
      </c>
      <c r="K423" s="9">
        <f t="shared" si="32"/>
        <v>448.6317</v>
      </c>
      <c r="L423" s="9">
        <f t="shared" si="33"/>
        <v>570.9858</v>
      </c>
      <c r="M423" s="9">
        <f t="shared" si="34"/>
        <v>693.3399</v>
      </c>
    </row>
    <row r="424" ht="27" spans="2:13">
      <c r="B424" t="s">
        <v>853</v>
      </c>
      <c r="C424" s="4" t="s">
        <v>854</v>
      </c>
      <c r="D424" s="4" t="s">
        <v>854</v>
      </c>
      <c r="E424" s="4" t="s">
        <v>854</v>
      </c>
      <c r="F424" s="4" t="s">
        <v>854</v>
      </c>
      <c r="G424" s="5">
        <v>851.088</v>
      </c>
      <c r="H424" s="9"/>
      <c r="I424" s="9">
        <f t="shared" si="30"/>
        <v>400.01136</v>
      </c>
      <c r="J424" s="9">
        <f t="shared" si="31"/>
        <v>425.544</v>
      </c>
      <c r="K424" s="9">
        <f t="shared" si="32"/>
        <v>468.0984</v>
      </c>
      <c r="L424" s="9">
        <f t="shared" si="33"/>
        <v>595.7616</v>
      </c>
      <c r="M424" s="9">
        <f t="shared" si="34"/>
        <v>723.4248</v>
      </c>
    </row>
    <row r="425" ht="27" spans="2:13">
      <c r="B425" t="s">
        <v>855</v>
      </c>
      <c r="C425" s="4" t="s">
        <v>856</v>
      </c>
      <c r="D425" s="4" t="s">
        <v>856</v>
      </c>
      <c r="E425" s="4" t="s">
        <v>856</v>
      </c>
      <c r="F425" s="4" t="s">
        <v>856</v>
      </c>
      <c r="G425" s="5">
        <v>851.496</v>
      </c>
      <c r="H425" s="9"/>
      <c r="I425" s="9">
        <f t="shared" si="30"/>
        <v>400.20312</v>
      </c>
      <c r="J425" s="9">
        <f t="shared" si="31"/>
        <v>425.748</v>
      </c>
      <c r="K425" s="9">
        <f t="shared" si="32"/>
        <v>468.3228</v>
      </c>
      <c r="L425" s="9">
        <f t="shared" si="33"/>
        <v>596.0472</v>
      </c>
      <c r="M425" s="9">
        <f t="shared" si="34"/>
        <v>723.7716</v>
      </c>
    </row>
    <row r="426" ht="27" spans="2:13">
      <c r="B426" t="s">
        <v>857</v>
      </c>
      <c r="C426" s="4" t="s">
        <v>858</v>
      </c>
      <c r="D426" s="4" t="s">
        <v>858</v>
      </c>
      <c r="E426" s="4" t="s">
        <v>858</v>
      </c>
      <c r="F426" s="4" t="s">
        <v>858</v>
      </c>
      <c r="G426" s="5">
        <v>814.878</v>
      </c>
      <c r="H426" s="9"/>
      <c r="I426" s="9">
        <f t="shared" si="30"/>
        <v>382.99266</v>
      </c>
      <c r="J426" s="9">
        <f t="shared" si="31"/>
        <v>407.439</v>
      </c>
      <c r="K426" s="9">
        <f t="shared" si="32"/>
        <v>448.1829</v>
      </c>
      <c r="L426" s="9">
        <f t="shared" si="33"/>
        <v>570.4146</v>
      </c>
      <c r="M426" s="9">
        <f t="shared" si="34"/>
        <v>692.6463</v>
      </c>
    </row>
    <row r="427" ht="27" spans="2:13">
      <c r="B427" t="s">
        <v>859</v>
      </c>
      <c r="C427" s="4" t="s">
        <v>860</v>
      </c>
      <c r="D427" s="4" t="s">
        <v>860</v>
      </c>
      <c r="E427" s="4" t="s">
        <v>860</v>
      </c>
      <c r="F427" s="4" t="s">
        <v>860</v>
      </c>
      <c r="G427" s="5">
        <v>912.186</v>
      </c>
      <c r="H427" s="9"/>
      <c r="I427" s="9">
        <f t="shared" si="30"/>
        <v>428.72742</v>
      </c>
      <c r="J427" s="9">
        <f t="shared" si="31"/>
        <v>456.093</v>
      </c>
      <c r="K427" s="9">
        <f t="shared" si="32"/>
        <v>501.7023</v>
      </c>
      <c r="L427" s="9">
        <f t="shared" si="33"/>
        <v>638.5302</v>
      </c>
      <c r="M427" s="9">
        <f t="shared" si="34"/>
        <v>775.3581</v>
      </c>
    </row>
    <row r="428" ht="27" spans="2:13">
      <c r="B428" t="s">
        <v>861</v>
      </c>
      <c r="C428" s="4" t="s">
        <v>862</v>
      </c>
      <c r="D428" s="4" t="s">
        <v>862</v>
      </c>
      <c r="E428" s="4" t="s">
        <v>862</v>
      </c>
      <c r="F428" s="4" t="s">
        <v>862</v>
      </c>
      <c r="G428" s="5">
        <v>875.262</v>
      </c>
      <c r="H428" s="9"/>
      <c r="I428" s="9">
        <f t="shared" si="30"/>
        <v>411.37314</v>
      </c>
      <c r="J428" s="9">
        <f t="shared" si="31"/>
        <v>437.631</v>
      </c>
      <c r="K428" s="9">
        <f t="shared" si="32"/>
        <v>481.3941</v>
      </c>
      <c r="L428" s="9">
        <f t="shared" si="33"/>
        <v>612.6834</v>
      </c>
      <c r="M428" s="9">
        <f t="shared" si="34"/>
        <v>743.9727</v>
      </c>
    </row>
    <row r="429" ht="27" spans="2:13">
      <c r="B429" t="s">
        <v>863</v>
      </c>
      <c r="C429" s="4" t="s">
        <v>864</v>
      </c>
      <c r="D429" s="4" t="s">
        <v>864</v>
      </c>
      <c r="E429" s="4" t="s">
        <v>864</v>
      </c>
      <c r="F429" s="4" t="s">
        <v>864</v>
      </c>
      <c r="G429" s="5">
        <v>1002.864</v>
      </c>
      <c r="H429" s="9"/>
      <c r="I429" s="9">
        <f t="shared" si="30"/>
        <v>471.34608</v>
      </c>
      <c r="J429" s="9">
        <f t="shared" si="31"/>
        <v>501.432</v>
      </c>
      <c r="K429" s="9">
        <f t="shared" si="32"/>
        <v>551.5752</v>
      </c>
      <c r="L429" s="9">
        <f t="shared" si="33"/>
        <v>702.0048</v>
      </c>
      <c r="M429" s="9">
        <f t="shared" si="34"/>
        <v>852.4344</v>
      </c>
    </row>
    <row r="430" ht="27" spans="2:13">
      <c r="B430" t="s">
        <v>865</v>
      </c>
      <c r="C430" s="4" t="s">
        <v>866</v>
      </c>
      <c r="D430" s="4" t="s">
        <v>866</v>
      </c>
      <c r="E430" s="4" t="s">
        <v>866</v>
      </c>
      <c r="F430" s="4" t="s">
        <v>866</v>
      </c>
      <c r="G430" s="5">
        <v>966.96</v>
      </c>
      <c r="H430" s="9"/>
      <c r="I430" s="9">
        <f t="shared" si="30"/>
        <v>454.4712</v>
      </c>
      <c r="J430" s="9">
        <f t="shared" si="31"/>
        <v>483.48</v>
      </c>
      <c r="K430" s="9">
        <f t="shared" si="32"/>
        <v>531.828</v>
      </c>
      <c r="L430" s="9">
        <f t="shared" si="33"/>
        <v>676.872</v>
      </c>
      <c r="M430" s="9">
        <f t="shared" si="34"/>
        <v>821.916</v>
      </c>
    </row>
    <row r="431" ht="27" spans="2:13">
      <c r="B431" t="s">
        <v>867</v>
      </c>
      <c r="C431" s="4" t="s">
        <v>868</v>
      </c>
      <c r="D431" s="4" t="s">
        <v>868</v>
      </c>
      <c r="E431" s="4" t="s">
        <v>868</v>
      </c>
      <c r="F431" s="4" t="s">
        <v>868</v>
      </c>
      <c r="G431" s="5">
        <v>1003.068</v>
      </c>
      <c r="H431" s="9"/>
      <c r="I431" s="9">
        <f t="shared" si="30"/>
        <v>471.44196</v>
      </c>
      <c r="J431" s="9">
        <f t="shared" si="31"/>
        <v>501.534</v>
      </c>
      <c r="K431" s="9">
        <f t="shared" si="32"/>
        <v>551.6874</v>
      </c>
      <c r="L431" s="9">
        <f t="shared" si="33"/>
        <v>702.1476</v>
      </c>
      <c r="M431" s="9">
        <f t="shared" si="34"/>
        <v>852.6078</v>
      </c>
    </row>
    <row r="432" ht="27" spans="2:13">
      <c r="B432" t="s">
        <v>869</v>
      </c>
      <c r="C432" s="4" t="s">
        <v>870</v>
      </c>
      <c r="D432" s="4" t="s">
        <v>870</v>
      </c>
      <c r="E432" s="4" t="s">
        <v>870</v>
      </c>
      <c r="F432" s="4" t="s">
        <v>870</v>
      </c>
      <c r="G432" s="5">
        <v>912.186</v>
      </c>
      <c r="H432" s="9"/>
      <c r="I432" s="9">
        <f t="shared" si="30"/>
        <v>428.72742</v>
      </c>
      <c r="J432" s="9">
        <f t="shared" si="31"/>
        <v>456.093</v>
      </c>
      <c r="K432" s="9">
        <f t="shared" si="32"/>
        <v>501.7023</v>
      </c>
      <c r="L432" s="9">
        <f t="shared" si="33"/>
        <v>638.5302</v>
      </c>
      <c r="M432" s="9">
        <f t="shared" si="34"/>
        <v>775.3581</v>
      </c>
    </row>
    <row r="433" ht="27" spans="2:13">
      <c r="B433" t="s">
        <v>871</v>
      </c>
      <c r="C433" s="4" t="s">
        <v>872</v>
      </c>
      <c r="D433" s="4" t="s">
        <v>872</v>
      </c>
      <c r="E433" s="4" t="s">
        <v>872</v>
      </c>
      <c r="F433" s="4" t="s">
        <v>872</v>
      </c>
      <c r="G433" s="5">
        <v>875.67</v>
      </c>
      <c r="H433" s="9"/>
      <c r="I433" s="9">
        <f t="shared" si="30"/>
        <v>411.5649</v>
      </c>
      <c r="J433" s="9">
        <f t="shared" si="31"/>
        <v>437.835</v>
      </c>
      <c r="K433" s="9">
        <f t="shared" si="32"/>
        <v>481.6185</v>
      </c>
      <c r="L433" s="9">
        <f t="shared" si="33"/>
        <v>612.969</v>
      </c>
      <c r="M433" s="9">
        <f t="shared" si="34"/>
        <v>744.3195</v>
      </c>
    </row>
    <row r="434" ht="27" spans="2:13">
      <c r="B434" t="s">
        <v>873</v>
      </c>
      <c r="C434" s="4" t="s">
        <v>874</v>
      </c>
      <c r="D434" s="4" t="s">
        <v>874</v>
      </c>
      <c r="E434" s="4" t="s">
        <v>874</v>
      </c>
      <c r="F434" s="4" t="s">
        <v>874</v>
      </c>
      <c r="G434" s="5">
        <v>972.876</v>
      </c>
      <c r="H434" s="9"/>
      <c r="I434" s="9">
        <f t="shared" si="30"/>
        <v>457.25172</v>
      </c>
      <c r="J434" s="9">
        <f t="shared" si="31"/>
        <v>486.438</v>
      </c>
      <c r="K434" s="9">
        <f t="shared" si="32"/>
        <v>535.0818</v>
      </c>
      <c r="L434" s="9">
        <f t="shared" si="33"/>
        <v>681.0132</v>
      </c>
      <c r="M434" s="9">
        <f t="shared" si="34"/>
        <v>826.9446</v>
      </c>
    </row>
    <row r="435" ht="27" spans="2:13">
      <c r="B435" t="s">
        <v>875</v>
      </c>
      <c r="C435" s="4" t="s">
        <v>876</v>
      </c>
      <c r="D435" s="4" t="s">
        <v>876</v>
      </c>
      <c r="E435" s="4" t="s">
        <v>876</v>
      </c>
      <c r="F435" s="4" t="s">
        <v>876</v>
      </c>
      <c r="G435" s="5">
        <v>935.952</v>
      </c>
      <c r="H435" s="9"/>
      <c r="I435" s="9">
        <f t="shared" si="30"/>
        <v>439.89744</v>
      </c>
      <c r="J435" s="9">
        <f t="shared" si="31"/>
        <v>467.976</v>
      </c>
      <c r="K435" s="9">
        <f t="shared" si="32"/>
        <v>514.7736</v>
      </c>
      <c r="L435" s="9">
        <f t="shared" si="33"/>
        <v>655.1664</v>
      </c>
      <c r="M435" s="9">
        <f t="shared" si="34"/>
        <v>795.5592</v>
      </c>
    </row>
    <row r="436" ht="27" spans="2:13">
      <c r="B436" t="s">
        <v>877</v>
      </c>
      <c r="C436" s="4" t="s">
        <v>878</v>
      </c>
      <c r="D436" s="4" t="s">
        <v>878</v>
      </c>
      <c r="E436" s="4" t="s">
        <v>878</v>
      </c>
      <c r="F436" s="4" t="s">
        <v>878</v>
      </c>
      <c r="G436" s="5">
        <v>1063.554</v>
      </c>
      <c r="H436" s="9"/>
      <c r="I436" s="9">
        <f t="shared" si="30"/>
        <v>499.87038</v>
      </c>
      <c r="J436" s="9">
        <f t="shared" si="31"/>
        <v>531.777</v>
      </c>
      <c r="K436" s="9">
        <f t="shared" si="32"/>
        <v>584.9547</v>
      </c>
      <c r="L436" s="9">
        <f t="shared" si="33"/>
        <v>744.4878</v>
      </c>
      <c r="M436" s="9">
        <f t="shared" si="34"/>
        <v>904.0209</v>
      </c>
    </row>
    <row r="437" ht="27" spans="2:13">
      <c r="B437" t="s">
        <v>879</v>
      </c>
      <c r="C437" s="4" t="s">
        <v>880</v>
      </c>
      <c r="D437" s="4" t="s">
        <v>880</v>
      </c>
      <c r="E437" s="4" t="s">
        <v>880</v>
      </c>
      <c r="F437" s="4" t="s">
        <v>880</v>
      </c>
      <c r="G437" s="5">
        <v>1027.752</v>
      </c>
      <c r="H437" s="9"/>
      <c r="I437" s="9">
        <f t="shared" si="30"/>
        <v>483.04344</v>
      </c>
      <c r="J437" s="9">
        <f t="shared" si="31"/>
        <v>513.876</v>
      </c>
      <c r="K437" s="9">
        <f t="shared" si="32"/>
        <v>565.2636</v>
      </c>
      <c r="L437" s="9">
        <f t="shared" si="33"/>
        <v>719.4264</v>
      </c>
      <c r="M437" s="9">
        <f t="shared" si="34"/>
        <v>873.5892</v>
      </c>
    </row>
    <row r="438" ht="27" spans="2:13">
      <c r="B438" t="s">
        <v>881</v>
      </c>
      <c r="C438" s="4" t="s">
        <v>882</v>
      </c>
      <c r="D438" s="4" t="s">
        <v>882</v>
      </c>
      <c r="E438" s="4" t="s">
        <v>882</v>
      </c>
      <c r="F438" s="4" t="s">
        <v>882</v>
      </c>
      <c r="G438" s="5">
        <v>1063.758</v>
      </c>
      <c r="H438" s="9"/>
      <c r="I438" s="9">
        <f t="shared" si="30"/>
        <v>499.96626</v>
      </c>
      <c r="J438" s="9">
        <f t="shared" si="31"/>
        <v>531.879</v>
      </c>
      <c r="K438" s="9">
        <f t="shared" si="32"/>
        <v>585.0669</v>
      </c>
      <c r="L438" s="9">
        <f t="shared" si="33"/>
        <v>744.6306</v>
      </c>
      <c r="M438" s="9">
        <f t="shared" si="34"/>
        <v>904.1943</v>
      </c>
    </row>
    <row r="439" ht="27" spans="2:13">
      <c r="B439" t="s">
        <v>883</v>
      </c>
      <c r="C439" s="4" t="s">
        <v>884</v>
      </c>
      <c r="D439" s="4" t="s">
        <v>884</v>
      </c>
      <c r="E439" s="4" t="s">
        <v>884</v>
      </c>
      <c r="F439" s="4" t="s">
        <v>884</v>
      </c>
      <c r="G439" s="5">
        <v>1034.994</v>
      </c>
      <c r="H439" s="9"/>
      <c r="I439" s="9">
        <f t="shared" si="30"/>
        <v>486.44718</v>
      </c>
      <c r="J439" s="9">
        <f t="shared" si="31"/>
        <v>517.497</v>
      </c>
      <c r="K439" s="9">
        <f t="shared" si="32"/>
        <v>569.2467</v>
      </c>
      <c r="L439" s="9">
        <f t="shared" si="33"/>
        <v>724.4958</v>
      </c>
      <c r="M439" s="9">
        <f t="shared" si="34"/>
        <v>879.7449</v>
      </c>
    </row>
    <row r="440" ht="27" spans="2:13">
      <c r="B440" t="s">
        <v>885</v>
      </c>
      <c r="C440" s="4" t="s">
        <v>886</v>
      </c>
      <c r="D440" s="4" t="s">
        <v>886</v>
      </c>
      <c r="E440" s="4" t="s">
        <v>886</v>
      </c>
      <c r="F440" s="4" t="s">
        <v>886</v>
      </c>
      <c r="G440" s="5">
        <v>999.294</v>
      </c>
      <c r="H440" s="9"/>
      <c r="I440" s="9">
        <f t="shared" si="30"/>
        <v>469.66818</v>
      </c>
      <c r="J440" s="9">
        <f t="shared" si="31"/>
        <v>499.647</v>
      </c>
      <c r="K440" s="9">
        <f t="shared" si="32"/>
        <v>549.6117</v>
      </c>
      <c r="L440" s="9">
        <f t="shared" si="33"/>
        <v>699.5058</v>
      </c>
      <c r="M440" s="9">
        <f t="shared" si="34"/>
        <v>849.3999</v>
      </c>
    </row>
    <row r="441" ht="27" spans="2:13">
      <c r="B441" t="s">
        <v>887</v>
      </c>
      <c r="C441" s="4" t="s">
        <v>888</v>
      </c>
      <c r="D441" s="4" t="s">
        <v>888</v>
      </c>
      <c r="E441" s="4" t="s">
        <v>888</v>
      </c>
      <c r="F441" s="4" t="s">
        <v>888</v>
      </c>
      <c r="G441" s="5">
        <v>1108.23</v>
      </c>
      <c r="H441" s="9"/>
      <c r="I441" s="9">
        <f t="shared" si="30"/>
        <v>520.8681</v>
      </c>
      <c r="J441" s="9">
        <f t="shared" si="31"/>
        <v>554.115</v>
      </c>
      <c r="K441" s="9">
        <f t="shared" si="32"/>
        <v>609.5265</v>
      </c>
      <c r="L441" s="9">
        <f t="shared" si="33"/>
        <v>775.761</v>
      </c>
      <c r="M441" s="9">
        <f t="shared" si="34"/>
        <v>941.9955</v>
      </c>
    </row>
    <row r="442" ht="27" spans="2:13">
      <c r="B442" t="s">
        <v>889</v>
      </c>
      <c r="C442" s="4" t="s">
        <v>890</v>
      </c>
      <c r="D442" s="4" t="s">
        <v>890</v>
      </c>
      <c r="E442" s="4" t="s">
        <v>890</v>
      </c>
      <c r="F442" s="4" t="s">
        <v>890</v>
      </c>
      <c r="G442" s="5">
        <v>1070.796</v>
      </c>
      <c r="H442" s="9"/>
      <c r="I442" s="9">
        <f t="shared" si="30"/>
        <v>503.27412</v>
      </c>
      <c r="J442" s="9">
        <f t="shared" si="31"/>
        <v>535.398</v>
      </c>
      <c r="K442" s="9">
        <f t="shared" si="32"/>
        <v>588.9378</v>
      </c>
      <c r="L442" s="9">
        <f t="shared" si="33"/>
        <v>749.5572</v>
      </c>
      <c r="M442" s="9">
        <f t="shared" si="34"/>
        <v>910.1766</v>
      </c>
    </row>
    <row r="443" ht="27" spans="2:13">
      <c r="B443" t="s">
        <v>891</v>
      </c>
      <c r="C443" s="4" t="s">
        <v>892</v>
      </c>
      <c r="D443" s="4" t="s">
        <v>892</v>
      </c>
      <c r="E443" s="4" t="s">
        <v>892</v>
      </c>
      <c r="F443" s="4" t="s">
        <v>892</v>
      </c>
      <c r="G443" s="5">
        <v>1214.208</v>
      </c>
      <c r="H443" s="9"/>
      <c r="I443" s="9">
        <f t="shared" si="30"/>
        <v>570.67776</v>
      </c>
      <c r="J443" s="9">
        <f t="shared" si="31"/>
        <v>607.104</v>
      </c>
      <c r="K443" s="9">
        <f t="shared" si="32"/>
        <v>667.8144</v>
      </c>
      <c r="L443" s="9">
        <f t="shared" si="33"/>
        <v>849.9456</v>
      </c>
      <c r="M443" s="9">
        <f t="shared" si="34"/>
        <v>1032.0768</v>
      </c>
    </row>
    <row r="444" ht="27" spans="2:13">
      <c r="B444" t="s">
        <v>893</v>
      </c>
      <c r="C444" s="4" t="s">
        <v>894</v>
      </c>
      <c r="D444" s="4" t="s">
        <v>894</v>
      </c>
      <c r="E444" s="4" t="s">
        <v>894</v>
      </c>
      <c r="F444" s="4" t="s">
        <v>894</v>
      </c>
      <c r="G444" s="5">
        <v>1178.508</v>
      </c>
      <c r="H444" s="9"/>
      <c r="I444" s="9">
        <f t="shared" si="30"/>
        <v>553.89876</v>
      </c>
      <c r="J444" s="9">
        <f t="shared" si="31"/>
        <v>589.254</v>
      </c>
      <c r="K444" s="9">
        <f t="shared" si="32"/>
        <v>648.1794</v>
      </c>
      <c r="L444" s="9">
        <f t="shared" si="33"/>
        <v>824.9556</v>
      </c>
      <c r="M444" s="9">
        <f t="shared" si="34"/>
        <v>1001.7318</v>
      </c>
    </row>
    <row r="445" ht="27" spans="2:13">
      <c r="B445" t="s">
        <v>895</v>
      </c>
      <c r="C445" s="4" t="s">
        <v>896</v>
      </c>
      <c r="D445" s="4" t="s">
        <v>896</v>
      </c>
      <c r="E445" s="4" t="s">
        <v>896</v>
      </c>
      <c r="F445" s="4" t="s">
        <v>896</v>
      </c>
      <c r="G445" s="5">
        <v>1034.994</v>
      </c>
      <c r="H445" s="9"/>
      <c r="I445" s="9">
        <f t="shared" si="30"/>
        <v>486.44718</v>
      </c>
      <c r="J445" s="9">
        <f t="shared" si="31"/>
        <v>517.497</v>
      </c>
      <c r="K445" s="9">
        <f t="shared" si="32"/>
        <v>569.2467</v>
      </c>
      <c r="L445" s="9">
        <f t="shared" si="33"/>
        <v>724.4958</v>
      </c>
      <c r="M445" s="9">
        <f t="shared" si="34"/>
        <v>879.7449</v>
      </c>
    </row>
    <row r="446" ht="27" spans="2:13">
      <c r="B446" t="s">
        <v>897</v>
      </c>
      <c r="C446" s="4" t="s">
        <v>898</v>
      </c>
      <c r="D446" s="4" t="s">
        <v>898</v>
      </c>
      <c r="E446" s="4" t="s">
        <v>898</v>
      </c>
      <c r="F446" s="4" t="s">
        <v>898</v>
      </c>
      <c r="G446" s="5">
        <v>999.294</v>
      </c>
      <c r="H446" s="9"/>
      <c r="I446" s="9">
        <f t="shared" si="30"/>
        <v>469.66818</v>
      </c>
      <c r="J446" s="9">
        <f t="shared" si="31"/>
        <v>499.647</v>
      </c>
      <c r="K446" s="9">
        <f t="shared" si="32"/>
        <v>549.6117</v>
      </c>
      <c r="L446" s="9">
        <f t="shared" si="33"/>
        <v>699.5058</v>
      </c>
      <c r="M446" s="9">
        <f t="shared" si="34"/>
        <v>849.3999</v>
      </c>
    </row>
    <row r="447" ht="27" spans="2:13">
      <c r="B447" t="s">
        <v>899</v>
      </c>
      <c r="C447" s="4" t="s">
        <v>900</v>
      </c>
      <c r="D447" s="4" t="s">
        <v>900</v>
      </c>
      <c r="E447" s="4" t="s">
        <v>900</v>
      </c>
      <c r="F447" s="4" t="s">
        <v>900</v>
      </c>
      <c r="G447" s="5">
        <v>1108.23</v>
      </c>
      <c r="H447" s="9"/>
      <c r="I447" s="9">
        <f t="shared" si="30"/>
        <v>520.8681</v>
      </c>
      <c r="J447" s="9">
        <f t="shared" si="31"/>
        <v>554.115</v>
      </c>
      <c r="K447" s="9">
        <f t="shared" si="32"/>
        <v>609.5265</v>
      </c>
      <c r="L447" s="9">
        <f t="shared" si="33"/>
        <v>775.761</v>
      </c>
      <c r="M447" s="9">
        <f t="shared" si="34"/>
        <v>941.9955</v>
      </c>
    </row>
    <row r="448" ht="27" spans="2:13">
      <c r="B448" t="s">
        <v>901</v>
      </c>
      <c r="C448" s="4" t="s">
        <v>902</v>
      </c>
      <c r="D448" s="4" t="s">
        <v>902</v>
      </c>
      <c r="E448" s="4" t="s">
        <v>902</v>
      </c>
      <c r="F448" s="4" t="s">
        <v>902</v>
      </c>
      <c r="G448" s="5">
        <v>1070.796</v>
      </c>
      <c r="H448" s="9"/>
      <c r="I448" s="9">
        <f t="shared" si="30"/>
        <v>503.27412</v>
      </c>
      <c r="J448" s="9">
        <f t="shared" si="31"/>
        <v>535.398</v>
      </c>
      <c r="K448" s="9">
        <f t="shared" si="32"/>
        <v>588.9378</v>
      </c>
      <c r="L448" s="9">
        <f t="shared" si="33"/>
        <v>749.5572</v>
      </c>
      <c r="M448" s="9">
        <f t="shared" si="34"/>
        <v>910.1766</v>
      </c>
    </row>
    <row r="449" ht="27" spans="2:13">
      <c r="B449" t="s">
        <v>903</v>
      </c>
      <c r="C449" s="4" t="s">
        <v>904</v>
      </c>
      <c r="D449" s="4" t="s">
        <v>904</v>
      </c>
      <c r="E449" s="4" t="s">
        <v>904</v>
      </c>
      <c r="F449" s="4" t="s">
        <v>904</v>
      </c>
      <c r="G449" s="5">
        <v>1214.208</v>
      </c>
      <c r="H449" s="9"/>
      <c r="I449" s="9">
        <f t="shared" si="30"/>
        <v>570.67776</v>
      </c>
      <c r="J449" s="9">
        <f t="shared" si="31"/>
        <v>607.104</v>
      </c>
      <c r="K449" s="9">
        <f t="shared" si="32"/>
        <v>667.8144</v>
      </c>
      <c r="L449" s="9">
        <f t="shared" si="33"/>
        <v>849.9456</v>
      </c>
      <c r="M449" s="9">
        <f t="shared" si="34"/>
        <v>1032.0768</v>
      </c>
    </row>
    <row r="450" ht="27" spans="2:13">
      <c r="B450" t="s">
        <v>905</v>
      </c>
      <c r="C450" s="4" t="s">
        <v>906</v>
      </c>
      <c r="D450" s="4" t="s">
        <v>906</v>
      </c>
      <c r="E450" s="4" t="s">
        <v>906</v>
      </c>
      <c r="F450" s="4" t="s">
        <v>906</v>
      </c>
      <c r="G450" s="5">
        <v>1178.508</v>
      </c>
      <c r="H450" s="9"/>
      <c r="I450" s="9">
        <f t="shared" si="30"/>
        <v>553.89876</v>
      </c>
      <c r="J450" s="9">
        <f t="shared" si="31"/>
        <v>589.254</v>
      </c>
      <c r="K450" s="9">
        <f t="shared" si="32"/>
        <v>648.1794</v>
      </c>
      <c r="L450" s="9">
        <f t="shared" si="33"/>
        <v>824.9556</v>
      </c>
      <c r="M450" s="9">
        <f t="shared" si="34"/>
        <v>1001.7318</v>
      </c>
    </row>
    <row r="451" spans="2:13">
      <c r="B451" t="s">
        <v>907</v>
      </c>
      <c r="C451" s="4" t="s">
        <v>908</v>
      </c>
      <c r="D451" s="4" t="s">
        <v>908</v>
      </c>
      <c r="E451" s="4" t="s">
        <v>908</v>
      </c>
      <c r="F451" s="4" t="s">
        <v>908</v>
      </c>
      <c r="G451" s="5">
        <v>715.428</v>
      </c>
      <c r="H451" s="9"/>
      <c r="I451" s="9">
        <f t="shared" ref="I451:I514" si="35">G451*0.47</f>
        <v>336.25116</v>
      </c>
      <c r="J451" s="9">
        <f t="shared" ref="J451:J514" si="36">G451*0.5</f>
        <v>357.714</v>
      </c>
      <c r="K451" s="9">
        <f t="shared" ref="K451:K514" si="37">G451*0.55</f>
        <v>393.4854</v>
      </c>
      <c r="L451" s="9">
        <f t="shared" ref="L451:L514" si="38">G451*0.7</f>
        <v>500.7996</v>
      </c>
      <c r="M451" s="9">
        <f t="shared" ref="M451:M514" si="39">G451*0.85</f>
        <v>608.1138</v>
      </c>
    </row>
    <row r="452" ht="27" spans="2:13">
      <c r="B452" t="s">
        <v>909</v>
      </c>
      <c r="C452" s="4" t="s">
        <v>910</v>
      </c>
      <c r="D452" s="4" t="s">
        <v>910</v>
      </c>
      <c r="E452" s="4" t="s">
        <v>910</v>
      </c>
      <c r="F452" s="4" t="s">
        <v>910</v>
      </c>
      <c r="G452" s="5">
        <v>792.948</v>
      </c>
      <c r="H452" s="9"/>
      <c r="I452" s="9">
        <f t="shared" si="35"/>
        <v>372.68556</v>
      </c>
      <c r="J452" s="9">
        <f t="shared" si="36"/>
        <v>396.474</v>
      </c>
      <c r="K452" s="9">
        <f t="shared" si="37"/>
        <v>436.1214</v>
      </c>
      <c r="L452" s="9">
        <f t="shared" si="38"/>
        <v>555.0636</v>
      </c>
      <c r="M452" s="9">
        <f t="shared" si="39"/>
        <v>674.0058</v>
      </c>
    </row>
    <row r="453" spans="2:13">
      <c r="B453" t="s">
        <v>911</v>
      </c>
      <c r="C453" s="4" t="s">
        <v>912</v>
      </c>
      <c r="D453" s="4" t="s">
        <v>912</v>
      </c>
      <c r="E453" s="4" t="s">
        <v>912</v>
      </c>
      <c r="F453" s="4" t="s">
        <v>912</v>
      </c>
      <c r="G453" s="5">
        <v>775.098</v>
      </c>
      <c r="H453" s="9"/>
      <c r="I453" s="9">
        <f t="shared" si="35"/>
        <v>364.29606</v>
      </c>
      <c r="J453" s="9">
        <f t="shared" si="36"/>
        <v>387.549</v>
      </c>
      <c r="K453" s="9">
        <f t="shared" si="37"/>
        <v>426.3039</v>
      </c>
      <c r="L453" s="9">
        <f t="shared" si="38"/>
        <v>542.5686</v>
      </c>
      <c r="M453" s="9">
        <f t="shared" si="39"/>
        <v>658.8333</v>
      </c>
    </row>
    <row r="454" spans="2:13">
      <c r="B454" t="s">
        <v>913</v>
      </c>
      <c r="C454" s="4" t="s">
        <v>914</v>
      </c>
      <c r="D454" s="4" t="s">
        <v>914</v>
      </c>
      <c r="E454" s="4" t="s">
        <v>914</v>
      </c>
      <c r="F454" s="4" t="s">
        <v>914</v>
      </c>
      <c r="G454" s="5">
        <v>775.098</v>
      </c>
      <c r="H454" s="9"/>
      <c r="I454" s="9">
        <f t="shared" si="35"/>
        <v>364.29606</v>
      </c>
      <c r="J454" s="9">
        <f t="shared" si="36"/>
        <v>387.549</v>
      </c>
      <c r="K454" s="9">
        <f t="shared" si="37"/>
        <v>426.3039</v>
      </c>
      <c r="L454" s="9">
        <f t="shared" si="38"/>
        <v>542.5686</v>
      </c>
      <c r="M454" s="9">
        <f t="shared" si="39"/>
        <v>658.8333</v>
      </c>
    </row>
    <row r="455" spans="2:13">
      <c r="B455" t="s">
        <v>915</v>
      </c>
      <c r="C455" s="4" t="s">
        <v>916</v>
      </c>
      <c r="D455" s="4" t="s">
        <v>916</v>
      </c>
      <c r="E455" s="4" t="s">
        <v>916</v>
      </c>
      <c r="F455" s="4" t="s">
        <v>916</v>
      </c>
      <c r="G455" s="5">
        <v>864.552</v>
      </c>
      <c r="H455" s="9"/>
      <c r="I455" s="9">
        <f t="shared" si="35"/>
        <v>406.33944</v>
      </c>
      <c r="J455" s="9">
        <f t="shared" si="36"/>
        <v>432.276</v>
      </c>
      <c r="K455" s="9">
        <f t="shared" si="37"/>
        <v>475.5036</v>
      </c>
      <c r="L455" s="9">
        <f t="shared" si="38"/>
        <v>605.1864</v>
      </c>
      <c r="M455" s="9">
        <f t="shared" si="39"/>
        <v>734.8692</v>
      </c>
    </row>
    <row r="456" spans="2:13">
      <c r="B456" t="s">
        <v>917</v>
      </c>
      <c r="C456" s="4" t="s">
        <v>918</v>
      </c>
      <c r="D456" s="4" t="s">
        <v>918</v>
      </c>
      <c r="E456" s="4" t="s">
        <v>918</v>
      </c>
      <c r="F456" s="4" t="s">
        <v>918</v>
      </c>
      <c r="G456" s="5">
        <v>846.6</v>
      </c>
      <c r="H456" s="9"/>
      <c r="I456" s="9">
        <f t="shared" si="35"/>
        <v>397.902</v>
      </c>
      <c r="J456" s="9">
        <f t="shared" si="36"/>
        <v>423.3</v>
      </c>
      <c r="K456" s="9">
        <f t="shared" si="37"/>
        <v>465.63</v>
      </c>
      <c r="L456" s="9">
        <f t="shared" si="38"/>
        <v>592.62</v>
      </c>
      <c r="M456" s="9">
        <f t="shared" si="39"/>
        <v>719.61</v>
      </c>
    </row>
    <row r="457" spans="2:13">
      <c r="B457" t="s">
        <v>919</v>
      </c>
      <c r="C457" s="4" t="s">
        <v>920</v>
      </c>
      <c r="D457" s="4" t="s">
        <v>920</v>
      </c>
      <c r="E457" s="4" t="s">
        <v>920</v>
      </c>
      <c r="F457" s="4" t="s">
        <v>920</v>
      </c>
      <c r="G457" s="5">
        <v>835.89</v>
      </c>
      <c r="H457" s="9"/>
      <c r="I457" s="9">
        <f t="shared" si="35"/>
        <v>392.8683</v>
      </c>
      <c r="J457" s="9">
        <f t="shared" si="36"/>
        <v>417.945</v>
      </c>
      <c r="K457" s="9">
        <f t="shared" si="37"/>
        <v>459.7395</v>
      </c>
      <c r="L457" s="9">
        <f t="shared" si="38"/>
        <v>585.123</v>
      </c>
      <c r="M457" s="9">
        <f t="shared" si="39"/>
        <v>710.5065</v>
      </c>
    </row>
    <row r="458" spans="2:13">
      <c r="B458" t="s">
        <v>921</v>
      </c>
      <c r="C458" s="4" t="s">
        <v>922</v>
      </c>
      <c r="D458" s="4" t="s">
        <v>922</v>
      </c>
      <c r="E458" s="4" t="s">
        <v>922</v>
      </c>
      <c r="F458" s="4" t="s">
        <v>922</v>
      </c>
      <c r="G458" s="5">
        <v>932.892</v>
      </c>
      <c r="H458" s="9"/>
      <c r="I458" s="9">
        <f t="shared" si="35"/>
        <v>438.45924</v>
      </c>
      <c r="J458" s="9">
        <f t="shared" si="36"/>
        <v>466.446</v>
      </c>
      <c r="K458" s="9">
        <f t="shared" si="37"/>
        <v>513.0906</v>
      </c>
      <c r="L458" s="9">
        <f t="shared" si="38"/>
        <v>653.0244</v>
      </c>
      <c r="M458" s="9">
        <f t="shared" si="39"/>
        <v>792.9582</v>
      </c>
    </row>
    <row r="459" spans="2:13">
      <c r="B459" t="s">
        <v>923</v>
      </c>
      <c r="C459" s="4" t="s">
        <v>924</v>
      </c>
      <c r="D459" s="4" t="s">
        <v>924</v>
      </c>
      <c r="E459" s="4" t="s">
        <v>924</v>
      </c>
      <c r="F459" s="4" t="s">
        <v>924</v>
      </c>
      <c r="G459" s="5">
        <v>932.048</v>
      </c>
      <c r="H459" s="9"/>
      <c r="I459" s="9">
        <f t="shared" si="35"/>
        <v>438.06256</v>
      </c>
      <c r="J459" s="9">
        <f t="shared" si="36"/>
        <v>466.024</v>
      </c>
      <c r="K459" s="9">
        <f t="shared" si="37"/>
        <v>512.6264</v>
      </c>
      <c r="L459" s="9">
        <f t="shared" si="38"/>
        <v>652.4336</v>
      </c>
      <c r="M459" s="9">
        <f t="shared" si="39"/>
        <v>792.2408</v>
      </c>
    </row>
    <row r="460" spans="2:13">
      <c r="B460" t="s">
        <v>925</v>
      </c>
      <c r="C460" s="4" t="s">
        <v>926</v>
      </c>
      <c r="D460" s="4" t="s">
        <v>926</v>
      </c>
      <c r="E460" s="4" t="s">
        <v>926</v>
      </c>
      <c r="F460" s="4" t="s">
        <v>926</v>
      </c>
      <c r="G460" s="5">
        <v>127.5</v>
      </c>
      <c r="H460" s="9"/>
      <c r="I460" s="9">
        <f t="shared" si="35"/>
        <v>59.925</v>
      </c>
      <c r="J460" s="9">
        <f t="shared" si="36"/>
        <v>63.75</v>
      </c>
      <c r="K460" s="9">
        <f t="shared" si="37"/>
        <v>70.125</v>
      </c>
      <c r="L460" s="9">
        <f t="shared" si="38"/>
        <v>89.25</v>
      </c>
      <c r="M460" s="9">
        <f t="shared" si="39"/>
        <v>108.375</v>
      </c>
    </row>
    <row r="461" spans="2:13">
      <c r="B461" t="s">
        <v>927</v>
      </c>
      <c r="C461" s="4" t="s">
        <v>928</v>
      </c>
      <c r="D461" s="4" t="s">
        <v>928</v>
      </c>
      <c r="E461" s="4" t="s">
        <v>928</v>
      </c>
      <c r="F461" s="4" t="s">
        <v>928</v>
      </c>
      <c r="G461" s="5">
        <v>132.6</v>
      </c>
      <c r="H461" s="9"/>
      <c r="I461" s="9">
        <f t="shared" si="35"/>
        <v>62.322</v>
      </c>
      <c r="J461" s="9">
        <f t="shared" si="36"/>
        <v>66.3</v>
      </c>
      <c r="K461" s="9">
        <f t="shared" si="37"/>
        <v>72.93</v>
      </c>
      <c r="L461" s="9">
        <f t="shared" si="38"/>
        <v>92.82</v>
      </c>
      <c r="M461" s="9">
        <f t="shared" si="39"/>
        <v>112.71</v>
      </c>
    </row>
    <row r="462" spans="2:13">
      <c r="B462" t="s">
        <v>929</v>
      </c>
      <c r="C462" s="4" t="s">
        <v>930</v>
      </c>
      <c r="D462" s="4" t="s">
        <v>930</v>
      </c>
      <c r="E462" s="4" t="s">
        <v>930</v>
      </c>
      <c r="F462" s="4" t="s">
        <v>930</v>
      </c>
      <c r="G462" s="5">
        <v>137.7</v>
      </c>
      <c r="H462" s="9"/>
      <c r="I462" s="9">
        <f t="shared" si="35"/>
        <v>64.719</v>
      </c>
      <c r="J462" s="9">
        <f t="shared" si="36"/>
        <v>68.85</v>
      </c>
      <c r="K462" s="9">
        <f t="shared" si="37"/>
        <v>75.735</v>
      </c>
      <c r="L462" s="9">
        <f t="shared" si="38"/>
        <v>96.39</v>
      </c>
      <c r="M462" s="9">
        <f t="shared" si="39"/>
        <v>117.045</v>
      </c>
    </row>
    <row r="463" spans="2:13">
      <c r="B463" t="s">
        <v>931</v>
      </c>
      <c r="C463" s="4" t="s">
        <v>932</v>
      </c>
      <c r="D463" s="4" t="s">
        <v>932</v>
      </c>
      <c r="E463" s="4" t="s">
        <v>932</v>
      </c>
      <c r="F463" s="4" t="s">
        <v>932</v>
      </c>
      <c r="G463" s="5">
        <v>208</v>
      </c>
      <c r="H463" s="9"/>
      <c r="I463" s="9">
        <f t="shared" si="35"/>
        <v>97.76</v>
      </c>
      <c r="J463" s="9">
        <f t="shared" si="36"/>
        <v>104</v>
      </c>
      <c r="K463" s="9">
        <f t="shared" si="37"/>
        <v>114.4</v>
      </c>
      <c r="L463" s="9">
        <f t="shared" si="38"/>
        <v>145.6</v>
      </c>
      <c r="M463" s="9">
        <f t="shared" si="39"/>
        <v>176.8</v>
      </c>
    </row>
    <row r="464" spans="2:13">
      <c r="B464" t="s">
        <v>933</v>
      </c>
      <c r="C464" s="4" t="s">
        <v>934</v>
      </c>
      <c r="D464" s="4" t="s">
        <v>934</v>
      </c>
      <c r="E464" s="4" t="s">
        <v>934</v>
      </c>
      <c r="F464" s="4" t="s">
        <v>934</v>
      </c>
      <c r="G464" s="5">
        <v>247.35</v>
      </c>
      <c r="H464" s="9"/>
      <c r="I464" s="9">
        <f t="shared" si="35"/>
        <v>116.2545</v>
      </c>
      <c r="J464" s="9">
        <f t="shared" si="36"/>
        <v>123.675</v>
      </c>
      <c r="K464" s="9">
        <f t="shared" si="37"/>
        <v>136.0425</v>
      </c>
      <c r="L464" s="9">
        <f t="shared" si="38"/>
        <v>173.145</v>
      </c>
      <c r="M464" s="9">
        <f t="shared" si="39"/>
        <v>210.2475</v>
      </c>
    </row>
    <row r="465" spans="2:13">
      <c r="B465" t="s">
        <v>935</v>
      </c>
      <c r="C465" s="4" t="s">
        <v>936</v>
      </c>
      <c r="D465" s="4" t="s">
        <v>936</v>
      </c>
      <c r="E465" s="4" t="s">
        <v>936</v>
      </c>
      <c r="F465" s="4" t="s">
        <v>936</v>
      </c>
      <c r="G465" s="5">
        <v>280.8</v>
      </c>
      <c r="H465" s="9"/>
      <c r="I465" s="9">
        <f t="shared" si="35"/>
        <v>131.976</v>
      </c>
      <c r="J465" s="9">
        <f t="shared" si="36"/>
        <v>140.4</v>
      </c>
      <c r="K465" s="9">
        <f t="shared" si="37"/>
        <v>154.44</v>
      </c>
      <c r="L465" s="9">
        <f t="shared" si="38"/>
        <v>196.56</v>
      </c>
      <c r="M465" s="9">
        <f t="shared" si="39"/>
        <v>238.68</v>
      </c>
    </row>
    <row r="466" spans="2:13">
      <c r="B466" t="s">
        <v>937</v>
      </c>
      <c r="C466" s="4" t="s">
        <v>938</v>
      </c>
      <c r="D466" s="4" t="s">
        <v>938</v>
      </c>
      <c r="E466" s="4" t="s">
        <v>938</v>
      </c>
      <c r="F466" s="4" t="s">
        <v>938</v>
      </c>
      <c r="G466" s="5">
        <v>344.148</v>
      </c>
      <c r="H466" s="9"/>
      <c r="I466" s="9">
        <f t="shared" si="35"/>
        <v>161.74956</v>
      </c>
      <c r="J466" s="9">
        <f t="shared" si="36"/>
        <v>172.074</v>
      </c>
      <c r="K466" s="9">
        <f t="shared" si="37"/>
        <v>189.2814</v>
      </c>
      <c r="L466" s="9">
        <f t="shared" si="38"/>
        <v>240.9036</v>
      </c>
      <c r="M466" s="9">
        <f t="shared" si="39"/>
        <v>292.5258</v>
      </c>
    </row>
    <row r="467" ht="27" spans="2:13">
      <c r="B467" t="s">
        <v>939</v>
      </c>
      <c r="C467" s="4" t="s">
        <v>940</v>
      </c>
      <c r="D467" s="4" t="s">
        <v>940</v>
      </c>
      <c r="E467" s="4" t="s">
        <v>940</v>
      </c>
      <c r="F467" s="4" t="s">
        <v>940</v>
      </c>
      <c r="G467" s="5">
        <v>385.764</v>
      </c>
      <c r="H467" s="9"/>
      <c r="I467" s="9">
        <f t="shared" si="35"/>
        <v>181.30908</v>
      </c>
      <c r="J467" s="9">
        <f t="shared" si="36"/>
        <v>192.882</v>
      </c>
      <c r="K467" s="9">
        <f t="shared" si="37"/>
        <v>212.1702</v>
      </c>
      <c r="L467" s="9">
        <f t="shared" si="38"/>
        <v>270.0348</v>
      </c>
      <c r="M467" s="9">
        <f t="shared" si="39"/>
        <v>327.8994</v>
      </c>
    </row>
    <row r="468" ht="27" spans="2:13">
      <c r="B468" t="s">
        <v>941</v>
      </c>
      <c r="C468" s="4" t="s">
        <v>942</v>
      </c>
      <c r="D468" s="4" t="s">
        <v>942</v>
      </c>
      <c r="E468" s="4" t="s">
        <v>942</v>
      </c>
      <c r="F468" s="4" t="s">
        <v>942</v>
      </c>
      <c r="G468" s="5">
        <v>385.764</v>
      </c>
      <c r="H468" s="9"/>
      <c r="I468" s="9">
        <f t="shared" si="35"/>
        <v>181.30908</v>
      </c>
      <c r="J468" s="9">
        <f t="shared" si="36"/>
        <v>192.882</v>
      </c>
      <c r="K468" s="9">
        <f t="shared" si="37"/>
        <v>212.1702</v>
      </c>
      <c r="L468" s="9">
        <f t="shared" si="38"/>
        <v>270.0348</v>
      </c>
      <c r="M468" s="9">
        <f t="shared" si="39"/>
        <v>327.8994</v>
      </c>
    </row>
    <row r="469" ht="27" spans="2:13">
      <c r="B469" t="s">
        <v>943</v>
      </c>
      <c r="C469" s="4" t="s">
        <v>944</v>
      </c>
      <c r="D469" s="4" t="s">
        <v>944</v>
      </c>
      <c r="E469" s="4" t="s">
        <v>944</v>
      </c>
      <c r="F469" s="4" t="s">
        <v>944</v>
      </c>
      <c r="G469" s="5">
        <v>385.764</v>
      </c>
      <c r="H469" s="9"/>
      <c r="I469" s="9">
        <f t="shared" si="35"/>
        <v>181.30908</v>
      </c>
      <c r="J469" s="9">
        <f t="shared" si="36"/>
        <v>192.882</v>
      </c>
      <c r="K469" s="9">
        <f t="shared" si="37"/>
        <v>212.1702</v>
      </c>
      <c r="L469" s="9">
        <f t="shared" si="38"/>
        <v>270.0348</v>
      </c>
      <c r="M469" s="9">
        <f t="shared" si="39"/>
        <v>327.8994</v>
      </c>
    </row>
    <row r="470" ht="27" spans="2:13">
      <c r="B470" t="s">
        <v>945</v>
      </c>
      <c r="C470" s="4" t="s">
        <v>946</v>
      </c>
      <c r="D470" s="4" t="s">
        <v>946</v>
      </c>
      <c r="E470" s="4" t="s">
        <v>946</v>
      </c>
      <c r="F470" s="4" t="s">
        <v>946</v>
      </c>
      <c r="G470" s="5">
        <v>393.328</v>
      </c>
      <c r="H470" s="9"/>
      <c r="I470" s="9">
        <f t="shared" si="35"/>
        <v>184.86416</v>
      </c>
      <c r="J470" s="9">
        <f t="shared" si="36"/>
        <v>196.664</v>
      </c>
      <c r="K470" s="9">
        <f t="shared" si="37"/>
        <v>216.3304</v>
      </c>
      <c r="L470" s="9">
        <f t="shared" si="38"/>
        <v>275.3296</v>
      </c>
      <c r="M470" s="9">
        <f t="shared" si="39"/>
        <v>334.3288</v>
      </c>
    </row>
    <row r="471" ht="27" spans="2:13">
      <c r="B471" t="s">
        <v>947</v>
      </c>
      <c r="C471" s="4" t="s">
        <v>948</v>
      </c>
      <c r="D471" s="4" t="s">
        <v>948</v>
      </c>
      <c r="E471" s="4" t="s">
        <v>948</v>
      </c>
      <c r="F471" s="4" t="s">
        <v>948</v>
      </c>
      <c r="G471" s="5">
        <v>393.328</v>
      </c>
      <c r="H471" s="9"/>
      <c r="I471" s="9">
        <f t="shared" si="35"/>
        <v>184.86416</v>
      </c>
      <c r="J471" s="9">
        <f t="shared" si="36"/>
        <v>196.664</v>
      </c>
      <c r="K471" s="9">
        <f t="shared" si="37"/>
        <v>216.3304</v>
      </c>
      <c r="L471" s="9">
        <f t="shared" si="38"/>
        <v>275.3296</v>
      </c>
      <c r="M471" s="9">
        <f t="shared" si="39"/>
        <v>334.3288</v>
      </c>
    </row>
    <row r="472" ht="27" spans="2:13">
      <c r="B472" t="s">
        <v>949</v>
      </c>
      <c r="C472" s="4" t="s">
        <v>950</v>
      </c>
      <c r="D472" s="4" t="s">
        <v>950</v>
      </c>
      <c r="E472" s="4" t="s">
        <v>950</v>
      </c>
      <c r="F472" s="4" t="s">
        <v>950</v>
      </c>
      <c r="G472" s="5">
        <v>385.764</v>
      </c>
      <c r="H472" s="9"/>
      <c r="I472" s="9">
        <f t="shared" si="35"/>
        <v>181.30908</v>
      </c>
      <c r="J472" s="9">
        <f t="shared" si="36"/>
        <v>192.882</v>
      </c>
      <c r="K472" s="9">
        <f t="shared" si="37"/>
        <v>212.1702</v>
      </c>
      <c r="L472" s="9">
        <f t="shared" si="38"/>
        <v>270.0348</v>
      </c>
      <c r="M472" s="9">
        <f t="shared" si="39"/>
        <v>327.8994</v>
      </c>
    </row>
    <row r="473" ht="27" spans="2:13">
      <c r="B473" t="s">
        <v>951</v>
      </c>
      <c r="C473" s="4" t="s">
        <v>952</v>
      </c>
      <c r="D473" s="4" t="s">
        <v>952</v>
      </c>
      <c r="E473" s="4" t="s">
        <v>952</v>
      </c>
      <c r="F473" s="4" t="s">
        <v>952</v>
      </c>
      <c r="G473" s="5">
        <v>708.448</v>
      </c>
      <c r="H473" s="9"/>
      <c r="I473" s="9">
        <f t="shared" si="35"/>
        <v>332.97056</v>
      </c>
      <c r="J473" s="9">
        <f t="shared" si="36"/>
        <v>354.224</v>
      </c>
      <c r="K473" s="9">
        <f t="shared" si="37"/>
        <v>389.6464</v>
      </c>
      <c r="L473" s="9">
        <f t="shared" si="38"/>
        <v>495.9136</v>
      </c>
      <c r="M473" s="9">
        <f t="shared" si="39"/>
        <v>602.1808</v>
      </c>
    </row>
    <row r="474" ht="27" spans="2:13">
      <c r="B474" t="s">
        <v>953</v>
      </c>
      <c r="C474" s="4" t="s">
        <v>954</v>
      </c>
      <c r="D474" s="4" t="s">
        <v>954</v>
      </c>
      <c r="E474" s="4" t="s">
        <v>954</v>
      </c>
      <c r="F474" s="4" t="s">
        <v>954</v>
      </c>
      <c r="G474" s="5">
        <v>1061.736</v>
      </c>
      <c r="H474" s="9"/>
      <c r="I474" s="9">
        <f t="shared" si="35"/>
        <v>499.01592</v>
      </c>
      <c r="J474" s="9">
        <f t="shared" si="36"/>
        <v>530.868</v>
      </c>
      <c r="K474" s="9">
        <f t="shared" si="37"/>
        <v>583.9548</v>
      </c>
      <c r="L474" s="9">
        <f t="shared" si="38"/>
        <v>743.2152</v>
      </c>
      <c r="M474" s="9">
        <f t="shared" si="39"/>
        <v>902.4756</v>
      </c>
    </row>
    <row r="475" ht="27" spans="2:13">
      <c r="B475" t="s">
        <v>955</v>
      </c>
      <c r="C475" s="4" t="s">
        <v>956</v>
      </c>
      <c r="D475" s="4" t="s">
        <v>956</v>
      </c>
      <c r="E475" s="4" t="s">
        <v>956</v>
      </c>
      <c r="F475" s="4" t="s">
        <v>956</v>
      </c>
      <c r="G475" s="5">
        <v>393.328</v>
      </c>
      <c r="H475" s="9"/>
      <c r="I475" s="9">
        <f t="shared" si="35"/>
        <v>184.86416</v>
      </c>
      <c r="J475" s="9">
        <f t="shared" si="36"/>
        <v>196.664</v>
      </c>
      <c r="K475" s="9">
        <f t="shared" si="37"/>
        <v>216.3304</v>
      </c>
      <c r="L475" s="9">
        <f t="shared" si="38"/>
        <v>275.3296</v>
      </c>
      <c r="M475" s="9">
        <f t="shared" si="39"/>
        <v>334.3288</v>
      </c>
    </row>
    <row r="476" ht="27" spans="2:13">
      <c r="B476" t="s">
        <v>957</v>
      </c>
      <c r="C476" s="4" t="s">
        <v>958</v>
      </c>
      <c r="D476" s="4" t="s">
        <v>958</v>
      </c>
      <c r="E476" s="4" t="s">
        <v>958</v>
      </c>
      <c r="F476" s="4" t="s">
        <v>958</v>
      </c>
      <c r="G476" s="5">
        <v>708.448</v>
      </c>
      <c r="H476" s="9"/>
      <c r="I476" s="9">
        <f t="shared" si="35"/>
        <v>332.97056</v>
      </c>
      <c r="J476" s="9">
        <f t="shared" si="36"/>
        <v>354.224</v>
      </c>
      <c r="K476" s="9">
        <f t="shared" si="37"/>
        <v>389.6464</v>
      </c>
      <c r="L476" s="9">
        <f t="shared" si="38"/>
        <v>495.9136</v>
      </c>
      <c r="M476" s="9">
        <f t="shared" si="39"/>
        <v>602.1808</v>
      </c>
    </row>
    <row r="477" ht="27" spans="2:13">
      <c r="B477" t="s">
        <v>959</v>
      </c>
      <c r="C477" s="4" t="s">
        <v>960</v>
      </c>
      <c r="D477" s="4" t="s">
        <v>960</v>
      </c>
      <c r="E477" s="4" t="s">
        <v>960</v>
      </c>
      <c r="F477" s="4" t="s">
        <v>960</v>
      </c>
      <c r="G477" s="5">
        <v>1061.736</v>
      </c>
      <c r="H477" s="9"/>
      <c r="I477" s="9">
        <f t="shared" si="35"/>
        <v>499.01592</v>
      </c>
      <c r="J477" s="9">
        <f t="shared" si="36"/>
        <v>530.868</v>
      </c>
      <c r="K477" s="9">
        <f t="shared" si="37"/>
        <v>583.9548</v>
      </c>
      <c r="L477" s="9">
        <f t="shared" si="38"/>
        <v>743.2152</v>
      </c>
      <c r="M477" s="9">
        <f t="shared" si="39"/>
        <v>902.4756</v>
      </c>
    </row>
    <row r="478" ht="27" spans="2:13">
      <c r="B478" t="s">
        <v>961</v>
      </c>
      <c r="C478" s="4" t="s">
        <v>962</v>
      </c>
      <c r="D478" s="4" t="s">
        <v>962</v>
      </c>
      <c r="E478" s="4" t="s">
        <v>962</v>
      </c>
      <c r="F478" s="4" t="s">
        <v>962</v>
      </c>
      <c r="G478" s="5">
        <v>393.328</v>
      </c>
      <c r="H478" s="9"/>
      <c r="I478" s="9">
        <f t="shared" si="35"/>
        <v>184.86416</v>
      </c>
      <c r="J478" s="9">
        <f t="shared" si="36"/>
        <v>196.664</v>
      </c>
      <c r="K478" s="9">
        <f t="shared" si="37"/>
        <v>216.3304</v>
      </c>
      <c r="L478" s="9">
        <f t="shared" si="38"/>
        <v>275.3296</v>
      </c>
      <c r="M478" s="9">
        <f t="shared" si="39"/>
        <v>334.3288</v>
      </c>
    </row>
    <row r="479" ht="27" spans="2:13">
      <c r="B479" t="s">
        <v>963</v>
      </c>
      <c r="C479" s="4" t="s">
        <v>964</v>
      </c>
      <c r="D479" s="4" t="s">
        <v>964</v>
      </c>
      <c r="E479" s="4" t="s">
        <v>964</v>
      </c>
      <c r="F479" s="4" t="s">
        <v>964</v>
      </c>
      <c r="G479" s="5">
        <v>708.448</v>
      </c>
      <c r="H479" s="9"/>
      <c r="I479" s="9">
        <f t="shared" si="35"/>
        <v>332.97056</v>
      </c>
      <c r="J479" s="9">
        <f t="shared" si="36"/>
        <v>354.224</v>
      </c>
      <c r="K479" s="9">
        <f t="shared" si="37"/>
        <v>389.6464</v>
      </c>
      <c r="L479" s="9">
        <f t="shared" si="38"/>
        <v>495.9136</v>
      </c>
      <c r="M479" s="9">
        <f t="shared" si="39"/>
        <v>602.1808</v>
      </c>
    </row>
    <row r="480" ht="27" spans="2:13">
      <c r="B480" t="s">
        <v>965</v>
      </c>
      <c r="C480" s="4" t="s">
        <v>966</v>
      </c>
      <c r="D480" s="4" t="s">
        <v>966</v>
      </c>
      <c r="E480" s="4" t="s">
        <v>966</v>
      </c>
      <c r="F480" s="4" t="s">
        <v>966</v>
      </c>
      <c r="G480" s="5">
        <v>1061.736</v>
      </c>
      <c r="H480" s="9"/>
      <c r="I480" s="9">
        <f t="shared" si="35"/>
        <v>499.01592</v>
      </c>
      <c r="J480" s="9">
        <f t="shared" si="36"/>
        <v>530.868</v>
      </c>
      <c r="K480" s="9">
        <f t="shared" si="37"/>
        <v>583.9548</v>
      </c>
      <c r="L480" s="9">
        <f t="shared" si="38"/>
        <v>743.2152</v>
      </c>
      <c r="M480" s="9">
        <f t="shared" si="39"/>
        <v>902.4756</v>
      </c>
    </row>
    <row r="481" spans="2:13">
      <c r="B481" t="s">
        <v>967</v>
      </c>
      <c r="C481" s="4" t="s">
        <v>968</v>
      </c>
      <c r="D481" s="4" t="s">
        <v>968</v>
      </c>
      <c r="E481" s="4" t="s">
        <v>968</v>
      </c>
      <c r="F481" s="4" t="s">
        <v>968</v>
      </c>
      <c r="G481" s="5">
        <v>103.224</v>
      </c>
      <c r="H481" s="9"/>
      <c r="I481" s="9">
        <f t="shared" si="35"/>
        <v>48.51528</v>
      </c>
      <c r="J481" s="9">
        <f t="shared" si="36"/>
        <v>51.612</v>
      </c>
      <c r="K481" s="9">
        <f t="shared" si="37"/>
        <v>56.7732</v>
      </c>
      <c r="L481" s="9">
        <f t="shared" si="38"/>
        <v>72.2568</v>
      </c>
      <c r="M481" s="9">
        <f t="shared" si="39"/>
        <v>87.7404</v>
      </c>
    </row>
    <row r="482" ht="27" spans="2:13">
      <c r="B482" t="s">
        <v>969</v>
      </c>
      <c r="C482" s="4" t="s">
        <v>970</v>
      </c>
      <c r="D482" s="4" t="s">
        <v>970</v>
      </c>
      <c r="E482" s="4" t="s">
        <v>970</v>
      </c>
      <c r="F482" s="4" t="s">
        <v>970</v>
      </c>
      <c r="G482" s="5">
        <v>128.7</v>
      </c>
      <c r="H482" s="9"/>
      <c r="I482" s="9">
        <f t="shared" si="35"/>
        <v>60.489</v>
      </c>
      <c r="J482" s="9">
        <f t="shared" si="36"/>
        <v>64.35</v>
      </c>
      <c r="K482" s="9">
        <f t="shared" si="37"/>
        <v>70.785</v>
      </c>
      <c r="L482" s="9">
        <f t="shared" si="38"/>
        <v>90.09</v>
      </c>
      <c r="M482" s="9">
        <f t="shared" si="39"/>
        <v>109.395</v>
      </c>
    </row>
    <row r="483" spans="2:13">
      <c r="B483" t="s">
        <v>971</v>
      </c>
      <c r="C483" s="4" t="s">
        <v>972</v>
      </c>
      <c r="D483" s="4" t="s">
        <v>972</v>
      </c>
      <c r="E483" s="4" t="s">
        <v>972</v>
      </c>
      <c r="F483" s="4" t="s">
        <v>972</v>
      </c>
      <c r="G483" s="5">
        <v>103.224</v>
      </c>
      <c r="H483" s="9"/>
      <c r="I483" s="9">
        <f t="shared" si="35"/>
        <v>48.51528</v>
      </c>
      <c r="J483" s="9">
        <f t="shared" si="36"/>
        <v>51.612</v>
      </c>
      <c r="K483" s="9">
        <f t="shared" si="37"/>
        <v>56.7732</v>
      </c>
      <c r="L483" s="9">
        <f t="shared" si="38"/>
        <v>72.2568</v>
      </c>
      <c r="M483" s="9">
        <f t="shared" si="39"/>
        <v>87.7404</v>
      </c>
    </row>
    <row r="484" ht="27" spans="2:13">
      <c r="B484" t="s">
        <v>973</v>
      </c>
      <c r="C484" s="4" t="s">
        <v>974</v>
      </c>
      <c r="D484" s="4" t="s">
        <v>974</v>
      </c>
      <c r="E484" s="4" t="s">
        <v>974</v>
      </c>
      <c r="F484" s="4" t="s">
        <v>974</v>
      </c>
      <c r="G484" s="5">
        <v>128.7</v>
      </c>
      <c r="H484" s="9"/>
      <c r="I484" s="9">
        <f t="shared" si="35"/>
        <v>60.489</v>
      </c>
      <c r="J484" s="9">
        <f t="shared" si="36"/>
        <v>64.35</v>
      </c>
      <c r="K484" s="9">
        <f t="shared" si="37"/>
        <v>70.785</v>
      </c>
      <c r="L484" s="9">
        <f t="shared" si="38"/>
        <v>90.09</v>
      </c>
      <c r="M484" s="9">
        <f t="shared" si="39"/>
        <v>109.395</v>
      </c>
    </row>
    <row r="485" spans="2:13">
      <c r="B485" t="s">
        <v>975</v>
      </c>
      <c r="C485" s="4" t="s">
        <v>976</v>
      </c>
      <c r="D485" s="4" t="s">
        <v>976</v>
      </c>
      <c r="E485" s="4" t="s">
        <v>976</v>
      </c>
      <c r="F485" s="4" t="s">
        <v>976</v>
      </c>
      <c r="G485" s="5">
        <v>103.224</v>
      </c>
      <c r="H485" s="9"/>
      <c r="I485" s="9">
        <f t="shared" si="35"/>
        <v>48.51528</v>
      </c>
      <c r="J485" s="9">
        <f t="shared" si="36"/>
        <v>51.612</v>
      </c>
      <c r="K485" s="9">
        <f t="shared" si="37"/>
        <v>56.7732</v>
      </c>
      <c r="L485" s="9">
        <f t="shared" si="38"/>
        <v>72.2568</v>
      </c>
      <c r="M485" s="9">
        <f t="shared" si="39"/>
        <v>87.7404</v>
      </c>
    </row>
    <row r="486" ht="27" spans="2:13">
      <c r="B486" t="s">
        <v>977</v>
      </c>
      <c r="C486" s="4" t="s">
        <v>978</v>
      </c>
      <c r="D486" s="4" t="s">
        <v>978</v>
      </c>
      <c r="E486" s="4" t="s">
        <v>978</v>
      </c>
      <c r="F486" s="4" t="s">
        <v>978</v>
      </c>
      <c r="G486" s="5">
        <v>126.225</v>
      </c>
      <c r="H486" s="9"/>
      <c r="I486" s="9">
        <f t="shared" si="35"/>
        <v>59.32575</v>
      </c>
      <c r="J486" s="9">
        <f t="shared" si="36"/>
        <v>63.1125</v>
      </c>
      <c r="K486" s="9">
        <f t="shared" si="37"/>
        <v>69.42375</v>
      </c>
      <c r="L486" s="9">
        <f t="shared" si="38"/>
        <v>88.3575</v>
      </c>
      <c r="M486" s="9">
        <f t="shared" si="39"/>
        <v>107.29125</v>
      </c>
    </row>
    <row r="487" spans="2:13">
      <c r="B487" t="s">
        <v>979</v>
      </c>
      <c r="C487" s="4" t="s">
        <v>980</v>
      </c>
      <c r="D487" s="4" t="s">
        <v>980</v>
      </c>
      <c r="E487" s="4" t="s">
        <v>980</v>
      </c>
      <c r="F487" s="4" t="s">
        <v>980</v>
      </c>
      <c r="G487" s="5">
        <v>183.549</v>
      </c>
      <c r="H487" s="9"/>
      <c r="I487" s="9">
        <f t="shared" si="35"/>
        <v>86.26803</v>
      </c>
      <c r="J487" s="9">
        <f t="shared" si="36"/>
        <v>91.7745</v>
      </c>
      <c r="K487" s="9">
        <f t="shared" si="37"/>
        <v>100.95195</v>
      </c>
      <c r="L487" s="9">
        <f t="shared" si="38"/>
        <v>128.4843</v>
      </c>
      <c r="M487" s="9">
        <f t="shared" si="39"/>
        <v>156.01665</v>
      </c>
    </row>
    <row r="488" spans="2:13">
      <c r="B488" t="s">
        <v>981</v>
      </c>
      <c r="C488" s="4" t="s">
        <v>982</v>
      </c>
      <c r="D488" s="4" t="s">
        <v>982</v>
      </c>
      <c r="E488" s="4" t="s">
        <v>982</v>
      </c>
      <c r="F488" s="4" t="s">
        <v>982</v>
      </c>
      <c r="G488" s="5">
        <v>183.549</v>
      </c>
      <c r="H488" s="9"/>
      <c r="I488" s="9">
        <f t="shared" si="35"/>
        <v>86.26803</v>
      </c>
      <c r="J488" s="9">
        <f t="shared" si="36"/>
        <v>91.7745</v>
      </c>
      <c r="K488" s="9">
        <f t="shared" si="37"/>
        <v>100.95195</v>
      </c>
      <c r="L488" s="9">
        <f t="shared" si="38"/>
        <v>128.4843</v>
      </c>
      <c r="M488" s="9">
        <f t="shared" si="39"/>
        <v>156.01665</v>
      </c>
    </row>
    <row r="489" spans="2:13">
      <c r="B489" t="s">
        <v>983</v>
      </c>
      <c r="C489" s="4" t="s">
        <v>984</v>
      </c>
      <c r="D489" s="4" t="s">
        <v>984</v>
      </c>
      <c r="E489" s="4" t="s">
        <v>984</v>
      </c>
      <c r="F489" s="4" t="s">
        <v>984</v>
      </c>
      <c r="G489" s="5">
        <v>183.549</v>
      </c>
      <c r="H489" s="9"/>
      <c r="I489" s="9">
        <f t="shared" si="35"/>
        <v>86.26803</v>
      </c>
      <c r="J489" s="9">
        <f t="shared" si="36"/>
        <v>91.7745</v>
      </c>
      <c r="K489" s="9">
        <f t="shared" si="37"/>
        <v>100.95195</v>
      </c>
      <c r="L489" s="9">
        <f t="shared" si="38"/>
        <v>128.4843</v>
      </c>
      <c r="M489" s="9">
        <f t="shared" si="39"/>
        <v>156.01665</v>
      </c>
    </row>
    <row r="490" spans="2:13">
      <c r="B490" t="s">
        <v>985</v>
      </c>
      <c r="C490" s="4" t="s">
        <v>986</v>
      </c>
      <c r="D490" s="4" t="s">
        <v>986</v>
      </c>
      <c r="E490" s="4" t="s">
        <v>986</v>
      </c>
      <c r="F490" s="4" t="s">
        <v>986</v>
      </c>
      <c r="G490" s="5">
        <v>268.944</v>
      </c>
      <c r="H490" s="9"/>
      <c r="I490" s="9">
        <f t="shared" si="35"/>
        <v>126.40368</v>
      </c>
      <c r="J490" s="9">
        <f t="shared" si="36"/>
        <v>134.472</v>
      </c>
      <c r="K490" s="9">
        <f t="shared" si="37"/>
        <v>147.9192</v>
      </c>
      <c r="L490" s="9">
        <f t="shared" si="38"/>
        <v>188.2608</v>
      </c>
      <c r="M490" s="9">
        <f t="shared" si="39"/>
        <v>228.6024</v>
      </c>
    </row>
    <row r="491" spans="2:13">
      <c r="B491" t="s">
        <v>987</v>
      </c>
      <c r="C491" s="4" t="s">
        <v>988</v>
      </c>
      <c r="D491" s="4" t="s">
        <v>988</v>
      </c>
      <c r="E491" s="4" t="s">
        <v>988</v>
      </c>
      <c r="F491" s="4" t="s">
        <v>988</v>
      </c>
      <c r="G491" s="5">
        <v>263.772</v>
      </c>
      <c r="H491" s="9"/>
      <c r="I491" s="9">
        <f t="shared" si="35"/>
        <v>123.97284</v>
      </c>
      <c r="J491" s="9">
        <f t="shared" si="36"/>
        <v>131.886</v>
      </c>
      <c r="K491" s="9">
        <f t="shared" si="37"/>
        <v>145.0746</v>
      </c>
      <c r="L491" s="9">
        <f t="shared" si="38"/>
        <v>184.6404</v>
      </c>
      <c r="M491" s="9">
        <f t="shared" si="39"/>
        <v>224.2062</v>
      </c>
    </row>
    <row r="492" spans="2:13">
      <c r="B492" t="s">
        <v>989</v>
      </c>
      <c r="C492" s="4" t="s">
        <v>990</v>
      </c>
      <c r="D492" s="4" t="s">
        <v>990</v>
      </c>
      <c r="E492" s="4" t="s">
        <v>990</v>
      </c>
      <c r="F492" s="4" t="s">
        <v>990</v>
      </c>
      <c r="G492" s="5">
        <v>268.944</v>
      </c>
      <c r="H492" s="9"/>
      <c r="I492" s="9">
        <f t="shared" si="35"/>
        <v>126.40368</v>
      </c>
      <c r="J492" s="9">
        <f t="shared" si="36"/>
        <v>134.472</v>
      </c>
      <c r="K492" s="9">
        <f t="shared" si="37"/>
        <v>147.9192</v>
      </c>
      <c r="L492" s="9">
        <f t="shared" si="38"/>
        <v>188.2608</v>
      </c>
      <c r="M492" s="9">
        <f t="shared" si="39"/>
        <v>228.6024</v>
      </c>
    </row>
    <row r="493" spans="2:13">
      <c r="B493" t="s">
        <v>991</v>
      </c>
      <c r="C493" s="4" t="s">
        <v>992</v>
      </c>
      <c r="D493" s="4" t="s">
        <v>992</v>
      </c>
      <c r="E493" s="4" t="s">
        <v>992</v>
      </c>
      <c r="F493" s="4" t="s">
        <v>992</v>
      </c>
      <c r="G493" s="5">
        <v>358.176</v>
      </c>
      <c r="H493" s="9"/>
      <c r="I493" s="9">
        <f t="shared" si="35"/>
        <v>168.34272</v>
      </c>
      <c r="J493" s="9">
        <f t="shared" si="36"/>
        <v>179.088</v>
      </c>
      <c r="K493" s="9">
        <f t="shared" si="37"/>
        <v>196.9968</v>
      </c>
      <c r="L493" s="9">
        <f t="shared" si="38"/>
        <v>250.7232</v>
      </c>
      <c r="M493" s="9">
        <f t="shared" si="39"/>
        <v>304.4496</v>
      </c>
    </row>
    <row r="494" ht="27" spans="2:13">
      <c r="B494" t="s">
        <v>993</v>
      </c>
      <c r="C494" s="4" t="s">
        <v>994</v>
      </c>
      <c r="D494" s="4" t="s">
        <v>994</v>
      </c>
      <c r="E494" s="4" t="s">
        <v>994</v>
      </c>
      <c r="F494" s="4" t="s">
        <v>994</v>
      </c>
      <c r="G494" s="5">
        <v>358.176</v>
      </c>
      <c r="H494" s="9"/>
      <c r="I494" s="9">
        <f t="shared" si="35"/>
        <v>168.34272</v>
      </c>
      <c r="J494" s="9">
        <f t="shared" si="36"/>
        <v>179.088</v>
      </c>
      <c r="K494" s="9">
        <f t="shared" si="37"/>
        <v>196.9968</v>
      </c>
      <c r="L494" s="9">
        <f t="shared" si="38"/>
        <v>250.7232</v>
      </c>
      <c r="M494" s="9">
        <f t="shared" si="39"/>
        <v>304.4496</v>
      </c>
    </row>
    <row r="495" ht="27" spans="2:13">
      <c r="B495" t="s">
        <v>995</v>
      </c>
      <c r="C495" s="4" t="s">
        <v>996</v>
      </c>
      <c r="D495" s="4" t="s">
        <v>996</v>
      </c>
      <c r="E495" s="4" t="s">
        <v>996</v>
      </c>
      <c r="F495" s="4" t="s">
        <v>996</v>
      </c>
      <c r="G495" s="5">
        <v>358.176</v>
      </c>
      <c r="H495" s="9"/>
      <c r="I495" s="9">
        <f t="shared" si="35"/>
        <v>168.34272</v>
      </c>
      <c r="J495" s="9">
        <f t="shared" si="36"/>
        <v>179.088</v>
      </c>
      <c r="K495" s="9">
        <f t="shared" si="37"/>
        <v>196.9968</v>
      </c>
      <c r="L495" s="9">
        <f t="shared" si="38"/>
        <v>250.7232</v>
      </c>
      <c r="M495" s="9">
        <f t="shared" si="39"/>
        <v>304.4496</v>
      </c>
    </row>
    <row r="496" ht="27" spans="2:13">
      <c r="B496" t="s">
        <v>997</v>
      </c>
      <c r="C496" s="4" t="s">
        <v>998</v>
      </c>
      <c r="D496" s="4" t="s">
        <v>998</v>
      </c>
      <c r="E496" s="4" t="s">
        <v>998</v>
      </c>
      <c r="F496" s="4" t="s">
        <v>998</v>
      </c>
      <c r="G496" s="5">
        <v>138.975</v>
      </c>
      <c r="H496" s="9"/>
      <c r="I496" s="9">
        <f t="shared" si="35"/>
        <v>65.31825</v>
      </c>
      <c r="J496" s="9">
        <f t="shared" si="36"/>
        <v>69.4875</v>
      </c>
      <c r="K496" s="9">
        <f t="shared" si="37"/>
        <v>76.43625</v>
      </c>
      <c r="L496" s="9">
        <f t="shared" si="38"/>
        <v>97.2825</v>
      </c>
      <c r="M496" s="9">
        <f t="shared" si="39"/>
        <v>118.12875</v>
      </c>
    </row>
    <row r="497" ht="27" spans="2:13">
      <c r="B497" t="s">
        <v>999</v>
      </c>
      <c r="C497" s="4" t="s">
        <v>1000</v>
      </c>
      <c r="D497" s="4" t="s">
        <v>1000</v>
      </c>
      <c r="E497" s="4" t="s">
        <v>1000</v>
      </c>
      <c r="F497" s="4" t="s">
        <v>1000</v>
      </c>
      <c r="G497" s="5">
        <v>146.625</v>
      </c>
      <c r="H497" s="9"/>
      <c r="I497" s="9">
        <f t="shared" si="35"/>
        <v>68.91375</v>
      </c>
      <c r="J497" s="9">
        <f t="shared" si="36"/>
        <v>73.3125</v>
      </c>
      <c r="K497" s="9">
        <f t="shared" si="37"/>
        <v>80.64375</v>
      </c>
      <c r="L497" s="9">
        <f t="shared" si="38"/>
        <v>102.6375</v>
      </c>
      <c r="M497" s="9">
        <f t="shared" si="39"/>
        <v>124.63125</v>
      </c>
    </row>
    <row r="498" ht="27" spans="2:13">
      <c r="B498" t="s">
        <v>1001</v>
      </c>
      <c r="C498" s="4" t="s">
        <v>1002</v>
      </c>
      <c r="D498" s="4" t="s">
        <v>1002</v>
      </c>
      <c r="E498" s="4" t="s">
        <v>1002</v>
      </c>
      <c r="F498" s="4" t="s">
        <v>1002</v>
      </c>
      <c r="G498" s="5">
        <v>146.625</v>
      </c>
      <c r="H498" s="9"/>
      <c r="I498" s="9">
        <f t="shared" si="35"/>
        <v>68.91375</v>
      </c>
      <c r="J498" s="9">
        <f t="shared" si="36"/>
        <v>73.3125</v>
      </c>
      <c r="K498" s="9">
        <f t="shared" si="37"/>
        <v>80.64375</v>
      </c>
      <c r="L498" s="9">
        <f t="shared" si="38"/>
        <v>102.6375</v>
      </c>
      <c r="M498" s="9">
        <f t="shared" si="39"/>
        <v>124.63125</v>
      </c>
    </row>
    <row r="499" ht="27" spans="2:13">
      <c r="B499" t="s">
        <v>1003</v>
      </c>
      <c r="C499" s="4" t="s">
        <v>1004</v>
      </c>
      <c r="D499" s="4" t="s">
        <v>1004</v>
      </c>
      <c r="E499" s="4" t="s">
        <v>1004</v>
      </c>
      <c r="F499" s="4" t="s">
        <v>1004</v>
      </c>
      <c r="G499" s="5">
        <v>141.525</v>
      </c>
      <c r="H499" s="9"/>
      <c r="I499" s="9">
        <f t="shared" si="35"/>
        <v>66.51675</v>
      </c>
      <c r="J499" s="9">
        <f t="shared" si="36"/>
        <v>70.7625</v>
      </c>
      <c r="K499" s="9">
        <f t="shared" si="37"/>
        <v>77.83875</v>
      </c>
      <c r="L499" s="9">
        <f t="shared" si="38"/>
        <v>99.0675</v>
      </c>
      <c r="M499" s="9">
        <f t="shared" si="39"/>
        <v>120.29625</v>
      </c>
    </row>
    <row r="500" ht="27" spans="2:13">
      <c r="B500" t="s">
        <v>1005</v>
      </c>
      <c r="C500" s="4" t="s">
        <v>1006</v>
      </c>
      <c r="D500" s="4" t="s">
        <v>1006</v>
      </c>
      <c r="E500" s="4" t="s">
        <v>1006</v>
      </c>
      <c r="F500" s="4" t="s">
        <v>1006</v>
      </c>
      <c r="G500" s="5">
        <v>149.175</v>
      </c>
      <c r="H500" s="9"/>
      <c r="I500" s="9">
        <f t="shared" si="35"/>
        <v>70.11225</v>
      </c>
      <c r="J500" s="9">
        <f t="shared" si="36"/>
        <v>74.5875</v>
      </c>
      <c r="K500" s="9">
        <f t="shared" si="37"/>
        <v>82.04625</v>
      </c>
      <c r="L500" s="9">
        <f t="shared" si="38"/>
        <v>104.4225</v>
      </c>
      <c r="M500" s="9">
        <f t="shared" si="39"/>
        <v>126.79875</v>
      </c>
    </row>
    <row r="501" ht="27" spans="2:13">
      <c r="B501" t="s">
        <v>1007</v>
      </c>
      <c r="C501" s="4" t="s">
        <v>1008</v>
      </c>
      <c r="D501" s="4" t="s">
        <v>1008</v>
      </c>
      <c r="E501" s="4" t="s">
        <v>1008</v>
      </c>
      <c r="F501" s="4" t="s">
        <v>1008</v>
      </c>
      <c r="G501" s="5">
        <v>149.175</v>
      </c>
      <c r="H501" s="9"/>
      <c r="I501" s="9">
        <f t="shared" si="35"/>
        <v>70.11225</v>
      </c>
      <c r="J501" s="9">
        <f t="shared" si="36"/>
        <v>74.5875</v>
      </c>
      <c r="K501" s="9">
        <f t="shared" si="37"/>
        <v>82.04625</v>
      </c>
      <c r="L501" s="9">
        <f t="shared" si="38"/>
        <v>104.4225</v>
      </c>
      <c r="M501" s="9">
        <f t="shared" si="39"/>
        <v>126.79875</v>
      </c>
    </row>
    <row r="502" ht="27" spans="2:13">
      <c r="B502" t="s">
        <v>1009</v>
      </c>
      <c r="C502" s="4" t="s">
        <v>1010</v>
      </c>
      <c r="D502" s="4" t="s">
        <v>1010</v>
      </c>
      <c r="E502" s="4" t="s">
        <v>1010</v>
      </c>
      <c r="F502" s="4" t="s">
        <v>1010</v>
      </c>
      <c r="G502" s="5">
        <v>144.075</v>
      </c>
      <c r="H502" s="9"/>
      <c r="I502" s="9">
        <f t="shared" si="35"/>
        <v>67.71525</v>
      </c>
      <c r="J502" s="9">
        <f t="shared" si="36"/>
        <v>72.0375</v>
      </c>
      <c r="K502" s="9">
        <f t="shared" si="37"/>
        <v>79.24125</v>
      </c>
      <c r="L502" s="9">
        <f t="shared" si="38"/>
        <v>100.8525</v>
      </c>
      <c r="M502" s="9">
        <f t="shared" si="39"/>
        <v>122.46375</v>
      </c>
    </row>
    <row r="503" ht="27" spans="2:13">
      <c r="B503" t="s">
        <v>1011</v>
      </c>
      <c r="C503" s="4" t="s">
        <v>1012</v>
      </c>
      <c r="D503" s="4" t="s">
        <v>1012</v>
      </c>
      <c r="E503" s="4" t="s">
        <v>1012</v>
      </c>
      <c r="F503" s="4" t="s">
        <v>1012</v>
      </c>
      <c r="G503" s="5">
        <v>154.275</v>
      </c>
      <c r="H503" s="9"/>
      <c r="I503" s="9">
        <f t="shared" si="35"/>
        <v>72.50925</v>
      </c>
      <c r="J503" s="9">
        <f t="shared" si="36"/>
        <v>77.1375</v>
      </c>
      <c r="K503" s="9">
        <f t="shared" si="37"/>
        <v>84.85125</v>
      </c>
      <c r="L503" s="9">
        <f t="shared" si="38"/>
        <v>107.9925</v>
      </c>
      <c r="M503" s="9">
        <f t="shared" si="39"/>
        <v>131.13375</v>
      </c>
    </row>
    <row r="504" ht="27" spans="2:13">
      <c r="B504" t="s">
        <v>1013</v>
      </c>
      <c r="C504" s="4" t="s">
        <v>1014</v>
      </c>
      <c r="D504" s="4" t="s">
        <v>1014</v>
      </c>
      <c r="E504" s="4" t="s">
        <v>1014</v>
      </c>
      <c r="F504" s="4" t="s">
        <v>1014</v>
      </c>
      <c r="G504" s="5">
        <v>154.275</v>
      </c>
      <c r="H504" s="9"/>
      <c r="I504" s="9">
        <f t="shared" si="35"/>
        <v>72.50925</v>
      </c>
      <c r="J504" s="9">
        <f t="shared" si="36"/>
        <v>77.1375</v>
      </c>
      <c r="K504" s="9">
        <f t="shared" si="37"/>
        <v>84.85125</v>
      </c>
      <c r="L504" s="9">
        <f t="shared" si="38"/>
        <v>107.9925</v>
      </c>
      <c r="M504" s="9">
        <f t="shared" si="39"/>
        <v>131.13375</v>
      </c>
    </row>
    <row r="505" spans="2:13">
      <c r="B505" t="s">
        <v>1015</v>
      </c>
      <c r="C505" s="4" t="s">
        <v>1016</v>
      </c>
      <c r="D505" s="4" t="s">
        <v>1016</v>
      </c>
      <c r="E505" s="4" t="s">
        <v>1016</v>
      </c>
      <c r="F505" s="4" t="s">
        <v>1016</v>
      </c>
      <c r="G505" s="5">
        <v>277.95</v>
      </c>
      <c r="H505" s="9"/>
      <c r="I505" s="9">
        <f t="shared" si="35"/>
        <v>130.6365</v>
      </c>
      <c r="J505" s="9">
        <f t="shared" si="36"/>
        <v>138.975</v>
      </c>
      <c r="K505" s="9">
        <f t="shared" si="37"/>
        <v>152.8725</v>
      </c>
      <c r="L505" s="9">
        <f t="shared" si="38"/>
        <v>194.565</v>
      </c>
      <c r="M505" s="9">
        <f t="shared" si="39"/>
        <v>236.2575</v>
      </c>
    </row>
    <row r="506" ht="27" spans="2:13">
      <c r="B506" t="s">
        <v>1017</v>
      </c>
      <c r="C506" s="4" t="s">
        <v>1018</v>
      </c>
      <c r="D506" s="4" t="s">
        <v>1018</v>
      </c>
      <c r="E506" s="4" t="s">
        <v>1018</v>
      </c>
      <c r="F506" s="4" t="s">
        <v>1018</v>
      </c>
      <c r="G506" s="5">
        <v>283.05</v>
      </c>
      <c r="H506" s="9"/>
      <c r="I506" s="9">
        <f t="shared" si="35"/>
        <v>133.0335</v>
      </c>
      <c r="J506" s="9">
        <f t="shared" si="36"/>
        <v>141.525</v>
      </c>
      <c r="K506" s="9">
        <f t="shared" si="37"/>
        <v>155.6775</v>
      </c>
      <c r="L506" s="9">
        <f t="shared" si="38"/>
        <v>198.135</v>
      </c>
      <c r="M506" s="9">
        <f t="shared" si="39"/>
        <v>240.5925</v>
      </c>
    </row>
    <row r="507" ht="27" spans="2:13">
      <c r="B507" t="s">
        <v>1019</v>
      </c>
      <c r="C507" s="4" t="s">
        <v>1020</v>
      </c>
      <c r="D507" s="4" t="s">
        <v>1020</v>
      </c>
      <c r="E507" s="4" t="s">
        <v>1020</v>
      </c>
      <c r="F507" s="4" t="s">
        <v>1020</v>
      </c>
      <c r="G507" s="5">
        <v>288.15</v>
      </c>
      <c r="H507" s="9"/>
      <c r="I507" s="9">
        <f t="shared" si="35"/>
        <v>135.4305</v>
      </c>
      <c r="J507" s="9">
        <f t="shared" si="36"/>
        <v>144.075</v>
      </c>
      <c r="K507" s="9">
        <f t="shared" si="37"/>
        <v>158.4825</v>
      </c>
      <c r="L507" s="9">
        <f t="shared" si="38"/>
        <v>201.705</v>
      </c>
      <c r="M507" s="9">
        <f t="shared" si="39"/>
        <v>244.9275</v>
      </c>
    </row>
    <row r="508" spans="2:13">
      <c r="B508" t="s">
        <v>1021</v>
      </c>
      <c r="C508" s="4" t="s">
        <v>1022</v>
      </c>
      <c r="D508" s="4" t="s">
        <v>1022</v>
      </c>
      <c r="E508" s="4" t="s">
        <v>1022</v>
      </c>
      <c r="F508" s="4" t="s">
        <v>1022</v>
      </c>
      <c r="G508" s="5">
        <v>416.925</v>
      </c>
      <c r="H508" s="9"/>
      <c r="I508" s="9">
        <f t="shared" si="35"/>
        <v>195.95475</v>
      </c>
      <c r="J508" s="9">
        <f t="shared" si="36"/>
        <v>208.4625</v>
      </c>
      <c r="K508" s="9">
        <f t="shared" si="37"/>
        <v>229.30875</v>
      </c>
      <c r="L508" s="9">
        <f t="shared" si="38"/>
        <v>291.8475</v>
      </c>
      <c r="M508" s="9">
        <f t="shared" si="39"/>
        <v>354.38625</v>
      </c>
    </row>
    <row r="509" ht="27" spans="2:13">
      <c r="B509" t="s">
        <v>1023</v>
      </c>
      <c r="C509" s="4" t="s">
        <v>1024</v>
      </c>
      <c r="D509" s="4" t="s">
        <v>1024</v>
      </c>
      <c r="E509" s="4" t="s">
        <v>1024</v>
      </c>
      <c r="F509" s="4" t="s">
        <v>1024</v>
      </c>
      <c r="G509" s="5">
        <v>424.575</v>
      </c>
      <c r="H509" s="9"/>
      <c r="I509" s="9">
        <f t="shared" si="35"/>
        <v>199.55025</v>
      </c>
      <c r="J509" s="9">
        <f t="shared" si="36"/>
        <v>212.2875</v>
      </c>
      <c r="K509" s="9">
        <f t="shared" si="37"/>
        <v>233.51625</v>
      </c>
      <c r="L509" s="9">
        <f t="shared" si="38"/>
        <v>297.2025</v>
      </c>
      <c r="M509" s="9">
        <f t="shared" si="39"/>
        <v>360.88875</v>
      </c>
    </row>
    <row r="510" ht="27" spans="2:13">
      <c r="B510" t="s">
        <v>1025</v>
      </c>
      <c r="C510" s="4" t="s">
        <v>1026</v>
      </c>
      <c r="D510" s="4" t="s">
        <v>1026</v>
      </c>
      <c r="E510" s="4" t="s">
        <v>1026</v>
      </c>
      <c r="F510" s="4" t="s">
        <v>1026</v>
      </c>
      <c r="G510" s="5">
        <v>432.225</v>
      </c>
      <c r="H510" s="9"/>
      <c r="I510" s="9">
        <f t="shared" si="35"/>
        <v>203.14575</v>
      </c>
      <c r="J510" s="9">
        <f t="shared" si="36"/>
        <v>216.1125</v>
      </c>
      <c r="K510" s="9">
        <f t="shared" si="37"/>
        <v>237.72375</v>
      </c>
      <c r="L510" s="9">
        <f t="shared" si="38"/>
        <v>302.5575</v>
      </c>
      <c r="M510" s="9">
        <f t="shared" si="39"/>
        <v>367.39125</v>
      </c>
    </row>
    <row r="511" spans="2:13">
      <c r="B511" t="s">
        <v>1027</v>
      </c>
      <c r="C511" s="4" t="s">
        <v>1028</v>
      </c>
      <c r="D511" s="4" t="s">
        <v>1028</v>
      </c>
      <c r="E511" s="4" t="s">
        <v>1028</v>
      </c>
      <c r="F511" s="4" t="s">
        <v>1028</v>
      </c>
      <c r="G511" s="5">
        <v>555.9</v>
      </c>
      <c r="H511" s="9"/>
      <c r="I511" s="9">
        <f t="shared" si="35"/>
        <v>261.273</v>
      </c>
      <c r="J511" s="9">
        <f t="shared" si="36"/>
        <v>277.95</v>
      </c>
      <c r="K511" s="9">
        <f t="shared" si="37"/>
        <v>305.745</v>
      </c>
      <c r="L511" s="9">
        <f t="shared" si="38"/>
        <v>389.13</v>
      </c>
      <c r="M511" s="9">
        <f t="shared" si="39"/>
        <v>472.515</v>
      </c>
    </row>
    <row r="512" ht="27" spans="2:13">
      <c r="B512" t="s">
        <v>1029</v>
      </c>
      <c r="C512" s="4" t="s">
        <v>1030</v>
      </c>
      <c r="D512" s="4" t="s">
        <v>1030</v>
      </c>
      <c r="E512" s="4" t="s">
        <v>1030</v>
      </c>
      <c r="F512" s="4" t="s">
        <v>1030</v>
      </c>
      <c r="G512" s="5">
        <v>566.1</v>
      </c>
      <c r="H512" s="9"/>
      <c r="I512" s="9">
        <f t="shared" si="35"/>
        <v>266.067</v>
      </c>
      <c r="J512" s="9">
        <f t="shared" si="36"/>
        <v>283.05</v>
      </c>
      <c r="K512" s="9">
        <f t="shared" si="37"/>
        <v>311.355</v>
      </c>
      <c r="L512" s="9">
        <f t="shared" si="38"/>
        <v>396.27</v>
      </c>
      <c r="M512" s="9">
        <f t="shared" si="39"/>
        <v>481.185</v>
      </c>
    </row>
    <row r="513" ht="27" spans="2:13">
      <c r="B513" t="s">
        <v>1031</v>
      </c>
      <c r="C513" s="4" t="s">
        <v>1032</v>
      </c>
      <c r="D513" s="4" t="s">
        <v>1032</v>
      </c>
      <c r="E513" s="4" t="s">
        <v>1032</v>
      </c>
      <c r="F513" s="4" t="s">
        <v>1032</v>
      </c>
      <c r="G513" s="5">
        <v>576.3</v>
      </c>
      <c r="H513" s="9"/>
      <c r="I513" s="9">
        <f t="shared" si="35"/>
        <v>270.861</v>
      </c>
      <c r="J513" s="9">
        <f t="shared" si="36"/>
        <v>288.15</v>
      </c>
      <c r="K513" s="9">
        <f t="shared" si="37"/>
        <v>316.965</v>
      </c>
      <c r="L513" s="9">
        <f t="shared" si="38"/>
        <v>403.41</v>
      </c>
      <c r="M513" s="9">
        <f t="shared" si="39"/>
        <v>489.855</v>
      </c>
    </row>
    <row r="514" ht="27" spans="2:13">
      <c r="B514" t="s">
        <v>1033</v>
      </c>
      <c r="C514" s="4" t="s">
        <v>1034</v>
      </c>
      <c r="D514" s="4" t="s">
        <v>1034</v>
      </c>
      <c r="E514" s="4" t="s">
        <v>1034</v>
      </c>
      <c r="F514" s="4" t="s">
        <v>1034</v>
      </c>
      <c r="G514" s="5">
        <v>536.316</v>
      </c>
      <c r="H514" s="9"/>
      <c r="I514" s="9">
        <f t="shared" si="35"/>
        <v>252.06852</v>
      </c>
      <c r="J514" s="9">
        <f t="shared" si="36"/>
        <v>268.158</v>
      </c>
      <c r="K514" s="9">
        <f t="shared" si="37"/>
        <v>294.9738</v>
      </c>
      <c r="L514" s="9">
        <f t="shared" si="38"/>
        <v>375.4212</v>
      </c>
      <c r="M514" s="9">
        <f t="shared" si="39"/>
        <v>455.8686</v>
      </c>
    </row>
    <row r="515" ht="40.5" spans="2:13">
      <c r="B515" t="s">
        <v>1035</v>
      </c>
      <c r="C515" s="4" t="s">
        <v>1036</v>
      </c>
      <c r="D515" s="4" t="s">
        <v>1036</v>
      </c>
      <c r="E515" s="4" t="s">
        <v>1036</v>
      </c>
      <c r="F515" s="4" t="s">
        <v>1036</v>
      </c>
      <c r="G515" s="5">
        <v>71.76</v>
      </c>
      <c r="H515" s="9"/>
      <c r="I515" s="9">
        <f t="shared" ref="I515:I578" si="40">G515*0.47</f>
        <v>33.7272</v>
      </c>
      <c r="J515" s="9">
        <f t="shared" ref="J515:J578" si="41">G515*0.5</f>
        <v>35.88</v>
      </c>
      <c r="K515" s="9">
        <f t="shared" ref="K515:K578" si="42">G515*0.55</f>
        <v>39.468</v>
      </c>
      <c r="L515" s="9">
        <f t="shared" ref="L515:L578" si="43">G515*0.7</f>
        <v>50.232</v>
      </c>
      <c r="M515" s="9">
        <f t="shared" ref="M515:M578" si="44">G515*0.85</f>
        <v>60.996</v>
      </c>
    </row>
    <row r="516" ht="27" spans="2:13">
      <c r="B516" t="s">
        <v>1037</v>
      </c>
      <c r="C516" s="4" t="s">
        <v>1038</v>
      </c>
      <c r="D516" s="4" t="s">
        <v>1038</v>
      </c>
      <c r="E516" s="4" t="s">
        <v>1038</v>
      </c>
      <c r="F516" s="4" t="s">
        <v>1038</v>
      </c>
      <c r="G516" s="5">
        <v>68.64</v>
      </c>
      <c r="H516" s="9"/>
      <c r="I516" s="9">
        <f t="shared" si="40"/>
        <v>32.2608</v>
      </c>
      <c r="J516" s="9">
        <f t="shared" si="41"/>
        <v>34.32</v>
      </c>
      <c r="K516" s="9">
        <f t="shared" si="42"/>
        <v>37.752</v>
      </c>
      <c r="L516" s="9">
        <f t="shared" si="43"/>
        <v>48.048</v>
      </c>
      <c r="M516" s="9">
        <f t="shared" si="44"/>
        <v>58.344</v>
      </c>
    </row>
    <row r="517" ht="27" spans="2:13">
      <c r="B517" t="s">
        <v>1039</v>
      </c>
      <c r="C517" s="4" t="s">
        <v>1040</v>
      </c>
      <c r="D517" s="4" t="s">
        <v>1040</v>
      </c>
      <c r="E517" s="4" t="s">
        <v>1040</v>
      </c>
      <c r="F517" s="4" t="s">
        <v>1040</v>
      </c>
      <c r="G517" s="5">
        <v>82.29</v>
      </c>
      <c r="H517" s="9"/>
      <c r="I517" s="9">
        <f t="shared" si="40"/>
        <v>38.6763</v>
      </c>
      <c r="J517" s="9">
        <f t="shared" si="41"/>
        <v>41.145</v>
      </c>
      <c r="K517" s="9">
        <f t="shared" si="42"/>
        <v>45.2595</v>
      </c>
      <c r="L517" s="9">
        <f t="shared" si="43"/>
        <v>57.603</v>
      </c>
      <c r="M517" s="9">
        <f t="shared" si="44"/>
        <v>69.9465</v>
      </c>
    </row>
    <row r="518" ht="27" spans="2:13">
      <c r="B518" t="s">
        <v>1041</v>
      </c>
      <c r="C518" s="4" t="s">
        <v>1042</v>
      </c>
      <c r="D518" s="4" t="s">
        <v>1042</v>
      </c>
      <c r="E518" s="4" t="s">
        <v>1042</v>
      </c>
      <c r="F518" s="4" t="s">
        <v>1042</v>
      </c>
      <c r="G518" s="5">
        <v>150.8</v>
      </c>
      <c r="H518" s="9"/>
      <c r="I518" s="9">
        <f t="shared" si="40"/>
        <v>70.876</v>
      </c>
      <c r="J518" s="9">
        <f t="shared" si="41"/>
        <v>75.4</v>
      </c>
      <c r="K518" s="9">
        <f t="shared" si="42"/>
        <v>82.94</v>
      </c>
      <c r="L518" s="9">
        <f t="shared" si="43"/>
        <v>105.56</v>
      </c>
      <c r="M518" s="9">
        <f t="shared" si="44"/>
        <v>128.18</v>
      </c>
    </row>
    <row r="519" ht="27" spans="2:13">
      <c r="B519" t="s">
        <v>1043</v>
      </c>
      <c r="C519" s="4" t="s">
        <v>1044</v>
      </c>
      <c r="D519" s="4" t="s">
        <v>1044</v>
      </c>
      <c r="E519" s="4" t="s">
        <v>1044</v>
      </c>
      <c r="F519" s="4" t="s">
        <v>1044</v>
      </c>
      <c r="G519" s="5">
        <v>234</v>
      </c>
      <c r="H519" s="9"/>
      <c r="I519" s="9">
        <f t="shared" si="40"/>
        <v>109.98</v>
      </c>
      <c r="J519" s="9">
        <f t="shared" si="41"/>
        <v>117</v>
      </c>
      <c r="K519" s="9">
        <f t="shared" si="42"/>
        <v>128.7</v>
      </c>
      <c r="L519" s="9">
        <f t="shared" si="43"/>
        <v>163.8</v>
      </c>
      <c r="M519" s="9">
        <f t="shared" si="44"/>
        <v>198.9</v>
      </c>
    </row>
    <row r="520" ht="27" spans="2:13">
      <c r="B520" t="s">
        <v>1045</v>
      </c>
      <c r="C520" s="4" t="s">
        <v>1046</v>
      </c>
      <c r="D520" s="4" t="s">
        <v>1046</v>
      </c>
      <c r="E520" s="4" t="s">
        <v>1046</v>
      </c>
      <c r="F520" s="4" t="s">
        <v>1046</v>
      </c>
      <c r="G520" s="5">
        <v>98.8</v>
      </c>
      <c r="H520" s="9"/>
      <c r="I520" s="9">
        <f t="shared" si="40"/>
        <v>46.436</v>
      </c>
      <c r="J520" s="9">
        <f t="shared" si="41"/>
        <v>49.4</v>
      </c>
      <c r="K520" s="9">
        <f t="shared" si="42"/>
        <v>54.34</v>
      </c>
      <c r="L520" s="9">
        <f t="shared" si="43"/>
        <v>69.16</v>
      </c>
      <c r="M520" s="9">
        <f t="shared" si="44"/>
        <v>83.98</v>
      </c>
    </row>
    <row r="521" ht="40.5" spans="2:13">
      <c r="B521" t="s">
        <v>1047</v>
      </c>
      <c r="C521" s="4" t="s">
        <v>1048</v>
      </c>
      <c r="D521" s="4" t="s">
        <v>1048</v>
      </c>
      <c r="E521" s="4" t="s">
        <v>1048</v>
      </c>
      <c r="F521" s="4" t="s">
        <v>1048</v>
      </c>
      <c r="G521" s="5">
        <v>88.6236</v>
      </c>
      <c r="H521" s="9"/>
      <c r="I521" s="9">
        <f t="shared" si="40"/>
        <v>41.653092</v>
      </c>
      <c r="J521" s="9">
        <f t="shared" si="41"/>
        <v>44.3118</v>
      </c>
      <c r="K521" s="9">
        <f t="shared" si="42"/>
        <v>48.74298</v>
      </c>
      <c r="L521" s="9">
        <f t="shared" si="43"/>
        <v>62.03652</v>
      </c>
      <c r="M521" s="9">
        <f t="shared" si="44"/>
        <v>75.33006</v>
      </c>
    </row>
    <row r="522" spans="2:13">
      <c r="B522" t="s">
        <v>1049</v>
      </c>
      <c r="C522" s="4" t="s">
        <v>1050</v>
      </c>
      <c r="D522" s="4" t="s">
        <v>1050</v>
      </c>
      <c r="E522" s="4" t="s">
        <v>1050</v>
      </c>
      <c r="F522" s="4" t="s">
        <v>1050</v>
      </c>
      <c r="G522" s="5">
        <v>6.06033</v>
      </c>
      <c r="H522" s="9"/>
      <c r="I522" s="9">
        <f t="shared" si="40"/>
        <v>2.8483551</v>
      </c>
      <c r="J522" s="9">
        <f t="shared" si="41"/>
        <v>3.030165</v>
      </c>
      <c r="K522" s="9">
        <f t="shared" si="42"/>
        <v>3.3331815</v>
      </c>
      <c r="L522" s="9">
        <f t="shared" si="43"/>
        <v>4.242231</v>
      </c>
      <c r="M522" s="9">
        <f t="shared" si="44"/>
        <v>5.1512805</v>
      </c>
    </row>
    <row r="523" spans="2:13">
      <c r="B523" t="s">
        <v>1051</v>
      </c>
      <c r="C523" s="4" t="s">
        <v>1052</v>
      </c>
      <c r="D523" s="4" t="s">
        <v>1052</v>
      </c>
      <c r="E523" s="4" t="s">
        <v>1052</v>
      </c>
      <c r="F523" s="4" t="s">
        <v>1052</v>
      </c>
      <c r="G523" s="5">
        <v>6.06033</v>
      </c>
      <c r="H523" s="9"/>
      <c r="I523" s="9">
        <f t="shared" si="40"/>
        <v>2.8483551</v>
      </c>
      <c r="J523" s="9">
        <f t="shared" si="41"/>
        <v>3.030165</v>
      </c>
      <c r="K523" s="9">
        <f t="shared" si="42"/>
        <v>3.3331815</v>
      </c>
      <c r="L523" s="9">
        <f t="shared" si="43"/>
        <v>4.242231</v>
      </c>
      <c r="M523" s="9">
        <f t="shared" si="44"/>
        <v>5.1512805</v>
      </c>
    </row>
    <row r="524" spans="2:13">
      <c r="B524" t="s">
        <v>1053</v>
      </c>
      <c r="C524" s="4" t="s">
        <v>1054</v>
      </c>
      <c r="D524" s="4" t="s">
        <v>1054</v>
      </c>
      <c r="E524" s="4" t="s">
        <v>1054</v>
      </c>
      <c r="F524" s="4" t="s">
        <v>1054</v>
      </c>
      <c r="G524" s="5">
        <v>6.06033</v>
      </c>
      <c r="H524" s="9"/>
      <c r="I524" s="9">
        <f t="shared" si="40"/>
        <v>2.8483551</v>
      </c>
      <c r="J524" s="9">
        <f t="shared" si="41"/>
        <v>3.030165</v>
      </c>
      <c r="K524" s="9">
        <f t="shared" si="42"/>
        <v>3.3331815</v>
      </c>
      <c r="L524" s="9">
        <f t="shared" si="43"/>
        <v>4.242231</v>
      </c>
      <c r="M524" s="9">
        <f t="shared" si="44"/>
        <v>5.1512805</v>
      </c>
    </row>
    <row r="525" ht="40.5" spans="2:13">
      <c r="B525" t="s">
        <v>1055</v>
      </c>
      <c r="C525" s="4" t="s">
        <v>1056</v>
      </c>
      <c r="D525" s="4" t="s">
        <v>1056</v>
      </c>
      <c r="E525" s="4" t="s">
        <v>1056</v>
      </c>
      <c r="F525" s="4" t="s">
        <v>1056</v>
      </c>
      <c r="G525" s="5">
        <v>94.9416</v>
      </c>
      <c r="H525" s="9"/>
      <c r="I525" s="9">
        <f t="shared" si="40"/>
        <v>44.622552</v>
      </c>
      <c r="J525" s="9">
        <f t="shared" si="41"/>
        <v>47.4708</v>
      </c>
      <c r="K525" s="9">
        <f t="shared" si="42"/>
        <v>52.21788</v>
      </c>
      <c r="L525" s="9">
        <f t="shared" si="43"/>
        <v>66.45912</v>
      </c>
      <c r="M525" s="9">
        <f t="shared" si="44"/>
        <v>80.70036</v>
      </c>
    </row>
    <row r="526" ht="40.5" spans="2:13">
      <c r="B526" t="s">
        <v>1057</v>
      </c>
      <c r="C526" s="4" t="s">
        <v>1058</v>
      </c>
      <c r="D526" s="4" t="s">
        <v>1058</v>
      </c>
      <c r="E526" s="4" t="s">
        <v>1058</v>
      </c>
      <c r="F526" s="4" t="s">
        <v>1058</v>
      </c>
      <c r="G526" s="5">
        <v>110.53536</v>
      </c>
      <c r="H526" s="9"/>
      <c r="I526" s="9">
        <f t="shared" si="40"/>
        <v>51.9516192</v>
      </c>
      <c r="J526" s="9">
        <f t="shared" si="41"/>
        <v>55.26768</v>
      </c>
      <c r="K526" s="9">
        <f t="shared" si="42"/>
        <v>60.794448</v>
      </c>
      <c r="L526" s="9">
        <f t="shared" si="43"/>
        <v>77.374752</v>
      </c>
      <c r="M526" s="9">
        <f t="shared" si="44"/>
        <v>93.955056</v>
      </c>
    </row>
    <row r="527" ht="27" spans="2:13">
      <c r="B527" t="s">
        <v>1059</v>
      </c>
      <c r="C527" s="4" t="s">
        <v>1060</v>
      </c>
      <c r="D527" s="4" t="s">
        <v>1060</v>
      </c>
      <c r="E527" s="4" t="s">
        <v>1060</v>
      </c>
      <c r="F527" s="4" t="s">
        <v>1060</v>
      </c>
      <c r="G527" s="5">
        <v>110.53536</v>
      </c>
      <c r="H527" s="9"/>
      <c r="I527" s="9">
        <f t="shared" si="40"/>
        <v>51.9516192</v>
      </c>
      <c r="J527" s="9">
        <f t="shared" si="41"/>
        <v>55.26768</v>
      </c>
      <c r="K527" s="9">
        <f t="shared" si="42"/>
        <v>60.794448</v>
      </c>
      <c r="L527" s="9">
        <f t="shared" si="43"/>
        <v>77.374752</v>
      </c>
      <c r="M527" s="9">
        <f t="shared" si="44"/>
        <v>93.955056</v>
      </c>
    </row>
    <row r="528" ht="27" spans="2:13">
      <c r="B528" t="s">
        <v>1061</v>
      </c>
      <c r="C528" s="4" t="s">
        <v>1062</v>
      </c>
      <c r="D528" s="4" t="s">
        <v>1062</v>
      </c>
      <c r="E528" s="4" t="s">
        <v>1062</v>
      </c>
      <c r="F528" s="4" t="s">
        <v>1062</v>
      </c>
      <c r="G528" s="5">
        <v>1270.43244</v>
      </c>
      <c r="H528" s="9"/>
      <c r="I528" s="9">
        <f t="shared" si="40"/>
        <v>597.1032468</v>
      </c>
      <c r="J528" s="9">
        <f t="shared" si="41"/>
        <v>635.21622</v>
      </c>
      <c r="K528" s="9">
        <f t="shared" si="42"/>
        <v>698.737842</v>
      </c>
      <c r="L528" s="9">
        <f t="shared" si="43"/>
        <v>889.302708</v>
      </c>
      <c r="M528" s="9">
        <f t="shared" si="44"/>
        <v>1079.867574</v>
      </c>
    </row>
    <row r="529" ht="40.5" spans="2:13">
      <c r="B529" t="s">
        <v>1063</v>
      </c>
      <c r="C529" s="4" t="s">
        <v>1064</v>
      </c>
      <c r="D529" s="4" t="s">
        <v>1064</v>
      </c>
      <c r="E529" s="4" t="s">
        <v>1064</v>
      </c>
      <c r="F529" s="4" t="s">
        <v>1064</v>
      </c>
      <c r="G529" s="5">
        <v>1636.5492</v>
      </c>
      <c r="H529" s="9"/>
      <c r="I529" s="9">
        <f t="shared" si="40"/>
        <v>769.178124</v>
      </c>
      <c r="J529" s="9">
        <f t="shared" si="41"/>
        <v>818.2746</v>
      </c>
      <c r="K529" s="9">
        <f t="shared" si="42"/>
        <v>900.10206</v>
      </c>
      <c r="L529" s="9">
        <f t="shared" si="43"/>
        <v>1145.58444</v>
      </c>
      <c r="M529" s="9">
        <f t="shared" si="44"/>
        <v>1391.06682</v>
      </c>
    </row>
    <row r="530" spans="2:13">
      <c r="B530" t="s">
        <v>1065</v>
      </c>
      <c r="C530" s="4" t="s">
        <v>1066</v>
      </c>
      <c r="D530" s="4" t="s">
        <v>1066</v>
      </c>
      <c r="E530" s="4" t="s">
        <v>1066</v>
      </c>
      <c r="F530" s="4" t="s">
        <v>1066</v>
      </c>
      <c r="G530" s="5">
        <v>159.59736</v>
      </c>
      <c r="H530" s="9"/>
      <c r="I530" s="9">
        <f t="shared" si="40"/>
        <v>75.0107592</v>
      </c>
      <c r="J530" s="9">
        <f t="shared" si="41"/>
        <v>79.79868</v>
      </c>
      <c r="K530" s="9">
        <f t="shared" si="42"/>
        <v>87.778548</v>
      </c>
      <c r="L530" s="9">
        <f t="shared" si="43"/>
        <v>111.718152</v>
      </c>
      <c r="M530" s="9">
        <f t="shared" si="44"/>
        <v>135.657756</v>
      </c>
    </row>
    <row r="531" ht="27" spans="2:13">
      <c r="B531" t="s">
        <v>1067</v>
      </c>
      <c r="C531" s="4" t="s">
        <v>1068</v>
      </c>
      <c r="D531" s="4" t="s">
        <v>1068</v>
      </c>
      <c r="E531" s="4" t="s">
        <v>1068</v>
      </c>
      <c r="F531" s="4" t="s">
        <v>1068</v>
      </c>
      <c r="G531" s="5">
        <v>64.584</v>
      </c>
      <c r="H531" s="9"/>
      <c r="I531" s="9">
        <f t="shared" si="40"/>
        <v>30.35448</v>
      </c>
      <c r="J531" s="9">
        <f t="shared" si="41"/>
        <v>32.292</v>
      </c>
      <c r="K531" s="9">
        <f t="shared" si="42"/>
        <v>35.5212</v>
      </c>
      <c r="L531" s="9">
        <f t="shared" si="43"/>
        <v>45.2088</v>
      </c>
      <c r="M531" s="9">
        <f t="shared" si="44"/>
        <v>54.8964</v>
      </c>
    </row>
    <row r="532" ht="27" spans="2:13">
      <c r="B532" t="s">
        <v>1069</v>
      </c>
      <c r="C532" s="4" t="s">
        <v>1070</v>
      </c>
      <c r="D532" s="4" t="s">
        <v>1070</v>
      </c>
      <c r="E532" s="4" t="s">
        <v>1070</v>
      </c>
      <c r="F532" s="4" t="s">
        <v>1070</v>
      </c>
      <c r="G532" s="5">
        <v>320.3616</v>
      </c>
      <c r="H532" s="9"/>
      <c r="I532" s="9">
        <f t="shared" si="40"/>
        <v>150.569952</v>
      </c>
      <c r="J532" s="9">
        <f t="shared" si="41"/>
        <v>160.1808</v>
      </c>
      <c r="K532" s="9">
        <f t="shared" si="42"/>
        <v>176.19888</v>
      </c>
      <c r="L532" s="9">
        <f t="shared" si="43"/>
        <v>224.25312</v>
      </c>
      <c r="M532" s="9">
        <f t="shared" si="44"/>
        <v>272.30736</v>
      </c>
    </row>
    <row r="533" spans="2:13">
      <c r="B533" t="s">
        <v>1071</v>
      </c>
      <c r="C533" s="4" t="s">
        <v>1072</v>
      </c>
      <c r="D533" s="4" t="s">
        <v>1072</v>
      </c>
      <c r="E533" s="4" t="s">
        <v>1072</v>
      </c>
      <c r="F533" s="4" t="s">
        <v>1072</v>
      </c>
      <c r="G533" s="5">
        <v>198.09216</v>
      </c>
      <c r="H533" s="9"/>
      <c r="I533" s="9">
        <f t="shared" si="40"/>
        <v>93.1033152</v>
      </c>
      <c r="J533" s="9">
        <f t="shared" si="41"/>
        <v>99.04608</v>
      </c>
      <c r="K533" s="9">
        <f t="shared" si="42"/>
        <v>108.950688</v>
      </c>
      <c r="L533" s="9">
        <f t="shared" si="43"/>
        <v>138.664512</v>
      </c>
      <c r="M533" s="9">
        <f t="shared" si="44"/>
        <v>168.378336</v>
      </c>
    </row>
    <row r="534" spans="2:13">
      <c r="B534" t="s">
        <v>1073</v>
      </c>
      <c r="C534" s="4" t="s">
        <v>1074</v>
      </c>
      <c r="D534" s="4" t="s">
        <v>1074</v>
      </c>
      <c r="E534" s="4" t="s">
        <v>1074</v>
      </c>
      <c r="F534" s="4" t="s">
        <v>1074</v>
      </c>
      <c r="G534" s="5">
        <v>198.09216</v>
      </c>
      <c r="H534" s="9"/>
      <c r="I534" s="9">
        <f t="shared" si="40"/>
        <v>93.1033152</v>
      </c>
      <c r="J534" s="9">
        <f t="shared" si="41"/>
        <v>99.04608</v>
      </c>
      <c r="K534" s="9">
        <f t="shared" si="42"/>
        <v>108.950688</v>
      </c>
      <c r="L534" s="9">
        <f t="shared" si="43"/>
        <v>138.664512</v>
      </c>
      <c r="M534" s="9">
        <f t="shared" si="44"/>
        <v>168.378336</v>
      </c>
    </row>
    <row r="535" spans="2:13">
      <c r="B535" t="s">
        <v>1075</v>
      </c>
      <c r="C535" s="4" t="s">
        <v>1076</v>
      </c>
      <c r="D535" s="4" t="s">
        <v>1076</v>
      </c>
      <c r="E535" s="4" t="s">
        <v>1076</v>
      </c>
      <c r="F535" s="4" t="s">
        <v>1076</v>
      </c>
      <c r="G535" s="5">
        <v>263.11716</v>
      </c>
      <c r="H535" s="9"/>
      <c r="I535" s="9">
        <f t="shared" si="40"/>
        <v>123.6650652</v>
      </c>
      <c r="J535" s="9">
        <f t="shared" si="41"/>
        <v>131.55858</v>
      </c>
      <c r="K535" s="9">
        <f t="shared" si="42"/>
        <v>144.714438</v>
      </c>
      <c r="L535" s="9">
        <f t="shared" si="43"/>
        <v>184.182012</v>
      </c>
      <c r="M535" s="9">
        <f t="shared" si="44"/>
        <v>223.649586</v>
      </c>
    </row>
    <row r="536" spans="2:13">
      <c r="B536" t="s">
        <v>1077</v>
      </c>
      <c r="C536" s="4" t="s">
        <v>1078</v>
      </c>
      <c r="D536" s="4" t="s">
        <v>1078</v>
      </c>
      <c r="E536" s="4" t="s">
        <v>1078</v>
      </c>
      <c r="F536" s="4" t="s">
        <v>1078</v>
      </c>
      <c r="G536" s="5">
        <v>263.11716</v>
      </c>
      <c r="H536" s="9"/>
      <c r="I536" s="9">
        <f t="shared" si="40"/>
        <v>123.6650652</v>
      </c>
      <c r="J536" s="9">
        <f t="shared" si="41"/>
        <v>131.55858</v>
      </c>
      <c r="K536" s="9">
        <f t="shared" si="42"/>
        <v>144.714438</v>
      </c>
      <c r="L536" s="9">
        <f t="shared" si="43"/>
        <v>184.182012</v>
      </c>
      <c r="M536" s="9">
        <f t="shared" si="44"/>
        <v>223.649586</v>
      </c>
    </row>
    <row r="537" spans="2:13">
      <c r="B537" t="s">
        <v>1079</v>
      </c>
      <c r="C537" s="4" t="s">
        <v>1080</v>
      </c>
      <c r="D537" s="4" t="s">
        <v>1080</v>
      </c>
      <c r="E537" s="4" t="s">
        <v>1080</v>
      </c>
      <c r="F537" s="4" t="s">
        <v>1080</v>
      </c>
      <c r="G537" s="5">
        <v>328.45428</v>
      </c>
      <c r="H537" s="9"/>
      <c r="I537" s="9">
        <f t="shared" si="40"/>
        <v>154.3735116</v>
      </c>
      <c r="J537" s="9">
        <f t="shared" si="41"/>
        <v>164.22714</v>
      </c>
      <c r="K537" s="9">
        <f t="shared" si="42"/>
        <v>180.649854</v>
      </c>
      <c r="L537" s="9">
        <f t="shared" si="43"/>
        <v>229.917996</v>
      </c>
      <c r="M537" s="9">
        <f t="shared" si="44"/>
        <v>279.186138</v>
      </c>
    </row>
    <row r="538" spans="2:13">
      <c r="B538" t="s">
        <v>1081</v>
      </c>
      <c r="C538" s="4" t="s">
        <v>1082</v>
      </c>
      <c r="D538" s="4" t="s">
        <v>1082</v>
      </c>
      <c r="E538" s="4" t="s">
        <v>1082</v>
      </c>
      <c r="F538" s="4" t="s">
        <v>1082</v>
      </c>
      <c r="G538" s="5">
        <v>328.45428</v>
      </c>
      <c r="H538" s="9"/>
      <c r="I538" s="9">
        <f t="shared" si="40"/>
        <v>154.3735116</v>
      </c>
      <c r="J538" s="9">
        <f t="shared" si="41"/>
        <v>164.22714</v>
      </c>
      <c r="K538" s="9">
        <f t="shared" si="42"/>
        <v>180.649854</v>
      </c>
      <c r="L538" s="9">
        <f t="shared" si="43"/>
        <v>229.917996</v>
      </c>
      <c r="M538" s="9">
        <f t="shared" si="44"/>
        <v>279.186138</v>
      </c>
    </row>
    <row r="539" spans="2:13">
      <c r="B539" t="s">
        <v>1083</v>
      </c>
      <c r="C539" s="4" t="s">
        <v>1084</v>
      </c>
      <c r="D539" s="4" t="s">
        <v>1084</v>
      </c>
      <c r="E539" s="4" t="s">
        <v>1084</v>
      </c>
      <c r="F539" s="4" t="s">
        <v>1084</v>
      </c>
      <c r="G539" s="5">
        <v>385.57224</v>
      </c>
      <c r="H539" s="9"/>
      <c r="I539" s="9">
        <f t="shared" si="40"/>
        <v>181.2189528</v>
      </c>
      <c r="J539" s="9">
        <f t="shared" si="41"/>
        <v>192.78612</v>
      </c>
      <c r="K539" s="9">
        <f t="shared" si="42"/>
        <v>212.064732</v>
      </c>
      <c r="L539" s="9">
        <f t="shared" si="43"/>
        <v>269.900568</v>
      </c>
      <c r="M539" s="9">
        <f t="shared" si="44"/>
        <v>327.736404</v>
      </c>
    </row>
    <row r="540" spans="2:13">
      <c r="B540" t="s">
        <v>1085</v>
      </c>
      <c r="C540" s="4" t="s">
        <v>1086</v>
      </c>
      <c r="D540" s="4" t="s">
        <v>1086</v>
      </c>
      <c r="E540" s="4" t="s">
        <v>1086</v>
      </c>
      <c r="F540" s="4" t="s">
        <v>1086</v>
      </c>
      <c r="G540" s="5">
        <v>385.57224</v>
      </c>
      <c r="H540" s="9"/>
      <c r="I540" s="9">
        <f t="shared" si="40"/>
        <v>181.2189528</v>
      </c>
      <c r="J540" s="9">
        <f t="shared" si="41"/>
        <v>192.78612</v>
      </c>
      <c r="K540" s="9">
        <f t="shared" si="42"/>
        <v>212.064732</v>
      </c>
      <c r="L540" s="9">
        <f t="shared" si="43"/>
        <v>269.900568</v>
      </c>
      <c r="M540" s="9">
        <f t="shared" si="44"/>
        <v>327.736404</v>
      </c>
    </row>
    <row r="541" ht="27" spans="2:13">
      <c r="B541" t="s">
        <v>1087</v>
      </c>
      <c r="C541" s="4" t="s">
        <v>1088</v>
      </c>
      <c r="D541" s="4" t="s">
        <v>1088</v>
      </c>
      <c r="E541" s="4" t="s">
        <v>1088</v>
      </c>
      <c r="F541" s="4" t="s">
        <v>1088</v>
      </c>
      <c r="G541" s="5">
        <v>72.33408</v>
      </c>
      <c r="H541" s="9"/>
      <c r="I541" s="9">
        <f t="shared" si="40"/>
        <v>33.9970176</v>
      </c>
      <c r="J541" s="9">
        <f t="shared" si="41"/>
        <v>36.16704</v>
      </c>
      <c r="K541" s="9">
        <f t="shared" si="42"/>
        <v>39.783744</v>
      </c>
      <c r="L541" s="9">
        <f t="shared" si="43"/>
        <v>50.633856</v>
      </c>
      <c r="M541" s="9">
        <f t="shared" si="44"/>
        <v>61.483968</v>
      </c>
    </row>
    <row r="542" ht="27" spans="2:13">
      <c r="B542" t="s">
        <v>1089</v>
      </c>
      <c r="C542" s="4" t="s">
        <v>1090</v>
      </c>
      <c r="D542" s="4" t="s">
        <v>1090</v>
      </c>
      <c r="E542" s="4" t="s">
        <v>1090</v>
      </c>
      <c r="F542" s="4" t="s">
        <v>1090</v>
      </c>
      <c r="G542" s="5">
        <v>88.99072</v>
      </c>
      <c r="H542" s="9"/>
      <c r="I542" s="9">
        <f t="shared" si="40"/>
        <v>41.8256384</v>
      </c>
      <c r="J542" s="9">
        <f t="shared" si="41"/>
        <v>44.49536</v>
      </c>
      <c r="K542" s="9">
        <f t="shared" si="42"/>
        <v>48.944896</v>
      </c>
      <c r="L542" s="9">
        <f t="shared" si="43"/>
        <v>62.293504</v>
      </c>
      <c r="M542" s="9">
        <f t="shared" si="44"/>
        <v>75.642112</v>
      </c>
    </row>
    <row r="543" ht="40.5" spans="2:13">
      <c r="B543" t="s">
        <v>1091</v>
      </c>
      <c r="C543" s="4" t="s">
        <v>1092</v>
      </c>
      <c r="D543" s="4" t="s">
        <v>1092</v>
      </c>
      <c r="E543" s="4" t="s">
        <v>1092</v>
      </c>
      <c r="F543" s="4" t="s">
        <v>1092</v>
      </c>
      <c r="G543" s="5">
        <v>105.3624</v>
      </c>
      <c r="H543" s="9"/>
      <c r="I543" s="9">
        <f t="shared" si="40"/>
        <v>49.520328</v>
      </c>
      <c r="J543" s="9">
        <f t="shared" si="41"/>
        <v>52.6812</v>
      </c>
      <c r="K543" s="9">
        <f t="shared" si="42"/>
        <v>57.94932</v>
      </c>
      <c r="L543" s="9">
        <f t="shared" si="43"/>
        <v>73.75368</v>
      </c>
      <c r="M543" s="9">
        <f t="shared" si="44"/>
        <v>89.55804</v>
      </c>
    </row>
    <row r="544" ht="40.5" spans="2:13">
      <c r="B544" t="s">
        <v>1093</v>
      </c>
      <c r="C544" s="4" t="s">
        <v>1094</v>
      </c>
      <c r="D544" s="4" t="s">
        <v>1094</v>
      </c>
      <c r="E544" s="4" t="s">
        <v>1094</v>
      </c>
      <c r="F544" s="4" t="s">
        <v>1094</v>
      </c>
      <c r="G544" s="5">
        <v>123.552</v>
      </c>
      <c r="H544" s="9"/>
      <c r="I544" s="9">
        <f t="shared" si="40"/>
        <v>58.06944</v>
      </c>
      <c r="J544" s="9">
        <f t="shared" si="41"/>
        <v>61.776</v>
      </c>
      <c r="K544" s="9">
        <f t="shared" si="42"/>
        <v>67.9536</v>
      </c>
      <c r="L544" s="9">
        <f t="shared" si="43"/>
        <v>86.4864</v>
      </c>
      <c r="M544" s="9">
        <f t="shared" si="44"/>
        <v>105.0192</v>
      </c>
    </row>
    <row r="545" ht="27" spans="2:13">
      <c r="B545" t="s">
        <v>1095</v>
      </c>
      <c r="C545" s="4" t="s">
        <v>1096</v>
      </c>
      <c r="D545" s="4" t="s">
        <v>1096</v>
      </c>
      <c r="E545" s="4" t="s">
        <v>1096</v>
      </c>
      <c r="F545" s="4" t="s">
        <v>1096</v>
      </c>
      <c r="G545" s="5">
        <v>111.8</v>
      </c>
      <c r="H545" s="9"/>
      <c r="I545" s="9">
        <f t="shared" si="40"/>
        <v>52.546</v>
      </c>
      <c r="J545" s="9">
        <f t="shared" si="41"/>
        <v>55.9</v>
      </c>
      <c r="K545" s="9">
        <f t="shared" si="42"/>
        <v>61.49</v>
      </c>
      <c r="L545" s="9">
        <f t="shared" si="43"/>
        <v>78.26</v>
      </c>
      <c r="M545" s="9">
        <f t="shared" si="44"/>
        <v>95.03</v>
      </c>
    </row>
    <row r="546" ht="27" spans="2:13">
      <c r="B546" t="s">
        <v>1097</v>
      </c>
      <c r="C546" s="4" t="s">
        <v>1098</v>
      </c>
      <c r="D546" s="4" t="s">
        <v>1098</v>
      </c>
      <c r="E546" s="4" t="s">
        <v>1098</v>
      </c>
      <c r="F546" s="4" t="s">
        <v>1098</v>
      </c>
      <c r="G546" s="5">
        <v>215.8</v>
      </c>
      <c r="H546" s="9"/>
      <c r="I546" s="9">
        <f t="shared" si="40"/>
        <v>101.426</v>
      </c>
      <c r="J546" s="9">
        <f t="shared" si="41"/>
        <v>107.9</v>
      </c>
      <c r="K546" s="9">
        <f t="shared" si="42"/>
        <v>118.69</v>
      </c>
      <c r="L546" s="9">
        <f t="shared" si="43"/>
        <v>151.06</v>
      </c>
      <c r="M546" s="9">
        <f t="shared" si="44"/>
        <v>183.43</v>
      </c>
    </row>
    <row r="547" ht="27" spans="2:13">
      <c r="B547" t="s">
        <v>1099</v>
      </c>
      <c r="C547" s="4" t="s">
        <v>1100</v>
      </c>
      <c r="D547" s="4" t="s">
        <v>1100</v>
      </c>
      <c r="E547" s="4" t="s">
        <v>1100</v>
      </c>
      <c r="F547" s="4" t="s">
        <v>1100</v>
      </c>
      <c r="G547" s="5">
        <v>322.4</v>
      </c>
      <c r="H547" s="9"/>
      <c r="I547" s="9">
        <f t="shared" si="40"/>
        <v>151.528</v>
      </c>
      <c r="J547" s="9">
        <f t="shared" si="41"/>
        <v>161.2</v>
      </c>
      <c r="K547" s="9">
        <f t="shared" si="42"/>
        <v>177.32</v>
      </c>
      <c r="L547" s="9">
        <f t="shared" si="43"/>
        <v>225.68</v>
      </c>
      <c r="M547" s="9">
        <f t="shared" si="44"/>
        <v>274.04</v>
      </c>
    </row>
    <row r="548" ht="27" spans="2:13">
      <c r="B548" t="s">
        <v>1101</v>
      </c>
      <c r="C548" s="4" t="s">
        <v>1102</v>
      </c>
      <c r="D548" s="4" t="s">
        <v>1102</v>
      </c>
      <c r="E548" s="4" t="s">
        <v>1102</v>
      </c>
      <c r="F548" s="4" t="s">
        <v>1102</v>
      </c>
      <c r="G548" s="5">
        <v>124.8</v>
      </c>
      <c r="H548" s="9"/>
      <c r="I548" s="9">
        <f t="shared" si="40"/>
        <v>58.656</v>
      </c>
      <c r="J548" s="9">
        <f t="shared" si="41"/>
        <v>62.4</v>
      </c>
      <c r="K548" s="9">
        <f t="shared" si="42"/>
        <v>68.64</v>
      </c>
      <c r="L548" s="9">
        <f t="shared" si="43"/>
        <v>87.36</v>
      </c>
      <c r="M548" s="9">
        <f t="shared" si="44"/>
        <v>106.08</v>
      </c>
    </row>
    <row r="549" ht="27" spans="2:13">
      <c r="B549" t="s">
        <v>1103</v>
      </c>
      <c r="C549" s="4" t="s">
        <v>1104</v>
      </c>
      <c r="D549" s="4" t="s">
        <v>1104</v>
      </c>
      <c r="E549" s="4" t="s">
        <v>1104</v>
      </c>
      <c r="F549" s="4" t="s">
        <v>1104</v>
      </c>
      <c r="G549" s="5">
        <v>111.8</v>
      </c>
      <c r="H549" s="9"/>
      <c r="I549" s="9">
        <f t="shared" si="40"/>
        <v>52.546</v>
      </c>
      <c r="J549" s="9">
        <f t="shared" si="41"/>
        <v>55.9</v>
      </c>
      <c r="K549" s="9">
        <f t="shared" si="42"/>
        <v>61.49</v>
      </c>
      <c r="L549" s="9">
        <f t="shared" si="43"/>
        <v>78.26</v>
      </c>
      <c r="M549" s="9">
        <f t="shared" si="44"/>
        <v>95.03</v>
      </c>
    </row>
    <row r="550" ht="27" spans="2:13">
      <c r="B550" t="s">
        <v>1105</v>
      </c>
      <c r="C550" s="4" t="s">
        <v>1106</v>
      </c>
      <c r="D550" s="4" t="s">
        <v>1106</v>
      </c>
      <c r="E550" s="4" t="s">
        <v>1106</v>
      </c>
      <c r="F550" s="4" t="s">
        <v>1106</v>
      </c>
      <c r="G550" s="5">
        <v>215.8</v>
      </c>
      <c r="H550" s="9"/>
      <c r="I550" s="9">
        <f t="shared" si="40"/>
        <v>101.426</v>
      </c>
      <c r="J550" s="9">
        <f t="shared" si="41"/>
        <v>107.9</v>
      </c>
      <c r="K550" s="9">
        <f t="shared" si="42"/>
        <v>118.69</v>
      </c>
      <c r="L550" s="9">
        <f t="shared" si="43"/>
        <v>151.06</v>
      </c>
      <c r="M550" s="9">
        <f t="shared" si="44"/>
        <v>183.43</v>
      </c>
    </row>
    <row r="551" ht="27" spans="2:13">
      <c r="B551" t="s">
        <v>1107</v>
      </c>
      <c r="C551" s="4" t="s">
        <v>1108</v>
      </c>
      <c r="D551" s="4" t="s">
        <v>1108</v>
      </c>
      <c r="E551" s="4" t="s">
        <v>1108</v>
      </c>
      <c r="F551" s="4" t="s">
        <v>1108</v>
      </c>
      <c r="G551" s="5">
        <v>322.4</v>
      </c>
      <c r="H551" s="9"/>
      <c r="I551" s="9">
        <f t="shared" si="40"/>
        <v>151.528</v>
      </c>
      <c r="J551" s="9">
        <f t="shared" si="41"/>
        <v>161.2</v>
      </c>
      <c r="K551" s="9">
        <f t="shared" si="42"/>
        <v>177.32</v>
      </c>
      <c r="L551" s="9">
        <f t="shared" si="43"/>
        <v>225.68</v>
      </c>
      <c r="M551" s="9">
        <f t="shared" si="44"/>
        <v>274.04</v>
      </c>
    </row>
    <row r="552" ht="27" spans="2:13">
      <c r="B552" t="s">
        <v>1109</v>
      </c>
      <c r="C552" s="4" t="s">
        <v>1110</v>
      </c>
      <c r="D552" s="4" t="s">
        <v>1110</v>
      </c>
      <c r="E552" s="4" t="s">
        <v>1110</v>
      </c>
      <c r="F552" s="4" t="s">
        <v>1110</v>
      </c>
      <c r="G552" s="5">
        <v>124.8</v>
      </c>
      <c r="H552" s="9"/>
      <c r="I552" s="9">
        <f t="shared" si="40"/>
        <v>58.656</v>
      </c>
      <c r="J552" s="9">
        <f t="shared" si="41"/>
        <v>62.4</v>
      </c>
      <c r="K552" s="9">
        <f t="shared" si="42"/>
        <v>68.64</v>
      </c>
      <c r="L552" s="9">
        <f t="shared" si="43"/>
        <v>87.36</v>
      </c>
      <c r="M552" s="9">
        <f t="shared" si="44"/>
        <v>106.08</v>
      </c>
    </row>
    <row r="553" ht="27" spans="2:13">
      <c r="B553" t="s">
        <v>1111</v>
      </c>
      <c r="C553" s="4" t="s">
        <v>1112</v>
      </c>
      <c r="D553" s="4" t="s">
        <v>1112</v>
      </c>
      <c r="E553" s="4" t="s">
        <v>1112</v>
      </c>
      <c r="F553" s="4" t="s">
        <v>1112</v>
      </c>
      <c r="G553" s="5">
        <v>104</v>
      </c>
      <c r="H553" s="9"/>
      <c r="I553" s="9">
        <f t="shared" si="40"/>
        <v>48.88</v>
      </c>
      <c r="J553" s="9">
        <f t="shared" si="41"/>
        <v>52</v>
      </c>
      <c r="K553" s="9">
        <f t="shared" si="42"/>
        <v>57.2</v>
      </c>
      <c r="L553" s="9">
        <f t="shared" si="43"/>
        <v>72.8</v>
      </c>
      <c r="M553" s="9">
        <f t="shared" si="44"/>
        <v>88.4</v>
      </c>
    </row>
    <row r="554" ht="27" spans="2:13">
      <c r="B554" t="s">
        <v>1113</v>
      </c>
      <c r="C554" s="4" t="s">
        <v>1114</v>
      </c>
      <c r="D554" s="4" t="s">
        <v>1114</v>
      </c>
      <c r="E554" s="4" t="s">
        <v>1114</v>
      </c>
      <c r="F554" s="4" t="s">
        <v>1114</v>
      </c>
      <c r="G554" s="5">
        <v>192.4</v>
      </c>
      <c r="H554" s="9"/>
      <c r="I554" s="9">
        <f t="shared" si="40"/>
        <v>90.428</v>
      </c>
      <c r="J554" s="9">
        <f t="shared" si="41"/>
        <v>96.2</v>
      </c>
      <c r="K554" s="9">
        <f t="shared" si="42"/>
        <v>105.82</v>
      </c>
      <c r="L554" s="9">
        <f t="shared" si="43"/>
        <v>134.68</v>
      </c>
      <c r="M554" s="9">
        <f t="shared" si="44"/>
        <v>163.54</v>
      </c>
    </row>
    <row r="555" ht="27" spans="2:13">
      <c r="B555" t="s">
        <v>1115</v>
      </c>
      <c r="C555" s="4" t="s">
        <v>1116</v>
      </c>
      <c r="D555" s="4" t="s">
        <v>1116</v>
      </c>
      <c r="E555" s="4" t="s">
        <v>1116</v>
      </c>
      <c r="F555" s="4" t="s">
        <v>1116</v>
      </c>
      <c r="G555" s="5">
        <v>288.6</v>
      </c>
      <c r="H555" s="9"/>
      <c r="I555" s="9">
        <f t="shared" si="40"/>
        <v>135.642</v>
      </c>
      <c r="J555" s="9">
        <f t="shared" si="41"/>
        <v>144.3</v>
      </c>
      <c r="K555" s="9">
        <f t="shared" si="42"/>
        <v>158.73</v>
      </c>
      <c r="L555" s="9">
        <f t="shared" si="43"/>
        <v>202.02</v>
      </c>
      <c r="M555" s="9">
        <f t="shared" si="44"/>
        <v>245.31</v>
      </c>
    </row>
    <row r="556" ht="27" spans="2:13">
      <c r="B556" s="13" t="s">
        <v>1117</v>
      </c>
      <c r="C556" s="4" t="s">
        <v>1118</v>
      </c>
      <c r="D556" s="4" t="s">
        <v>1118</v>
      </c>
      <c r="E556" s="4" t="s">
        <v>1118</v>
      </c>
      <c r="F556" s="4" t="s">
        <v>1118</v>
      </c>
      <c r="G556" s="5">
        <v>375.36</v>
      </c>
      <c r="H556" s="9"/>
      <c r="I556" s="9">
        <f t="shared" si="40"/>
        <v>176.4192</v>
      </c>
      <c r="J556" s="9">
        <f t="shared" si="41"/>
        <v>187.68</v>
      </c>
      <c r="K556" s="9">
        <f t="shared" si="42"/>
        <v>206.448</v>
      </c>
      <c r="L556" s="9">
        <f t="shared" si="43"/>
        <v>262.752</v>
      </c>
      <c r="M556" s="9">
        <f t="shared" si="44"/>
        <v>319.056</v>
      </c>
    </row>
    <row r="557" ht="27" spans="2:13">
      <c r="B557" t="s">
        <v>1119</v>
      </c>
      <c r="C557" s="4" t="s">
        <v>1120</v>
      </c>
      <c r="D557" s="4" t="s">
        <v>1120</v>
      </c>
      <c r="E557" s="4" t="s">
        <v>1120</v>
      </c>
      <c r="F557" s="4" t="s">
        <v>1120</v>
      </c>
      <c r="G557" s="5">
        <v>124.8</v>
      </c>
      <c r="H557" s="9"/>
      <c r="I557" s="9">
        <f t="shared" si="40"/>
        <v>58.656</v>
      </c>
      <c r="J557" s="9">
        <f t="shared" si="41"/>
        <v>62.4</v>
      </c>
      <c r="K557" s="9">
        <f t="shared" si="42"/>
        <v>68.64</v>
      </c>
      <c r="L557" s="9">
        <f t="shared" si="43"/>
        <v>87.36</v>
      </c>
      <c r="M557" s="9">
        <f t="shared" si="44"/>
        <v>106.08</v>
      </c>
    </row>
    <row r="558" ht="27" spans="2:13">
      <c r="B558" t="s">
        <v>1121</v>
      </c>
      <c r="C558" s="4" t="s">
        <v>1122</v>
      </c>
      <c r="D558" s="4" t="s">
        <v>1122</v>
      </c>
      <c r="E558" s="4" t="s">
        <v>1122</v>
      </c>
      <c r="F558" s="4" t="s">
        <v>1122</v>
      </c>
      <c r="G558" s="5">
        <v>111.741</v>
      </c>
      <c r="H558" s="9"/>
      <c r="I558" s="9">
        <f t="shared" si="40"/>
        <v>52.51827</v>
      </c>
      <c r="J558" s="9">
        <f t="shared" si="41"/>
        <v>55.8705</v>
      </c>
      <c r="K558" s="9">
        <f t="shared" si="42"/>
        <v>61.45755</v>
      </c>
      <c r="L558" s="9">
        <f t="shared" si="43"/>
        <v>78.2187</v>
      </c>
      <c r="M558" s="9">
        <f t="shared" si="44"/>
        <v>94.97985</v>
      </c>
    </row>
    <row r="559" ht="27" spans="2:13">
      <c r="B559" t="s">
        <v>1123</v>
      </c>
      <c r="C559" s="4" t="s">
        <v>1124</v>
      </c>
      <c r="D559" s="4" t="s">
        <v>1124</v>
      </c>
      <c r="E559" s="4" t="s">
        <v>1124</v>
      </c>
      <c r="F559" s="4" t="s">
        <v>1124</v>
      </c>
      <c r="G559" s="5">
        <v>145.0695</v>
      </c>
      <c r="H559" s="9"/>
      <c r="I559" s="9">
        <f t="shared" si="40"/>
        <v>68.182665</v>
      </c>
      <c r="J559" s="9">
        <f t="shared" si="41"/>
        <v>72.53475</v>
      </c>
      <c r="K559" s="9">
        <f t="shared" si="42"/>
        <v>79.788225</v>
      </c>
      <c r="L559" s="9">
        <f t="shared" si="43"/>
        <v>101.54865</v>
      </c>
      <c r="M559" s="9">
        <f t="shared" si="44"/>
        <v>123.309075</v>
      </c>
    </row>
    <row r="560" ht="27" spans="2:13">
      <c r="B560" t="s">
        <v>1125</v>
      </c>
      <c r="C560" s="4" t="s">
        <v>1126</v>
      </c>
      <c r="D560" s="4" t="s">
        <v>1126</v>
      </c>
      <c r="E560" s="4" t="s">
        <v>1126</v>
      </c>
      <c r="F560" s="4" t="s">
        <v>1126</v>
      </c>
      <c r="G560" s="5">
        <v>111.741</v>
      </c>
      <c r="H560" s="9"/>
      <c r="I560" s="9">
        <f t="shared" si="40"/>
        <v>52.51827</v>
      </c>
      <c r="J560" s="9">
        <f t="shared" si="41"/>
        <v>55.8705</v>
      </c>
      <c r="K560" s="9">
        <f t="shared" si="42"/>
        <v>61.45755</v>
      </c>
      <c r="L560" s="9">
        <f t="shared" si="43"/>
        <v>78.2187</v>
      </c>
      <c r="M560" s="9">
        <f t="shared" si="44"/>
        <v>94.97985</v>
      </c>
    </row>
    <row r="561" ht="27" spans="2:13">
      <c r="B561" t="s">
        <v>1127</v>
      </c>
      <c r="C561" s="4" t="s">
        <v>1128</v>
      </c>
      <c r="D561" s="4" t="s">
        <v>1128</v>
      </c>
      <c r="E561" s="4" t="s">
        <v>1128</v>
      </c>
      <c r="F561" s="4" t="s">
        <v>1128</v>
      </c>
      <c r="G561" s="5">
        <v>147.914</v>
      </c>
      <c r="H561" s="9"/>
      <c r="I561" s="9">
        <f t="shared" si="40"/>
        <v>69.51958</v>
      </c>
      <c r="J561" s="9">
        <f t="shared" si="41"/>
        <v>73.957</v>
      </c>
      <c r="K561" s="9">
        <f t="shared" si="42"/>
        <v>81.3527</v>
      </c>
      <c r="L561" s="9">
        <f t="shared" si="43"/>
        <v>103.5398</v>
      </c>
      <c r="M561" s="9">
        <f t="shared" si="44"/>
        <v>125.7269</v>
      </c>
    </row>
    <row r="562" ht="27" spans="2:13">
      <c r="B562" t="s">
        <v>1129</v>
      </c>
      <c r="C562" s="4" t="s">
        <v>1130</v>
      </c>
      <c r="D562" s="4" t="s">
        <v>1130</v>
      </c>
      <c r="E562" s="4" t="s">
        <v>1130</v>
      </c>
      <c r="F562" s="4" t="s">
        <v>1130</v>
      </c>
      <c r="G562" s="5">
        <v>111.741</v>
      </c>
      <c r="H562" s="9"/>
      <c r="I562" s="9">
        <f t="shared" si="40"/>
        <v>52.51827</v>
      </c>
      <c r="J562" s="9">
        <f t="shared" si="41"/>
        <v>55.8705</v>
      </c>
      <c r="K562" s="9">
        <f t="shared" si="42"/>
        <v>61.45755</v>
      </c>
      <c r="L562" s="9">
        <f t="shared" si="43"/>
        <v>78.2187</v>
      </c>
      <c r="M562" s="9">
        <f t="shared" si="44"/>
        <v>94.97985</v>
      </c>
    </row>
    <row r="563" ht="27" spans="2:13">
      <c r="B563" t="s">
        <v>1131</v>
      </c>
      <c r="C563" s="4" t="s">
        <v>1132</v>
      </c>
      <c r="D563" s="4" t="s">
        <v>1132</v>
      </c>
      <c r="E563" s="4" t="s">
        <v>1132</v>
      </c>
      <c r="F563" s="4" t="s">
        <v>1132</v>
      </c>
      <c r="G563" s="5">
        <v>145.0695</v>
      </c>
      <c r="H563" s="9"/>
      <c r="I563" s="9">
        <f t="shared" si="40"/>
        <v>68.182665</v>
      </c>
      <c r="J563" s="9">
        <f t="shared" si="41"/>
        <v>72.53475</v>
      </c>
      <c r="K563" s="9">
        <f t="shared" si="42"/>
        <v>79.788225</v>
      </c>
      <c r="L563" s="9">
        <f t="shared" si="43"/>
        <v>101.54865</v>
      </c>
      <c r="M563" s="9">
        <f t="shared" si="44"/>
        <v>123.309075</v>
      </c>
    </row>
    <row r="564" ht="27" spans="2:13">
      <c r="B564" t="s">
        <v>1133</v>
      </c>
      <c r="C564" s="4" t="s">
        <v>1134</v>
      </c>
      <c r="D564" s="4" t="s">
        <v>1134</v>
      </c>
      <c r="E564" s="4" t="s">
        <v>1134</v>
      </c>
      <c r="F564" s="4" t="s">
        <v>1134</v>
      </c>
      <c r="G564" s="5">
        <v>204.438</v>
      </c>
      <c r="H564" s="9"/>
      <c r="I564" s="9">
        <f t="shared" si="40"/>
        <v>96.08586</v>
      </c>
      <c r="J564" s="9">
        <f t="shared" si="41"/>
        <v>102.219</v>
      </c>
      <c r="K564" s="9">
        <f t="shared" si="42"/>
        <v>112.4409</v>
      </c>
      <c r="L564" s="9">
        <f t="shared" si="43"/>
        <v>143.1066</v>
      </c>
      <c r="M564" s="9">
        <f t="shared" si="44"/>
        <v>173.7723</v>
      </c>
    </row>
    <row r="565" ht="27" spans="2:13">
      <c r="B565" t="s">
        <v>1135</v>
      </c>
      <c r="C565" s="4" t="s">
        <v>1136</v>
      </c>
      <c r="D565" s="4" t="s">
        <v>1136</v>
      </c>
      <c r="E565" s="4" t="s">
        <v>1136</v>
      </c>
      <c r="F565" s="4" t="s">
        <v>1136</v>
      </c>
      <c r="G565" s="5">
        <v>204.438</v>
      </c>
      <c r="H565" s="9"/>
      <c r="I565" s="9">
        <f t="shared" si="40"/>
        <v>96.08586</v>
      </c>
      <c r="J565" s="9">
        <f t="shared" si="41"/>
        <v>102.219</v>
      </c>
      <c r="K565" s="9">
        <f t="shared" si="42"/>
        <v>112.4409</v>
      </c>
      <c r="L565" s="9">
        <f t="shared" si="43"/>
        <v>143.1066</v>
      </c>
      <c r="M565" s="9">
        <f t="shared" si="44"/>
        <v>173.7723</v>
      </c>
    </row>
    <row r="566" ht="27" spans="2:13">
      <c r="B566" t="s">
        <v>1137</v>
      </c>
      <c r="C566" s="4" t="s">
        <v>1138</v>
      </c>
      <c r="D566" s="4" t="s">
        <v>1138</v>
      </c>
      <c r="E566" s="4" t="s">
        <v>1138</v>
      </c>
      <c r="F566" s="4" t="s">
        <v>1138</v>
      </c>
      <c r="G566" s="5">
        <v>200.5065</v>
      </c>
      <c r="H566" s="9"/>
      <c r="I566" s="9">
        <f t="shared" si="40"/>
        <v>94.238055</v>
      </c>
      <c r="J566" s="9">
        <f t="shared" si="41"/>
        <v>100.25325</v>
      </c>
      <c r="K566" s="9">
        <f t="shared" si="42"/>
        <v>110.278575</v>
      </c>
      <c r="L566" s="9">
        <f t="shared" si="43"/>
        <v>140.35455</v>
      </c>
      <c r="M566" s="9">
        <f t="shared" si="44"/>
        <v>170.430525</v>
      </c>
    </row>
    <row r="567" ht="27" spans="2:13">
      <c r="B567" t="s">
        <v>1139</v>
      </c>
      <c r="C567" s="4" t="s">
        <v>1140</v>
      </c>
      <c r="D567" s="4" t="s">
        <v>1140</v>
      </c>
      <c r="E567" s="4" t="s">
        <v>1140</v>
      </c>
      <c r="F567" s="4" t="s">
        <v>1140</v>
      </c>
      <c r="G567" s="5">
        <v>294.918</v>
      </c>
      <c r="H567" s="9"/>
      <c r="I567" s="9">
        <f t="shared" si="40"/>
        <v>138.61146</v>
      </c>
      <c r="J567" s="9">
        <f t="shared" si="41"/>
        <v>147.459</v>
      </c>
      <c r="K567" s="9">
        <f t="shared" si="42"/>
        <v>162.2049</v>
      </c>
      <c r="L567" s="9">
        <f t="shared" si="43"/>
        <v>206.4426</v>
      </c>
      <c r="M567" s="9">
        <f t="shared" si="44"/>
        <v>250.6803</v>
      </c>
    </row>
    <row r="568" ht="27" spans="2:13">
      <c r="B568" t="s">
        <v>1141</v>
      </c>
      <c r="C568" s="4" t="s">
        <v>1142</v>
      </c>
      <c r="D568" s="4" t="s">
        <v>1142</v>
      </c>
      <c r="E568" s="4" t="s">
        <v>1142</v>
      </c>
      <c r="F568" s="4" t="s">
        <v>1142</v>
      </c>
      <c r="G568" s="5">
        <v>294.918</v>
      </c>
      <c r="H568" s="9"/>
      <c r="I568" s="9">
        <f t="shared" si="40"/>
        <v>138.61146</v>
      </c>
      <c r="J568" s="9">
        <f t="shared" si="41"/>
        <v>147.459</v>
      </c>
      <c r="K568" s="9">
        <f t="shared" si="42"/>
        <v>162.2049</v>
      </c>
      <c r="L568" s="9">
        <f t="shared" si="43"/>
        <v>206.4426</v>
      </c>
      <c r="M568" s="9">
        <f t="shared" si="44"/>
        <v>250.6803</v>
      </c>
    </row>
    <row r="569" ht="27" spans="2:13">
      <c r="B569" t="s">
        <v>1143</v>
      </c>
      <c r="C569" s="4" t="s">
        <v>1144</v>
      </c>
      <c r="D569" s="4" t="s">
        <v>1144</v>
      </c>
      <c r="E569" s="4" t="s">
        <v>1144</v>
      </c>
      <c r="F569" s="4" t="s">
        <v>1144</v>
      </c>
      <c r="G569" s="5">
        <v>294.918</v>
      </c>
      <c r="H569" s="9"/>
      <c r="I569" s="9">
        <f t="shared" si="40"/>
        <v>138.61146</v>
      </c>
      <c r="J569" s="9">
        <f t="shared" si="41"/>
        <v>147.459</v>
      </c>
      <c r="K569" s="9">
        <f t="shared" si="42"/>
        <v>162.2049</v>
      </c>
      <c r="L569" s="9">
        <f t="shared" si="43"/>
        <v>206.4426</v>
      </c>
      <c r="M569" s="9">
        <f t="shared" si="44"/>
        <v>250.6803</v>
      </c>
    </row>
    <row r="570" ht="27" spans="2:13">
      <c r="B570" t="s">
        <v>1145</v>
      </c>
      <c r="C570" s="4" t="s">
        <v>1146</v>
      </c>
      <c r="D570" s="4" t="s">
        <v>1146</v>
      </c>
      <c r="E570" s="4" t="s">
        <v>1146</v>
      </c>
      <c r="F570" s="4" t="s">
        <v>1146</v>
      </c>
      <c r="G570" s="5">
        <v>436.8</v>
      </c>
      <c r="H570" s="9"/>
      <c r="I570" s="9">
        <f t="shared" si="40"/>
        <v>205.296</v>
      </c>
      <c r="J570" s="9">
        <f t="shared" si="41"/>
        <v>218.4</v>
      </c>
      <c r="K570" s="9">
        <f t="shared" si="42"/>
        <v>240.24</v>
      </c>
      <c r="L570" s="9">
        <f t="shared" si="43"/>
        <v>305.76</v>
      </c>
      <c r="M570" s="9">
        <f t="shared" si="44"/>
        <v>371.28</v>
      </c>
    </row>
    <row r="571" ht="27" spans="2:13">
      <c r="B571" t="s">
        <v>1147</v>
      </c>
      <c r="C571" s="4" t="s">
        <v>1148</v>
      </c>
      <c r="D571" s="4" t="s">
        <v>1148</v>
      </c>
      <c r="E571" s="4" t="s">
        <v>1148</v>
      </c>
      <c r="F571" s="4" t="s">
        <v>1148</v>
      </c>
      <c r="G571" s="5">
        <v>436.8</v>
      </c>
      <c r="H571" s="9"/>
      <c r="I571" s="9">
        <f t="shared" si="40"/>
        <v>205.296</v>
      </c>
      <c r="J571" s="9">
        <f t="shared" si="41"/>
        <v>218.4</v>
      </c>
      <c r="K571" s="9">
        <f t="shared" si="42"/>
        <v>240.24</v>
      </c>
      <c r="L571" s="9">
        <f t="shared" si="43"/>
        <v>305.76</v>
      </c>
      <c r="M571" s="9">
        <f t="shared" si="44"/>
        <v>371.28</v>
      </c>
    </row>
    <row r="572" ht="27" spans="2:13">
      <c r="B572" t="s">
        <v>1149</v>
      </c>
      <c r="C572" s="4" t="s">
        <v>1150</v>
      </c>
      <c r="D572" s="4" t="s">
        <v>1150</v>
      </c>
      <c r="E572" s="4" t="s">
        <v>1150</v>
      </c>
      <c r="F572" s="4" t="s">
        <v>1150</v>
      </c>
      <c r="G572" s="5">
        <v>436.8</v>
      </c>
      <c r="H572" s="9"/>
      <c r="I572" s="9">
        <f t="shared" si="40"/>
        <v>205.296</v>
      </c>
      <c r="J572" s="9">
        <f t="shared" si="41"/>
        <v>218.4</v>
      </c>
      <c r="K572" s="9">
        <f t="shared" si="42"/>
        <v>240.24</v>
      </c>
      <c r="L572" s="9">
        <f t="shared" si="43"/>
        <v>305.76</v>
      </c>
      <c r="M572" s="9">
        <f t="shared" si="44"/>
        <v>371.28</v>
      </c>
    </row>
    <row r="573" ht="27" spans="2:13">
      <c r="B573" t="s">
        <v>1151</v>
      </c>
      <c r="C573" s="4" t="s">
        <v>1152</v>
      </c>
      <c r="D573" s="4" t="s">
        <v>1152</v>
      </c>
      <c r="E573" s="4" t="s">
        <v>1152</v>
      </c>
      <c r="F573" s="4" t="s">
        <v>1152</v>
      </c>
      <c r="G573" s="5">
        <v>56.1816</v>
      </c>
      <c r="H573" s="9"/>
      <c r="I573" s="9">
        <f t="shared" si="40"/>
        <v>26.405352</v>
      </c>
      <c r="J573" s="9">
        <f t="shared" si="41"/>
        <v>28.0908</v>
      </c>
      <c r="K573" s="9">
        <f t="shared" si="42"/>
        <v>30.89988</v>
      </c>
      <c r="L573" s="9">
        <f t="shared" si="43"/>
        <v>39.32712</v>
      </c>
      <c r="M573" s="9">
        <f t="shared" si="44"/>
        <v>47.75436</v>
      </c>
    </row>
    <row r="574" ht="40.5" spans="2:13">
      <c r="B574" t="s">
        <v>1153</v>
      </c>
      <c r="C574" s="4" t="s">
        <v>1154</v>
      </c>
      <c r="D574" s="4" t="s">
        <v>1154</v>
      </c>
      <c r="E574" s="4" t="s">
        <v>1154</v>
      </c>
      <c r="F574" s="4" t="s">
        <v>1154</v>
      </c>
      <c r="G574" s="5">
        <v>150.23376</v>
      </c>
      <c r="H574" s="9"/>
      <c r="I574" s="9">
        <f t="shared" si="40"/>
        <v>70.6098672</v>
      </c>
      <c r="J574" s="9">
        <f t="shared" si="41"/>
        <v>75.11688</v>
      </c>
      <c r="K574" s="9">
        <f t="shared" si="42"/>
        <v>82.628568</v>
      </c>
      <c r="L574" s="9">
        <f t="shared" si="43"/>
        <v>105.163632</v>
      </c>
      <c r="M574" s="9">
        <f t="shared" si="44"/>
        <v>127.698696</v>
      </c>
    </row>
    <row r="575" ht="27" spans="2:13">
      <c r="B575" t="s">
        <v>1155</v>
      </c>
      <c r="C575" s="4" t="s">
        <v>1156</v>
      </c>
      <c r="D575" s="4" t="s">
        <v>1156</v>
      </c>
      <c r="E575" s="4" t="s">
        <v>1156</v>
      </c>
      <c r="F575" s="4" t="s">
        <v>1156</v>
      </c>
      <c r="G575" s="5">
        <v>296.93016</v>
      </c>
      <c r="H575" s="9"/>
      <c r="I575" s="9">
        <f t="shared" si="40"/>
        <v>139.5571752</v>
      </c>
      <c r="J575" s="9">
        <f t="shared" si="41"/>
        <v>148.46508</v>
      </c>
      <c r="K575" s="9">
        <f t="shared" si="42"/>
        <v>163.311588</v>
      </c>
      <c r="L575" s="9">
        <f t="shared" si="43"/>
        <v>207.851112</v>
      </c>
      <c r="M575" s="9">
        <f t="shared" si="44"/>
        <v>252.390636</v>
      </c>
    </row>
    <row r="576" ht="27" spans="2:13">
      <c r="B576" t="s">
        <v>1157</v>
      </c>
      <c r="C576" s="4" t="s">
        <v>1158</v>
      </c>
      <c r="D576" s="4" t="s">
        <v>1158</v>
      </c>
      <c r="E576" s="4" t="s">
        <v>1158</v>
      </c>
      <c r="F576" s="4" t="s">
        <v>1158</v>
      </c>
      <c r="G576" s="5">
        <v>194.86692</v>
      </c>
      <c r="H576" s="9"/>
      <c r="I576" s="9">
        <f>G576*0.47</f>
        <v>91.5874524</v>
      </c>
      <c r="J576" s="9">
        <f>G576*0.5</f>
        <v>97.43346</v>
      </c>
      <c r="K576" s="9">
        <f>G576*0.55</f>
        <v>107.176806</v>
      </c>
      <c r="L576" s="9">
        <f>G576*0.7</f>
        <v>136.406844</v>
      </c>
      <c r="M576" s="9">
        <f>G576*0.85</f>
        <v>165.636882</v>
      </c>
    </row>
    <row r="577" ht="27" spans="2:13">
      <c r="B577" t="s">
        <v>1159</v>
      </c>
      <c r="C577" s="4" t="s">
        <v>1160</v>
      </c>
      <c r="D577" s="4" t="s">
        <v>1160</v>
      </c>
      <c r="E577" s="4" t="s">
        <v>1160</v>
      </c>
      <c r="F577" s="4" t="s">
        <v>1160</v>
      </c>
      <c r="G577" s="5">
        <v>75.429</v>
      </c>
      <c r="H577" s="9"/>
      <c r="I577" s="9">
        <f>G577*0.47</f>
        <v>35.45163</v>
      </c>
      <c r="J577" s="9">
        <f>G577*0.5</f>
        <v>37.7145</v>
      </c>
      <c r="K577" s="9">
        <f>G577*0.55</f>
        <v>41.48595</v>
      </c>
      <c r="L577" s="9">
        <f>G577*0.7</f>
        <v>52.8003</v>
      </c>
      <c r="M577" s="9">
        <f>G577*0.85</f>
        <v>64.11465</v>
      </c>
    </row>
    <row r="578" ht="40.5" spans="2:13">
      <c r="B578" t="s">
        <v>1161</v>
      </c>
      <c r="C578" s="4" t="s">
        <v>1162</v>
      </c>
      <c r="D578" s="4" t="s">
        <v>1162</v>
      </c>
      <c r="E578" s="4" t="s">
        <v>1162</v>
      </c>
      <c r="F578" s="4" t="s">
        <v>1162</v>
      </c>
      <c r="G578" s="5">
        <v>175.41144</v>
      </c>
      <c r="H578" s="9"/>
      <c r="I578" s="9">
        <f>G578*0.47</f>
        <v>82.4433768</v>
      </c>
      <c r="J578" s="9">
        <f>G578*0.5</f>
        <v>87.70572</v>
      </c>
      <c r="K578" s="9">
        <f>G578*0.55</f>
        <v>96.476292</v>
      </c>
      <c r="L578" s="9">
        <f>G578*0.7</f>
        <v>122.788008</v>
      </c>
      <c r="M578" s="9">
        <f>G578*0.85</f>
        <v>149.099724</v>
      </c>
    </row>
    <row r="579" ht="27" spans="2:13">
      <c r="B579" t="s">
        <v>1163</v>
      </c>
      <c r="C579" s="4" t="s">
        <v>1164</v>
      </c>
      <c r="D579" s="4" t="s">
        <v>1164</v>
      </c>
      <c r="E579" s="4" t="s">
        <v>1164</v>
      </c>
      <c r="F579" s="4" t="s">
        <v>1164</v>
      </c>
      <c r="G579" s="5">
        <v>45.2574</v>
      </c>
      <c r="H579" s="9"/>
      <c r="I579" s="9">
        <f>G579*0.47</f>
        <v>21.270978</v>
      </c>
      <c r="J579" s="9">
        <f>G579*0.5</f>
        <v>22.6287</v>
      </c>
      <c r="K579" s="9">
        <f>G579*0.55</f>
        <v>24.89157</v>
      </c>
      <c r="L579" s="9">
        <f>G579*0.7</f>
        <v>31.68018</v>
      </c>
      <c r="M579" s="9">
        <f>G579*0.85</f>
        <v>38.46879</v>
      </c>
    </row>
    <row r="580" ht="27" spans="2:13">
      <c r="B580" t="s">
        <v>1165</v>
      </c>
      <c r="C580" s="4" t="s">
        <v>1166</v>
      </c>
      <c r="D580" s="4" t="s">
        <v>1166</v>
      </c>
      <c r="E580" s="4" t="s">
        <v>1166</v>
      </c>
      <c r="F580" s="4" t="s">
        <v>1166</v>
      </c>
      <c r="G580" s="5">
        <v>52.12404</v>
      </c>
      <c r="H580" s="9"/>
      <c r="I580" s="9">
        <f t="shared" ref="I580:I643" si="45">G580*0.47</f>
        <v>24.4982988</v>
      </c>
      <c r="J580" s="9">
        <f t="shared" ref="J580:J643" si="46">G580*0.5</f>
        <v>26.06202</v>
      </c>
      <c r="K580" s="9">
        <f t="shared" ref="K580:K643" si="47">G580*0.55</f>
        <v>28.668222</v>
      </c>
      <c r="L580" s="9">
        <f t="shared" ref="L580:L643" si="48">G580*0.7</f>
        <v>36.486828</v>
      </c>
      <c r="M580" s="9">
        <f t="shared" ref="M580:M643" si="49">G580*0.85</f>
        <v>44.305434</v>
      </c>
    </row>
    <row r="581" ht="27" spans="2:13">
      <c r="B581" t="s">
        <v>1167</v>
      </c>
      <c r="C581" s="4" t="s">
        <v>1168</v>
      </c>
      <c r="D581" s="4" t="s">
        <v>1168</v>
      </c>
      <c r="E581" s="4" t="s">
        <v>1168</v>
      </c>
      <c r="F581" s="4" t="s">
        <v>1168</v>
      </c>
      <c r="G581" s="5" t="s">
        <v>1169</v>
      </c>
      <c r="H581" s="9"/>
      <c r="I581" s="9" t="e">
        <f t="shared" si="45"/>
        <v>#VALUE!</v>
      </c>
      <c r="J581" s="9" t="e">
        <f t="shared" si="46"/>
        <v>#VALUE!</v>
      </c>
      <c r="K581" s="9" t="e">
        <f t="shared" si="47"/>
        <v>#VALUE!</v>
      </c>
      <c r="L581" s="9" t="e">
        <f t="shared" si="48"/>
        <v>#VALUE!</v>
      </c>
      <c r="M581" s="9" t="e">
        <f t="shared" si="49"/>
        <v>#VALUE!</v>
      </c>
    </row>
    <row r="582" ht="27" spans="2:13">
      <c r="B582" t="s">
        <v>1170</v>
      </c>
      <c r="C582" s="4" t="s">
        <v>1171</v>
      </c>
      <c r="D582" s="4" t="s">
        <v>1171</v>
      </c>
      <c r="E582" s="4" t="s">
        <v>1171</v>
      </c>
      <c r="F582" s="4" t="s">
        <v>1171</v>
      </c>
      <c r="G582" s="5">
        <v>56.1816</v>
      </c>
      <c r="H582" s="9"/>
      <c r="I582" s="9">
        <f t="shared" si="45"/>
        <v>26.405352</v>
      </c>
      <c r="J582" s="9">
        <f t="shared" si="46"/>
        <v>28.0908</v>
      </c>
      <c r="K582" s="9">
        <f t="shared" si="47"/>
        <v>30.89988</v>
      </c>
      <c r="L582" s="9">
        <f t="shared" si="48"/>
        <v>39.32712</v>
      </c>
      <c r="M582" s="9">
        <f t="shared" si="49"/>
        <v>47.75436</v>
      </c>
    </row>
    <row r="583" ht="27" spans="2:13">
      <c r="B583" t="s">
        <v>1172</v>
      </c>
      <c r="C583" s="4" t="s">
        <v>1173</v>
      </c>
      <c r="D583" s="4" t="s">
        <v>1173</v>
      </c>
      <c r="E583" s="4" t="s">
        <v>1173</v>
      </c>
      <c r="F583" s="4" t="s">
        <v>1173</v>
      </c>
      <c r="G583" s="5">
        <v>64.60884</v>
      </c>
      <c r="H583" s="9"/>
      <c r="I583" s="9">
        <f t="shared" si="45"/>
        <v>30.3661548</v>
      </c>
      <c r="J583" s="9">
        <f t="shared" si="46"/>
        <v>32.30442</v>
      </c>
      <c r="K583" s="9">
        <f t="shared" si="47"/>
        <v>35.534862</v>
      </c>
      <c r="L583" s="9">
        <f t="shared" si="48"/>
        <v>45.226188</v>
      </c>
      <c r="M583" s="9">
        <f t="shared" si="49"/>
        <v>54.917514</v>
      </c>
    </row>
    <row r="584" ht="27" spans="2:13">
      <c r="B584" t="s">
        <v>1174</v>
      </c>
      <c r="C584" s="4" t="s">
        <v>1175</v>
      </c>
      <c r="D584" s="4" t="s">
        <v>1175</v>
      </c>
      <c r="E584" s="4" t="s">
        <v>1175</v>
      </c>
      <c r="F584" s="4" t="s">
        <v>1175</v>
      </c>
      <c r="G584" s="5" t="s">
        <v>1169</v>
      </c>
      <c r="H584" s="9"/>
      <c r="I584" s="9" t="e">
        <f t="shared" si="45"/>
        <v>#VALUE!</v>
      </c>
      <c r="J584" s="9" t="e">
        <f t="shared" si="46"/>
        <v>#VALUE!</v>
      </c>
      <c r="K584" s="9" t="e">
        <f t="shared" si="47"/>
        <v>#VALUE!</v>
      </c>
      <c r="L584" s="9" t="e">
        <f t="shared" si="48"/>
        <v>#VALUE!</v>
      </c>
      <c r="M584" s="9" t="e">
        <f t="shared" si="49"/>
        <v>#VALUE!</v>
      </c>
    </row>
    <row r="585" ht="27" spans="2:13">
      <c r="B585" t="s">
        <v>1176</v>
      </c>
      <c r="C585" s="4" t="s">
        <v>1177</v>
      </c>
      <c r="D585" s="4" t="s">
        <v>1177</v>
      </c>
      <c r="E585" s="4" t="s">
        <v>1177</v>
      </c>
      <c r="F585" s="4" t="s">
        <v>1177</v>
      </c>
      <c r="G585" s="5">
        <v>34.43724</v>
      </c>
      <c r="H585" s="9"/>
      <c r="I585" s="9">
        <f t="shared" si="45"/>
        <v>16.1855028</v>
      </c>
      <c r="J585" s="9">
        <f t="shared" si="46"/>
        <v>17.21862</v>
      </c>
      <c r="K585" s="9">
        <f t="shared" si="47"/>
        <v>18.940482</v>
      </c>
      <c r="L585" s="9">
        <f t="shared" si="48"/>
        <v>24.106068</v>
      </c>
      <c r="M585" s="9">
        <f t="shared" si="49"/>
        <v>29.271654</v>
      </c>
    </row>
    <row r="586" ht="27" spans="2:13">
      <c r="B586" t="s">
        <v>1178</v>
      </c>
      <c r="C586" s="4" t="s">
        <v>1179</v>
      </c>
      <c r="D586" s="4" t="s">
        <v>1179</v>
      </c>
      <c r="E586" s="4" t="s">
        <v>1179</v>
      </c>
      <c r="F586" s="4" t="s">
        <v>1179</v>
      </c>
      <c r="G586" s="5">
        <v>41.40792</v>
      </c>
      <c r="H586" s="9"/>
      <c r="I586" s="9">
        <f t="shared" si="45"/>
        <v>19.4617224</v>
      </c>
      <c r="J586" s="9">
        <f t="shared" si="46"/>
        <v>20.70396</v>
      </c>
      <c r="K586" s="9">
        <f t="shared" si="47"/>
        <v>22.774356</v>
      </c>
      <c r="L586" s="9">
        <f t="shared" si="48"/>
        <v>28.985544</v>
      </c>
      <c r="M586" s="9">
        <f t="shared" si="49"/>
        <v>35.196732</v>
      </c>
    </row>
    <row r="587" ht="27" spans="2:13">
      <c r="B587" t="s">
        <v>1180</v>
      </c>
      <c r="C587" s="4" t="s">
        <v>1181</v>
      </c>
      <c r="D587" s="4" t="s">
        <v>1181</v>
      </c>
      <c r="E587" s="4" t="s">
        <v>1181</v>
      </c>
      <c r="F587" s="4" t="s">
        <v>1181</v>
      </c>
      <c r="G587" s="5">
        <v>60.44724</v>
      </c>
      <c r="H587" s="9"/>
      <c r="I587" s="9">
        <f t="shared" si="45"/>
        <v>28.4102028</v>
      </c>
      <c r="J587" s="9">
        <f t="shared" si="46"/>
        <v>30.22362</v>
      </c>
      <c r="K587" s="9">
        <f t="shared" si="47"/>
        <v>33.245982</v>
      </c>
      <c r="L587" s="9">
        <f t="shared" si="48"/>
        <v>42.313068</v>
      </c>
      <c r="M587" s="9">
        <f t="shared" si="49"/>
        <v>51.380154</v>
      </c>
    </row>
    <row r="588" ht="27" spans="2:13">
      <c r="B588" t="s">
        <v>1182</v>
      </c>
      <c r="C588" s="4" t="s">
        <v>1183</v>
      </c>
      <c r="D588" s="4" t="s">
        <v>1183</v>
      </c>
      <c r="E588" s="4" t="s">
        <v>1183</v>
      </c>
      <c r="F588" s="4" t="s">
        <v>1183</v>
      </c>
      <c r="G588" s="5">
        <v>68.45832</v>
      </c>
      <c r="H588" s="9"/>
      <c r="I588" s="9">
        <f t="shared" si="45"/>
        <v>32.1754104</v>
      </c>
      <c r="J588" s="9">
        <f t="shared" si="46"/>
        <v>34.22916</v>
      </c>
      <c r="K588" s="9">
        <f t="shared" si="47"/>
        <v>37.652076</v>
      </c>
      <c r="L588" s="9">
        <f t="shared" si="48"/>
        <v>47.920824</v>
      </c>
      <c r="M588" s="9">
        <f t="shared" si="49"/>
        <v>58.189572</v>
      </c>
    </row>
    <row r="589" ht="27" spans="2:13">
      <c r="B589" t="s">
        <v>1184</v>
      </c>
      <c r="C589" s="4" t="s">
        <v>1185</v>
      </c>
      <c r="D589" s="4" t="s">
        <v>1185</v>
      </c>
      <c r="E589" s="4" t="s">
        <v>1185</v>
      </c>
      <c r="F589" s="4" t="s">
        <v>1185</v>
      </c>
      <c r="G589" s="5" t="s">
        <v>1169</v>
      </c>
      <c r="H589" s="9"/>
      <c r="I589" s="9" t="e">
        <f t="shared" si="45"/>
        <v>#VALUE!</v>
      </c>
      <c r="J589" s="9" t="e">
        <f t="shared" si="46"/>
        <v>#VALUE!</v>
      </c>
      <c r="K589" s="9" t="e">
        <f t="shared" si="47"/>
        <v>#VALUE!</v>
      </c>
      <c r="L589" s="9" t="e">
        <f t="shared" si="48"/>
        <v>#VALUE!</v>
      </c>
      <c r="M589" s="9" t="e">
        <f t="shared" si="49"/>
        <v>#VALUE!</v>
      </c>
    </row>
    <row r="590" ht="27" spans="2:13">
      <c r="B590" t="s">
        <v>1186</v>
      </c>
      <c r="C590" s="4" t="s">
        <v>1187</v>
      </c>
      <c r="D590" s="4" t="s">
        <v>1187</v>
      </c>
      <c r="E590" s="4" t="s">
        <v>1187</v>
      </c>
      <c r="F590" s="4" t="s">
        <v>1187</v>
      </c>
      <c r="G590" s="5">
        <v>75.429</v>
      </c>
      <c r="H590" s="9"/>
      <c r="I590" s="9">
        <f t="shared" si="45"/>
        <v>35.45163</v>
      </c>
      <c r="J590" s="9">
        <f t="shared" si="46"/>
        <v>37.7145</v>
      </c>
      <c r="K590" s="9">
        <f t="shared" si="47"/>
        <v>41.48595</v>
      </c>
      <c r="L590" s="9">
        <f t="shared" si="48"/>
        <v>52.8003</v>
      </c>
      <c r="M590" s="9">
        <f t="shared" si="49"/>
        <v>64.11465</v>
      </c>
    </row>
    <row r="591" ht="27" spans="2:13">
      <c r="B591" t="s">
        <v>1188</v>
      </c>
      <c r="C591" s="4" t="s">
        <v>1189</v>
      </c>
      <c r="D591" s="4" t="s">
        <v>1189</v>
      </c>
      <c r="E591" s="4" t="s">
        <v>1189</v>
      </c>
      <c r="F591" s="4" t="s">
        <v>1189</v>
      </c>
      <c r="G591" s="5">
        <v>83.54412</v>
      </c>
      <c r="H591" s="9"/>
      <c r="I591" s="9">
        <f t="shared" si="45"/>
        <v>39.2657364</v>
      </c>
      <c r="J591" s="9">
        <f t="shared" si="46"/>
        <v>41.77206</v>
      </c>
      <c r="K591" s="9">
        <f t="shared" si="47"/>
        <v>45.949266</v>
      </c>
      <c r="L591" s="9">
        <f t="shared" si="48"/>
        <v>58.480884</v>
      </c>
      <c r="M591" s="9">
        <f t="shared" si="49"/>
        <v>71.012502</v>
      </c>
    </row>
    <row r="592" ht="27" spans="2:13">
      <c r="B592" t="s">
        <v>1190</v>
      </c>
      <c r="C592" s="4" t="s">
        <v>1191</v>
      </c>
      <c r="D592" s="4" t="s">
        <v>1191</v>
      </c>
      <c r="E592" s="4" t="s">
        <v>1191</v>
      </c>
      <c r="F592" s="4" t="s">
        <v>1191</v>
      </c>
      <c r="G592" s="5" t="s">
        <v>1169</v>
      </c>
      <c r="H592" s="9"/>
      <c r="I592" s="9" t="e">
        <f t="shared" si="45"/>
        <v>#VALUE!</v>
      </c>
      <c r="J592" s="9" t="e">
        <f t="shared" si="46"/>
        <v>#VALUE!</v>
      </c>
      <c r="K592" s="9" t="e">
        <f t="shared" si="47"/>
        <v>#VALUE!</v>
      </c>
      <c r="L592" s="9" t="e">
        <f t="shared" si="48"/>
        <v>#VALUE!</v>
      </c>
      <c r="M592" s="9" t="e">
        <f t="shared" si="49"/>
        <v>#VALUE!</v>
      </c>
    </row>
    <row r="593" ht="27" spans="2:13">
      <c r="B593" t="s">
        <v>1192</v>
      </c>
      <c r="C593" s="4" t="s">
        <v>1193</v>
      </c>
      <c r="D593" s="4" t="s">
        <v>1193</v>
      </c>
      <c r="E593" s="4" t="s">
        <v>1193</v>
      </c>
      <c r="F593" s="4" t="s">
        <v>1193</v>
      </c>
      <c r="G593" s="5">
        <v>93.1158</v>
      </c>
      <c r="H593" s="9"/>
      <c r="I593" s="9">
        <f t="shared" si="45"/>
        <v>43.764426</v>
      </c>
      <c r="J593" s="9">
        <f t="shared" si="46"/>
        <v>46.5579</v>
      </c>
      <c r="K593" s="9">
        <f t="shared" si="47"/>
        <v>51.21369</v>
      </c>
      <c r="L593" s="9">
        <f t="shared" si="48"/>
        <v>65.18106</v>
      </c>
      <c r="M593" s="9">
        <f t="shared" si="49"/>
        <v>79.14843</v>
      </c>
    </row>
    <row r="594" ht="27" spans="2:13">
      <c r="B594" t="s">
        <v>1194</v>
      </c>
      <c r="C594" s="4" t="s">
        <v>1195</v>
      </c>
      <c r="D594" s="4" t="s">
        <v>1195</v>
      </c>
      <c r="E594" s="4" t="s">
        <v>1195</v>
      </c>
      <c r="F594" s="4" t="s">
        <v>1195</v>
      </c>
      <c r="G594" s="5">
        <v>102.37536</v>
      </c>
      <c r="H594" s="9"/>
      <c r="I594" s="9">
        <f t="shared" si="45"/>
        <v>48.1164192</v>
      </c>
      <c r="J594" s="9">
        <f t="shared" si="46"/>
        <v>51.18768</v>
      </c>
      <c r="K594" s="9">
        <f t="shared" si="47"/>
        <v>56.306448</v>
      </c>
      <c r="L594" s="9">
        <f t="shared" si="48"/>
        <v>71.662752</v>
      </c>
      <c r="M594" s="9">
        <f t="shared" si="49"/>
        <v>87.019056</v>
      </c>
    </row>
    <row r="595" ht="27" spans="2:13">
      <c r="B595" t="s">
        <v>1196</v>
      </c>
      <c r="C595" s="4" t="s">
        <v>1197</v>
      </c>
      <c r="D595" s="4" t="s">
        <v>1197</v>
      </c>
      <c r="E595" s="4" t="s">
        <v>1197</v>
      </c>
      <c r="F595" s="4" t="s">
        <v>1197</v>
      </c>
      <c r="G595" s="5">
        <v>111.63492</v>
      </c>
      <c r="H595" s="9"/>
      <c r="I595" s="9">
        <f t="shared" si="45"/>
        <v>52.4684124</v>
      </c>
      <c r="J595" s="9">
        <f t="shared" si="46"/>
        <v>55.81746</v>
      </c>
      <c r="K595" s="9">
        <f t="shared" si="47"/>
        <v>61.399206</v>
      </c>
      <c r="L595" s="9">
        <f t="shared" si="48"/>
        <v>78.144444</v>
      </c>
      <c r="M595" s="9">
        <f t="shared" si="49"/>
        <v>94.889682</v>
      </c>
    </row>
    <row r="596" spans="2:13">
      <c r="B596" t="s">
        <v>1198</v>
      </c>
      <c r="C596" s="4" t="s">
        <v>466</v>
      </c>
      <c r="D596" s="4" t="s">
        <v>466</v>
      </c>
      <c r="E596" s="4" t="s">
        <v>466</v>
      </c>
      <c r="F596" s="4" t="s">
        <v>466</v>
      </c>
      <c r="G596" s="5">
        <v>122.87124</v>
      </c>
      <c r="H596" s="9"/>
      <c r="I596" s="9">
        <f t="shared" si="45"/>
        <v>57.7494828</v>
      </c>
      <c r="J596" s="9">
        <f t="shared" si="46"/>
        <v>61.43562</v>
      </c>
      <c r="K596" s="9">
        <f t="shared" si="47"/>
        <v>67.579182</v>
      </c>
      <c r="L596" s="9">
        <f t="shared" si="48"/>
        <v>86.009868</v>
      </c>
      <c r="M596" s="9">
        <f t="shared" si="49"/>
        <v>104.440554</v>
      </c>
    </row>
    <row r="597" ht="40.5" spans="2:13">
      <c r="B597" t="s">
        <v>1199</v>
      </c>
      <c r="C597" s="4" t="s">
        <v>1200</v>
      </c>
      <c r="D597" s="4" t="s">
        <v>1200</v>
      </c>
      <c r="E597" s="4" t="s">
        <v>1200</v>
      </c>
      <c r="F597" s="4" t="s">
        <v>1200</v>
      </c>
      <c r="G597" s="5">
        <v>102.58344</v>
      </c>
      <c r="H597" s="9"/>
      <c r="I597" s="9">
        <f t="shared" si="45"/>
        <v>48.2142168</v>
      </c>
      <c r="J597" s="9">
        <f t="shared" si="46"/>
        <v>51.29172</v>
      </c>
      <c r="K597" s="9">
        <f t="shared" si="47"/>
        <v>56.420892</v>
      </c>
      <c r="L597" s="9">
        <f t="shared" si="48"/>
        <v>71.808408</v>
      </c>
      <c r="M597" s="9">
        <f t="shared" si="49"/>
        <v>87.195924</v>
      </c>
    </row>
    <row r="598" ht="40.5" spans="2:13">
      <c r="B598" t="s">
        <v>1201</v>
      </c>
      <c r="C598" s="4" t="s">
        <v>1202</v>
      </c>
      <c r="D598" s="4" t="s">
        <v>1202</v>
      </c>
      <c r="E598" s="4" t="s">
        <v>1202</v>
      </c>
      <c r="F598" s="4" t="s">
        <v>1202</v>
      </c>
      <c r="G598" s="5">
        <v>138.26916</v>
      </c>
      <c r="H598" s="9"/>
      <c r="I598" s="9">
        <f t="shared" si="45"/>
        <v>64.9865052</v>
      </c>
      <c r="J598" s="9">
        <f t="shared" si="46"/>
        <v>69.13458</v>
      </c>
      <c r="K598" s="9">
        <f t="shared" si="47"/>
        <v>76.048038</v>
      </c>
      <c r="L598" s="9">
        <f t="shared" si="48"/>
        <v>96.788412</v>
      </c>
      <c r="M598" s="9">
        <f t="shared" si="49"/>
        <v>117.528786</v>
      </c>
    </row>
    <row r="599" ht="40.5" spans="2:13">
      <c r="B599" t="s">
        <v>1203</v>
      </c>
      <c r="C599" s="4" t="s">
        <v>1204</v>
      </c>
      <c r="D599" s="4" t="s">
        <v>1204</v>
      </c>
      <c r="E599" s="4" t="s">
        <v>1204</v>
      </c>
      <c r="F599" s="4" t="s">
        <v>1204</v>
      </c>
      <c r="G599" s="5">
        <v>71.89164</v>
      </c>
      <c r="H599" s="9"/>
      <c r="I599" s="9">
        <f t="shared" si="45"/>
        <v>33.7890708</v>
      </c>
      <c r="J599" s="9">
        <f t="shared" si="46"/>
        <v>35.94582</v>
      </c>
      <c r="K599" s="9">
        <f t="shared" si="47"/>
        <v>39.540402</v>
      </c>
      <c r="L599" s="9">
        <f t="shared" si="48"/>
        <v>50.324148</v>
      </c>
      <c r="M599" s="9">
        <f t="shared" si="49"/>
        <v>61.107894</v>
      </c>
    </row>
    <row r="600" ht="40.5" spans="2:13">
      <c r="B600" t="s">
        <v>1205</v>
      </c>
      <c r="C600" s="4" t="s">
        <v>1206</v>
      </c>
      <c r="D600" s="4" t="s">
        <v>1206</v>
      </c>
      <c r="E600" s="4" t="s">
        <v>1206</v>
      </c>
      <c r="F600" s="4" t="s">
        <v>1206</v>
      </c>
      <c r="G600" s="5">
        <v>82.29564</v>
      </c>
      <c r="H600" s="9"/>
      <c r="I600" s="9">
        <f t="shared" si="45"/>
        <v>38.6789508</v>
      </c>
      <c r="J600" s="9">
        <f t="shared" si="46"/>
        <v>41.14782</v>
      </c>
      <c r="K600" s="9">
        <f t="shared" si="47"/>
        <v>45.262602</v>
      </c>
      <c r="L600" s="9">
        <f t="shared" si="48"/>
        <v>57.606948</v>
      </c>
      <c r="M600" s="9">
        <f t="shared" si="49"/>
        <v>69.951294</v>
      </c>
    </row>
    <row r="601" ht="40.5" spans="2:13">
      <c r="B601" t="s">
        <v>1207</v>
      </c>
      <c r="C601" s="4" t="s">
        <v>1208</v>
      </c>
      <c r="D601" s="4" t="s">
        <v>1208</v>
      </c>
      <c r="E601" s="4" t="s">
        <v>1208</v>
      </c>
      <c r="F601" s="4" t="s">
        <v>1208</v>
      </c>
      <c r="G601" s="5">
        <v>84.66</v>
      </c>
      <c r="H601" s="9"/>
      <c r="I601" s="9">
        <f t="shared" si="45"/>
        <v>39.7902</v>
      </c>
      <c r="J601" s="9">
        <f t="shared" si="46"/>
        <v>42.33</v>
      </c>
      <c r="K601" s="9">
        <f t="shared" si="47"/>
        <v>46.563</v>
      </c>
      <c r="L601" s="9">
        <f t="shared" si="48"/>
        <v>59.262</v>
      </c>
      <c r="M601" s="9">
        <f t="shared" si="49"/>
        <v>71.961</v>
      </c>
    </row>
    <row r="602" ht="40.5" spans="2:13">
      <c r="B602" t="s">
        <v>1209</v>
      </c>
      <c r="C602" s="4" t="s">
        <v>1210</v>
      </c>
      <c r="D602" s="4" t="s">
        <v>1210</v>
      </c>
      <c r="E602" s="4" t="s">
        <v>1210</v>
      </c>
      <c r="F602" s="4" t="s">
        <v>1210</v>
      </c>
      <c r="G602" s="5">
        <v>82.29564</v>
      </c>
      <c r="H602" s="9"/>
      <c r="I602" s="9">
        <f t="shared" si="45"/>
        <v>38.6789508</v>
      </c>
      <c r="J602" s="9">
        <f t="shared" si="46"/>
        <v>41.14782</v>
      </c>
      <c r="K602" s="9">
        <f t="shared" si="47"/>
        <v>45.262602</v>
      </c>
      <c r="L602" s="9">
        <f t="shared" si="48"/>
        <v>57.606948</v>
      </c>
      <c r="M602" s="9">
        <f t="shared" si="49"/>
        <v>69.951294</v>
      </c>
    </row>
    <row r="603" ht="40.5" spans="2:13">
      <c r="B603" t="s">
        <v>1211</v>
      </c>
      <c r="C603" s="4" t="s">
        <v>1212</v>
      </c>
      <c r="D603" s="4" t="s">
        <v>1212</v>
      </c>
      <c r="E603" s="4" t="s">
        <v>1212</v>
      </c>
      <c r="F603" s="4" t="s">
        <v>1212</v>
      </c>
      <c r="G603" s="5">
        <v>220.66884</v>
      </c>
      <c r="H603" s="9"/>
      <c r="I603" s="9">
        <f t="shared" si="45"/>
        <v>103.7143548</v>
      </c>
      <c r="J603" s="9">
        <f t="shared" si="46"/>
        <v>110.33442</v>
      </c>
      <c r="K603" s="9">
        <f t="shared" si="47"/>
        <v>121.367862</v>
      </c>
      <c r="L603" s="9">
        <f t="shared" si="48"/>
        <v>154.468188</v>
      </c>
      <c r="M603" s="9">
        <f t="shared" si="49"/>
        <v>187.568514</v>
      </c>
    </row>
    <row r="604" ht="40.5" spans="2:13">
      <c r="B604" t="s">
        <v>1213</v>
      </c>
      <c r="C604" s="4" t="s">
        <v>1214</v>
      </c>
      <c r="D604" s="4" t="s">
        <v>1214</v>
      </c>
      <c r="E604" s="4" t="s">
        <v>1214</v>
      </c>
      <c r="F604" s="4" t="s">
        <v>1214</v>
      </c>
      <c r="G604" s="5">
        <v>220.66884</v>
      </c>
      <c r="H604" s="9"/>
      <c r="I604" s="9">
        <f t="shared" si="45"/>
        <v>103.7143548</v>
      </c>
      <c r="J604" s="9">
        <f t="shared" si="46"/>
        <v>110.33442</v>
      </c>
      <c r="K604" s="9">
        <f t="shared" si="47"/>
        <v>121.367862</v>
      </c>
      <c r="L604" s="9">
        <f t="shared" si="48"/>
        <v>154.468188</v>
      </c>
      <c r="M604" s="9">
        <f t="shared" si="49"/>
        <v>187.568514</v>
      </c>
    </row>
    <row r="605" ht="40.5" spans="2:13">
      <c r="B605" t="s">
        <v>1215</v>
      </c>
      <c r="C605" s="4" t="s">
        <v>1216</v>
      </c>
      <c r="D605" s="4" t="s">
        <v>1216</v>
      </c>
      <c r="E605" s="4" t="s">
        <v>1216</v>
      </c>
      <c r="F605" s="4" t="s">
        <v>1216</v>
      </c>
      <c r="G605" s="5">
        <v>220.66884</v>
      </c>
      <c r="H605" s="9"/>
      <c r="I605" s="9">
        <f t="shared" si="45"/>
        <v>103.7143548</v>
      </c>
      <c r="J605" s="9">
        <f t="shared" si="46"/>
        <v>110.33442</v>
      </c>
      <c r="K605" s="9">
        <f t="shared" si="47"/>
        <v>121.367862</v>
      </c>
      <c r="L605" s="9">
        <f t="shared" si="48"/>
        <v>154.468188</v>
      </c>
      <c r="M605" s="9">
        <f t="shared" si="49"/>
        <v>187.568514</v>
      </c>
    </row>
    <row r="606" ht="40.5" spans="2:13">
      <c r="B606" t="s">
        <v>1217</v>
      </c>
      <c r="C606" s="4" t="s">
        <v>1218</v>
      </c>
      <c r="D606" s="4" t="s">
        <v>1218</v>
      </c>
      <c r="E606" s="4" t="s">
        <v>1218</v>
      </c>
      <c r="F606" s="4" t="s">
        <v>1218</v>
      </c>
      <c r="G606" s="5">
        <v>237.93948</v>
      </c>
      <c r="H606" s="9"/>
      <c r="I606" s="9">
        <f t="shared" si="45"/>
        <v>111.8315556</v>
      </c>
      <c r="J606" s="9">
        <f t="shared" si="46"/>
        <v>118.96974</v>
      </c>
      <c r="K606" s="9">
        <f t="shared" si="47"/>
        <v>130.866714</v>
      </c>
      <c r="L606" s="9">
        <f t="shared" si="48"/>
        <v>166.557636</v>
      </c>
      <c r="M606" s="9">
        <f t="shared" si="49"/>
        <v>202.248558</v>
      </c>
    </row>
    <row r="607" ht="40.5" spans="2:13">
      <c r="B607" t="s">
        <v>1219</v>
      </c>
      <c r="C607" s="4" t="s">
        <v>1220</v>
      </c>
      <c r="D607" s="4" t="s">
        <v>1220</v>
      </c>
      <c r="E607" s="4" t="s">
        <v>1220</v>
      </c>
      <c r="F607" s="4" t="s">
        <v>1220</v>
      </c>
      <c r="G607" s="5">
        <v>237.93948</v>
      </c>
      <c r="H607" s="9"/>
      <c r="I607" s="9">
        <f t="shared" si="45"/>
        <v>111.8315556</v>
      </c>
      <c r="J607" s="9">
        <f t="shared" si="46"/>
        <v>118.96974</v>
      </c>
      <c r="K607" s="9">
        <f t="shared" si="47"/>
        <v>130.866714</v>
      </c>
      <c r="L607" s="9">
        <f t="shared" si="48"/>
        <v>166.557636</v>
      </c>
      <c r="M607" s="9">
        <f t="shared" si="49"/>
        <v>202.248558</v>
      </c>
    </row>
    <row r="608" ht="40.5" spans="2:13">
      <c r="B608" t="s">
        <v>1221</v>
      </c>
      <c r="C608" s="4" t="s">
        <v>1222</v>
      </c>
      <c r="D608" s="4" t="s">
        <v>1222</v>
      </c>
      <c r="E608" s="4" t="s">
        <v>1222</v>
      </c>
      <c r="F608" s="4" t="s">
        <v>1222</v>
      </c>
      <c r="G608" s="5">
        <v>237.93948</v>
      </c>
      <c r="H608" s="9"/>
      <c r="I608" s="9">
        <f t="shared" si="45"/>
        <v>111.8315556</v>
      </c>
      <c r="J608" s="9">
        <f t="shared" si="46"/>
        <v>118.96974</v>
      </c>
      <c r="K608" s="9">
        <f t="shared" si="47"/>
        <v>130.866714</v>
      </c>
      <c r="L608" s="9">
        <f t="shared" si="48"/>
        <v>166.557636</v>
      </c>
      <c r="M608" s="9">
        <f t="shared" si="49"/>
        <v>202.248558</v>
      </c>
    </row>
    <row r="609" ht="40.5" spans="2:13">
      <c r="B609" t="s">
        <v>1223</v>
      </c>
      <c r="C609" s="4" t="s">
        <v>1224</v>
      </c>
      <c r="D609" s="4" t="s">
        <v>1224</v>
      </c>
      <c r="E609" s="4" t="s">
        <v>1224</v>
      </c>
      <c r="F609" s="4" t="s">
        <v>1224</v>
      </c>
      <c r="G609" s="5">
        <v>286.94232</v>
      </c>
      <c r="H609" s="9"/>
      <c r="I609" s="9">
        <f t="shared" si="45"/>
        <v>134.8628904</v>
      </c>
      <c r="J609" s="9">
        <f t="shared" si="46"/>
        <v>143.47116</v>
      </c>
      <c r="K609" s="9">
        <f t="shared" si="47"/>
        <v>157.818276</v>
      </c>
      <c r="L609" s="9">
        <f t="shared" si="48"/>
        <v>200.859624</v>
      </c>
      <c r="M609" s="9">
        <f t="shared" si="49"/>
        <v>243.900972</v>
      </c>
    </row>
    <row r="610" ht="40.5" spans="2:13">
      <c r="B610" t="s">
        <v>1225</v>
      </c>
      <c r="C610" s="4" t="s">
        <v>1226</v>
      </c>
      <c r="D610" s="4" t="s">
        <v>1226</v>
      </c>
      <c r="E610" s="4" t="s">
        <v>1226</v>
      </c>
      <c r="F610" s="4" t="s">
        <v>1226</v>
      </c>
      <c r="G610" s="5">
        <v>286.94232</v>
      </c>
      <c r="H610" s="9"/>
      <c r="I610" s="9">
        <f t="shared" si="45"/>
        <v>134.8628904</v>
      </c>
      <c r="J610" s="9">
        <f t="shared" si="46"/>
        <v>143.47116</v>
      </c>
      <c r="K610" s="9">
        <f t="shared" si="47"/>
        <v>157.818276</v>
      </c>
      <c r="L610" s="9">
        <f t="shared" si="48"/>
        <v>200.859624</v>
      </c>
      <c r="M610" s="9">
        <f t="shared" si="49"/>
        <v>243.900972</v>
      </c>
    </row>
    <row r="611" ht="40.5" spans="2:13">
      <c r="B611" t="s">
        <v>1227</v>
      </c>
      <c r="C611" s="4" t="s">
        <v>1228</v>
      </c>
      <c r="D611" s="4" t="s">
        <v>1228</v>
      </c>
      <c r="E611" s="4" t="s">
        <v>1228</v>
      </c>
      <c r="F611" s="4" t="s">
        <v>1228</v>
      </c>
      <c r="G611" s="5">
        <v>286.94232</v>
      </c>
      <c r="H611" s="9"/>
      <c r="I611" s="9">
        <f t="shared" si="45"/>
        <v>134.8628904</v>
      </c>
      <c r="J611" s="9">
        <f t="shared" si="46"/>
        <v>143.47116</v>
      </c>
      <c r="K611" s="9">
        <f t="shared" si="47"/>
        <v>157.818276</v>
      </c>
      <c r="L611" s="9">
        <f t="shared" si="48"/>
        <v>200.859624</v>
      </c>
      <c r="M611" s="9">
        <f t="shared" si="49"/>
        <v>243.900972</v>
      </c>
    </row>
    <row r="612" ht="40.5" spans="2:13">
      <c r="B612" t="s">
        <v>1229</v>
      </c>
      <c r="C612" s="4" t="s">
        <v>1230</v>
      </c>
      <c r="D612" s="4" t="s">
        <v>1230</v>
      </c>
      <c r="E612" s="4" t="s">
        <v>1230</v>
      </c>
      <c r="F612" s="4" t="s">
        <v>1230</v>
      </c>
      <c r="G612" s="5">
        <v>368.19756</v>
      </c>
      <c r="H612" s="9"/>
      <c r="I612" s="9">
        <f t="shared" si="45"/>
        <v>173.0528532</v>
      </c>
      <c r="J612" s="9">
        <f t="shared" si="46"/>
        <v>184.09878</v>
      </c>
      <c r="K612" s="9">
        <f t="shared" si="47"/>
        <v>202.508658</v>
      </c>
      <c r="L612" s="9">
        <f t="shared" si="48"/>
        <v>257.738292</v>
      </c>
      <c r="M612" s="9">
        <f t="shared" si="49"/>
        <v>312.967926</v>
      </c>
    </row>
    <row r="613" ht="40.5" spans="2:13">
      <c r="B613" t="s">
        <v>1231</v>
      </c>
      <c r="C613" s="4" t="s">
        <v>1232</v>
      </c>
      <c r="D613" s="4" t="s">
        <v>1232</v>
      </c>
      <c r="E613" s="4" t="s">
        <v>1232</v>
      </c>
      <c r="F613" s="4" t="s">
        <v>1232</v>
      </c>
      <c r="G613" s="5">
        <v>368.19756</v>
      </c>
      <c r="H613" s="9"/>
      <c r="I613" s="9">
        <f t="shared" si="45"/>
        <v>173.0528532</v>
      </c>
      <c r="J613" s="9">
        <f t="shared" si="46"/>
        <v>184.09878</v>
      </c>
      <c r="K613" s="9">
        <f t="shared" si="47"/>
        <v>202.508658</v>
      </c>
      <c r="L613" s="9">
        <f t="shared" si="48"/>
        <v>257.738292</v>
      </c>
      <c r="M613" s="9">
        <f t="shared" si="49"/>
        <v>312.967926</v>
      </c>
    </row>
    <row r="614" ht="40.5" spans="2:13">
      <c r="B614" t="s">
        <v>1233</v>
      </c>
      <c r="C614" s="4" t="s">
        <v>1234</v>
      </c>
      <c r="D614" s="4" t="s">
        <v>1234</v>
      </c>
      <c r="E614" s="4" t="s">
        <v>1234</v>
      </c>
      <c r="F614" s="4" t="s">
        <v>1234</v>
      </c>
      <c r="G614" s="5">
        <v>154.2393</v>
      </c>
      <c r="H614" s="9"/>
      <c r="I614" s="9">
        <f t="shared" si="45"/>
        <v>72.492471</v>
      </c>
      <c r="J614" s="9">
        <f t="shared" si="46"/>
        <v>77.11965</v>
      </c>
      <c r="K614" s="9">
        <f t="shared" si="47"/>
        <v>84.831615</v>
      </c>
      <c r="L614" s="9">
        <f t="shared" si="48"/>
        <v>107.96751</v>
      </c>
      <c r="M614" s="9">
        <f t="shared" si="49"/>
        <v>131.103405</v>
      </c>
    </row>
    <row r="615" ht="40.5" spans="2:13">
      <c r="B615" t="s">
        <v>1235</v>
      </c>
      <c r="C615" s="4" t="s">
        <v>1236</v>
      </c>
      <c r="D615" s="4" t="s">
        <v>1236</v>
      </c>
      <c r="E615" s="4" t="s">
        <v>1236</v>
      </c>
      <c r="F615" s="4" t="s">
        <v>1236</v>
      </c>
      <c r="G615" s="5">
        <v>220.25268</v>
      </c>
      <c r="H615" s="9"/>
      <c r="I615" s="9">
        <f t="shared" si="45"/>
        <v>103.5187596</v>
      </c>
      <c r="J615" s="9">
        <f t="shared" si="46"/>
        <v>110.12634</v>
      </c>
      <c r="K615" s="9">
        <f t="shared" si="47"/>
        <v>121.138974</v>
      </c>
      <c r="L615" s="9">
        <f t="shared" si="48"/>
        <v>154.176876</v>
      </c>
      <c r="M615" s="9">
        <f t="shared" si="49"/>
        <v>187.214778</v>
      </c>
    </row>
    <row r="616" ht="40.5" spans="2:13">
      <c r="B616" t="s">
        <v>1237</v>
      </c>
      <c r="C616" s="4" t="s">
        <v>1238</v>
      </c>
      <c r="D616" s="4" t="s">
        <v>1238</v>
      </c>
      <c r="E616" s="4" t="s">
        <v>1238</v>
      </c>
      <c r="F616" s="4" t="s">
        <v>1238</v>
      </c>
      <c r="G616" s="5">
        <v>220.25268</v>
      </c>
      <c r="H616" s="9"/>
      <c r="I616" s="9">
        <f t="shared" si="45"/>
        <v>103.5187596</v>
      </c>
      <c r="J616" s="9">
        <f t="shared" si="46"/>
        <v>110.12634</v>
      </c>
      <c r="K616" s="9">
        <f t="shared" si="47"/>
        <v>121.138974</v>
      </c>
      <c r="L616" s="9">
        <f t="shared" si="48"/>
        <v>154.176876</v>
      </c>
      <c r="M616" s="9">
        <f t="shared" si="49"/>
        <v>187.214778</v>
      </c>
    </row>
    <row r="617" spans="2:13">
      <c r="B617" t="s">
        <v>1239</v>
      </c>
      <c r="C617" s="4" t="s">
        <v>1240</v>
      </c>
      <c r="D617" s="4" t="s">
        <v>1240</v>
      </c>
      <c r="E617" s="4" t="s">
        <v>1240</v>
      </c>
      <c r="F617" s="4" t="s">
        <v>1240</v>
      </c>
      <c r="G617" s="5">
        <v>37.03824</v>
      </c>
      <c r="H617" s="9"/>
      <c r="I617" s="9">
        <f t="shared" si="45"/>
        <v>17.4079728</v>
      </c>
      <c r="J617" s="9">
        <f t="shared" si="46"/>
        <v>18.51912</v>
      </c>
      <c r="K617" s="9">
        <f t="shared" si="47"/>
        <v>20.371032</v>
      </c>
      <c r="L617" s="9">
        <f t="shared" si="48"/>
        <v>25.926768</v>
      </c>
      <c r="M617" s="9">
        <f t="shared" si="49"/>
        <v>31.482504</v>
      </c>
    </row>
    <row r="618" spans="2:13">
      <c r="B618" t="s">
        <v>1241</v>
      </c>
      <c r="C618" s="4" t="s">
        <v>1242</v>
      </c>
      <c r="D618" s="4" t="s">
        <v>1242</v>
      </c>
      <c r="E618" s="4" t="s">
        <v>1242</v>
      </c>
      <c r="F618" s="4" t="s">
        <v>1242</v>
      </c>
      <c r="G618" s="5">
        <v>37.03824</v>
      </c>
      <c r="H618" s="9"/>
      <c r="I618" s="9">
        <f t="shared" si="45"/>
        <v>17.4079728</v>
      </c>
      <c r="J618" s="9">
        <f t="shared" si="46"/>
        <v>18.51912</v>
      </c>
      <c r="K618" s="9">
        <f t="shared" si="47"/>
        <v>20.371032</v>
      </c>
      <c r="L618" s="9">
        <f t="shared" si="48"/>
        <v>25.926768</v>
      </c>
      <c r="M618" s="9">
        <f t="shared" si="49"/>
        <v>31.482504</v>
      </c>
    </row>
    <row r="619" ht="27" spans="2:13">
      <c r="B619" t="s">
        <v>1243</v>
      </c>
      <c r="C619" s="4" t="s">
        <v>1244</v>
      </c>
      <c r="D619" s="4" t="s">
        <v>1244</v>
      </c>
      <c r="E619" s="4" t="s">
        <v>1244</v>
      </c>
      <c r="F619" s="4" t="s">
        <v>1244</v>
      </c>
      <c r="G619" s="5">
        <v>1820.8938</v>
      </c>
      <c r="H619" s="9"/>
      <c r="I619" s="9">
        <f t="shared" si="45"/>
        <v>855.820086</v>
      </c>
      <c r="J619" s="9">
        <f t="shared" si="46"/>
        <v>910.4469</v>
      </c>
      <c r="K619" s="9">
        <f t="shared" si="47"/>
        <v>1001.49159</v>
      </c>
      <c r="L619" s="9">
        <f t="shared" si="48"/>
        <v>1274.62566</v>
      </c>
      <c r="M619" s="9">
        <f t="shared" si="49"/>
        <v>1547.75973</v>
      </c>
    </row>
    <row r="620" ht="27" spans="2:13">
      <c r="B620" t="s">
        <v>1245</v>
      </c>
      <c r="C620" s="4" t="s">
        <v>1246</v>
      </c>
      <c r="D620" s="4" t="s">
        <v>1246</v>
      </c>
      <c r="E620" s="4" t="s">
        <v>1246</v>
      </c>
      <c r="F620" s="4" t="s">
        <v>1246</v>
      </c>
      <c r="G620" s="5">
        <v>2567.697</v>
      </c>
      <c r="H620" s="9"/>
      <c r="I620" s="9">
        <f t="shared" si="45"/>
        <v>1206.81759</v>
      </c>
      <c r="J620" s="9">
        <f t="shared" si="46"/>
        <v>1283.8485</v>
      </c>
      <c r="K620" s="9">
        <f t="shared" si="47"/>
        <v>1412.23335</v>
      </c>
      <c r="L620" s="9">
        <f t="shared" si="48"/>
        <v>1797.3879</v>
      </c>
      <c r="M620" s="9">
        <f t="shared" si="49"/>
        <v>2182.54245</v>
      </c>
    </row>
    <row r="621" ht="27" spans="2:13">
      <c r="B621" t="s">
        <v>1247</v>
      </c>
      <c r="C621" s="4" t="s">
        <v>1248</v>
      </c>
      <c r="D621" s="4" t="s">
        <v>1248</v>
      </c>
      <c r="E621" s="4" t="s">
        <v>1248</v>
      </c>
      <c r="F621" s="4" t="s">
        <v>1248</v>
      </c>
      <c r="G621" s="5">
        <v>1906.5024</v>
      </c>
      <c r="H621" s="9"/>
      <c r="I621" s="9">
        <f t="shared" si="45"/>
        <v>896.056128</v>
      </c>
      <c r="J621" s="9">
        <f t="shared" si="46"/>
        <v>953.2512</v>
      </c>
      <c r="K621" s="9">
        <f t="shared" si="47"/>
        <v>1048.57632</v>
      </c>
      <c r="L621" s="9">
        <f t="shared" si="48"/>
        <v>1334.55168</v>
      </c>
      <c r="M621" s="9">
        <f t="shared" si="49"/>
        <v>1620.52704</v>
      </c>
    </row>
    <row r="622" ht="27" spans="2:13">
      <c r="B622" t="s">
        <v>1249</v>
      </c>
      <c r="C622" s="4" t="s">
        <v>1248</v>
      </c>
      <c r="D622" s="4" t="s">
        <v>1248</v>
      </c>
      <c r="E622" s="4" t="s">
        <v>1248</v>
      </c>
      <c r="F622" s="4" t="s">
        <v>1248</v>
      </c>
      <c r="G622" s="5">
        <v>2509.4652</v>
      </c>
      <c r="H622" s="9"/>
      <c r="I622" s="9">
        <f t="shared" si="45"/>
        <v>1179.448644</v>
      </c>
      <c r="J622" s="9">
        <f t="shared" si="46"/>
        <v>1254.7326</v>
      </c>
      <c r="K622" s="9">
        <f t="shared" si="47"/>
        <v>1380.20586</v>
      </c>
      <c r="L622" s="9">
        <f t="shared" si="48"/>
        <v>1756.62564</v>
      </c>
      <c r="M622" s="9">
        <f t="shared" si="49"/>
        <v>2133.04542</v>
      </c>
    </row>
    <row r="623" ht="27" spans="2:13">
      <c r="B623" t="s">
        <v>1250</v>
      </c>
      <c r="C623" s="4" t="s">
        <v>1248</v>
      </c>
      <c r="D623" s="4" t="s">
        <v>1248</v>
      </c>
      <c r="E623" s="4" t="s">
        <v>1248</v>
      </c>
      <c r="F623" s="4" t="s">
        <v>1248</v>
      </c>
      <c r="G623" s="5">
        <v>2036.0934</v>
      </c>
      <c r="H623" s="9"/>
      <c r="I623" s="9">
        <f t="shared" si="45"/>
        <v>956.963898</v>
      </c>
      <c r="J623" s="9">
        <f t="shared" si="46"/>
        <v>1018.0467</v>
      </c>
      <c r="K623" s="9">
        <f t="shared" si="47"/>
        <v>1119.85137</v>
      </c>
      <c r="L623" s="9">
        <f t="shared" si="48"/>
        <v>1425.26538</v>
      </c>
      <c r="M623" s="9">
        <f t="shared" si="49"/>
        <v>1730.67939</v>
      </c>
    </row>
    <row r="624" ht="27" spans="2:13">
      <c r="B624" t="s">
        <v>1251</v>
      </c>
      <c r="C624" s="4" t="s">
        <v>1248</v>
      </c>
      <c r="D624" s="4" t="s">
        <v>1248</v>
      </c>
      <c r="E624" s="4" t="s">
        <v>1248</v>
      </c>
      <c r="F624" s="4" t="s">
        <v>1248</v>
      </c>
      <c r="G624" s="5">
        <v>2639.0562</v>
      </c>
      <c r="H624" s="9"/>
      <c r="I624" s="9">
        <f t="shared" si="45"/>
        <v>1240.356414</v>
      </c>
      <c r="J624" s="9">
        <f t="shared" si="46"/>
        <v>1319.5281</v>
      </c>
      <c r="K624" s="9">
        <f t="shared" si="47"/>
        <v>1451.48091</v>
      </c>
      <c r="L624" s="9">
        <f t="shared" si="48"/>
        <v>1847.33934</v>
      </c>
      <c r="M624" s="9">
        <f t="shared" si="49"/>
        <v>2243.19777</v>
      </c>
    </row>
    <row r="625" ht="27" spans="2:13">
      <c r="B625" t="s">
        <v>1252</v>
      </c>
      <c r="C625" s="4" t="s">
        <v>1253</v>
      </c>
      <c r="D625" s="4" t="s">
        <v>1253</v>
      </c>
      <c r="E625" s="4" t="s">
        <v>1253</v>
      </c>
      <c r="F625" s="4" t="s">
        <v>1253</v>
      </c>
      <c r="G625" s="5">
        <v>2107.4526</v>
      </c>
      <c r="H625" s="9"/>
      <c r="I625" s="9">
        <f t="shared" si="45"/>
        <v>990.502722</v>
      </c>
      <c r="J625" s="9">
        <f t="shared" si="46"/>
        <v>1053.7263</v>
      </c>
      <c r="K625" s="9">
        <f t="shared" si="47"/>
        <v>1159.09893</v>
      </c>
      <c r="L625" s="9">
        <f t="shared" si="48"/>
        <v>1475.21682</v>
      </c>
      <c r="M625" s="9">
        <f t="shared" si="49"/>
        <v>1791.33471</v>
      </c>
    </row>
    <row r="626" ht="27" spans="2:13">
      <c r="B626" t="s">
        <v>1254</v>
      </c>
      <c r="C626" s="4" t="s">
        <v>1253</v>
      </c>
      <c r="D626" s="4" t="s">
        <v>1253</v>
      </c>
      <c r="E626" s="4" t="s">
        <v>1253</v>
      </c>
      <c r="F626" s="4" t="s">
        <v>1253</v>
      </c>
      <c r="G626" s="5">
        <v>2709.2934</v>
      </c>
      <c r="H626" s="9"/>
      <c r="I626" s="9">
        <f t="shared" si="45"/>
        <v>1273.367898</v>
      </c>
      <c r="J626" s="9">
        <f t="shared" si="46"/>
        <v>1354.6467</v>
      </c>
      <c r="K626" s="9">
        <f t="shared" si="47"/>
        <v>1490.11137</v>
      </c>
      <c r="L626" s="9">
        <f t="shared" si="48"/>
        <v>1896.50538</v>
      </c>
      <c r="M626" s="9">
        <f t="shared" si="49"/>
        <v>2302.89939</v>
      </c>
    </row>
    <row r="627" ht="27" spans="2:13">
      <c r="B627" t="s">
        <v>1255</v>
      </c>
      <c r="C627" s="4" t="s">
        <v>1256</v>
      </c>
      <c r="D627" s="4" t="s">
        <v>1256</v>
      </c>
      <c r="E627" s="4" t="s">
        <v>1256</v>
      </c>
      <c r="F627" s="4" t="s">
        <v>1256</v>
      </c>
      <c r="G627" s="5">
        <v>1678.1754</v>
      </c>
      <c r="H627" s="9"/>
      <c r="I627" s="9">
        <f t="shared" si="45"/>
        <v>788.742438</v>
      </c>
      <c r="J627" s="9">
        <f t="shared" si="46"/>
        <v>839.0877</v>
      </c>
      <c r="K627" s="9">
        <f t="shared" si="47"/>
        <v>922.99647</v>
      </c>
      <c r="L627" s="9">
        <f t="shared" si="48"/>
        <v>1174.72278</v>
      </c>
      <c r="M627" s="9">
        <f t="shared" si="49"/>
        <v>1426.44909</v>
      </c>
    </row>
    <row r="628" ht="27" spans="2:13">
      <c r="B628" t="s">
        <v>1257</v>
      </c>
      <c r="C628" s="4" t="s">
        <v>1258</v>
      </c>
      <c r="D628" s="4" t="s">
        <v>1258</v>
      </c>
      <c r="E628" s="4" t="s">
        <v>1258</v>
      </c>
      <c r="F628" s="4" t="s">
        <v>1258</v>
      </c>
      <c r="G628" s="5">
        <v>2408.373</v>
      </c>
      <c r="H628" s="9"/>
      <c r="I628" s="9">
        <f t="shared" si="45"/>
        <v>1131.93531</v>
      </c>
      <c r="J628" s="9">
        <f t="shared" si="46"/>
        <v>1204.1865</v>
      </c>
      <c r="K628" s="9">
        <f t="shared" si="47"/>
        <v>1324.60515</v>
      </c>
      <c r="L628" s="9">
        <f t="shared" si="48"/>
        <v>1685.8611</v>
      </c>
      <c r="M628" s="9">
        <f t="shared" si="49"/>
        <v>2047.11705</v>
      </c>
    </row>
    <row r="629" ht="40.5" spans="2:13">
      <c r="B629" t="s">
        <v>1259</v>
      </c>
      <c r="C629" s="4" t="s">
        <v>1260</v>
      </c>
      <c r="D629" s="4" t="s">
        <v>1260</v>
      </c>
      <c r="E629" s="4" t="s">
        <v>1260</v>
      </c>
      <c r="F629" s="4" t="s">
        <v>1260</v>
      </c>
      <c r="G629" s="5">
        <v>3313.4904</v>
      </c>
      <c r="H629" s="9"/>
      <c r="I629" s="9">
        <f t="shared" si="45"/>
        <v>1557.340488</v>
      </c>
      <c r="J629" s="9">
        <f t="shared" si="46"/>
        <v>1656.7452</v>
      </c>
      <c r="K629" s="9">
        <f t="shared" si="47"/>
        <v>1822.41972</v>
      </c>
      <c r="L629" s="9">
        <f t="shared" si="48"/>
        <v>2319.44328</v>
      </c>
      <c r="M629" s="9">
        <f t="shared" si="49"/>
        <v>2816.46684</v>
      </c>
    </row>
    <row r="630" ht="27" spans="2:13">
      <c r="B630" t="s">
        <v>1261</v>
      </c>
      <c r="C630" s="4" t="s">
        <v>1258</v>
      </c>
      <c r="D630" s="4" t="s">
        <v>1258</v>
      </c>
      <c r="E630" s="4" t="s">
        <v>1258</v>
      </c>
      <c r="F630" s="4" t="s">
        <v>1258</v>
      </c>
      <c r="G630" s="5">
        <v>2537.964</v>
      </c>
      <c r="H630" s="9"/>
      <c r="I630" s="9">
        <f t="shared" si="45"/>
        <v>1192.84308</v>
      </c>
      <c r="J630" s="9">
        <f t="shared" si="46"/>
        <v>1268.982</v>
      </c>
      <c r="K630" s="9">
        <f t="shared" si="47"/>
        <v>1395.8802</v>
      </c>
      <c r="L630" s="9">
        <f t="shared" si="48"/>
        <v>1776.5748</v>
      </c>
      <c r="M630" s="9">
        <f t="shared" si="49"/>
        <v>2157.2694</v>
      </c>
    </row>
    <row r="631" ht="27" spans="2:13">
      <c r="B631" t="s">
        <v>1262</v>
      </c>
      <c r="C631" s="4" t="s">
        <v>1263</v>
      </c>
      <c r="D631" s="4" t="s">
        <v>1263</v>
      </c>
      <c r="E631" s="4" t="s">
        <v>1263</v>
      </c>
      <c r="F631" s="4" t="s">
        <v>1263</v>
      </c>
      <c r="G631" s="5">
        <v>3441.8472</v>
      </c>
      <c r="H631" s="9"/>
      <c r="I631" s="9">
        <f t="shared" si="45"/>
        <v>1617.668184</v>
      </c>
      <c r="J631" s="9">
        <f t="shared" si="46"/>
        <v>1720.9236</v>
      </c>
      <c r="K631" s="9">
        <f t="shared" si="47"/>
        <v>1893.01596</v>
      </c>
      <c r="L631" s="9">
        <f t="shared" si="48"/>
        <v>2409.29304</v>
      </c>
      <c r="M631" s="9">
        <f t="shared" si="49"/>
        <v>2925.57012</v>
      </c>
    </row>
    <row r="632" ht="27" spans="2:13">
      <c r="B632" t="s">
        <v>1264</v>
      </c>
      <c r="C632" s="4" t="s">
        <v>1265</v>
      </c>
      <c r="D632" s="4" t="s">
        <v>1265</v>
      </c>
      <c r="E632" s="4" t="s">
        <v>1265</v>
      </c>
      <c r="F632" s="4" t="s">
        <v>1265</v>
      </c>
      <c r="G632" s="5">
        <v>2580.8244</v>
      </c>
      <c r="H632" s="9"/>
      <c r="I632" s="9">
        <f t="shared" si="45"/>
        <v>1212.987468</v>
      </c>
      <c r="J632" s="9">
        <f t="shared" si="46"/>
        <v>1290.4122</v>
      </c>
      <c r="K632" s="9">
        <f t="shared" si="47"/>
        <v>1419.45342</v>
      </c>
      <c r="L632" s="9">
        <f t="shared" si="48"/>
        <v>1806.57708</v>
      </c>
      <c r="M632" s="9">
        <f t="shared" si="49"/>
        <v>2193.70074</v>
      </c>
    </row>
    <row r="633" ht="27" spans="2:13">
      <c r="B633" t="s">
        <v>1266</v>
      </c>
      <c r="C633" s="4" t="s">
        <v>1267</v>
      </c>
      <c r="D633" s="4" t="s">
        <v>1267</v>
      </c>
      <c r="E633" s="4" t="s">
        <v>1267</v>
      </c>
      <c r="F633" s="4" t="s">
        <v>1267</v>
      </c>
      <c r="G633" s="5">
        <v>2907</v>
      </c>
      <c r="H633" s="9"/>
      <c r="I633" s="9">
        <f t="shared" si="45"/>
        <v>1366.29</v>
      </c>
      <c r="J633" s="9">
        <f t="shared" si="46"/>
        <v>1453.5</v>
      </c>
      <c r="K633" s="9">
        <f t="shared" si="47"/>
        <v>1598.85</v>
      </c>
      <c r="L633" s="9">
        <f t="shared" si="48"/>
        <v>2034.9</v>
      </c>
      <c r="M633" s="9">
        <f t="shared" si="49"/>
        <v>2470.95</v>
      </c>
    </row>
    <row r="634" ht="27" spans="2:13">
      <c r="B634" t="s">
        <v>1268</v>
      </c>
      <c r="C634" s="4" t="s">
        <v>1265</v>
      </c>
      <c r="D634" s="4" t="s">
        <v>1265</v>
      </c>
      <c r="E634" s="4" t="s">
        <v>1265</v>
      </c>
      <c r="F634" s="4" t="s">
        <v>1265</v>
      </c>
      <c r="G634" s="5">
        <v>3786.75</v>
      </c>
      <c r="H634" s="9"/>
      <c r="I634" s="9">
        <f t="shared" si="45"/>
        <v>1779.7725</v>
      </c>
      <c r="J634" s="9">
        <f t="shared" si="46"/>
        <v>1893.375</v>
      </c>
      <c r="K634" s="9">
        <f t="shared" si="47"/>
        <v>2082.7125</v>
      </c>
      <c r="L634" s="9">
        <f t="shared" si="48"/>
        <v>2650.725</v>
      </c>
      <c r="M634" s="9">
        <f t="shared" si="49"/>
        <v>3218.7375</v>
      </c>
    </row>
    <row r="635" ht="27" spans="2:13">
      <c r="B635" t="s">
        <v>1269</v>
      </c>
      <c r="C635" s="4" t="s">
        <v>1265</v>
      </c>
      <c r="D635" s="4" t="s">
        <v>1265</v>
      </c>
      <c r="E635" s="4" t="s">
        <v>1265</v>
      </c>
      <c r="F635" s="4" t="s">
        <v>1265</v>
      </c>
      <c r="G635" s="5">
        <v>2695.044</v>
      </c>
      <c r="H635" s="9"/>
      <c r="I635" s="9">
        <f t="shared" si="45"/>
        <v>1266.67068</v>
      </c>
      <c r="J635" s="9">
        <f t="shared" si="46"/>
        <v>1347.522</v>
      </c>
      <c r="K635" s="9">
        <f t="shared" si="47"/>
        <v>1482.2742</v>
      </c>
      <c r="L635" s="9">
        <f t="shared" si="48"/>
        <v>1886.5308</v>
      </c>
      <c r="M635" s="9">
        <f t="shared" si="49"/>
        <v>2290.7874</v>
      </c>
    </row>
    <row r="636" ht="27" spans="2:13">
      <c r="B636" t="s">
        <v>1270</v>
      </c>
      <c r="C636" s="4" t="s">
        <v>1265</v>
      </c>
      <c r="D636" s="4" t="s">
        <v>1265</v>
      </c>
      <c r="E636" s="4" t="s">
        <v>1265</v>
      </c>
      <c r="F636" s="4" t="s">
        <v>1265</v>
      </c>
      <c r="G636" s="5">
        <v>3900.9696</v>
      </c>
      <c r="H636" s="9"/>
      <c r="I636" s="9">
        <f t="shared" si="45"/>
        <v>1833.455712</v>
      </c>
      <c r="J636" s="9">
        <f t="shared" si="46"/>
        <v>1950.4848</v>
      </c>
      <c r="K636" s="9">
        <f t="shared" si="47"/>
        <v>2145.53328</v>
      </c>
      <c r="L636" s="9">
        <f t="shared" si="48"/>
        <v>2730.67872</v>
      </c>
      <c r="M636" s="9">
        <f t="shared" si="49"/>
        <v>3315.82416</v>
      </c>
    </row>
    <row r="637" ht="27" spans="2:13">
      <c r="B637" t="s">
        <v>1271</v>
      </c>
      <c r="C637" s="4" t="s">
        <v>1272</v>
      </c>
      <c r="D637" s="4" t="s">
        <v>1272</v>
      </c>
      <c r="E637" s="4" t="s">
        <v>1272</v>
      </c>
      <c r="F637" s="4" t="s">
        <v>1272</v>
      </c>
      <c r="G637" s="5">
        <v>2178.8118</v>
      </c>
      <c r="H637" s="9"/>
      <c r="I637" s="9">
        <f t="shared" si="45"/>
        <v>1024.041546</v>
      </c>
      <c r="J637" s="9">
        <f t="shared" si="46"/>
        <v>1089.4059</v>
      </c>
      <c r="K637" s="9">
        <f t="shared" si="47"/>
        <v>1198.34649</v>
      </c>
      <c r="L637" s="9">
        <f t="shared" si="48"/>
        <v>1525.16826</v>
      </c>
      <c r="M637" s="9">
        <f t="shared" si="49"/>
        <v>1851.99003</v>
      </c>
    </row>
    <row r="638" ht="27" spans="2:13">
      <c r="B638" t="s">
        <v>1273</v>
      </c>
      <c r="C638" s="4" t="s">
        <v>1274</v>
      </c>
      <c r="D638" s="4" t="s">
        <v>1274</v>
      </c>
      <c r="E638" s="4" t="s">
        <v>1274</v>
      </c>
      <c r="F638" s="4" t="s">
        <v>1274</v>
      </c>
      <c r="G638" s="5">
        <v>2881.7448</v>
      </c>
      <c r="H638" s="9"/>
      <c r="I638" s="9">
        <f t="shared" si="45"/>
        <v>1354.420056</v>
      </c>
      <c r="J638" s="9">
        <f t="shared" si="46"/>
        <v>1440.8724</v>
      </c>
      <c r="K638" s="9">
        <f t="shared" si="47"/>
        <v>1584.95964</v>
      </c>
      <c r="L638" s="9">
        <f t="shared" si="48"/>
        <v>2017.22136</v>
      </c>
      <c r="M638" s="9">
        <f t="shared" si="49"/>
        <v>2449.48308</v>
      </c>
    </row>
    <row r="639" ht="27" spans="2:13">
      <c r="B639" t="s">
        <v>1275</v>
      </c>
      <c r="C639" s="4" t="s">
        <v>1276</v>
      </c>
      <c r="D639" s="4" t="s">
        <v>1276</v>
      </c>
      <c r="E639" s="4" t="s">
        <v>1276</v>
      </c>
      <c r="F639" s="4" t="s">
        <v>1276</v>
      </c>
      <c r="G639" s="5">
        <v>4087.6704</v>
      </c>
      <c r="H639" s="9"/>
      <c r="I639" s="9">
        <f t="shared" si="45"/>
        <v>1921.205088</v>
      </c>
      <c r="J639" s="9">
        <f t="shared" si="46"/>
        <v>2043.8352</v>
      </c>
      <c r="K639" s="9">
        <f t="shared" si="47"/>
        <v>2248.21872</v>
      </c>
      <c r="L639" s="9">
        <f t="shared" si="48"/>
        <v>2861.36928</v>
      </c>
      <c r="M639" s="9">
        <f t="shared" si="49"/>
        <v>3474.51984</v>
      </c>
    </row>
    <row r="640" ht="27" spans="2:13">
      <c r="B640" t="s">
        <v>1277</v>
      </c>
      <c r="C640" s="4" t="s">
        <v>1278</v>
      </c>
      <c r="D640" s="4" t="s">
        <v>1278</v>
      </c>
      <c r="E640" s="4" t="s">
        <v>1278</v>
      </c>
      <c r="F640" s="4" t="s">
        <v>1278</v>
      </c>
      <c r="G640" s="5">
        <v>2997.0864</v>
      </c>
      <c r="H640" s="9"/>
      <c r="I640" s="9">
        <f t="shared" si="45"/>
        <v>1408.630608</v>
      </c>
      <c r="J640" s="9">
        <f t="shared" si="46"/>
        <v>1498.5432</v>
      </c>
      <c r="K640" s="9">
        <f t="shared" si="47"/>
        <v>1648.39752</v>
      </c>
      <c r="L640" s="9">
        <f t="shared" si="48"/>
        <v>2097.96048</v>
      </c>
      <c r="M640" s="9">
        <f t="shared" si="49"/>
        <v>2547.52344</v>
      </c>
    </row>
    <row r="641" ht="27" spans="2:13">
      <c r="B641" t="s">
        <v>1279</v>
      </c>
      <c r="C641" s="4" t="s">
        <v>1280</v>
      </c>
      <c r="D641" s="4" t="s">
        <v>1280</v>
      </c>
      <c r="E641" s="4" t="s">
        <v>1280</v>
      </c>
      <c r="F641" s="4" t="s">
        <v>1280</v>
      </c>
      <c r="G641" s="5">
        <v>4203.012</v>
      </c>
      <c r="H641" s="9"/>
      <c r="I641" s="9">
        <f t="shared" si="45"/>
        <v>1975.41564</v>
      </c>
      <c r="J641" s="9">
        <f t="shared" si="46"/>
        <v>2101.506</v>
      </c>
      <c r="K641" s="9">
        <f t="shared" si="47"/>
        <v>2311.6566</v>
      </c>
      <c r="L641" s="9">
        <f t="shared" si="48"/>
        <v>2942.1084</v>
      </c>
      <c r="M641" s="9">
        <f t="shared" si="49"/>
        <v>3572.5602</v>
      </c>
    </row>
    <row r="642" ht="27" spans="2:13">
      <c r="B642" t="s">
        <v>1281</v>
      </c>
      <c r="C642" s="4" t="s">
        <v>1282</v>
      </c>
      <c r="D642" s="4" t="s">
        <v>1282</v>
      </c>
      <c r="E642" s="4" t="s">
        <v>1282</v>
      </c>
      <c r="F642" s="4" t="s">
        <v>1282</v>
      </c>
      <c r="G642" s="5">
        <v>2997.0864</v>
      </c>
      <c r="H642" s="9"/>
      <c r="I642" s="9">
        <f t="shared" si="45"/>
        <v>1408.630608</v>
      </c>
      <c r="J642" s="9">
        <f t="shared" si="46"/>
        <v>1498.5432</v>
      </c>
      <c r="K642" s="9">
        <f t="shared" si="47"/>
        <v>1648.39752</v>
      </c>
      <c r="L642" s="9">
        <f t="shared" si="48"/>
        <v>2097.96048</v>
      </c>
      <c r="M642" s="9">
        <f t="shared" si="49"/>
        <v>2547.52344</v>
      </c>
    </row>
    <row r="643" ht="27" spans="2:13">
      <c r="B643" t="s">
        <v>1283</v>
      </c>
      <c r="C643" s="4" t="s">
        <v>1284</v>
      </c>
      <c r="D643" s="4" t="s">
        <v>1284</v>
      </c>
      <c r="E643" s="4" t="s">
        <v>1284</v>
      </c>
      <c r="F643" s="4" t="s">
        <v>1284</v>
      </c>
      <c r="G643" s="5">
        <v>4806.087</v>
      </c>
      <c r="H643" s="9"/>
      <c r="I643" s="9">
        <f t="shared" si="45"/>
        <v>2258.86089</v>
      </c>
      <c r="J643" s="9">
        <f t="shared" si="46"/>
        <v>2403.0435</v>
      </c>
      <c r="K643" s="9">
        <f t="shared" si="47"/>
        <v>2643.34785</v>
      </c>
      <c r="L643" s="9">
        <f t="shared" si="48"/>
        <v>3364.2609</v>
      </c>
      <c r="M643" s="9">
        <f t="shared" si="49"/>
        <v>4085.17395</v>
      </c>
    </row>
    <row r="644" ht="27" spans="2:13">
      <c r="B644" t="s">
        <v>1285</v>
      </c>
      <c r="C644" s="4" t="s">
        <v>1286</v>
      </c>
      <c r="D644" s="4" t="s">
        <v>1286</v>
      </c>
      <c r="E644" s="4" t="s">
        <v>1286</v>
      </c>
      <c r="F644" s="4" t="s">
        <v>1286</v>
      </c>
      <c r="G644" s="5">
        <v>3125.5554</v>
      </c>
      <c r="H644" s="9"/>
      <c r="I644" s="9">
        <f t="shared" ref="I644:I707" si="50">G644*0.47</f>
        <v>1469.011038</v>
      </c>
      <c r="J644" s="9">
        <f t="shared" ref="J644:J707" si="51">G644*0.5</f>
        <v>1562.7777</v>
      </c>
      <c r="K644" s="9">
        <f t="shared" ref="K644:K707" si="52">G644*0.55</f>
        <v>1719.05547</v>
      </c>
      <c r="L644" s="9">
        <f t="shared" ref="L644:L707" si="53">G644*0.7</f>
        <v>2187.88878</v>
      </c>
      <c r="M644" s="9">
        <f t="shared" ref="M644:M707" si="54">G644*0.85</f>
        <v>2656.72209</v>
      </c>
    </row>
    <row r="645" ht="27" spans="2:13">
      <c r="B645" t="s">
        <v>1287</v>
      </c>
      <c r="C645" s="4" t="s">
        <v>1288</v>
      </c>
      <c r="D645" s="4" t="s">
        <v>1288</v>
      </c>
      <c r="E645" s="4" t="s">
        <v>1288</v>
      </c>
      <c r="F645" s="4" t="s">
        <v>1288</v>
      </c>
      <c r="G645" s="5">
        <v>4935.678</v>
      </c>
      <c r="H645" s="9"/>
      <c r="I645" s="9">
        <f t="shared" si="50"/>
        <v>2319.76866</v>
      </c>
      <c r="J645" s="9">
        <f t="shared" si="51"/>
        <v>2467.839</v>
      </c>
      <c r="K645" s="9">
        <f t="shared" si="52"/>
        <v>2714.6229</v>
      </c>
      <c r="L645" s="9">
        <f t="shared" si="53"/>
        <v>3454.9746</v>
      </c>
      <c r="M645" s="9">
        <f t="shared" si="54"/>
        <v>4195.3263</v>
      </c>
    </row>
    <row r="646" spans="2:13">
      <c r="B646" t="s">
        <v>1289</v>
      </c>
      <c r="C646" s="4" t="s">
        <v>1290</v>
      </c>
      <c r="D646" s="4" t="s">
        <v>1290</v>
      </c>
      <c r="E646" s="4" t="s">
        <v>1290</v>
      </c>
      <c r="F646" s="4" t="s">
        <v>1290</v>
      </c>
      <c r="G646" s="5">
        <v>2680.6824</v>
      </c>
      <c r="H646" s="9"/>
      <c r="I646" s="9">
        <f t="shared" si="50"/>
        <v>1259.920728</v>
      </c>
      <c r="J646" s="9">
        <f t="shared" si="51"/>
        <v>1340.3412</v>
      </c>
      <c r="K646" s="9">
        <f t="shared" si="52"/>
        <v>1474.37532</v>
      </c>
      <c r="L646" s="9">
        <f t="shared" si="53"/>
        <v>1876.47768</v>
      </c>
      <c r="M646" s="9">
        <f t="shared" si="54"/>
        <v>2278.58004</v>
      </c>
    </row>
    <row r="647" ht="27" spans="2:13">
      <c r="B647" t="s">
        <v>1291</v>
      </c>
      <c r="C647" s="4" t="s">
        <v>1292</v>
      </c>
      <c r="D647" s="4" t="s">
        <v>1292</v>
      </c>
      <c r="E647" s="4" t="s">
        <v>1292</v>
      </c>
      <c r="F647" s="4" t="s">
        <v>1292</v>
      </c>
      <c r="G647" s="5">
        <v>3110.0718</v>
      </c>
      <c r="H647" s="9"/>
      <c r="I647" s="9">
        <f t="shared" si="50"/>
        <v>1461.733746</v>
      </c>
      <c r="J647" s="9">
        <f t="shared" si="51"/>
        <v>1555.0359</v>
      </c>
      <c r="K647" s="9">
        <f t="shared" si="52"/>
        <v>1710.53949</v>
      </c>
      <c r="L647" s="9">
        <f t="shared" si="53"/>
        <v>2177.05026</v>
      </c>
      <c r="M647" s="9">
        <f t="shared" si="54"/>
        <v>2643.56103</v>
      </c>
    </row>
    <row r="648" ht="27" spans="2:13">
      <c r="B648" t="s">
        <v>1293</v>
      </c>
      <c r="C648" s="4" t="s">
        <v>1294</v>
      </c>
      <c r="D648" s="4" t="s">
        <v>1294</v>
      </c>
      <c r="E648" s="4" t="s">
        <v>1294</v>
      </c>
      <c r="F648" s="4" t="s">
        <v>1294</v>
      </c>
      <c r="G648" s="5">
        <v>4015.1892</v>
      </c>
      <c r="H648" s="9"/>
      <c r="I648" s="9">
        <f t="shared" si="50"/>
        <v>1887.138924</v>
      </c>
      <c r="J648" s="9">
        <f t="shared" si="51"/>
        <v>2007.5946</v>
      </c>
      <c r="K648" s="9">
        <f t="shared" si="52"/>
        <v>2208.35406</v>
      </c>
      <c r="L648" s="9">
        <f t="shared" si="53"/>
        <v>2810.63244</v>
      </c>
      <c r="M648" s="9">
        <f t="shared" si="54"/>
        <v>3412.91082</v>
      </c>
    </row>
    <row r="649" spans="2:13">
      <c r="B649" t="s">
        <v>1295</v>
      </c>
      <c r="C649" s="4" t="s">
        <v>1296</v>
      </c>
      <c r="D649" s="4" t="s">
        <v>1296</v>
      </c>
      <c r="E649" s="4" t="s">
        <v>1296</v>
      </c>
      <c r="F649" s="4" t="s">
        <v>1296</v>
      </c>
      <c r="G649" s="5">
        <v>2830.5816</v>
      </c>
      <c r="H649" s="9"/>
      <c r="I649" s="9">
        <f t="shared" si="50"/>
        <v>1330.373352</v>
      </c>
      <c r="J649" s="9">
        <f t="shared" si="51"/>
        <v>1415.2908</v>
      </c>
      <c r="K649" s="9">
        <f t="shared" si="52"/>
        <v>1556.81988</v>
      </c>
      <c r="L649" s="9">
        <f t="shared" si="53"/>
        <v>1981.40712</v>
      </c>
      <c r="M649" s="9">
        <f t="shared" si="54"/>
        <v>2405.99436</v>
      </c>
    </row>
    <row r="650" ht="40.5" spans="2:13">
      <c r="B650" t="s">
        <v>1297</v>
      </c>
      <c r="C650" s="4" t="s">
        <v>1298</v>
      </c>
      <c r="D650" s="4" t="s">
        <v>1298</v>
      </c>
      <c r="E650" s="4" t="s">
        <v>1298</v>
      </c>
      <c r="F650" s="4" t="s">
        <v>1298</v>
      </c>
      <c r="G650" s="5">
        <v>5888.3682</v>
      </c>
      <c r="H650" s="9"/>
      <c r="I650" s="9">
        <f t="shared" si="50"/>
        <v>2767.533054</v>
      </c>
      <c r="J650" s="9">
        <f t="shared" si="51"/>
        <v>2944.1841</v>
      </c>
      <c r="K650" s="9">
        <f t="shared" si="52"/>
        <v>3238.60251</v>
      </c>
      <c r="L650" s="9">
        <f t="shared" si="53"/>
        <v>4121.85774</v>
      </c>
      <c r="M650" s="9">
        <f t="shared" si="54"/>
        <v>5005.11297</v>
      </c>
    </row>
    <row r="651" spans="2:13">
      <c r="B651" t="s">
        <v>1299</v>
      </c>
      <c r="C651" s="4" t="s">
        <v>1300</v>
      </c>
      <c r="D651" s="4" t="s">
        <v>1300</v>
      </c>
      <c r="E651" s="4" t="s">
        <v>1300</v>
      </c>
      <c r="F651" s="4" t="s">
        <v>1300</v>
      </c>
      <c r="G651" s="5">
        <v>3484.7076</v>
      </c>
      <c r="H651" s="9"/>
      <c r="I651" s="9">
        <f t="shared" si="50"/>
        <v>1637.812572</v>
      </c>
      <c r="J651" s="9">
        <f t="shared" si="51"/>
        <v>1742.3538</v>
      </c>
      <c r="K651" s="9">
        <f t="shared" si="52"/>
        <v>1916.58918</v>
      </c>
      <c r="L651" s="9">
        <f t="shared" si="53"/>
        <v>2439.29532</v>
      </c>
      <c r="M651" s="9">
        <f t="shared" si="54"/>
        <v>2962.00146</v>
      </c>
    </row>
    <row r="652" spans="2:13">
      <c r="B652" t="s">
        <v>1301</v>
      </c>
      <c r="C652" s="4" t="s">
        <v>1302</v>
      </c>
      <c r="D652" s="4" t="s">
        <v>1302</v>
      </c>
      <c r="E652" s="4" t="s">
        <v>1302</v>
      </c>
      <c r="F652" s="4" t="s">
        <v>1302</v>
      </c>
      <c r="G652" s="5">
        <v>203.29416</v>
      </c>
      <c r="H652" s="9"/>
      <c r="I652" s="9">
        <f t="shared" si="50"/>
        <v>95.5482552</v>
      </c>
      <c r="J652" s="9">
        <f t="shared" si="51"/>
        <v>101.64708</v>
      </c>
      <c r="K652" s="9">
        <f t="shared" si="52"/>
        <v>111.811788</v>
      </c>
      <c r="L652" s="9">
        <f t="shared" si="53"/>
        <v>142.305912</v>
      </c>
      <c r="M652" s="9">
        <f t="shared" si="54"/>
        <v>172.800036</v>
      </c>
    </row>
    <row r="653" ht="27" spans="2:13">
      <c r="B653" t="s">
        <v>1303</v>
      </c>
      <c r="C653" s="4" t="s">
        <v>1304</v>
      </c>
      <c r="D653" s="4" t="s">
        <v>1304</v>
      </c>
      <c r="E653" s="4" t="s">
        <v>1304</v>
      </c>
      <c r="F653" s="4" t="s">
        <v>1304</v>
      </c>
      <c r="G653" s="5">
        <v>180.2112</v>
      </c>
      <c r="H653" s="9"/>
      <c r="I653" s="9">
        <f t="shared" si="50"/>
        <v>84.699264</v>
      </c>
      <c r="J653" s="9">
        <f t="shared" si="51"/>
        <v>90.1056</v>
      </c>
      <c r="K653" s="9">
        <f t="shared" si="52"/>
        <v>99.11616</v>
      </c>
      <c r="L653" s="9">
        <f t="shared" si="53"/>
        <v>126.14784</v>
      </c>
      <c r="M653" s="9">
        <f t="shared" si="54"/>
        <v>153.17952</v>
      </c>
    </row>
    <row r="654" ht="27" spans="2:13">
      <c r="B654" t="s">
        <v>1305</v>
      </c>
      <c r="C654" s="4" t="s">
        <v>1306</v>
      </c>
      <c r="D654" s="4" t="s">
        <v>1306</v>
      </c>
      <c r="E654" s="4" t="s">
        <v>1306</v>
      </c>
      <c r="F654" s="4" t="s">
        <v>1306</v>
      </c>
      <c r="G654" s="5">
        <v>99.7776</v>
      </c>
      <c r="H654" s="9"/>
      <c r="I654" s="9">
        <f t="shared" si="50"/>
        <v>46.895472</v>
      </c>
      <c r="J654" s="9">
        <f t="shared" si="51"/>
        <v>49.8888</v>
      </c>
      <c r="K654" s="9">
        <f t="shared" si="52"/>
        <v>54.87768</v>
      </c>
      <c r="L654" s="9">
        <f t="shared" si="53"/>
        <v>69.84432</v>
      </c>
      <c r="M654" s="9">
        <f t="shared" si="54"/>
        <v>84.81096</v>
      </c>
    </row>
    <row r="655" ht="40.5" spans="2:13">
      <c r="B655" t="s">
        <v>1307</v>
      </c>
      <c r="C655" s="4" t="s">
        <v>1308</v>
      </c>
      <c r="D655" s="4" t="s">
        <v>1308</v>
      </c>
      <c r="E655" s="4" t="s">
        <v>1308</v>
      </c>
      <c r="F655" s="4" t="s">
        <v>1308</v>
      </c>
      <c r="G655" s="5">
        <v>101.20032</v>
      </c>
      <c r="H655" s="9"/>
      <c r="I655" s="9">
        <f t="shared" si="50"/>
        <v>47.5641504</v>
      </c>
      <c r="J655" s="9">
        <f t="shared" si="51"/>
        <v>50.60016</v>
      </c>
      <c r="K655" s="9">
        <f t="shared" si="52"/>
        <v>55.660176</v>
      </c>
      <c r="L655" s="9">
        <f t="shared" si="53"/>
        <v>70.840224</v>
      </c>
      <c r="M655" s="9">
        <f t="shared" si="54"/>
        <v>86.020272</v>
      </c>
    </row>
    <row r="656" ht="27" spans="2:13">
      <c r="B656" t="s">
        <v>1309</v>
      </c>
      <c r="C656" s="4" t="s">
        <v>1310</v>
      </c>
      <c r="D656" s="4" t="s">
        <v>1310</v>
      </c>
      <c r="E656" s="4" t="s">
        <v>1310</v>
      </c>
      <c r="F656" s="4" t="s">
        <v>1310</v>
      </c>
      <c r="G656" s="5">
        <v>179.9892</v>
      </c>
      <c r="H656" s="9"/>
      <c r="I656" s="9">
        <f t="shared" si="50"/>
        <v>84.594924</v>
      </c>
      <c r="J656" s="9">
        <f t="shared" si="51"/>
        <v>89.9946</v>
      </c>
      <c r="K656" s="9">
        <f t="shared" si="52"/>
        <v>98.99406</v>
      </c>
      <c r="L656" s="9">
        <f t="shared" si="53"/>
        <v>125.99244</v>
      </c>
      <c r="M656" s="9">
        <f t="shared" si="54"/>
        <v>152.99082</v>
      </c>
    </row>
    <row r="657" spans="2:13">
      <c r="B657" t="s">
        <v>1311</v>
      </c>
      <c r="C657" s="4" t="s">
        <v>1312</v>
      </c>
      <c r="D657" s="4" t="s">
        <v>1312</v>
      </c>
      <c r="E657" s="4" t="s">
        <v>1312</v>
      </c>
      <c r="F657" s="4" t="s">
        <v>1312</v>
      </c>
      <c r="G657" s="5">
        <v>172.16784</v>
      </c>
      <c r="H657" s="9"/>
      <c r="I657" s="9">
        <f t="shared" si="50"/>
        <v>80.9188848</v>
      </c>
      <c r="J657" s="9">
        <f t="shared" si="51"/>
        <v>86.08392</v>
      </c>
      <c r="K657" s="9">
        <f t="shared" si="52"/>
        <v>94.692312</v>
      </c>
      <c r="L657" s="9">
        <f t="shared" si="53"/>
        <v>120.517488</v>
      </c>
      <c r="M657" s="9">
        <f t="shared" si="54"/>
        <v>146.342664</v>
      </c>
    </row>
    <row r="658" spans="2:13">
      <c r="B658" t="s">
        <v>1313</v>
      </c>
      <c r="C658" s="4" t="s">
        <v>1314</v>
      </c>
      <c r="D658" s="4" t="s">
        <v>1314</v>
      </c>
      <c r="E658" s="4" t="s">
        <v>1314</v>
      </c>
      <c r="F658" s="4" t="s">
        <v>1314</v>
      </c>
      <c r="G658" s="5">
        <v>146.38428</v>
      </c>
      <c r="H658" s="9"/>
      <c r="I658" s="9">
        <f t="shared" si="50"/>
        <v>68.8006116</v>
      </c>
      <c r="J658" s="9">
        <f t="shared" si="51"/>
        <v>73.19214</v>
      </c>
      <c r="K658" s="9">
        <f t="shared" si="52"/>
        <v>80.511354</v>
      </c>
      <c r="L658" s="9">
        <f t="shared" si="53"/>
        <v>102.468996</v>
      </c>
      <c r="M658" s="9">
        <f t="shared" si="54"/>
        <v>124.426638</v>
      </c>
    </row>
    <row r="659" ht="40.5" spans="2:13">
      <c r="B659" t="s">
        <v>1315</v>
      </c>
      <c r="C659" s="4" t="s">
        <v>1316</v>
      </c>
      <c r="D659" s="4" t="s">
        <v>1316</v>
      </c>
      <c r="E659" s="4" t="s">
        <v>1316</v>
      </c>
      <c r="F659" s="4" t="s">
        <v>1316</v>
      </c>
      <c r="G659" s="5">
        <v>118.38528</v>
      </c>
      <c r="H659" s="9"/>
      <c r="I659" s="9">
        <f t="shared" si="50"/>
        <v>55.6410816</v>
      </c>
      <c r="J659" s="9">
        <f t="shared" si="51"/>
        <v>59.19264</v>
      </c>
      <c r="K659" s="9">
        <f t="shared" si="52"/>
        <v>65.111904</v>
      </c>
      <c r="L659" s="9">
        <f t="shared" si="53"/>
        <v>82.869696</v>
      </c>
      <c r="M659" s="9">
        <f t="shared" si="54"/>
        <v>100.627488</v>
      </c>
    </row>
    <row r="660" ht="40.5" spans="2:13">
      <c r="B660" t="s">
        <v>1317</v>
      </c>
      <c r="C660" s="4" t="s">
        <v>1318</v>
      </c>
      <c r="D660" s="4" t="s">
        <v>1318</v>
      </c>
      <c r="E660" s="4" t="s">
        <v>1318</v>
      </c>
      <c r="F660" s="4" t="s">
        <v>1318</v>
      </c>
      <c r="G660" s="5">
        <v>479.93652</v>
      </c>
      <c r="H660" s="9"/>
      <c r="I660" s="9">
        <f t="shared" si="50"/>
        <v>225.5701644</v>
      </c>
      <c r="J660" s="9">
        <f t="shared" si="51"/>
        <v>239.96826</v>
      </c>
      <c r="K660" s="9">
        <f t="shared" si="52"/>
        <v>263.965086</v>
      </c>
      <c r="L660" s="9">
        <f t="shared" si="53"/>
        <v>335.955564</v>
      </c>
      <c r="M660" s="9">
        <f t="shared" si="54"/>
        <v>407.946042</v>
      </c>
    </row>
    <row r="661" ht="40.5" spans="2:13">
      <c r="B661" t="s">
        <v>1319</v>
      </c>
      <c r="C661" s="4" t="s">
        <v>1320</v>
      </c>
      <c r="D661" s="4" t="s">
        <v>1320</v>
      </c>
      <c r="E661" s="4" t="s">
        <v>1320</v>
      </c>
      <c r="F661" s="4" t="s">
        <v>1320</v>
      </c>
      <c r="G661" s="5">
        <v>248.6556</v>
      </c>
      <c r="H661" s="9"/>
      <c r="I661" s="9">
        <f t="shared" si="50"/>
        <v>116.868132</v>
      </c>
      <c r="J661" s="9">
        <f t="shared" si="51"/>
        <v>124.3278</v>
      </c>
      <c r="K661" s="9">
        <f t="shared" si="52"/>
        <v>136.76058</v>
      </c>
      <c r="L661" s="9">
        <f t="shared" si="53"/>
        <v>174.05892</v>
      </c>
      <c r="M661" s="9">
        <f t="shared" si="54"/>
        <v>211.35726</v>
      </c>
    </row>
    <row r="662" ht="40.5" spans="2:13">
      <c r="B662" t="s">
        <v>1321</v>
      </c>
      <c r="C662" s="4" t="s">
        <v>1322</v>
      </c>
      <c r="D662" s="4" t="s">
        <v>1322</v>
      </c>
      <c r="E662" s="4" t="s">
        <v>1322</v>
      </c>
      <c r="F662" s="4" t="s">
        <v>1322</v>
      </c>
      <c r="G662" s="5">
        <v>645.15204</v>
      </c>
      <c r="H662" s="9"/>
      <c r="I662" s="9">
        <f t="shared" si="50"/>
        <v>303.2214588</v>
      </c>
      <c r="J662" s="9">
        <f t="shared" si="51"/>
        <v>322.57602</v>
      </c>
      <c r="K662" s="9">
        <f t="shared" si="52"/>
        <v>354.833622</v>
      </c>
      <c r="L662" s="9">
        <f t="shared" si="53"/>
        <v>451.606428</v>
      </c>
      <c r="M662" s="9">
        <f t="shared" si="54"/>
        <v>548.379234</v>
      </c>
    </row>
    <row r="663" ht="27" spans="2:13">
      <c r="B663" t="s">
        <v>1323</v>
      </c>
      <c r="C663" s="4" t="s">
        <v>1324</v>
      </c>
      <c r="D663" s="4" t="s">
        <v>1324</v>
      </c>
      <c r="E663" s="4" t="s">
        <v>1324</v>
      </c>
      <c r="F663" s="4" t="s">
        <v>1324</v>
      </c>
      <c r="G663" s="5">
        <v>505.6344</v>
      </c>
      <c r="H663" s="9"/>
      <c r="I663" s="9">
        <f t="shared" si="50"/>
        <v>237.648168</v>
      </c>
      <c r="J663" s="9">
        <f t="shared" si="51"/>
        <v>252.8172</v>
      </c>
      <c r="K663" s="9">
        <f t="shared" si="52"/>
        <v>278.09892</v>
      </c>
      <c r="L663" s="9">
        <f t="shared" si="53"/>
        <v>353.94408</v>
      </c>
      <c r="M663" s="9">
        <f t="shared" si="54"/>
        <v>429.78924</v>
      </c>
    </row>
    <row r="664" ht="27" spans="2:13">
      <c r="B664" t="s">
        <v>1325</v>
      </c>
      <c r="C664" s="4" t="s">
        <v>1326</v>
      </c>
      <c r="D664" s="4" t="s">
        <v>1326</v>
      </c>
      <c r="E664" s="4" t="s">
        <v>1326</v>
      </c>
      <c r="F664" s="4" t="s">
        <v>1326</v>
      </c>
      <c r="G664" s="5">
        <v>783.29472</v>
      </c>
      <c r="H664" s="9"/>
      <c r="I664" s="9">
        <f t="shared" si="50"/>
        <v>368.1485184</v>
      </c>
      <c r="J664" s="9">
        <f t="shared" si="51"/>
        <v>391.64736</v>
      </c>
      <c r="K664" s="9">
        <f t="shared" si="52"/>
        <v>430.812096</v>
      </c>
      <c r="L664" s="9">
        <f t="shared" si="53"/>
        <v>548.306304</v>
      </c>
      <c r="M664" s="9">
        <f t="shared" si="54"/>
        <v>665.800512</v>
      </c>
    </row>
    <row r="665" ht="27" spans="2:13">
      <c r="B665" t="s">
        <v>1327</v>
      </c>
      <c r="C665" s="4" t="s">
        <v>1328</v>
      </c>
      <c r="D665" s="4" t="s">
        <v>1328</v>
      </c>
      <c r="E665" s="4" t="s">
        <v>1328</v>
      </c>
      <c r="F665" s="4" t="s">
        <v>1328</v>
      </c>
      <c r="G665" s="5">
        <v>758.34756</v>
      </c>
      <c r="H665" s="9"/>
      <c r="I665" s="9">
        <f t="shared" si="50"/>
        <v>356.4233532</v>
      </c>
      <c r="J665" s="9">
        <f t="shared" si="51"/>
        <v>379.17378</v>
      </c>
      <c r="K665" s="9">
        <f t="shared" si="52"/>
        <v>417.091158</v>
      </c>
      <c r="L665" s="9">
        <f t="shared" si="53"/>
        <v>530.843292</v>
      </c>
      <c r="M665" s="9">
        <f t="shared" si="54"/>
        <v>644.595426</v>
      </c>
    </row>
    <row r="666" ht="27" spans="2:13">
      <c r="B666" t="s">
        <v>1329</v>
      </c>
      <c r="C666" s="4" t="s">
        <v>1328</v>
      </c>
      <c r="D666" s="4" t="s">
        <v>1328</v>
      </c>
      <c r="E666" s="4" t="s">
        <v>1328</v>
      </c>
      <c r="F666" s="4" t="s">
        <v>1328</v>
      </c>
      <c r="G666" s="5">
        <v>1041.06912</v>
      </c>
      <c r="H666" s="9"/>
      <c r="I666" s="9">
        <f t="shared" si="50"/>
        <v>489.3024864</v>
      </c>
      <c r="J666" s="9">
        <f t="shared" si="51"/>
        <v>520.53456</v>
      </c>
      <c r="K666" s="9">
        <f t="shared" si="52"/>
        <v>572.588016</v>
      </c>
      <c r="L666" s="9">
        <f t="shared" si="53"/>
        <v>728.748384</v>
      </c>
      <c r="M666" s="9">
        <f t="shared" si="54"/>
        <v>884.908752</v>
      </c>
    </row>
    <row r="667" ht="27" spans="2:13">
      <c r="B667" t="s">
        <v>1330</v>
      </c>
      <c r="C667" s="4" t="s">
        <v>1331</v>
      </c>
      <c r="D667" s="4" t="s">
        <v>1331</v>
      </c>
      <c r="E667" s="4" t="s">
        <v>1331</v>
      </c>
      <c r="F667" s="4" t="s">
        <v>1331</v>
      </c>
      <c r="G667" s="5">
        <v>1027.49904</v>
      </c>
      <c r="H667" s="9"/>
      <c r="I667" s="9">
        <f t="shared" si="50"/>
        <v>482.9245488</v>
      </c>
      <c r="J667" s="9">
        <f t="shared" si="51"/>
        <v>513.74952</v>
      </c>
      <c r="K667" s="9">
        <f t="shared" si="52"/>
        <v>565.124472</v>
      </c>
      <c r="L667" s="9">
        <f t="shared" si="53"/>
        <v>719.249328</v>
      </c>
      <c r="M667" s="9">
        <f t="shared" si="54"/>
        <v>873.374184</v>
      </c>
    </row>
    <row r="668" ht="27" spans="2:13">
      <c r="B668" t="s">
        <v>1332</v>
      </c>
      <c r="C668" s="4" t="s">
        <v>1333</v>
      </c>
      <c r="D668" s="4" t="s">
        <v>1333</v>
      </c>
      <c r="E668" s="4" t="s">
        <v>1333</v>
      </c>
      <c r="F668" s="4" t="s">
        <v>1333</v>
      </c>
      <c r="G668" s="5">
        <v>1585.46556</v>
      </c>
      <c r="H668" s="9"/>
      <c r="I668" s="9">
        <f t="shared" si="50"/>
        <v>745.1688132</v>
      </c>
      <c r="J668" s="9">
        <f t="shared" si="51"/>
        <v>792.73278</v>
      </c>
      <c r="K668" s="9">
        <f t="shared" si="52"/>
        <v>872.006058</v>
      </c>
      <c r="L668" s="9">
        <f t="shared" si="53"/>
        <v>1109.825892</v>
      </c>
      <c r="M668" s="9">
        <f t="shared" si="54"/>
        <v>1347.645726</v>
      </c>
    </row>
    <row r="669" ht="27" spans="2:13">
      <c r="B669" t="s">
        <v>1334</v>
      </c>
      <c r="C669" s="4" t="s">
        <v>1331</v>
      </c>
      <c r="D669" s="4" t="s">
        <v>1331</v>
      </c>
      <c r="E669" s="4" t="s">
        <v>1331</v>
      </c>
      <c r="F669" s="4" t="s">
        <v>1331</v>
      </c>
      <c r="G669" s="5">
        <v>1342.116</v>
      </c>
      <c r="H669" s="9"/>
      <c r="I669" s="9">
        <f t="shared" si="50"/>
        <v>630.79452</v>
      </c>
      <c r="J669" s="9">
        <f t="shared" si="51"/>
        <v>671.058</v>
      </c>
      <c r="K669" s="9">
        <f t="shared" si="52"/>
        <v>738.1638</v>
      </c>
      <c r="L669" s="9">
        <f t="shared" si="53"/>
        <v>939.4812</v>
      </c>
      <c r="M669" s="9">
        <f t="shared" si="54"/>
        <v>1140.7986</v>
      </c>
    </row>
    <row r="670" ht="27" spans="2:13">
      <c r="B670" t="s">
        <v>1335</v>
      </c>
      <c r="C670" s="4" t="s">
        <v>1336</v>
      </c>
      <c r="D670" s="4" t="s">
        <v>1336</v>
      </c>
      <c r="E670" s="4" t="s">
        <v>1336</v>
      </c>
      <c r="F670" s="4" t="s">
        <v>1336</v>
      </c>
      <c r="G670" s="5">
        <v>2016.91944</v>
      </c>
      <c r="H670" s="9"/>
      <c r="I670" s="9">
        <f t="shared" si="50"/>
        <v>947.9521368</v>
      </c>
      <c r="J670" s="9">
        <f t="shared" si="51"/>
        <v>1008.45972</v>
      </c>
      <c r="K670" s="9">
        <f t="shared" si="52"/>
        <v>1109.305692</v>
      </c>
      <c r="L670" s="9">
        <f t="shared" si="53"/>
        <v>1411.843608</v>
      </c>
      <c r="M670" s="9">
        <f t="shared" si="54"/>
        <v>1714.381524</v>
      </c>
    </row>
    <row r="671" ht="27" spans="2:13">
      <c r="B671" t="s">
        <v>1337</v>
      </c>
      <c r="C671" s="4" t="s">
        <v>1331</v>
      </c>
      <c r="D671" s="4" t="s">
        <v>1331</v>
      </c>
      <c r="E671" s="4" t="s">
        <v>1331</v>
      </c>
      <c r="F671" s="4" t="s">
        <v>1331</v>
      </c>
      <c r="G671" s="5">
        <v>1767.84768</v>
      </c>
      <c r="H671" s="9"/>
      <c r="I671" s="9">
        <f t="shared" si="50"/>
        <v>830.8884096</v>
      </c>
      <c r="J671" s="9">
        <f t="shared" si="51"/>
        <v>883.92384</v>
      </c>
      <c r="K671" s="9">
        <f t="shared" si="52"/>
        <v>972.316224</v>
      </c>
      <c r="L671" s="9">
        <f t="shared" si="53"/>
        <v>1237.493376</v>
      </c>
      <c r="M671" s="9">
        <f t="shared" si="54"/>
        <v>1502.670528</v>
      </c>
    </row>
    <row r="672" ht="27" spans="2:13">
      <c r="B672" t="s">
        <v>1338</v>
      </c>
      <c r="C672" s="4" t="s">
        <v>1339</v>
      </c>
      <c r="D672" s="4" t="s">
        <v>1339</v>
      </c>
      <c r="E672" s="4" t="s">
        <v>1339</v>
      </c>
      <c r="F672" s="4" t="s">
        <v>1339</v>
      </c>
      <c r="G672" s="5">
        <v>2438.28144</v>
      </c>
      <c r="H672" s="9"/>
      <c r="I672" s="9">
        <f t="shared" si="50"/>
        <v>1145.9922768</v>
      </c>
      <c r="J672" s="9">
        <f t="shared" si="51"/>
        <v>1219.14072</v>
      </c>
      <c r="K672" s="9">
        <f t="shared" si="52"/>
        <v>1341.054792</v>
      </c>
      <c r="L672" s="9">
        <f t="shared" si="53"/>
        <v>1706.797008</v>
      </c>
      <c r="M672" s="9">
        <f t="shared" si="54"/>
        <v>2072.539224</v>
      </c>
    </row>
    <row r="673" spans="2:13">
      <c r="B673" t="s">
        <v>1340</v>
      </c>
      <c r="C673" s="4" t="s">
        <v>1341</v>
      </c>
      <c r="D673" s="4" t="s">
        <v>1341</v>
      </c>
      <c r="E673" s="4" t="s">
        <v>1341</v>
      </c>
      <c r="F673" s="4" t="s">
        <v>1341</v>
      </c>
      <c r="G673" s="5">
        <v>198.09216</v>
      </c>
      <c r="H673" s="9"/>
      <c r="I673" s="9">
        <f t="shared" si="50"/>
        <v>93.1033152</v>
      </c>
      <c r="J673" s="9">
        <f t="shared" si="51"/>
        <v>99.04608</v>
      </c>
      <c r="K673" s="9">
        <f t="shared" si="52"/>
        <v>108.950688</v>
      </c>
      <c r="L673" s="9">
        <f t="shared" si="53"/>
        <v>138.664512</v>
      </c>
      <c r="M673" s="9">
        <f t="shared" si="54"/>
        <v>168.378336</v>
      </c>
    </row>
    <row r="674" ht="40.5" spans="2:13">
      <c r="B674" t="s">
        <v>1342</v>
      </c>
      <c r="C674" s="4" t="s">
        <v>1343</v>
      </c>
      <c r="D674" s="4" t="s">
        <v>1343</v>
      </c>
      <c r="E674" s="4" t="s">
        <v>1343</v>
      </c>
      <c r="F674" s="4" t="s">
        <v>1343</v>
      </c>
      <c r="G674" s="5">
        <v>170.1128</v>
      </c>
      <c r="H674" s="9"/>
      <c r="I674" s="9">
        <f t="shared" si="50"/>
        <v>79.953016</v>
      </c>
      <c r="J674" s="9">
        <f t="shared" si="51"/>
        <v>85.0564</v>
      </c>
      <c r="K674" s="9">
        <f t="shared" si="52"/>
        <v>93.56204</v>
      </c>
      <c r="L674" s="9">
        <f t="shared" si="53"/>
        <v>119.07896</v>
      </c>
      <c r="M674" s="9">
        <f t="shared" si="54"/>
        <v>144.59588</v>
      </c>
    </row>
    <row r="675" ht="27" spans="2:13">
      <c r="B675" t="s">
        <v>1344</v>
      </c>
      <c r="C675" s="4" t="s">
        <v>1345</v>
      </c>
      <c r="D675" s="4" t="s">
        <v>1345</v>
      </c>
      <c r="E675" s="4" t="s">
        <v>1345</v>
      </c>
      <c r="F675" s="4" t="s">
        <v>1345</v>
      </c>
      <c r="G675" s="5">
        <v>535.07772</v>
      </c>
      <c r="H675" s="9"/>
      <c r="I675" s="9">
        <f t="shared" si="50"/>
        <v>251.4865284</v>
      </c>
      <c r="J675" s="9">
        <f t="shared" si="51"/>
        <v>267.53886</v>
      </c>
      <c r="K675" s="9">
        <f t="shared" si="52"/>
        <v>294.292746</v>
      </c>
      <c r="L675" s="9">
        <f t="shared" si="53"/>
        <v>374.554404</v>
      </c>
      <c r="M675" s="9">
        <f t="shared" si="54"/>
        <v>454.816062</v>
      </c>
    </row>
    <row r="676" ht="40.5" spans="2:13">
      <c r="B676" t="s">
        <v>1346</v>
      </c>
      <c r="C676" s="4" t="s">
        <v>1347</v>
      </c>
      <c r="D676" s="4" t="s">
        <v>1347</v>
      </c>
      <c r="E676" s="4" t="s">
        <v>1347</v>
      </c>
      <c r="F676" s="4" t="s">
        <v>1347</v>
      </c>
      <c r="G676" s="5">
        <v>352.38348</v>
      </c>
      <c r="H676" s="9"/>
      <c r="I676" s="9">
        <f t="shared" si="50"/>
        <v>165.6202356</v>
      </c>
      <c r="J676" s="9">
        <f t="shared" si="51"/>
        <v>176.19174</v>
      </c>
      <c r="K676" s="9">
        <f t="shared" si="52"/>
        <v>193.810914</v>
      </c>
      <c r="L676" s="9">
        <f t="shared" si="53"/>
        <v>246.668436</v>
      </c>
      <c r="M676" s="9">
        <f t="shared" si="54"/>
        <v>299.525958</v>
      </c>
    </row>
    <row r="677" ht="40.5" spans="2:13">
      <c r="B677" t="s">
        <v>1348</v>
      </c>
      <c r="C677" s="4" t="s">
        <v>1349</v>
      </c>
      <c r="D677" s="4" t="s">
        <v>1349</v>
      </c>
      <c r="E677" s="4" t="s">
        <v>1349</v>
      </c>
      <c r="F677" s="4" t="s">
        <v>1349</v>
      </c>
      <c r="G677" s="5">
        <v>823.89276</v>
      </c>
      <c r="H677" s="9"/>
      <c r="I677" s="9">
        <f t="shared" si="50"/>
        <v>387.2295972</v>
      </c>
      <c r="J677" s="9">
        <f t="shared" si="51"/>
        <v>411.94638</v>
      </c>
      <c r="K677" s="9">
        <f t="shared" si="52"/>
        <v>453.141018</v>
      </c>
      <c r="L677" s="9">
        <f t="shared" si="53"/>
        <v>576.724932</v>
      </c>
      <c r="M677" s="9">
        <f t="shared" si="54"/>
        <v>700.308846</v>
      </c>
    </row>
    <row r="678" ht="27" spans="2:13">
      <c r="B678" t="s">
        <v>1350</v>
      </c>
      <c r="C678" s="4" t="s">
        <v>1351</v>
      </c>
      <c r="D678" s="4" t="s">
        <v>1351</v>
      </c>
      <c r="E678" s="4" t="s">
        <v>1351</v>
      </c>
      <c r="F678" s="4" t="s">
        <v>1351</v>
      </c>
      <c r="G678" s="5" t="s">
        <v>1169</v>
      </c>
      <c r="H678" s="9"/>
      <c r="I678" s="9" t="e">
        <f t="shared" si="50"/>
        <v>#VALUE!</v>
      </c>
      <c r="J678" s="9" t="e">
        <f t="shared" si="51"/>
        <v>#VALUE!</v>
      </c>
      <c r="K678" s="9" t="e">
        <f t="shared" si="52"/>
        <v>#VALUE!</v>
      </c>
      <c r="L678" s="9" t="e">
        <f t="shared" si="53"/>
        <v>#VALUE!</v>
      </c>
      <c r="M678" s="9" t="e">
        <f t="shared" si="54"/>
        <v>#VALUE!</v>
      </c>
    </row>
    <row r="679" ht="27" spans="2:13">
      <c r="B679" t="s">
        <v>1352</v>
      </c>
      <c r="C679" s="4" t="s">
        <v>1353</v>
      </c>
      <c r="D679" s="4" t="s">
        <v>1353</v>
      </c>
      <c r="E679" s="4" t="s">
        <v>1353</v>
      </c>
      <c r="F679" s="4" t="s">
        <v>1353</v>
      </c>
      <c r="G679" s="5">
        <v>884.8602</v>
      </c>
      <c r="H679" s="9"/>
      <c r="I679" s="9">
        <f t="shared" si="50"/>
        <v>415.884294</v>
      </c>
      <c r="J679" s="9">
        <f t="shared" si="51"/>
        <v>442.4301</v>
      </c>
      <c r="K679" s="9">
        <f t="shared" si="52"/>
        <v>486.67311</v>
      </c>
      <c r="L679" s="9">
        <f t="shared" si="53"/>
        <v>619.40214</v>
      </c>
      <c r="M679" s="9">
        <f t="shared" si="54"/>
        <v>752.13117</v>
      </c>
    </row>
    <row r="680" ht="27" spans="2:13">
      <c r="B680" t="s">
        <v>1354</v>
      </c>
      <c r="C680" s="4" t="s">
        <v>1355</v>
      </c>
      <c r="D680" s="4" t="s">
        <v>1355</v>
      </c>
      <c r="E680" s="4" t="s">
        <v>1355</v>
      </c>
      <c r="F680" s="4" t="s">
        <v>1355</v>
      </c>
      <c r="G680" s="5">
        <v>1270.8486</v>
      </c>
      <c r="H680" s="9"/>
      <c r="I680" s="9">
        <f t="shared" si="50"/>
        <v>597.298842</v>
      </c>
      <c r="J680" s="9">
        <f t="shared" si="51"/>
        <v>635.4243</v>
      </c>
      <c r="K680" s="9">
        <f t="shared" si="52"/>
        <v>698.96673</v>
      </c>
      <c r="L680" s="9">
        <f t="shared" si="53"/>
        <v>889.59402</v>
      </c>
      <c r="M680" s="9">
        <f t="shared" si="54"/>
        <v>1080.22131</v>
      </c>
    </row>
    <row r="681" ht="27" spans="2:13">
      <c r="B681" t="s">
        <v>1356</v>
      </c>
      <c r="C681" s="4" t="s">
        <v>1357</v>
      </c>
      <c r="D681" s="4" t="s">
        <v>1357</v>
      </c>
      <c r="E681" s="4" t="s">
        <v>1357</v>
      </c>
      <c r="F681" s="4" t="s">
        <v>1357</v>
      </c>
      <c r="G681" s="5">
        <v>979.43256</v>
      </c>
      <c r="H681" s="9"/>
      <c r="I681" s="9">
        <f t="shared" si="50"/>
        <v>460.3333032</v>
      </c>
      <c r="J681" s="9">
        <f t="shared" si="51"/>
        <v>489.71628</v>
      </c>
      <c r="K681" s="9">
        <f t="shared" si="52"/>
        <v>538.687908</v>
      </c>
      <c r="L681" s="9">
        <f t="shared" si="53"/>
        <v>685.602792</v>
      </c>
      <c r="M681" s="9">
        <f t="shared" si="54"/>
        <v>832.517676</v>
      </c>
    </row>
    <row r="682" ht="27" spans="2:13">
      <c r="B682" t="s">
        <v>1358</v>
      </c>
      <c r="C682" s="4" t="s">
        <v>1359</v>
      </c>
      <c r="D682" s="4" t="s">
        <v>1359</v>
      </c>
      <c r="E682" s="4" t="s">
        <v>1359</v>
      </c>
      <c r="F682" s="4" t="s">
        <v>1359</v>
      </c>
      <c r="G682" s="5">
        <v>1137.1572</v>
      </c>
      <c r="H682" s="9"/>
      <c r="I682" s="9">
        <f t="shared" si="50"/>
        <v>534.463884</v>
      </c>
      <c r="J682" s="9">
        <f t="shared" si="51"/>
        <v>568.5786</v>
      </c>
      <c r="K682" s="9">
        <f t="shared" si="52"/>
        <v>625.43646</v>
      </c>
      <c r="L682" s="9">
        <f t="shared" si="53"/>
        <v>796.01004</v>
      </c>
      <c r="M682" s="9">
        <f t="shared" si="54"/>
        <v>966.58362</v>
      </c>
    </row>
    <row r="683" ht="27" spans="2:13">
      <c r="B683" t="s">
        <v>1360</v>
      </c>
      <c r="C683" s="4" t="s">
        <v>1361</v>
      </c>
      <c r="D683" s="4" t="s">
        <v>1361</v>
      </c>
      <c r="E683" s="4" t="s">
        <v>1361</v>
      </c>
      <c r="F683" s="4" t="s">
        <v>1361</v>
      </c>
      <c r="G683" s="5">
        <v>1911.31884</v>
      </c>
      <c r="H683" s="9"/>
      <c r="I683" s="9">
        <f t="shared" si="50"/>
        <v>898.3198548</v>
      </c>
      <c r="J683" s="9">
        <f t="shared" si="51"/>
        <v>955.65942</v>
      </c>
      <c r="K683" s="9">
        <f t="shared" si="52"/>
        <v>1051.225362</v>
      </c>
      <c r="L683" s="9">
        <f t="shared" si="53"/>
        <v>1337.923188</v>
      </c>
      <c r="M683" s="9">
        <f t="shared" si="54"/>
        <v>1624.621014</v>
      </c>
    </row>
    <row r="684" ht="27" spans="2:13">
      <c r="B684" t="s">
        <v>1362</v>
      </c>
      <c r="C684" s="4" t="s">
        <v>1363</v>
      </c>
      <c r="D684" s="4" t="s">
        <v>1363</v>
      </c>
      <c r="E684" s="4" t="s">
        <v>1363</v>
      </c>
      <c r="F684" s="4" t="s">
        <v>1363</v>
      </c>
      <c r="G684" s="5">
        <v>305.56548</v>
      </c>
      <c r="H684" s="9"/>
      <c r="I684" s="9">
        <f t="shared" si="50"/>
        <v>143.6157756</v>
      </c>
      <c r="J684" s="9">
        <f t="shared" si="51"/>
        <v>152.78274</v>
      </c>
      <c r="K684" s="9">
        <f t="shared" si="52"/>
        <v>168.061014</v>
      </c>
      <c r="L684" s="9">
        <f t="shared" si="53"/>
        <v>213.895836</v>
      </c>
      <c r="M684" s="9">
        <f t="shared" si="54"/>
        <v>259.730658</v>
      </c>
    </row>
    <row r="685" ht="40.5" spans="2:13">
      <c r="B685" t="s">
        <v>1364</v>
      </c>
      <c r="C685" s="4" t="s">
        <v>1365</v>
      </c>
      <c r="D685" s="4" t="s">
        <v>1365</v>
      </c>
      <c r="E685" s="4" t="s">
        <v>1365</v>
      </c>
      <c r="F685" s="4" t="s">
        <v>1365</v>
      </c>
      <c r="G685" s="5">
        <v>322.37712</v>
      </c>
      <c r="H685" s="9"/>
      <c r="I685" s="9">
        <f t="shared" si="50"/>
        <v>151.5172464</v>
      </c>
      <c r="J685" s="9">
        <f t="shared" si="51"/>
        <v>161.18856</v>
      </c>
      <c r="K685" s="9">
        <f t="shared" si="52"/>
        <v>177.307416</v>
      </c>
      <c r="L685" s="9">
        <f t="shared" si="53"/>
        <v>225.663984</v>
      </c>
      <c r="M685" s="9">
        <f t="shared" si="54"/>
        <v>274.020552</v>
      </c>
    </row>
    <row r="686" ht="27" spans="2:13">
      <c r="B686" t="s">
        <v>1366</v>
      </c>
      <c r="C686" s="4" t="s">
        <v>1367</v>
      </c>
      <c r="D686" s="4" t="s">
        <v>1367</v>
      </c>
      <c r="E686" s="4" t="s">
        <v>1367</v>
      </c>
      <c r="F686" s="4" t="s">
        <v>1367</v>
      </c>
      <c r="G686" s="5">
        <v>466.72344</v>
      </c>
      <c r="H686" s="9"/>
      <c r="I686" s="9">
        <f t="shared" si="50"/>
        <v>219.3600168</v>
      </c>
      <c r="J686" s="9">
        <f t="shared" si="51"/>
        <v>233.36172</v>
      </c>
      <c r="K686" s="9">
        <f t="shared" si="52"/>
        <v>256.697892</v>
      </c>
      <c r="L686" s="9">
        <f t="shared" si="53"/>
        <v>326.706408</v>
      </c>
      <c r="M686" s="9">
        <f t="shared" si="54"/>
        <v>396.714924</v>
      </c>
    </row>
    <row r="687" ht="40.5" spans="2:13">
      <c r="B687" t="s">
        <v>1368</v>
      </c>
      <c r="C687" s="4" t="s">
        <v>1369</v>
      </c>
      <c r="D687" s="4" t="s">
        <v>1369</v>
      </c>
      <c r="E687" s="4" t="s">
        <v>1369</v>
      </c>
      <c r="F687" s="4" t="s">
        <v>1369</v>
      </c>
      <c r="G687" s="5" t="s">
        <v>1169</v>
      </c>
      <c r="H687" s="9"/>
      <c r="I687" s="9" t="e">
        <f t="shared" si="50"/>
        <v>#VALUE!</v>
      </c>
      <c r="J687" s="9" t="e">
        <f t="shared" si="51"/>
        <v>#VALUE!</v>
      </c>
      <c r="K687" s="9" t="e">
        <f t="shared" si="52"/>
        <v>#VALUE!</v>
      </c>
      <c r="L687" s="9" t="e">
        <f t="shared" si="53"/>
        <v>#VALUE!</v>
      </c>
      <c r="M687" s="9" t="e">
        <f t="shared" si="54"/>
        <v>#VALUE!</v>
      </c>
    </row>
    <row r="688" ht="27" spans="2:13">
      <c r="B688" t="s">
        <v>1370</v>
      </c>
      <c r="C688" s="4" t="s">
        <v>1371</v>
      </c>
      <c r="D688" s="4" t="s">
        <v>1371</v>
      </c>
      <c r="E688" s="4" t="s">
        <v>1371</v>
      </c>
      <c r="F688" s="4" t="s">
        <v>1371</v>
      </c>
      <c r="G688" s="5">
        <v>620.058</v>
      </c>
      <c r="H688" s="9"/>
      <c r="I688" s="9">
        <f t="shared" si="50"/>
        <v>291.42726</v>
      </c>
      <c r="J688" s="9">
        <f t="shared" si="51"/>
        <v>310.029</v>
      </c>
      <c r="K688" s="9">
        <f t="shared" si="52"/>
        <v>341.0319</v>
      </c>
      <c r="L688" s="9">
        <f t="shared" si="53"/>
        <v>434.0406</v>
      </c>
      <c r="M688" s="9">
        <f t="shared" si="54"/>
        <v>527.0493</v>
      </c>
    </row>
    <row r="689" ht="27" spans="2:13">
      <c r="B689" t="s">
        <v>1372</v>
      </c>
      <c r="C689" s="4" t="s">
        <v>1373</v>
      </c>
      <c r="D689" s="4" t="s">
        <v>1373</v>
      </c>
      <c r="E689" s="4" t="s">
        <v>1373</v>
      </c>
      <c r="F689" s="4" t="s">
        <v>1373</v>
      </c>
      <c r="G689" s="5">
        <v>641.682</v>
      </c>
      <c r="H689" s="9"/>
      <c r="I689" s="9">
        <f t="shared" si="50"/>
        <v>301.59054</v>
      </c>
      <c r="J689" s="9">
        <f t="shared" si="51"/>
        <v>320.841</v>
      </c>
      <c r="K689" s="9">
        <f t="shared" si="52"/>
        <v>352.9251</v>
      </c>
      <c r="L689" s="9">
        <f t="shared" si="53"/>
        <v>449.1774</v>
      </c>
      <c r="M689" s="9">
        <f t="shared" si="54"/>
        <v>545.4297</v>
      </c>
    </row>
    <row r="690" spans="2:13">
      <c r="B690" s="13" t="s">
        <v>1374</v>
      </c>
      <c r="C690" s="4" t="s">
        <v>1375</v>
      </c>
      <c r="D690" s="4" t="s">
        <v>1375</v>
      </c>
      <c r="E690" s="4" t="s">
        <v>1375</v>
      </c>
      <c r="F690" s="4" t="s">
        <v>1375</v>
      </c>
      <c r="G690" s="5">
        <v>268.4232</v>
      </c>
      <c r="H690" s="9"/>
      <c r="I690" s="9">
        <f t="shared" si="50"/>
        <v>126.158904</v>
      </c>
      <c r="J690" s="9">
        <f t="shared" si="51"/>
        <v>134.2116</v>
      </c>
      <c r="K690" s="9">
        <f t="shared" si="52"/>
        <v>147.63276</v>
      </c>
      <c r="L690" s="9">
        <f t="shared" si="53"/>
        <v>187.89624</v>
      </c>
      <c r="M690" s="9">
        <f t="shared" si="54"/>
        <v>228.15972</v>
      </c>
    </row>
    <row r="691" ht="27" spans="2:13">
      <c r="B691" t="s">
        <v>1376</v>
      </c>
      <c r="C691" s="4" t="s">
        <v>1377</v>
      </c>
      <c r="D691" s="4" t="s">
        <v>1377</v>
      </c>
      <c r="E691" s="4" t="s">
        <v>1377</v>
      </c>
      <c r="F691" s="4" t="s">
        <v>1377</v>
      </c>
      <c r="G691" s="5">
        <v>367.24896</v>
      </c>
      <c r="H691" s="9"/>
      <c r="I691" s="9">
        <f t="shared" si="50"/>
        <v>172.6070112</v>
      </c>
      <c r="J691" s="9">
        <f t="shared" si="51"/>
        <v>183.62448</v>
      </c>
      <c r="K691" s="9">
        <f t="shared" si="52"/>
        <v>201.986928</v>
      </c>
      <c r="L691" s="9">
        <f t="shared" si="53"/>
        <v>257.074272</v>
      </c>
      <c r="M691" s="9">
        <f t="shared" si="54"/>
        <v>312.161616</v>
      </c>
    </row>
    <row r="692" spans="2:13">
      <c r="B692" t="s">
        <v>1378</v>
      </c>
      <c r="C692" s="4" t="s">
        <v>1379</v>
      </c>
      <c r="D692" s="4" t="s">
        <v>1379</v>
      </c>
      <c r="E692" s="4" t="s">
        <v>1379</v>
      </c>
      <c r="F692" s="4" t="s">
        <v>1379</v>
      </c>
      <c r="G692" s="5">
        <v>520.92828</v>
      </c>
      <c r="H692" s="9"/>
      <c r="I692" s="9">
        <f t="shared" si="50"/>
        <v>244.8362916</v>
      </c>
      <c r="J692" s="9">
        <f t="shared" si="51"/>
        <v>260.46414</v>
      </c>
      <c r="K692" s="9">
        <f t="shared" si="52"/>
        <v>286.510554</v>
      </c>
      <c r="L692" s="9">
        <f t="shared" si="53"/>
        <v>364.649796</v>
      </c>
      <c r="M692" s="9">
        <f t="shared" si="54"/>
        <v>442.789038</v>
      </c>
    </row>
    <row r="693" ht="27" spans="2:13">
      <c r="B693" t="s">
        <v>1380</v>
      </c>
      <c r="C693" s="4" t="s">
        <v>1381</v>
      </c>
      <c r="D693" s="4" t="s">
        <v>1381</v>
      </c>
      <c r="E693" s="4" t="s">
        <v>1381</v>
      </c>
      <c r="F693" s="4" t="s">
        <v>1381</v>
      </c>
      <c r="G693" s="5">
        <v>863.532</v>
      </c>
      <c r="H693" s="9"/>
      <c r="I693" s="9">
        <f t="shared" si="50"/>
        <v>405.86004</v>
      </c>
      <c r="J693" s="9">
        <f t="shared" si="51"/>
        <v>431.766</v>
      </c>
      <c r="K693" s="9">
        <f t="shared" si="52"/>
        <v>474.9426</v>
      </c>
      <c r="L693" s="9">
        <f t="shared" si="53"/>
        <v>604.4724</v>
      </c>
      <c r="M693" s="9">
        <f t="shared" si="54"/>
        <v>734.0022</v>
      </c>
    </row>
    <row r="694" ht="27" spans="2:13">
      <c r="B694" t="s">
        <v>1382</v>
      </c>
      <c r="C694" s="4" t="s">
        <v>1383</v>
      </c>
      <c r="D694" s="4" t="s">
        <v>1383</v>
      </c>
      <c r="E694" s="4" t="s">
        <v>1383</v>
      </c>
      <c r="F694" s="4" t="s">
        <v>1383</v>
      </c>
      <c r="G694" s="5">
        <v>80.73504</v>
      </c>
      <c r="H694" s="9"/>
      <c r="I694" s="9">
        <f t="shared" si="50"/>
        <v>37.9454688</v>
      </c>
      <c r="J694" s="9">
        <f t="shared" si="51"/>
        <v>40.36752</v>
      </c>
      <c r="K694" s="9">
        <f t="shared" si="52"/>
        <v>44.404272</v>
      </c>
      <c r="L694" s="9">
        <f t="shared" si="53"/>
        <v>56.514528</v>
      </c>
      <c r="M694" s="9">
        <f t="shared" si="54"/>
        <v>68.624784</v>
      </c>
    </row>
    <row r="695" ht="40.5" spans="2:13">
      <c r="B695" t="s">
        <v>1384</v>
      </c>
      <c r="C695" s="4" t="s">
        <v>1385</v>
      </c>
      <c r="D695" s="4" t="s">
        <v>1385</v>
      </c>
      <c r="E695" s="4" t="s">
        <v>1385</v>
      </c>
      <c r="F695" s="4" t="s">
        <v>1385</v>
      </c>
      <c r="G695" s="5">
        <v>117.77328</v>
      </c>
      <c r="H695" s="9"/>
      <c r="I695" s="9">
        <f t="shared" si="50"/>
        <v>55.3534416</v>
      </c>
      <c r="J695" s="9">
        <f t="shared" si="51"/>
        <v>58.88664</v>
      </c>
      <c r="K695" s="9">
        <f t="shared" si="52"/>
        <v>64.775304</v>
      </c>
      <c r="L695" s="9">
        <f t="shared" si="53"/>
        <v>82.441296</v>
      </c>
      <c r="M695" s="9">
        <f t="shared" si="54"/>
        <v>100.107288</v>
      </c>
    </row>
    <row r="696" ht="27" spans="2:13">
      <c r="B696" t="s">
        <v>1386</v>
      </c>
      <c r="C696" s="4" t="s">
        <v>1387</v>
      </c>
      <c r="D696" s="4" t="s">
        <v>1387</v>
      </c>
      <c r="E696" s="4" t="s">
        <v>1387</v>
      </c>
      <c r="F696" s="4" t="s">
        <v>1387</v>
      </c>
      <c r="G696" s="5">
        <v>120.08256</v>
      </c>
      <c r="H696" s="9"/>
      <c r="I696" s="9">
        <f t="shared" si="50"/>
        <v>56.4388032</v>
      </c>
      <c r="J696" s="9">
        <f t="shared" si="51"/>
        <v>60.04128</v>
      </c>
      <c r="K696" s="9">
        <f t="shared" si="52"/>
        <v>66.045408</v>
      </c>
      <c r="L696" s="9">
        <f t="shared" si="53"/>
        <v>84.057792</v>
      </c>
      <c r="M696" s="9">
        <f t="shared" si="54"/>
        <v>102.070176</v>
      </c>
    </row>
    <row r="697" ht="27" spans="2:13">
      <c r="B697" t="s">
        <v>1388</v>
      </c>
      <c r="C697" s="4" t="s">
        <v>1389</v>
      </c>
      <c r="D697" s="4" t="s">
        <v>1389</v>
      </c>
      <c r="E697" s="4" t="s">
        <v>1389</v>
      </c>
      <c r="F697" s="4" t="s">
        <v>1389</v>
      </c>
      <c r="G697" s="5">
        <v>173.7468</v>
      </c>
      <c r="H697" s="9"/>
      <c r="I697" s="9">
        <f t="shared" si="50"/>
        <v>81.660996</v>
      </c>
      <c r="J697" s="9">
        <f t="shared" si="51"/>
        <v>86.8734</v>
      </c>
      <c r="K697" s="9">
        <f t="shared" si="52"/>
        <v>95.56074</v>
      </c>
      <c r="L697" s="9">
        <f t="shared" si="53"/>
        <v>121.62276</v>
      </c>
      <c r="M697" s="9">
        <f t="shared" si="54"/>
        <v>147.68478</v>
      </c>
    </row>
    <row r="698" ht="27" spans="2:13">
      <c r="B698" t="s">
        <v>1390</v>
      </c>
      <c r="C698" s="4" t="s">
        <v>1391</v>
      </c>
      <c r="D698" s="4" t="s">
        <v>1391</v>
      </c>
      <c r="E698" s="4" t="s">
        <v>1391</v>
      </c>
      <c r="F698" s="4" t="s">
        <v>1391</v>
      </c>
      <c r="G698" s="5">
        <v>192.36996</v>
      </c>
      <c r="H698" s="9"/>
      <c r="I698" s="9">
        <f t="shared" si="50"/>
        <v>90.4138812</v>
      </c>
      <c r="J698" s="9">
        <f t="shared" si="51"/>
        <v>96.18498</v>
      </c>
      <c r="K698" s="9">
        <f t="shared" si="52"/>
        <v>105.803478</v>
      </c>
      <c r="L698" s="9">
        <f t="shared" si="53"/>
        <v>134.658972</v>
      </c>
      <c r="M698" s="9">
        <f t="shared" si="54"/>
        <v>163.514466</v>
      </c>
    </row>
    <row r="699" ht="27" spans="2:13">
      <c r="B699" t="s">
        <v>1392</v>
      </c>
      <c r="C699" s="4" t="s">
        <v>1393</v>
      </c>
      <c r="D699" s="4" t="s">
        <v>1393</v>
      </c>
      <c r="E699" s="4" t="s">
        <v>1393</v>
      </c>
      <c r="F699" s="4" t="s">
        <v>1393</v>
      </c>
      <c r="G699" s="5">
        <v>253.12932</v>
      </c>
      <c r="H699" s="9"/>
      <c r="I699" s="9">
        <f t="shared" si="50"/>
        <v>118.9707804</v>
      </c>
      <c r="J699" s="9">
        <f t="shared" si="51"/>
        <v>126.56466</v>
      </c>
      <c r="K699" s="9">
        <f t="shared" si="52"/>
        <v>139.221126</v>
      </c>
      <c r="L699" s="9">
        <f t="shared" si="53"/>
        <v>177.190524</v>
      </c>
      <c r="M699" s="9">
        <f t="shared" si="54"/>
        <v>215.159922</v>
      </c>
    </row>
    <row r="700" ht="27" spans="2:13">
      <c r="B700" t="s">
        <v>1394</v>
      </c>
      <c r="C700" s="4" t="s">
        <v>1395</v>
      </c>
      <c r="D700" s="4" t="s">
        <v>1395</v>
      </c>
      <c r="E700" s="4" t="s">
        <v>1395</v>
      </c>
      <c r="F700" s="4" t="s">
        <v>1395</v>
      </c>
      <c r="G700" s="5">
        <v>5.51412</v>
      </c>
      <c r="H700" s="9"/>
      <c r="I700" s="9">
        <f t="shared" si="50"/>
        <v>2.5916364</v>
      </c>
      <c r="J700" s="9">
        <f t="shared" si="51"/>
        <v>2.75706</v>
      </c>
      <c r="K700" s="9">
        <f t="shared" si="52"/>
        <v>3.032766</v>
      </c>
      <c r="L700" s="9">
        <f t="shared" si="53"/>
        <v>3.859884</v>
      </c>
      <c r="M700" s="9">
        <f t="shared" si="54"/>
        <v>4.687002</v>
      </c>
    </row>
    <row r="701" ht="27" spans="2:13">
      <c r="B701" t="s">
        <v>1396</v>
      </c>
      <c r="C701" s="4" t="s">
        <v>1397</v>
      </c>
      <c r="D701" s="4" t="s">
        <v>1397</v>
      </c>
      <c r="E701" s="4" t="s">
        <v>1397</v>
      </c>
      <c r="F701" s="4" t="s">
        <v>1397</v>
      </c>
      <c r="G701" s="5">
        <v>106.1424</v>
      </c>
      <c r="H701" s="9"/>
      <c r="I701" s="9">
        <f t="shared" si="50"/>
        <v>49.886928</v>
      </c>
      <c r="J701" s="9">
        <f t="shared" si="51"/>
        <v>53.0712</v>
      </c>
      <c r="K701" s="9">
        <f t="shared" si="52"/>
        <v>58.37832</v>
      </c>
      <c r="L701" s="9">
        <f t="shared" si="53"/>
        <v>74.29968</v>
      </c>
      <c r="M701" s="9">
        <f t="shared" si="54"/>
        <v>90.22104</v>
      </c>
    </row>
    <row r="702" ht="27" spans="2:13">
      <c r="B702" t="s">
        <v>1398</v>
      </c>
      <c r="C702" s="4" t="s">
        <v>1399</v>
      </c>
      <c r="D702" s="4" t="s">
        <v>1399</v>
      </c>
      <c r="E702" s="4" t="s">
        <v>1399</v>
      </c>
      <c r="F702" s="4" t="s">
        <v>1399</v>
      </c>
      <c r="G702" s="5">
        <v>5.51412</v>
      </c>
      <c r="H702" s="9"/>
      <c r="I702" s="9">
        <f t="shared" si="50"/>
        <v>2.5916364</v>
      </c>
      <c r="J702" s="9">
        <f t="shared" si="51"/>
        <v>2.75706</v>
      </c>
      <c r="K702" s="9">
        <f t="shared" si="52"/>
        <v>3.032766</v>
      </c>
      <c r="L702" s="9">
        <f t="shared" si="53"/>
        <v>3.859884</v>
      </c>
      <c r="M702" s="9">
        <f t="shared" si="54"/>
        <v>4.687002</v>
      </c>
    </row>
    <row r="703" ht="27" spans="2:13">
      <c r="B703" t="s">
        <v>1400</v>
      </c>
      <c r="C703" s="4" t="s">
        <v>1401</v>
      </c>
      <c r="D703" s="4" t="s">
        <v>1401</v>
      </c>
      <c r="E703" s="4" t="s">
        <v>1401</v>
      </c>
      <c r="F703" s="4" t="s">
        <v>1401</v>
      </c>
      <c r="G703" s="5">
        <v>23.61708</v>
      </c>
      <c r="H703" s="9"/>
      <c r="I703" s="9">
        <f t="shared" si="50"/>
        <v>11.1000276</v>
      </c>
      <c r="J703" s="9">
        <f t="shared" si="51"/>
        <v>11.80854</v>
      </c>
      <c r="K703" s="9">
        <f t="shared" si="52"/>
        <v>12.989394</v>
      </c>
      <c r="L703" s="9">
        <f t="shared" si="53"/>
        <v>16.531956</v>
      </c>
      <c r="M703" s="9">
        <f t="shared" si="54"/>
        <v>20.074518</v>
      </c>
    </row>
    <row r="704" ht="27" spans="2:13">
      <c r="B704" t="s">
        <v>1402</v>
      </c>
      <c r="C704" s="4" t="s">
        <v>1403</v>
      </c>
      <c r="D704" s="4" t="s">
        <v>1403</v>
      </c>
      <c r="E704" s="4" t="s">
        <v>1403</v>
      </c>
      <c r="F704" s="4" t="s">
        <v>1403</v>
      </c>
      <c r="G704" s="5">
        <v>23.61708</v>
      </c>
      <c r="H704" s="9"/>
      <c r="I704" s="9">
        <f t="shared" si="50"/>
        <v>11.1000276</v>
      </c>
      <c r="J704" s="9">
        <f t="shared" si="51"/>
        <v>11.80854</v>
      </c>
      <c r="K704" s="9">
        <f t="shared" si="52"/>
        <v>12.989394</v>
      </c>
      <c r="L704" s="9">
        <f t="shared" si="53"/>
        <v>16.531956</v>
      </c>
      <c r="M704" s="9">
        <f t="shared" si="54"/>
        <v>20.074518</v>
      </c>
    </row>
    <row r="705" ht="27" spans="2:13">
      <c r="B705" t="s">
        <v>1404</v>
      </c>
      <c r="C705" s="4" t="s">
        <v>1405</v>
      </c>
      <c r="D705" s="4" t="s">
        <v>1405</v>
      </c>
      <c r="E705" s="4" t="s">
        <v>1405</v>
      </c>
      <c r="F705" s="4" t="s">
        <v>1405</v>
      </c>
      <c r="G705" s="5">
        <v>74.7558</v>
      </c>
      <c r="H705" s="9"/>
      <c r="I705" s="9">
        <f t="shared" si="50"/>
        <v>35.135226</v>
      </c>
      <c r="J705" s="9">
        <f t="shared" si="51"/>
        <v>37.3779</v>
      </c>
      <c r="K705" s="9">
        <f t="shared" si="52"/>
        <v>41.11569</v>
      </c>
      <c r="L705" s="9">
        <f t="shared" si="53"/>
        <v>52.32906</v>
      </c>
      <c r="M705" s="9">
        <f t="shared" si="54"/>
        <v>63.54243</v>
      </c>
    </row>
    <row r="706" ht="27" spans="2:13">
      <c r="B706" t="s">
        <v>1406</v>
      </c>
      <c r="C706" s="4" t="s">
        <v>1407</v>
      </c>
      <c r="D706" s="4" t="s">
        <v>1407</v>
      </c>
      <c r="E706" s="4" t="s">
        <v>1407</v>
      </c>
      <c r="F706" s="4" t="s">
        <v>1407</v>
      </c>
      <c r="G706" s="5">
        <v>260.253</v>
      </c>
      <c r="H706" s="9"/>
      <c r="I706" s="9">
        <f t="shared" si="50"/>
        <v>122.31891</v>
      </c>
      <c r="J706" s="9">
        <f t="shared" si="51"/>
        <v>130.1265</v>
      </c>
      <c r="K706" s="9">
        <f t="shared" si="52"/>
        <v>143.13915</v>
      </c>
      <c r="L706" s="9">
        <f t="shared" si="53"/>
        <v>182.1771</v>
      </c>
      <c r="M706" s="9">
        <f t="shared" si="54"/>
        <v>221.21505</v>
      </c>
    </row>
    <row r="707" ht="40.5" spans="2:13">
      <c r="B707" t="s">
        <v>1408</v>
      </c>
      <c r="C707" s="4" t="s">
        <v>1409</v>
      </c>
      <c r="D707" s="4" t="s">
        <v>1409</v>
      </c>
      <c r="E707" s="4" t="s">
        <v>1409</v>
      </c>
      <c r="F707" s="4" t="s">
        <v>1409</v>
      </c>
      <c r="G707" s="5">
        <v>314.8689</v>
      </c>
      <c r="H707" s="9"/>
      <c r="I707" s="9">
        <f t="shared" si="50"/>
        <v>147.988383</v>
      </c>
      <c r="J707" s="9">
        <f t="shared" si="51"/>
        <v>157.43445</v>
      </c>
      <c r="K707" s="9">
        <f t="shared" si="52"/>
        <v>173.177895</v>
      </c>
      <c r="L707" s="9">
        <f t="shared" si="53"/>
        <v>220.40823</v>
      </c>
      <c r="M707" s="9">
        <f t="shared" si="54"/>
        <v>267.638565</v>
      </c>
    </row>
    <row r="708" ht="27" spans="2:13">
      <c r="B708" t="s">
        <v>1410</v>
      </c>
      <c r="C708" s="4" t="s">
        <v>1411</v>
      </c>
      <c r="D708" s="4" t="s">
        <v>1411</v>
      </c>
      <c r="E708" s="4" t="s">
        <v>1411</v>
      </c>
      <c r="F708" s="4" t="s">
        <v>1411</v>
      </c>
      <c r="G708" s="5">
        <v>357.714</v>
      </c>
      <c r="H708" s="9"/>
      <c r="I708" s="9">
        <f t="shared" ref="I708:I771" si="55">G708*0.47</f>
        <v>168.12558</v>
      </c>
      <c r="J708" s="9">
        <f t="shared" ref="J708:J771" si="56">G708*0.5</f>
        <v>178.857</v>
      </c>
      <c r="K708" s="9">
        <f t="shared" ref="K708:K771" si="57">G708*0.55</f>
        <v>196.7427</v>
      </c>
      <c r="L708" s="9">
        <f t="shared" ref="L708:L771" si="58">G708*0.7</f>
        <v>250.3998</v>
      </c>
      <c r="M708" s="9">
        <f t="shared" ref="M708:M771" si="59">G708*0.85</f>
        <v>304.0569</v>
      </c>
    </row>
    <row r="709" spans="2:13">
      <c r="B709" t="s">
        <v>1412</v>
      </c>
      <c r="C709" s="4" t="s">
        <v>1413</v>
      </c>
      <c r="D709" s="4" t="s">
        <v>1413</v>
      </c>
      <c r="E709" s="4" t="s">
        <v>1413</v>
      </c>
      <c r="F709" s="4" t="s">
        <v>1413</v>
      </c>
      <c r="G709" s="5">
        <v>117.77328</v>
      </c>
      <c r="H709" s="9"/>
      <c r="I709" s="9">
        <f t="shared" si="55"/>
        <v>55.3534416</v>
      </c>
      <c r="J709" s="9">
        <f t="shared" si="56"/>
        <v>58.88664</v>
      </c>
      <c r="K709" s="9">
        <f t="shared" si="57"/>
        <v>64.775304</v>
      </c>
      <c r="L709" s="9">
        <f t="shared" si="58"/>
        <v>82.441296</v>
      </c>
      <c r="M709" s="9">
        <f t="shared" si="59"/>
        <v>100.107288</v>
      </c>
    </row>
    <row r="710" ht="27" spans="2:13">
      <c r="B710" t="s">
        <v>1414</v>
      </c>
      <c r="C710" s="4" t="s">
        <v>1415</v>
      </c>
      <c r="D710" s="4" t="s">
        <v>1415</v>
      </c>
      <c r="E710" s="4" t="s">
        <v>1415</v>
      </c>
      <c r="F710" s="4" t="s">
        <v>1415</v>
      </c>
      <c r="G710" s="5">
        <v>6.86664</v>
      </c>
      <c r="H710" s="9"/>
      <c r="I710" s="9">
        <f t="shared" si="55"/>
        <v>3.2273208</v>
      </c>
      <c r="J710" s="9">
        <f t="shared" si="56"/>
        <v>3.43332</v>
      </c>
      <c r="K710" s="9">
        <f t="shared" si="57"/>
        <v>3.776652</v>
      </c>
      <c r="L710" s="9">
        <f t="shared" si="58"/>
        <v>4.806648</v>
      </c>
      <c r="M710" s="9">
        <f t="shared" si="59"/>
        <v>5.836644</v>
      </c>
    </row>
    <row r="711" ht="27" spans="2:13">
      <c r="B711" t="s">
        <v>1416</v>
      </c>
      <c r="C711" s="4" t="s">
        <v>1417</v>
      </c>
      <c r="D711" s="4" t="s">
        <v>1417</v>
      </c>
      <c r="E711" s="4" t="s">
        <v>1417</v>
      </c>
      <c r="F711" s="4" t="s">
        <v>1417</v>
      </c>
      <c r="G711" s="5">
        <v>30.1716</v>
      </c>
      <c r="H711" s="9"/>
      <c r="I711" s="9">
        <f t="shared" si="55"/>
        <v>14.180652</v>
      </c>
      <c r="J711" s="9">
        <f t="shared" si="56"/>
        <v>15.0858</v>
      </c>
      <c r="K711" s="9">
        <f t="shared" si="57"/>
        <v>16.59438</v>
      </c>
      <c r="L711" s="9">
        <f t="shared" si="58"/>
        <v>21.12012</v>
      </c>
      <c r="M711" s="9">
        <f t="shared" si="59"/>
        <v>25.64586</v>
      </c>
    </row>
    <row r="712" ht="27" spans="2:13">
      <c r="B712" t="s">
        <v>1418</v>
      </c>
      <c r="C712" s="4" t="s">
        <v>1419</v>
      </c>
      <c r="D712" s="4" t="s">
        <v>1419</v>
      </c>
      <c r="E712" s="4" t="s">
        <v>1419</v>
      </c>
      <c r="F712" s="4" t="s">
        <v>1419</v>
      </c>
      <c r="G712" s="5">
        <v>30.1716</v>
      </c>
      <c r="H712" s="9"/>
      <c r="I712" s="9">
        <f t="shared" si="55"/>
        <v>14.180652</v>
      </c>
      <c r="J712" s="9">
        <f t="shared" si="56"/>
        <v>15.0858</v>
      </c>
      <c r="K712" s="9">
        <f t="shared" si="57"/>
        <v>16.59438</v>
      </c>
      <c r="L712" s="9">
        <f t="shared" si="58"/>
        <v>21.12012</v>
      </c>
      <c r="M712" s="9">
        <f t="shared" si="59"/>
        <v>25.64586</v>
      </c>
    </row>
    <row r="713" ht="27" spans="2:13">
      <c r="B713" t="s">
        <v>1420</v>
      </c>
      <c r="C713" s="4" t="s">
        <v>1421</v>
      </c>
      <c r="D713" s="4" t="s">
        <v>1421</v>
      </c>
      <c r="E713" s="4" t="s">
        <v>1421</v>
      </c>
      <c r="F713" s="4" t="s">
        <v>1421</v>
      </c>
      <c r="G713" s="5">
        <v>91.9989</v>
      </c>
      <c r="H713" s="9"/>
      <c r="I713" s="9">
        <f t="shared" si="55"/>
        <v>43.239483</v>
      </c>
      <c r="J713" s="9">
        <f t="shared" si="56"/>
        <v>45.99945</v>
      </c>
      <c r="K713" s="9">
        <f t="shared" si="57"/>
        <v>50.599395</v>
      </c>
      <c r="L713" s="9">
        <f t="shared" si="58"/>
        <v>64.39923</v>
      </c>
      <c r="M713" s="9">
        <f t="shared" si="59"/>
        <v>78.199065</v>
      </c>
    </row>
    <row r="714" ht="27" spans="2:13">
      <c r="B714" t="s">
        <v>1422</v>
      </c>
      <c r="C714" s="4" t="s">
        <v>1423</v>
      </c>
      <c r="D714" s="4" t="s">
        <v>1423</v>
      </c>
      <c r="E714" s="4" t="s">
        <v>1423</v>
      </c>
      <c r="F714" s="4" t="s">
        <v>1423</v>
      </c>
      <c r="G714" s="5">
        <v>292.7043</v>
      </c>
      <c r="H714" s="9"/>
      <c r="I714" s="9">
        <f t="shared" si="55"/>
        <v>137.571021</v>
      </c>
      <c r="J714" s="9">
        <f t="shared" si="56"/>
        <v>146.35215</v>
      </c>
      <c r="K714" s="9">
        <f t="shared" si="57"/>
        <v>160.987365</v>
      </c>
      <c r="L714" s="9">
        <f t="shared" si="58"/>
        <v>204.89301</v>
      </c>
      <c r="M714" s="9">
        <f t="shared" si="59"/>
        <v>248.798655</v>
      </c>
    </row>
    <row r="715" ht="27" spans="2:13">
      <c r="B715" t="s">
        <v>1424</v>
      </c>
      <c r="C715" s="4" t="s">
        <v>1425</v>
      </c>
      <c r="D715" s="4" t="s">
        <v>1425</v>
      </c>
      <c r="E715" s="4" t="s">
        <v>1425</v>
      </c>
      <c r="F715" s="4" t="s">
        <v>1425</v>
      </c>
      <c r="G715" s="5">
        <v>341.649</v>
      </c>
      <c r="H715" s="9"/>
      <c r="I715" s="9">
        <f t="shared" si="55"/>
        <v>160.57503</v>
      </c>
      <c r="J715" s="9">
        <f t="shared" si="56"/>
        <v>170.8245</v>
      </c>
      <c r="K715" s="9">
        <f t="shared" si="57"/>
        <v>187.90695</v>
      </c>
      <c r="L715" s="9">
        <f t="shared" si="58"/>
        <v>239.1543</v>
      </c>
      <c r="M715" s="9">
        <f t="shared" si="59"/>
        <v>290.40165</v>
      </c>
    </row>
    <row r="716" ht="27" spans="2:13">
      <c r="B716" t="s">
        <v>1426</v>
      </c>
      <c r="C716" s="4" t="s">
        <v>1427</v>
      </c>
      <c r="D716" s="4" t="s">
        <v>1427</v>
      </c>
      <c r="E716" s="4" t="s">
        <v>1427</v>
      </c>
      <c r="F716" s="4" t="s">
        <v>1427</v>
      </c>
      <c r="G716" s="5">
        <v>390.2724</v>
      </c>
      <c r="H716" s="9"/>
      <c r="I716" s="9">
        <f t="shared" si="55"/>
        <v>183.428028</v>
      </c>
      <c r="J716" s="9">
        <f t="shared" si="56"/>
        <v>195.1362</v>
      </c>
      <c r="K716" s="9">
        <f t="shared" si="57"/>
        <v>214.64982</v>
      </c>
      <c r="L716" s="9">
        <f t="shared" si="58"/>
        <v>273.19068</v>
      </c>
      <c r="M716" s="9">
        <f t="shared" si="59"/>
        <v>331.73154</v>
      </c>
    </row>
    <row r="717" ht="40.5" spans="2:13">
      <c r="B717" t="s">
        <v>1428</v>
      </c>
      <c r="C717" s="4" t="s">
        <v>1429</v>
      </c>
      <c r="D717" s="4" t="s">
        <v>1429</v>
      </c>
      <c r="E717" s="4" t="s">
        <v>1429</v>
      </c>
      <c r="F717" s="4" t="s">
        <v>1429</v>
      </c>
      <c r="G717" s="5">
        <v>65.85732</v>
      </c>
      <c r="H717" s="9"/>
      <c r="I717" s="9">
        <f t="shared" si="55"/>
        <v>30.9529404</v>
      </c>
      <c r="J717" s="9">
        <f t="shared" si="56"/>
        <v>32.92866</v>
      </c>
      <c r="K717" s="9">
        <f t="shared" si="57"/>
        <v>36.221526</v>
      </c>
      <c r="L717" s="9">
        <f t="shared" si="58"/>
        <v>46.100124</v>
      </c>
      <c r="M717" s="9">
        <f t="shared" si="59"/>
        <v>55.978722</v>
      </c>
    </row>
    <row r="718" ht="27" spans="2:13">
      <c r="B718" t="s">
        <v>1430</v>
      </c>
      <c r="C718" s="4" t="s">
        <v>1431</v>
      </c>
      <c r="D718" s="4" t="s">
        <v>1431</v>
      </c>
      <c r="E718" s="4" t="s">
        <v>1431</v>
      </c>
      <c r="F718" s="4" t="s">
        <v>1431</v>
      </c>
      <c r="G718" s="5">
        <v>301.92408</v>
      </c>
      <c r="H718" s="9"/>
      <c r="I718" s="9">
        <f t="shared" si="55"/>
        <v>141.9043176</v>
      </c>
      <c r="J718" s="9">
        <f t="shared" si="56"/>
        <v>150.96204</v>
      </c>
      <c r="K718" s="9">
        <f t="shared" si="57"/>
        <v>166.058244</v>
      </c>
      <c r="L718" s="9">
        <f t="shared" si="58"/>
        <v>211.346856</v>
      </c>
      <c r="M718" s="9">
        <f t="shared" si="59"/>
        <v>256.635468</v>
      </c>
    </row>
    <row r="719" ht="27" spans="2:13">
      <c r="B719" t="s">
        <v>1432</v>
      </c>
      <c r="C719" s="4" t="s">
        <v>1433</v>
      </c>
      <c r="D719" s="4" t="s">
        <v>1433</v>
      </c>
      <c r="E719" s="4" t="s">
        <v>1433</v>
      </c>
      <c r="F719" s="4" t="s">
        <v>1433</v>
      </c>
      <c r="G719" s="5">
        <v>404.09136</v>
      </c>
      <c r="H719" s="9"/>
      <c r="I719" s="9">
        <f t="shared" si="55"/>
        <v>189.9229392</v>
      </c>
      <c r="J719" s="9">
        <f t="shared" si="56"/>
        <v>202.04568</v>
      </c>
      <c r="K719" s="9">
        <f t="shared" si="57"/>
        <v>222.250248</v>
      </c>
      <c r="L719" s="9">
        <f t="shared" si="58"/>
        <v>282.863952</v>
      </c>
      <c r="M719" s="9">
        <f t="shared" si="59"/>
        <v>343.477656</v>
      </c>
    </row>
    <row r="720" spans="2:13">
      <c r="B720" t="s">
        <v>1434</v>
      </c>
      <c r="C720" s="4" t="s">
        <v>1435</v>
      </c>
      <c r="D720" s="4" t="s">
        <v>1435</v>
      </c>
      <c r="E720" s="4" t="s">
        <v>1435</v>
      </c>
      <c r="F720" s="4" t="s">
        <v>1435</v>
      </c>
      <c r="G720" s="5">
        <v>102.79152</v>
      </c>
      <c r="H720" s="9"/>
      <c r="I720" s="9">
        <f t="shared" si="55"/>
        <v>48.3120144</v>
      </c>
      <c r="J720" s="9">
        <f t="shared" si="56"/>
        <v>51.39576</v>
      </c>
      <c r="K720" s="9">
        <f t="shared" si="57"/>
        <v>56.535336</v>
      </c>
      <c r="L720" s="9">
        <f t="shared" si="58"/>
        <v>71.954064</v>
      </c>
      <c r="M720" s="9">
        <f t="shared" si="59"/>
        <v>87.372792</v>
      </c>
    </row>
    <row r="721" ht="40.5" spans="2:13">
      <c r="B721" t="s">
        <v>1436</v>
      </c>
      <c r="C721" s="4" t="s">
        <v>1437</v>
      </c>
      <c r="D721" s="4" t="s">
        <v>1437</v>
      </c>
      <c r="E721" s="4" t="s">
        <v>1437</v>
      </c>
      <c r="F721" s="4" t="s">
        <v>1437</v>
      </c>
      <c r="G721" s="5">
        <v>303.17256</v>
      </c>
      <c r="H721" s="9"/>
      <c r="I721" s="9">
        <f t="shared" si="55"/>
        <v>142.4911032</v>
      </c>
      <c r="J721" s="9">
        <f t="shared" si="56"/>
        <v>151.58628</v>
      </c>
      <c r="K721" s="9">
        <f t="shared" si="57"/>
        <v>166.744908</v>
      </c>
      <c r="L721" s="9">
        <f t="shared" si="58"/>
        <v>212.220792</v>
      </c>
      <c r="M721" s="9">
        <f t="shared" si="59"/>
        <v>257.696676</v>
      </c>
    </row>
    <row r="722" ht="27" spans="2:13">
      <c r="B722" t="s">
        <v>1438</v>
      </c>
      <c r="C722" s="4" t="s">
        <v>1439</v>
      </c>
      <c r="D722" s="4" t="s">
        <v>1439</v>
      </c>
      <c r="E722" s="4" t="s">
        <v>1439</v>
      </c>
      <c r="F722" s="4" t="s">
        <v>1439</v>
      </c>
      <c r="G722" s="5">
        <v>402.84288</v>
      </c>
      <c r="H722" s="9"/>
      <c r="I722" s="9">
        <f t="shared" si="55"/>
        <v>189.3361536</v>
      </c>
      <c r="J722" s="9">
        <f t="shared" si="56"/>
        <v>201.42144</v>
      </c>
      <c r="K722" s="9">
        <f t="shared" si="57"/>
        <v>221.563584</v>
      </c>
      <c r="L722" s="9">
        <f t="shared" si="58"/>
        <v>281.990016</v>
      </c>
      <c r="M722" s="9">
        <f t="shared" si="59"/>
        <v>342.416448</v>
      </c>
    </row>
    <row r="723" spans="2:13">
      <c r="B723" t="s">
        <v>1440</v>
      </c>
      <c r="C723" s="4" t="s">
        <v>1441</v>
      </c>
      <c r="D723" s="4" t="s">
        <v>1441</v>
      </c>
      <c r="E723" s="4" t="s">
        <v>1441</v>
      </c>
      <c r="F723" s="4" t="s">
        <v>1441</v>
      </c>
      <c r="G723" s="5">
        <v>134.31564</v>
      </c>
      <c r="H723" s="9"/>
      <c r="I723" s="9">
        <f t="shared" si="55"/>
        <v>63.1283508</v>
      </c>
      <c r="J723" s="9">
        <f t="shared" si="56"/>
        <v>67.15782</v>
      </c>
      <c r="K723" s="9">
        <f t="shared" si="57"/>
        <v>73.873602</v>
      </c>
      <c r="L723" s="9">
        <f t="shared" si="58"/>
        <v>94.020948</v>
      </c>
      <c r="M723" s="9">
        <f t="shared" si="59"/>
        <v>114.168294</v>
      </c>
    </row>
    <row r="724" ht="27" spans="2:13">
      <c r="B724" t="s">
        <v>1442</v>
      </c>
      <c r="C724" s="4" t="s">
        <v>1443</v>
      </c>
      <c r="D724" s="4" t="s">
        <v>1443</v>
      </c>
      <c r="E724" s="4" t="s">
        <v>1443</v>
      </c>
      <c r="F724" s="4" t="s">
        <v>1443</v>
      </c>
      <c r="G724" s="5">
        <v>522.69696</v>
      </c>
      <c r="H724" s="9"/>
      <c r="I724" s="9">
        <f t="shared" si="55"/>
        <v>245.6675712</v>
      </c>
      <c r="J724" s="9">
        <f t="shared" si="56"/>
        <v>261.34848</v>
      </c>
      <c r="K724" s="9">
        <f t="shared" si="57"/>
        <v>287.483328</v>
      </c>
      <c r="L724" s="9">
        <f t="shared" si="58"/>
        <v>365.887872</v>
      </c>
      <c r="M724" s="9">
        <f t="shared" si="59"/>
        <v>444.292416</v>
      </c>
    </row>
    <row r="725" ht="27" spans="2:13">
      <c r="B725" t="s">
        <v>1444</v>
      </c>
      <c r="C725" s="4" t="s">
        <v>1445</v>
      </c>
      <c r="D725" s="4" t="s">
        <v>1445</v>
      </c>
      <c r="E725" s="4" t="s">
        <v>1445</v>
      </c>
      <c r="F725" s="4" t="s">
        <v>1445</v>
      </c>
      <c r="G725" s="5">
        <v>160.42968</v>
      </c>
      <c r="H725" s="9"/>
      <c r="I725" s="9">
        <f t="shared" si="55"/>
        <v>75.4019496</v>
      </c>
      <c r="J725" s="9">
        <f t="shared" si="56"/>
        <v>80.21484</v>
      </c>
      <c r="K725" s="9">
        <f t="shared" si="57"/>
        <v>88.236324</v>
      </c>
      <c r="L725" s="9">
        <f t="shared" si="58"/>
        <v>112.300776</v>
      </c>
      <c r="M725" s="9">
        <f t="shared" si="59"/>
        <v>136.365228</v>
      </c>
    </row>
    <row r="726" ht="27" spans="2:13">
      <c r="B726" t="s">
        <v>1446</v>
      </c>
      <c r="C726" s="4" t="s">
        <v>1447</v>
      </c>
      <c r="D726" s="4" t="s">
        <v>1447</v>
      </c>
      <c r="E726" s="4" t="s">
        <v>1447</v>
      </c>
      <c r="F726" s="4" t="s">
        <v>1447</v>
      </c>
      <c r="G726" s="5">
        <v>199.7568</v>
      </c>
      <c r="H726" s="9"/>
      <c r="I726" s="9">
        <f t="shared" si="55"/>
        <v>93.885696</v>
      </c>
      <c r="J726" s="9">
        <f t="shared" si="56"/>
        <v>99.8784</v>
      </c>
      <c r="K726" s="9">
        <f t="shared" si="57"/>
        <v>109.86624</v>
      </c>
      <c r="L726" s="9">
        <f t="shared" si="58"/>
        <v>139.82976</v>
      </c>
      <c r="M726" s="9">
        <f t="shared" si="59"/>
        <v>169.79328</v>
      </c>
    </row>
    <row r="727" ht="27" spans="2:13">
      <c r="B727" t="s">
        <v>1448</v>
      </c>
      <c r="C727" s="4" t="s">
        <v>1449</v>
      </c>
      <c r="D727" s="4" t="s">
        <v>1449</v>
      </c>
      <c r="E727" s="4" t="s">
        <v>1449</v>
      </c>
      <c r="F727" s="4" t="s">
        <v>1449</v>
      </c>
      <c r="G727" s="5">
        <v>223.37388</v>
      </c>
      <c r="H727" s="9"/>
      <c r="I727" s="9">
        <f t="shared" si="55"/>
        <v>104.9857236</v>
      </c>
      <c r="J727" s="9">
        <f t="shared" si="56"/>
        <v>111.68694</v>
      </c>
      <c r="K727" s="9">
        <f t="shared" si="57"/>
        <v>122.855634</v>
      </c>
      <c r="L727" s="9">
        <f t="shared" si="58"/>
        <v>156.361716</v>
      </c>
      <c r="M727" s="9">
        <f t="shared" si="59"/>
        <v>189.867798</v>
      </c>
    </row>
    <row r="728" spans="2:13">
      <c r="B728" t="s">
        <v>1450</v>
      </c>
      <c r="C728" s="4" t="s">
        <v>1451</v>
      </c>
      <c r="D728" s="4" t="s">
        <v>1451</v>
      </c>
      <c r="E728" s="4" t="s">
        <v>1451</v>
      </c>
      <c r="F728" s="4" t="s">
        <v>1451</v>
      </c>
      <c r="G728" s="5">
        <v>321.17148</v>
      </c>
      <c r="H728" s="9"/>
      <c r="I728" s="9">
        <f t="shared" si="55"/>
        <v>150.9505956</v>
      </c>
      <c r="J728" s="9">
        <f t="shared" si="56"/>
        <v>160.58574</v>
      </c>
      <c r="K728" s="9">
        <f t="shared" si="57"/>
        <v>176.644314</v>
      </c>
      <c r="L728" s="9">
        <f t="shared" si="58"/>
        <v>224.820036</v>
      </c>
      <c r="M728" s="9">
        <f t="shared" si="59"/>
        <v>272.995758</v>
      </c>
    </row>
    <row r="729" spans="2:13">
      <c r="B729" t="s">
        <v>1452</v>
      </c>
      <c r="C729" s="4" t="s">
        <v>1453</v>
      </c>
      <c r="D729" s="4" t="s">
        <v>1453</v>
      </c>
      <c r="E729" s="4" t="s">
        <v>1453</v>
      </c>
      <c r="F729" s="4" t="s">
        <v>1453</v>
      </c>
      <c r="G729" s="5">
        <v>271.0242</v>
      </c>
      <c r="H729" s="9"/>
      <c r="I729" s="9">
        <f t="shared" si="55"/>
        <v>127.381374</v>
      </c>
      <c r="J729" s="9">
        <f t="shared" si="56"/>
        <v>135.5121</v>
      </c>
      <c r="K729" s="9">
        <f t="shared" si="57"/>
        <v>149.06331</v>
      </c>
      <c r="L729" s="9">
        <f t="shared" si="58"/>
        <v>189.71694</v>
      </c>
      <c r="M729" s="9">
        <f t="shared" si="59"/>
        <v>230.37057</v>
      </c>
    </row>
    <row r="730" spans="2:13">
      <c r="B730" t="s">
        <v>1454</v>
      </c>
      <c r="C730" s="4" t="s">
        <v>1455</v>
      </c>
      <c r="D730" s="4" t="s">
        <v>1455</v>
      </c>
      <c r="E730" s="4" t="s">
        <v>1455</v>
      </c>
      <c r="F730" s="4" t="s">
        <v>1455</v>
      </c>
      <c r="G730" s="5">
        <v>33.60492</v>
      </c>
      <c r="H730" s="9"/>
      <c r="I730" s="9">
        <f t="shared" si="55"/>
        <v>15.7943124</v>
      </c>
      <c r="J730" s="9">
        <f t="shared" si="56"/>
        <v>16.80246</v>
      </c>
      <c r="K730" s="9">
        <f t="shared" si="57"/>
        <v>18.482706</v>
      </c>
      <c r="L730" s="9">
        <f t="shared" si="58"/>
        <v>23.523444</v>
      </c>
      <c r="M730" s="9">
        <f t="shared" si="59"/>
        <v>28.564182</v>
      </c>
    </row>
    <row r="731" spans="2:13">
      <c r="B731" t="s">
        <v>1456</v>
      </c>
      <c r="C731" s="4" t="s">
        <v>1457</v>
      </c>
      <c r="D731" s="4" t="s">
        <v>1457</v>
      </c>
      <c r="E731" s="4" t="s">
        <v>1457</v>
      </c>
      <c r="F731" s="4" t="s">
        <v>1457</v>
      </c>
      <c r="G731" s="5">
        <v>40.5756</v>
      </c>
      <c r="H731" s="9"/>
      <c r="I731" s="9">
        <f t="shared" si="55"/>
        <v>19.070532</v>
      </c>
      <c r="J731" s="9">
        <f t="shared" si="56"/>
        <v>20.2878</v>
      </c>
      <c r="K731" s="9">
        <f t="shared" si="57"/>
        <v>22.31658</v>
      </c>
      <c r="L731" s="9">
        <f t="shared" si="58"/>
        <v>28.40292</v>
      </c>
      <c r="M731" s="9">
        <f t="shared" si="59"/>
        <v>34.48926</v>
      </c>
    </row>
    <row r="732" spans="2:13">
      <c r="B732" t="s">
        <v>1458</v>
      </c>
      <c r="C732" s="4" t="s">
        <v>1459</v>
      </c>
      <c r="D732" s="4" t="s">
        <v>1459</v>
      </c>
      <c r="E732" s="4" t="s">
        <v>1459</v>
      </c>
      <c r="F732" s="4" t="s">
        <v>1459</v>
      </c>
      <c r="G732" s="5">
        <v>47.65032</v>
      </c>
      <c r="H732" s="9"/>
      <c r="I732" s="9">
        <f t="shared" si="55"/>
        <v>22.3956504</v>
      </c>
      <c r="J732" s="9">
        <f t="shared" si="56"/>
        <v>23.82516</v>
      </c>
      <c r="K732" s="9">
        <f t="shared" si="57"/>
        <v>26.207676</v>
      </c>
      <c r="L732" s="9">
        <f t="shared" si="58"/>
        <v>33.355224</v>
      </c>
      <c r="M732" s="9">
        <f t="shared" si="59"/>
        <v>40.502772</v>
      </c>
    </row>
    <row r="733" spans="2:13">
      <c r="B733" t="s">
        <v>1460</v>
      </c>
      <c r="C733" s="4" t="s">
        <v>1461</v>
      </c>
      <c r="D733" s="4" t="s">
        <v>1461</v>
      </c>
      <c r="E733" s="4" t="s">
        <v>1461</v>
      </c>
      <c r="F733" s="4" t="s">
        <v>1461</v>
      </c>
      <c r="G733" s="5">
        <v>52.72176</v>
      </c>
      <c r="H733" s="9"/>
      <c r="I733" s="9">
        <f t="shared" si="55"/>
        <v>24.7792272</v>
      </c>
      <c r="J733" s="9">
        <f t="shared" si="56"/>
        <v>26.36088</v>
      </c>
      <c r="K733" s="9">
        <f t="shared" si="57"/>
        <v>28.996968</v>
      </c>
      <c r="L733" s="9">
        <f t="shared" si="58"/>
        <v>36.905232</v>
      </c>
      <c r="M733" s="9">
        <f t="shared" si="59"/>
        <v>44.813496</v>
      </c>
    </row>
    <row r="734" spans="2:13">
      <c r="B734" t="s">
        <v>1462</v>
      </c>
      <c r="C734" s="4" t="s">
        <v>1463</v>
      </c>
      <c r="D734" s="4" t="s">
        <v>1463</v>
      </c>
      <c r="E734" s="4" t="s">
        <v>1463</v>
      </c>
      <c r="F734" s="4" t="s">
        <v>1463</v>
      </c>
      <c r="G734" s="5">
        <v>69.16416</v>
      </c>
      <c r="H734" s="9"/>
      <c r="I734" s="9">
        <f t="shared" si="55"/>
        <v>32.5071552</v>
      </c>
      <c r="J734" s="9">
        <f t="shared" si="56"/>
        <v>34.58208</v>
      </c>
      <c r="K734" s="9">
        <f t="shared" si="57"/>
        <v>38.040288</v>
      </c>
      <c r="L734" s="9">
        <f t="shared" si="58"/>
        <v>48.414912</v>
      </c>
      <c r="M734" s="9">
        <f t="shared" si="59"/>
        <v>58.789536</v>
      </c>
    </row>
    <row r="735" spans="2:13">
      <c r="B735" t="s">
        <v>1464</v>
      </c>
      <c r="C735" s="4" t="s">
        <v>1465</v>
      </c>
      <c r="D735" s="4" t="s">
        <v>1465</v>
      </c>
      <c r="E735" s="4" t="s">
        <v>1465</v>
      </c>
      <c r="F735" s="4" t="s">
        <v>1465</v>
      </c>
      <c r="G735" s="5">
        <v>85.50048</v>
      </c>
      <c r="H735" s="9"/>
      <c r="I735" s="9">
        <f t="shared" si="55"/>
        <v>40.1852256</v>
      </c>
      <c r="J735" s="9">
        <f t="shared" si="56"/>
        <v>42.75024</v>
      </c>
      <c r="K735" s="9">
        <f t="shared" si="57"/>
        <v>47.025264</v>
      </c>
      <c r="L735" s="9">
        <f t="shared" si="58"/>
        <v>59.850336</v>
      </c>
      <c r="M735" s="9">
        <f t="shared" si="59"/>
        <v>72.675408</v>
      </c>
    </row>
    <row r="736" spans="2:13">
      <c r="B736" t="s">
        <v>1466</v>
      </c>
      <c r="C736" s="4" t="s">
        <v>1467</v>
      </c>
      <c r="D736" s="4" t="s">
        <v>1467</v>
      </c>
      <c r="E736" s="4" t="s">
        <v>1467</v>
      </c>
      <c r="F736" s="4" t="s">
        <v>1467</v>
      </c>
      <c r="G736" s="5">
        <v>96.85104</v>
      </c>
      <c r="H736" s="9"/>
      <c r="I736" s="9">
        <f t="shared" si="55"/>
        <v>45.5199888</v>
      </c>
      <c r="J736" s="9">
        <f t="shared" si="56"/>
        <v>48.42552</v>
      </c>
      <c r="K736" s="9">
        <f t="shared" si="57"/>
        <v>53.268072</v>
      </c>
      <c r="L736" s="9">
        <f t="shared" si="58"/>
        <v>67.795728</v>
      </c>
      <c r="M736" s="9">
        <f t="shared" si="59"/>
        <v>82.323384</v>
      </c>
    </row>
    <row r="737" spans="2:13">
      <c r="B737" t="s">
        <v>1468</v>
      </c>
      <c r="C737" s="4" t="s">
        <v>1469</v>
      </c>
      <c r="D737" s="4" t="s">
        <v>1469</v>
      </c>
      <c r="E737" s="4" t="s">
        <v>1469</v>
      </c>
      <c r="F737" s="4" t="s">
        <v>1469</v>
      </c>
      <c r="G737" s="5">
        <v>108.2016</v>
      </c>
      <c r="H737" s="9"/>
      <c r="I737" s="9">
        <f t="shared" si="55"/>
        <v>50.854752</v>
      </c>
      <c r="J737" s="9">
        <f t="shared" si="56"/>
        <v>54.1008</v>
      </c>
      <c r="K737" s="9">
        <f t="shared" si="57"/>
        <v>59.51088</v>
      </c>
      <c r="L737" s="9">
        <f t="shared" si="58"/>
        <v>75.74112</v>
      </c>
      <c r="M737" s="9">
        <f t="shared" si="59"/>
        <v>91.97136</v>
      </c>
    </row>
    <row r="738" spans="2:13">
      <c r="B738" t="s">
        <v>1470</v>
      </c>
      <c r="C738" s="4" t="s">
        <v>1471</v>
      </c>
      <c r="D738" s="4" t="s">
        <v>1471</v>
      </c>
      <c r="E738" s="4" t="s">
        <v>1471</v>
      </c>
      <c r="F738" s="4" t="s">
        <v>1471</v>
      </c>
      <c r="G738" s="5">
        <v>133.76688</v>
      </c>
      <c r="H738" s="9"/>
      <c r="I738" s="9">
        <f t="shared" si="55"/>
        <v>62.8704336</v>
      </c>
      <c r="J738" s="9">
        <f t="shared" si="56"/>
        <v>66.88344</v>
      </c>
      <c r="K738" s="9">
        <f t="shared" si="57"/>
        <v>73.571784</v>
      </c>
      <c r="L738" s="9">
        <f t="shared" si="58"/>
        <v>93.636816</v>
      </c>
      <c r="M738" s="9">
        <f t="shared" si="59"/>
        <v>113.701848</v>
      </c>
    </row>
    <row r="739" spans="2:13">
      <c r="B739" t="s">
        <v>1472</v>
      </c>
      <c r="C739" s="4" t="s">
        <v>1473</v>
      </c>
      <c r="D739" s="4" t="s">
        <v>1473</v>
      </c>
      <c r="E739" s="4" t="s">
        <v>1473</v>
      </c>
      <c r="F739" s="4" t="s">
        <v>1473</v>
      </c>
      <c r="G739" s="5">
        <v>180.8664</v>
      </c>
      <c r="H739" s="9"/>
      <c r="I739" s="9">
        <f t="shared" si="55"/>
        <v>85.007208</v>
      </c>
      <c r="J739" s="9">
        <f t="shared" si="56"/>
        <v>90.4332</v>
      </c>
      <c r="K739" s="9">
        <f t="shared" si="57"/>
        <v>99.47652</v>
      </c>
      <c r="L739" s="9">
        <f t="shared" si="58"/>
        <v>126.60648</v>
      </c>
      <c r="M739" s="9">
        <f t="shared" si="59"/>
        <v>153.73644</v>
      </c>
    </row>
    <row r="740" spans="2:13">
      <c r="B740" t="s">
        <v>1474</v>
      </c>
      <c r="C740" s="4" t="s">
        <v>1475</v>
      </c>
      <c r="D740" s="4" t="s">
        <v>1475</v>
      </c>
      <c r="E740" s="4" t="s">
        <v>1475</v>
      </c>
      <c r="F740" s="4" t="s">
        <v>1475</v>
      </c>
      <c r="G740" s="5">
        <v>245.32632</v>
      </c>
      <c r="H740" s="9"/>
      <c r="I740" s="9">
        <f t="shared" si="55"/>
        <v>115.3033704</v>
      </c>
      <c r="J740" s="9">
        <f t="shared" si="56"/>
        <v>122.66316</v>
      </c>
      <c r="K740" s="9">
        <f t="shared" si="57"/>
        <v>134.929476</v>
      </c>
      <c r="L740" s="9">
        <f t="shared" si="58"/>
        <v>171.728424</v>
      </c>
      <c r="M740" s="9">
        <f t="shared" si="59"/>
        <v>208.527372</v>
      </c>
    </row>
    <row r="741" spans="2:13">
      <c r="B741" t="s">
        <v>1476</v>
      </c>
      <c r="C741" s="4" t="s">
        <v>1477</v>
      </c>
      <c r="D741" s="4" t="s">
        <v>1477</v>
      </c>
      <c r="E741" s="4" t="s">
        <v>1477</v>
      </c>
      <c r="F741" s="4" t="s">
        <v>1477</v>
      </c>
      <c r="G741" s="5">
        <v>114.54804</v>
      </c>
      <c r="H741" s="9"/>
      <c r="I741" s="9">
        <f t="shared" si="55"/>
        <v>53.8375788</v>
      </c>
      <c r="J741" s="9">
        <f t="shared" si="56"/>
        <v>57.27402</v>
      </c>
      <c r="K741" s="9">
        <f t="shared" si="57"/>
        <v>63.001422</v>
      </c>
      <c r="L741" s="9">
        <f t="shared" si="58"/>
        <v>80.183628</v>
      </c>
      <c r="M741" s="9">
        <f t="shared" si="59"/>
        <v>97.365834</v>
      </c>
    </row>
    <row r="742" spans="2:13">
      <c r="B742" t="s">
        <v>1478</v>
      </c>
      <c r="C742" s="4" t="s">
        <v>1479</v>
      </c>
      <c r="D742" s="4" t="s">
        <v>1479</v>
      </c>
      <c r="E742" s="4" t="s">
        <v>1479</v>
      </c>
      <c r="F742" s="4" t="s">
        <v>1479</v>
      </c>
      <c r="G742" s="5">
        <v>270.71616</v>
      </c>
      <c r="H742" s="9"/>
      <c r="I742" s="9">
        <f t="shared" si="55"/>
        <v>127.2365952</v>
      </c>
      <c r="J742" s="9">
        <f t="shared" si="56"/>
        <v>135.35808</v>
      </c>
      <c r="K742" s="9">
        <f t="shared" si="57"/>
        <v>148.893888</v>
      </c>
      <c r="L742" s="9">
        <f t="shared" si="58"/>
        <v>189.501312</v>
      </c>
      <c r="M742" s="9">
        <f t="shared" si="59"/>
        <v>230.108736</v>
      </c>
    </row>
    <row r="743" spans="2:13">
      <c r="B743" t="s">
        <v>1480</v>
      </c>
      <c r="C743" s="4" t="s">
        <v>1481</v>
      </c>
      <c r="D743" s="4" t="s">
        <v>1481</v>
      </c>
      <c r="E743" s="4" t="s">
        <v>1481</v>
      </c>
      <c r="F743" s="4" t="s">
        <v>1481</v>
      </c>
      <c r="G743" s="5">
        <v>277.7868</v>
      </c>
      <c r="H743" s="9"/>
      <c r="I743" s="9">
        <f t="shared" si="55"/>
        <v>130.559796</v>
      </c>
      <c r="J743" s="9">
        <f t="shared" si="56"/>
        <v>138.8934</v>
      </c>
      <c r="K743" s="9">
        <f t="shared" si="57"/>
        <v>152.78274</v>
      </c>
      <c r="L743" s="9">
        <f t="shared" si="58"/>
        <v>194.45076</v>
      </c>
      <c r="M743" s="9">
        <f t="shared" si="59"/>
        <v>236.11878</v>
      </c>
    </row>
    <row r="744" spans="2:13">
      <c r="B744" t="s">
        <v>1482</v>
      </c>
      <c r="C744" s="4" t="s">
        <v>1483</v>
      </c>
      <c r="D744" s="4" t="s">
        <v>1483</v>
      </c>
      <c r="E744" s="4" t="s">
        <v>1483</v>
      </c>
      <c r="F744" s="4" t="s">
        <v>1483</v>
      </c>
      <c r="G744" s="5">
        <v>311.39172</v>
      </c>
      <c r="H744" s="9"/>
      <c r="I744" s="9">
        <f t="shared" si="55"/>
        <v>146.3541084</v>
      </c>
      <c r="J744" s="9">
        <f t="shared" si="56"/>
        <v>155.69586</v>
      </c>
      <c r="K744" s="9">
        <f t="shared" si="57"/>
        <v>171.265446</v>
      </c>
      <c r="L744" s="9">
        <f t="shared" si="58"/>
        <v>217.974204</v>
      </c>
      <c r="M744" s="9">
        <f t="shared" si="59"/>
        <v>264.682962</v>
      </c>
    </row>
    <row r="745" spans="2:13">
      <c r="B745" t="s">
        <v>1484</v>
      </c>
      <c r="C745" s="4" t="s">
        <v>1485</v>
      </c>
      <c r="D745" s="4" t="s">
        <v>1485</v>
      </c>
      <c r="E745" s="4" t="s">
        <v>1485</v>
      </c>
      <c r="F745" s="4" t="s">
        <v>1485</v>
      </c>
      <c r="G745" s="5">
        <v>335.73708</v>
      </c>
      <c r="H745" s="9"/>
      <c r="I745" s="9">
        <f t="shared" si="55"/>
        <v>157.7964276</v>
      </c>
      <c r="J745" s="9">
        <f t="shared" si="56"/>
        <v>167.86854</v>
      </c>
      <c r="K745" s="9">
        <f t="shared" si="57"/>
        <v>184.655394</v>
      </c>
      <c r="L745" s="9">
        <f t="shared" si="58"/>
        <v>235.015956</v>
      </c>
      <c r="M745" s="9">
        <f t="shared" si="59"/>
        <v>285.376518</v>
      </c>
    </row>
    <row r="746" spans="2:13">
      <c r="B746" t="s">
        <v>1486</v>
      </c>
      <c r="C746" s="4" t="s">
        <v>1487</v>
      </c>
      <c r="D746" s="4" t="s">
        <v>1487</v>
      </c>
      <c r="E746" s="4" t="s">
        <v>1487</v>
      </c>
      <c r="F746" s="4" t="s">
        <v>1487</v>
      </c>
      <c r="G746" s="5">
        <v>495.7506</v>
      </c>
      <c r="H746" s="9"/>
      <c r="I746" s="9">
        <f t="shared" si="55"/>
        <v>233.002782</v>
      </c>
      <c r="J746" s="9">
        <f t="shared" si="56"/>
        <v>247.8753</v>
      </c>
      <c r="K746" s="9">
        <f t="shared" si="57"/>
        <v>272.66283</v>
      </c>
      <c r="L746" s="9">
        <f t="shared" si="58"/>
        <v>347.02542</v>
      </c>
      <c r="M746" s="9">
        <f t="shared" si="59"/>
        <v>421.38801</v>
      </c>
    </row>
    <row r="747" spans="2:13">
      <c r="B747" t="s">
        <v>1488</v>
      </c>
      <c r="C747" s="4" t="s">
        <v>1489</v>
      </c>
      <c r="D747" s="4" t="s">
        <v>1489</v>
      </c>
      <c r="E747" s="4" t="s">
        <v>1489</v>
      </c>
      <c r="F747" s="4" t="s">
        <v>1489</v>
      </c>
      <c r="G747" s="5" t="s">
        <v>1169</v>
      </c>
      <c r="H747" s="9"/>
      <c r="I747" s="9" t="e">
        <f t="shared" si="55"/>
        <v>#VALUE!</v>
      </c>
      <c r="J747" s="9" t="e">
        <f t="shared" si="56"/>
        <v>#VALUE!</v>
      </c>
      <c r="K747" s="9" t="e">
        <f t="shared" si="57"/>
        <v>#VALUE!</v>
      </c>
      <c r="L747" s="9" t="e">
        <f t="shared" si="58"/>
        <v>#VALUE!</v>
      </c>
      <c r="M747" s="9" t="e">
        <f t="shared" si="59"/>
        <v>#VALUE!</v>
      </c>
    </row>
    <row r="748" spans="2:13">
      <c r="B748" t="s">
        <v>1490</v>
      </c>
      <c r="C748" s="4" t="s">
        <v>1491</v>
      </c>
      <c r="D748" s="4" t="s">
        <v>1491</v>
      </c>
      <c r="E748" s="4" t="s">
        <v>1491</v>
      </c>
      <c r="F748" s="4" t="s">
        <v>1491</v>
      </c>
      <c r="G748" s="5">
        <v>47.3382</v>
      </c>
      <c r="H748" s="9"/>
      <c r="I748" s="9">
        <f t="shared" si="55"/>
        <v>22.248954</v>
      </c>
      <c r="J748" s="9">
        <f t="shared" si="56"/>
        <v>23.6691</v>
      </c>
      <c r="K748" s="9">
        <f t="shared" si="57"/>
        <v>26.03601</v>
      </c>
      <c r="L748" s="9">
        <f t="shared" si="58"/>
        <v>33.13674</v>
      </c>
      <c r="M748" s="9">
        <f t="shared" si="59"/>
        <v>40.23747</v>
      </c>
    </row>
    <row r="749" spans="2:13">
      <c r="B749" t="s">
        <v>1492</v>
      </c>
      <c r="C749" s="4" t="s">
        <v>1493</v>
      </c>
      <c r="D749" s="4" t="s">
        <v>1493</v>
      </c>
      <c r="E749" s="4" t="s">
        <v>1493</v>
      </c>
      <c r="F749" s="4" t="s">
        <v>1493</v>
      </c>
      <c r="G749" s="5">
        <v>59.61492</v>
      </c>
      <c r="H749" s="9"/>
      <c r="I749" s="9">
        <f t="shared" si="55"/>
        <v>28.0190124</v>
      </c>
      <c r="J749" s="9">
        <f t="shared" si="56"/>
        <v>29.80746</v>
      </c>
      <c r="K749" s="9">
        <f t="shared" si="57"/>
        <v>32.788206</v>
      </c>
      <c r="L749" s="9">
        <f t="shared" si="58"/>
        <v>41.730444</v>
      </c>
      <c r="M749" s="9">
        <f t="shared" si="59"/>
        <v>50.672682</v>
      </c>
    </row>
    <row r="750" spans="2:13">
      <c r="B750" t="s">
        <v>1494</v>
      </c>
      <c r="C750" s="4" t="s">
        <v>1495</v>
      </c>
      <c r="D750" s="4" t="s">
        <v>1495</v>
      </c>
      <c r="E750" s="4" t="s">
        <v>1495</v>
      </c>
      <c r="F750" s="4" t="s">
        <v>1495</v>
      </c>
      <c r="G750" s="5">
        <v>75.95328</v>
      </c>
      <c r="H750" s="9"/>
      <c r="I750" s="9">
        <f t="shared" si="55"/>
        <v>35.6980416</v>
      </c>
      <c r="J750" s="9">
        <f t="shared" si="56"/>
        <v>37.97664</v>
      </c>
      <c r="K750" s="9">
        <f t="shared" si="57"/>
        <v>41.774304</v>
      </c>
      <c r="L750" s="9">
        <f t="shared" si="58"/>
        <v>53.167296</v>
      </c>
      <c r="M750" s="9">
        <f t="shared" si="59"/>
        <v>64.560288</v>
      </c>
    </row>
    <row r="751" spans="2:13">
      <c r="B751" t="s">
        <v>1496</v>
      </c>
      <c r="C751" s="4" t="s">
        <v>1497</v>
      </c>
      <c r="D751" s="4" t="s">
        <v>1497</v>
      </c>
      <c r="E751" s="4" t="s">
        <v>1497</v>
      </c>
      <c r="F751" s="4" t="s">
        <v>1497</v>
      </c>
      <c r="G751" s="5">
        <v>96.86124</v>
      </c>
      <c r="H751" s="9"/>
      <c r="I751" s="9">
        <f t="shared" si="55"/>
        <v>45.5247828</v>
      </c>
      <c r="J751" s="9">
        <f t="shared" si="56"/>
        <v>48.43062</v>
      </c>
      <c r="K751" s="9">
        <f t="shared" si="57"/>
        <v>53.273682</v>
      </c>
      <c r="L751" s="9">
        <f t="shared" si="58"/>
        <v>67.802868</v>
      </c>
      <c r="M751" s="9">
        <f t="shared" si="59"/>
        <v>82.332054</v>
      </c>
    </row>
    <row r="752" spans="2:13">
      <c r="B752" t="s">
        <v>1498</v>
      </c>
      <c r="C752" s="4" t="s">
        <v>1499</v>
      </c>
      <c r="D752" s="4" t="s">
        <v>1499</v>
      </c>
      <c r="E752" s="4" t="s">
        <v>1499</v>
      </c>
      <c r="F752" s="4" t="s">
        <v>1499</v>
      </c>
      <c r="G752" s="5">
        <v>126.51264</v>
      </c>
      <c r="H752" s="9"/>
      <c r="I752" s="9">
        <f t="shared" si="55"/>
        <v>59.4609408</v>
      </c>
      <c r="J752" s="9">
        <f t="shared" si="56"/>
        <v>63.25632</v>
      </c>
      <c r="K752" s="9">
        <f t="shared" si="57"/>
        <v>69.581952</v>
      </c>
      <c r="L752" s="9">
        <f t="shared" si="58"/>
        <v>88.558848</v>
      </c>
      <c r="M752" s="9">
        <f t="shared" si="59"/>
        <v>107.535744</v>
      </c>
    </row>
    <row r="753" spans="2:13">
      <c r="B753" t="s">
        <v>1500</v>
      </c>
      <c r="C753" s="4" t="s">
        <v>1501</v>
      </c>
      <c r="D753" s="4" t="s">
        <v>1501</v>
      </c>
      <c r="E753" s="4" t="s">
        <v>1501</v>
      </c>
      <c r="F753" s="4" t="s">
        <v>1501</v>
      </c>
      <c r="G753" s="5">
        <v>173.69478</v>
      </c>
      <c r="H753" s="9"/>
      <c r="I753" s="9">
        <f t="shared" si="55"/>
        <v>81.6365466</v>
      </c>
      <c r="J753" s="9">
        <f t="shared" si="56"/>
        <v>86.84739</v>
      </c>
      <c r="K753" s="9">
        <f t="shared" si="57"/>
        <v>95.532129</v>
      </c>
      <c r="L753" s="9">
        <f t="shared" si="58"/>
        <v>121.586346</v>
      </c>
      <c r="M753" s="9">
        <f t="shared" si="59"/>
        <v>147.640563</v>
      </c>
    </row>
    <row r="754" ht="27" spans="2:13">
      <c r="B754" s="13" t="s">
        <v>1502</v>
      </c>
      <c r="C754" s="4" t="s">
        <v>1503</v>
      </c>
      <c r="D754" s="4" t="s">
        <v>1503</v>
      </c>
      <c r="E754" s="4" t="s">
        <v>1503</v>
      </c>
      <c r="F754" s="4" t="s">
        <v>1503</v>
      </c>
      <c r="G754" s="5">
        <v>374.544</v>
      </c>
      <c r="H754" s="9"/>
      <c r="I754" s="9">
        <f t="shared" si="55"/>
        <v>176.03568</v>
      </c>
      <c r="J754" s="9">
        <f t="shared" si="56"/>
        <v>187.272</v>
      </c>
      <c r="K754" s="9">
        <f t="shared" si="57"/>
        <v>205.9992</v>
      </c>
      <c r="L754" s="9">
        <f t="shared" si="58"/>
        <v>262.1808</v>
      </c>
      <c r="M754" s="9">
        <f t="shared" si="59"/>
        <v>318.3624</v>
      </c>
    </row>
    <row r="755" ht="27" spans="2:13">
      <c r="B755" t="s">
        <v>1504</v>
      </c>
      <c r="C755" s="4" t="s">
        <v>1505</v>
      </c>
      <c r="D755" s="4" t="s">
        <v>1505</v>
      </c>
      <c r="E755" s="4" t="s">
        <v>1505</v>
      </c>
      <c r="F755" s="4" t="s">
        <v>1505</v>
      </c>
      <c r="G755" s="5">
        <v>47.3382</v>
      </c>
      <c r="H755" s="9"/>
      <c r="I755" s="9">
        <f t="shared" si="55"/>
        <v>22.248954</v>
      </c>
      <c r="J755" s="9">
        <f t="shared" si="56"/>
        <v>23.6691</v>
      </c>
      <c r="K755" s="9">
        <f t="shared" si="57"/>
        <v>26.03601</v>
      </c>
      <c r="L755" s="9">
        <f t="shared" si="58"/>
        <v>33.13674</v>
      </c>
      <c r="M755" s="9">
        <f t="shared" si="59"/>
        <v>40.23747</v>
      </c>
    </row>
    <row r="756" spans="2:13">
      <c r="B756" t="s">
        <v>1506</v>
      </c>
      <c r="C756" s="4" t="s">
        <v>1507</v>
      </c>
      <c r="D756" s="4" t="s">
        <v>1507</v>
      </c>
      <c r="E756" s="4" t="s">
        <v>1507</v>
      </c>
      <c r="F756" s="4" t="s">
        <v>1507</v>
      </c>
      <c r="G756" s="5">
        <v>59.61492</v>
      </c>
      <c r="H756" s="9"/>
      <c r="I756" s="9">
        <f t="shared" si="55"/>
        <v>28.0190124</v>
      </c>
      <c r="J756" s="9">
        <f t="shared" si="56"/>
        <v>29.80746</v>
      </c>
      <c r="K756" s="9">
        <f t="shared" si="57"/>
        <v>32.788206</v>
      </c>
      <c r="L756" s="9">
        <f t="shared" si="58"/>
        <v>41.730444</v>
      </c>
      <c r="M756" s="9">
        <f t="shared" si="59"/>
        <v>50.672682</v>
      </c>
    </row>
    <row r="757" spans="2:13">
      <c r="B757" t="s">
        <v>1508</v>
      </c>
      <c r="C757" s="4" t="s">
        <v>1509</v>
      </c>
      <c r="D757" s="4" t="s">
        <v>1509</v>
      </c>
      <c r="E757" s="4" t="s">
        <v>1509</v>
      </c>
      <c r="F757" s="4" t="s">
        <v>1509</v>
      </c>
      <c r="G757" s="5">
        <v>74.49264</v>
      </c>
      <c r="H757" s="9"/>
      <c r="I757" s="9">
        <f t="shared" si="55"/>
        <v>35.0115408</v>
      </c>
      <c r="J757" s="9">
        <f t="shared" si="56"/>
        <v>37.24632</v>
      </c>
      <c r="K757" s="9">
        <f t="shared" si="57"/>
        <v>40.970952</v>
      </c>
      <c r="L757" s="9">
        <f t="shared" si="58"/>
        <v>52.144848</v>
      </c>
      <c r="M757" s="9">
        <f t="shared" si="59"/>
        <v>63.318744</v>
      </c>
    </row>
    <row r="758" ht="27" spans="2:13">
      <c r="B758" t="s">
        <v>1510</v>
      </c>
      <c r="C758" s="4" t="s">
        <v>1511</v>
      </c>
      <c r="D758" s="4" t="s">
        <v>1511</v>
      </c>
      <c r="E758" s="4" t="s">
        <v>1511</v>
      </c>
      <c r="F758" s="4" t="s">
        <v>1511</v>
      </c>
      <c r="G758" s="5">
        <v>96.86124</v>
      </c>
      <c r="H758" s="9"/>
      <c r="I758" s="9">
        <f t="shared" si="55"/>
        <v>45.5247828</v>
      </c>
      <c r="J758" s="9">
        <f t="shared" si="56"/>
        <v>48.43062</v>
      </c>
      <c r="K758" s="9">
        <f t="shared" si="57"/>
        <v>53.273682</v>
      </c>
      <c r="L758" s="9">
        <f t="shared" si="58"/>
        <v>67.802868</v>
      </c>
      <c r="M758" s="9">
        <f t="shared" si="59"/>
        <v>82.332054</v>
      </c>
    </row>
    <row r="759" spans="2:13">
      <c r="B759" t="s">
        <v>1512</v>
      </c>
      <c r="C759" s="4" t="s">
        <v>1513</v>
      </c>
      <c r="D759" s="4" t="s">
        <v>1513</v>
      </c>
      <c r="E759" s="4" t="s">
        <v>1513</v>
      </c>
      <c r="F759" s="4" t="s">
        <v>1513</v>
      </c>
      <c r="G759" s="5">
        <v>126.51264</v>
      </c>
      <c r="H759" s="9"/>
      <c r="I759" s="9">
        <f t="shared" si="55"/>
        <v>59.4609408</v>
      </c>
      <c r="J759" s="9">
        <f t="shared" si="56"/>
        <v>63.25632</v>
      </c>
      <c r="K759" s="9">
        <f t="shared" si="57"/>
        <v>69.581952</v>
      </c>
      <c r="L759" s="9">
        <f t="shared" si="58"/>
        <v>88.558848</v>
      </c>
      <c r="M759" s="9">
        <f t="shared" si="59"/>
        <v>107.535744</v>
      </c>
    </row>
    <row r="760" spans="2:13">
      <c r="B760" t="s">
        <v>1514</v>
      </c>
      <c r="C760" s="4" t="s">
        <v>1515</v>
      </c>
      <c r="D760" s="4" t="s">
        <v>1515</v>
      </c>
      <c r="E760" s="4" t="s">
        <v>1515</v>
      </c>
      <c r="F760" s="4" t="s">
        <v>1515</v>
      </c>
      <c r="G760" s="5">
        <v>173.7468</v>
      </c>
      <c r="H760" s="9"/>
      <c r="I760" s="9">
        <f t="shared" si="55"/>
        <v>81.660996</v>
      </c>
      <c r="J760" s="9">
        <f t="shared" si="56"/>
        <v>86.8734</v>
      </c>
      <c r="K760" s="9">
        <f t="shared" si="57"/>
        <v>95.56074</v>
      </c>
      <c r="L760" s="9">
        <f t="shared" si="58"/>
        <v>121.62276</v>
      </c>
      <c r="M760" s="9">
        <f t="shared" si="59"/>
        <v>147.68478</v>
      </c>
    </row>
    <row r="761" ht="27" spans="2:13">
      <c r="B761" t="s">
        <v>1516</v>
      </c>
      <c r="C761" s="4" t="s">
        <v>1517</v>
      </c>
      <c r="D761" s="4" t="s">
        <v>1517</v>
      </c>
      <c r="E761" s="4" t="s">
        <v>1517</v>
      </c>
      <c r="F761" s="4" t="s">
        <v>1517</v>
      </c>
      <c r="G761" s="5">
        <v>59.92704</v>
      </c>
      <c r="H761" s="9"/>
      <c r="I761" s="9">
        <f t="shared" si="55"/>
        <v>28.1657088</v>
      </c>
      <c r="J761" s="9">
        <f t="shared" si="56"/>
        <v>29.96352</v>
      </c>
      <c r="K761" s="9">
        <f t="shared" si="57"/>
        <v>32.959872</v>
      </c>
      <c r="L761" s="9">
        <f t="shared" si="58"/>
        <v>41.948928</v>
      </c>
      <c r="M761" s="9">
        <f t="shared" si="59"/>
        <v>50.937984</v>
      </c>
    </row>
    <row r="762" ht="27" spans="2:13">
      <c r="B762" t="s">
        <v>1518</v>
      </c>
      <c r="C762" s="4" t="s">
        <v>1519</v>
      </c>
      <c r="D762" s="4" t="s">
        <v>1519</v>
      </c>
      <c r="E762" s="4" t="s">
        <v>1519</v>
      </c>
      <c r="F762" s="4" t="s">
        <v>1519</v>
      </c>
      <c r="G762" s="5">
        <v>151.79436</v>
      </c>
      <c r="H762" s="9"/>
      <c r="I762" s="9">
        <f t="shared" si="55"/>
        <v>71.3433492</v>
      </c>
      <c r="J762" s="9">
        <f t="shared" si="56"/>
        <v>75.89718</v>
      </c>
      <c r="K762" s="9">
        <f t="shared" si="57"/>
        <v>83.486898</v>
      </c>
      <c r="L762" s="9">
        <f t="shared" si="58"/>
        <v>106.256052</v>
      </c>
      <c r="M762" s="9">
        <f t="shared" si="59"/>
        <v>129.025206</v>
      </c>
    </row>
    <row r="763" spans="2:13">
      <c r="B763" t="s">
        <v>1520</v>
      </c>
      <c r="C763" s="4" t="s">
        <v>1521</v>
      </c>
      <c r="D763" s="4" t="s">
        <v>1521</v>
      </c>
      <c r="E763" s="4" t="s">
        <v>1521</v>
      </c>
      <c r="F763" s="4" t="s">
        <v>1521</v>
      </c>
      <c r="G763" s="5">
        <v>180.82152</v>
      </c>
      <c r="H763" s="9"/>
      <c r="I763" s="9">
        <f t="shared" si="55"/>
        <v>84.9861144</v>
      </c>
      <c r="J763" s="9">
        <f t="shared" si="56"/>
        <v>90.41076</v>
      </c>
      <c r="K763" s="9">
        <f t="shared" si="57"/>
        <v>99.451836</v>
      </c>
      <c r="L763" s="9">
        <f t="shared" si="58"/>
        <v>126.575064</v>
      </c>
      <c r="M763" s="9">
        <f t="shared" si="59"/>
        <v>153.698292</v>
      </c>
    </row>
    <row r="764" spans="2:13">
      <c r="B764" s="13" t="s">
        <v>1522</v>
      </c>
      <c r="C764" s="4" t="s">
        <v>1521</v>
      </c>
      <c r="D764" s="4" t="s">
        <v>1521</v>
      </c>
      <c r="E764" s="4" t="s">
        <v>1521</v>
      </c>
      <c r="F764" s="4" t="s">
        <v>1521</v>
      </c>
      <c r="G764" s="5">
        <v>180.8256</v>
      </c>
      <c r="H764" s="9"/>
      <c r="I764" s="9">
        <f t="shared" si="55"/>
        <v>84.988032</v>
      </c>
      <c r="J764" s="9">
        <f t="shared" si="56"/>
        <v>90.4128</v>
      </c>
      <c r="K764" s="9">
        <f t="shared" si="57"/>
        <v>99.45408</v>
      </c>
      <c r="L764" s="9">
        <f t="shared" si="58"/>
        <v>126.57792</v>
      </c>
      <c r="M764" s="9">
        <f t="shared" si="59"/>
        <v>153.70176</v>
      </c>
    </row>
    <row r="765" spans="2:13">
      <c r="B765" s="13" t="s">
        <v>1523</v>
      </c>
      <c r="C765" s="4" t="s">
        <v>1524</v>
      </c>
      <c r="D765" s="4" t="s">
        <v>1524</v>
      </c>
      <c r="E765" s="4" t="s">
        <v>1524</v>
      </c>
      <c r="F765" s="4" t="s">
        <v>1524</v>
      </c>
      <c r="G765" s="5">
        <v>289.95948</v>
      </c>
      <c r="H765" s="9"/>
      <c r="I765" s="9">
        <f t="shared" si="55"/>
        <v>136.2809556</v>
      </c>
      <c r="J765" s="9">
        <f t="shared" si="56"/>
        <v>144.97974</v>
      </c>
      <c r="K765" s="9">
        <f t="shared" si="57"/>
        <v>159.477714</v>
      </c>
      <c r="L765" s="9">
        <f t="shared" si="58"/>
        <v>202.971636</v>
      </c>
      <c r="M765" s="9">
        <f t="shared" si="59"/>
        <v>246.465558</v>
      </c>
    </row>
    <row r="766" spans="2:13">
      <c r="B766" t="s">
        <v>1525</v>
      </c>
      <c r="C766" s="4" t="s">
        <v>1521</v>
      </c>
      <c r="D766" s="4" t="s">
        <v>1521</v>
      </c>
      <c r="E766" s="4" t="s">
        <v>1521</v>
      </c>
      <c r="F766" s="4" t="s">
        <v>1521</v>
      </c>
      <c r="G766" s="5">
        <v>289.95948</v>
      </c>
      <c r="H766" s="9"/>
      <c r="I766" s="9">
        <f t="shared" si="55"/>
        <v>136.2809556</v>
      </c>
      <c r="J766" s="9">
        <f t="shared" si="56"/>
        <v>144.97974</v>
      </c>
      <c r="K766" s="9">
        <f t="shared" si="57"/>
        <v>159.477714</v>
      </c>
      <c r="L766" s="9">
        <f t="shared" si="58"/>
        <v>202.971636</v>
      </c>
      <c r="M766" s="9">
        <f t="shared" si="59"/>
        <v>246.465558</v>
      </c>
    </row>
    <row r="767" ht="27" spans="2:13">
      <c r="B767" t="s">
        <v>1526</v>
      </c>
      <c r="C767" s="4" t="s">
        <v>1527</v>
      </c>
      <c r="D767" s="4" t="s">
        <v>1527</v>
      </c>
      <c r="E767" s="4" t="s">
        <v>1527</v>
      </c>
      <c r="F767" s="4" t="s">
        <v>1527</v>
      </c>
      <c r="G767" s="5">
        <v>289.95948</v>
      </c>
      <c r="H767" s="9"/>
      <c r="I767" s="9">
        <f t="shared" si="55"/>
        <v>136.2809556</v>
      </c>
      <c r="J767" s="9">
        <f t="shared" si="56"/>
        <v>144.97974</v>
      </c>
      <c r="K767" s="9">
        <f t="shared" si="57"/>
        <v>159.477714</v>
      </c>
      <c r="L767" s="9">
        <f t="shared" si="58"/>
        <v>202.971636</v>
      </c>
      <c r="M767" s="9">
        <f t="shared" si="59"/>
        <v>246.465558</v>
      </c>
    </row>
    <row r="768" spans="2:13">
      <c r="B768" t="s">
        <v>1528</v>
      </c>
      <c r="C768" s="4" t="s">
        <v>1529</v>
      </c>
      <c r="D768" s="4" t="s">
        <v>1529</v>
      </c>
      <c r="E768" s="4" t="s">
        <v>1529</v>
      </c>
      <c r="F768" s="4" t="s">
        <v>1529</v>
      </c>
      <c r="G768" s="5">
        <v>289.95948</v>
      </c>
      <c r="H768" s="9"/>
      <c r="I768" s="9">
        <f t="shared" si="55"/>
        <v>136.2809556</v>
      </c>
      <c r="J768" s="9">
        <f t="shared" si="56"/>
        <v>144.97974</v>
      </c>
      <c r="K768" s="9">
        <f t="shared" si="57"/>
        <v>159.477714</v>
      </c>
      <c r="L768" s="9">
        <f t="shared" si="58"/>
        <v>202.971636</v>
      </c>
      <c r="M768" s="9">
        <f t="shared" si="59"/>
        <v>246.465558</v>
      </c>
    </row>
    <row r="769" spans="2:13">
      <c r="B769" t="s">
        <v>1530</v>
      </c>
      <c r="C769" s="4" t="s">
        <v>1531</v>
      </c>
      <c r="D769" s="4" t="s">
        <v>1531</v>
      </c>
      <c r="E769" s="4" t="s">
        <v>1531</v>
      </c>
      <c r="F769" s="4" t="s">
        <v>1531</v>
      </c>
      <c r="G769" s="5">
        <v>360.18648</v>
      </c>
      <c r="H769" s="9"/>
      <c r="I769" s="9">
        <f t="shared" si="55"/>
        <v>169.2876456</v>
      </c>
      <c r="J769" s="9">
        <f t="shared" si="56"/>
        <v>180.09324</v>
      </c>
      <c r="K769" s="9">
        <f t="shared" si="57"/>
        <v>198.102564</v>
      </c>
      <c r="L769" s="9">
        <f t="shared" si="58"/>
        <v>252.130536</v>
      </c>
      <c r="M769" s="9">
        <f t="shared" si="59"/>
        <v>306.158508</v>
      </c>
    </row>
    <row r="770" spans="2:13">
      <c r="B770" s="13" t="s">
        <v>1532</v>
      </c>
      <c r="C770" s="4" t="s">
        <v>1521</v>
      </c>
      <c r="D770" s="4" t="s">
        <v>1521</v>
      </c>
      <c r="E770" s="4" t="s">
        <v>1521</v>
      </c>
      <c r="F770" s="4" t="s">
        <v>1521</v>
      </c>
      <c r="G770" s="5">
        <v>360.18648</v>
      </c>
      <c r="H770" s="9"/>
      <c r="I770" s="9">
        <f t="shared" si="55"/>
        <v>169.2876456</v>
      </c>
      <c r="J770" s="9">
        <f t="shared" si="56"/>
        <v>180.09324</v>
      </c>
      <c r="K770" s="9">
        <f t="shared" si="57"/>
        <v>198.102564</v>
      </c>
      <c r="L770" s="9">
        <f t="shared" si="58"/>
        <v>252.130536</v>
      </c>
      <c r="M770" s="9">
        <f t="shared" si="59"/>
        <v>306.158508</v>
      </c>
    </row>
    <row r="771" ht="27" spans="2:13">
      <c r="B771" t="s">
        <v>1533</v>
      </c>
      <c r="C771" s="4" t="s">
        <v>1534</v>
      </c>
      <c r="D771" s="4" t="s">
        <v>1534</v>
      </c>
      <c r="E771" s="4" t="s">
        <v>1534</v>
      </c>
      <c r="F771" s="4" t="s">
        <v>1534</v>
      </c>
      <c r="G771" s="5">
        <v>836.16948</v>
      </c>
      <c r="H771" s="9"/>
      <c r="I771" s="9">
        <f t="shared" si="55"/>
        <v>392.9996556</v>
      </c>
      <c r="J771" s="9">
        <f t="shared" si="56"/>
        <v>418.08474</v>
      </c>
      <c r="K771" s="9">
        <f t="shared" si="57"/>
        <v>459.893214</v>
      </c>
      <c r="L771" s="9">
        <f t="shared" si="58"/>
        <v>585.318636</v>
      </c>
      <c r="M771" s="9">
        <f t="shared" si="59"/>
        <v>710.744058</v>
      </c>
    </row>
    <row r="772" spans="2:13">
      <c r="B772" t="s">
        <v>1535</v>
      </c>
      <c r="C772" s="4" t="s">
        <v>1536</v>
      </c>
      <c r="D772" s="4" t="s">
        <v>1536</v>
      </c>
      <c r="E772" s="4" t="s">
        <v>1536</v>
      </c>
      <c r="F772" s="4" t="s">
        <v>1536</v>
      </c>
      <c r="G772" s="5">
        <v>1270.43244</v>
      </c>
      <c r="H772" s="9"/>
      <c r="I772" s="9">
        <f t="shared" ref="I772:I835" si="60">G772*0.47</f>
        <v>597.1032468</v>
      </c>
      <c r="J772" s="9">
        <f t="shared" ref="J772:J835" si="61">G772*0.5</f>
        <v>635.21622</v>
      </c>
      <c r="K772" s="9">
        <f t="shared" ref="K772:K835" si="62">G772*0.55</f>
        <v>698.737842</v>
      </c>
      <c r="L772" s="9">
        <f t="shared" ref="L772:L835" si="63">G772*0.7</f>
        <v>889.302708</v>
      </c>
      <c r="M772" s="9">
        <f t="shared" ref="M772:M835" si="64">G772*0.85</f>
        <v>1079.867574</v>
      </c>
    </row>
    <row r="773" spans="2:13">
      <c r="B773" t="s">
        <v>1537</v>
      </c>
      <c r="C773" s="4" t="s">
        <v>1538</v>
      </c>
      <c r="D773" s="4" t="s">
        <v>1538</v>
      </c>
      <c r="E773" s="4" t="s">
        <v>1538</v>
      </c>
      <c r="F773" s="4" t="s">
        <v>1538</v>
      </c>
      <c r="G773" s="5">
        <v>1149.1218</v>
      </c>
      <c r="H773" s="9"/>
      <c r="I773" s="9">
        <f t="shared" si="60"/>
        <v>540.087246</v>
      </c>
      <c r="J773" s="9">
        <f t="shared" si="61"/>
        <v>574.5609</v>
      </c>
      <c r="K773" s="9">
        <f t="shared" si="62"/>
        <v>632.01699</v>
      </c>
      <c r="L773" s="9">
        <f t="shared" si="63"/>
        <v>804.38526</v>
      </c>
      <c r="M773" s="9">
        <f t="shared" si="64"/>
        <v>976.75353</v>
      </c>
    </row>
    <row r="774" spans="2:13">
      <c r="B774" t="s">
        <v>1539</v>
      </c>
      <c r="C774" s="4" t="s">
        <v>1540</v>
      </c>
      <c r="D774" s="4" t="s">
        <v>1540</v>
      </c>
      <c r="E774" s="4" t="s">
        <v>1540</v>
      </c>
      <c r="F774" s="4" t="s">
        <v>1540</v>
      </c>
      <c r="G774" s="5">
        <v>1648.72188</v>
      </c>
      <c r="H774" s="9"/>
      <c r="I774" s="9">
        <f t="shared" si="60"/>
        <v>774.8992836</v>
      </c>
      <c r="J774" s="9">
        <f t="shared" si="61"/>
        <v>824.36094</v>
      </c>
      <c r="K774" s="9">
        <f t="shared" si="62"/>
        <v>906.797034</v>
      </c>
      <c r="L774" s="9">
        <f t="shared" si="63"/>
        <v>1154.105316</v>
      </c>
      <c r="M774" s="9">
        <f t="shared" si="64"/>
        <v>1401.413598</v>
      </c>
    </row>
    <row r="775" ht="27" spans="2:13">
      <c r="B775" t="s">
        <v>1541</v>
      </c>
      <c r="C775" s="4" t="s">
        <v>1542</v>
      </c>
      <c r="D775" s="4" t="s">
        <v>1542</v>
      </c>
      <c r="E775" s="4" t="s">
        <v>1542</v>
      </c>
      <c r="F775" s="4" t="s">
        <v>1542</v>
      </c>
      <c r="G775" s="5">
        <v>165.00744</v>
      </c>
      <c r="H775" s="9"/>
      <c r="I775" s="9">
        <f t="shared" si="60"/>
        <v>77.5534968</v>
      </c>
      <c r="J775" s="9">
        <f t="shared" si="61"/>
        <v>82.50372</v>
      </c>
      <c r="K775" s="9">
        <f t="shared" si="62"/>
        <v>90.754092</v>
      </c>
      <c r="L775" s="9">
        <f t="shared" si="63"/>
        <v>115.505208</v>
      </c>
      <c r="M775" s="9">
        <f t="shared" si="64"/>
        <v>140.256324</v>
      </c>
    </row>
    <row r="776" spans="2:13">
      <c r="B776" t="s">
        <v>1543</v>
      </c>
      <c r="C776" s="4" t="s">
        <v>1544</v>
      </c>
      <c r="D776" s="4" t="s">
        <v>1544</v>
      </c>
      <c r="E776" s="4" t="s">
        <v>1544</v>
      </c>
      <c r="F776" s="4" t="s">
        <v>1544</v>
      </c>
      <c r="G776" s="5">
        <v>208.70424</v>
      </c>
      <c r="H776" s="9"/>
      <c r="I776" s="9">
        <f t="shared" si="60"/>
        <v>98.0909928</v>
      </c>
      <c r="J776" s="9">
        <f t="shared" si="61"/>
        <v>104.35212</v>
      </c>
      <c r="K776" s="9">
        <f t="shared" si="62"/>
        <v>114.787332</v>
      </c>
      <c r="L776" s="9">
        <f t="shared" si="63"/>
        <v>146.092968</v>
      </c>
      <c r="M776" s="9">
        <f t="shared" si="64"/>
        <v>177.398604</v>
      </c>
    </row>
    <row r="777" spans="2:13">
      <c r="B777" t="s">
        <v>1545</v>
      </c>
      <c r="C777" s="4" t="s">
        <v>1546</v>
      </c>
      <c r="D777" s="4" t="s">
        <v>1546</v>
      </c>
      <c r="E777" s="4" t="s">
        <v>1546</v>
      </c>
      <c r="F777" s="4" t="s">
        <v>1546</v>
      </c>
      <c r="G777" s="5">
        <v>420.11352</v>
      </c>
      <c r="H777" s="9"/>
      <c r="I777" s="9">
        <f t="shared" si="60"/>
        <v>197.4533544</v>
      </c>
      <c r="J777" s="9">
        <f t="shared" si="61"/>
        <v>210.05676</v>
      </c>
      <c r="K777" s="9">
        <f t="shared" si="62"/>
        <v>231.062436</v>
      </c>
      <c r="L777" s="9">
        <f t="shared" si="63"/>
        <v>294.079464</v>
      </c>
      <c r="M777" s="9">
        <f t="shared" si="64"/>
        <v>357.096492</v>
      </c>
    </row>
    <row r="778" spans="2:13">
      <c r="B778" t="s">
        <v>1547</v>
      </c>
      <c r="C778" s="4" t="s">
        <v>1548</v>
      </c>
      <c r="D778" s="4" t="s">
        <v>1548</v>
      </c>
      <c r="E778" s="4" t="s">
        <v>1548</v>
      </c>
      <c r="F778" s="4" t="s">
        <v>1548</v>
      </c>
      <c r="G778" s="5">
        <v>903.69144</v>
      </c>
      <c r="H778" s="9"/>
      <c r="I778" s="9">
        <f t="shared" si="60"/>
        <v>424.7349768</v>
      </c>
      <c r="J778" s="9">
        <f t="shared" si="61"/>
        <v>451.84572</v>
      </c>
      <c r="K778" s="9">
        <f t="shared" si="62"/>
        <v>497.030292</v>
      </c>
      <c r="L778" s="9">
        <f t="shared" si="63"/>
        <v>632.584008</v>
      </c>
      <c r="M778" s="9">
        <f t="shared" si="64"/>
        <v>768.137724</v>
      </c>
    </row>
    <row r="779" ht="27" spans="2:13">
      <c r="B779" t="s">
        <v>1549</v>
      </c>
      <c r="C779" s="4" t="s">
        <v>1550</v>
      </c>
      <c r="D779" s="4" t="s">
        <v>1550</v>
      </c>
      <c r="E779" s="4" t="s">
        <v>1550</v>
      </c>
      <c r="F779" s="4" t="s">
        <v>1550</v>
      </c>
      <c r="G779" s="5">
        <v>1419.31368</v>
      </c>
      <c r="H779" s="9"/>
      <c r="I779" s="9">
        <f t="shared" si="60"/>
        <v>667.0774296</v>
      </c>
      <c r="J779" s="9">
        <f t="shared" si="61"/>
        <v>709.65684</v>
      </c>
      <c r="K779" s="9">
        <f t="shared" si="62"/>
        <v>780.622524</v>
      </c>
      <c r="L779" s="9">
        <f t="shared" si="63"/>
        <v>993.519576</v>
      </c>
      <c r="M779" s="9">
        <f t="shared" si="64"/>
        <v>1206.416628</v>
      </c>
    </row>
    <row r="780" spans="2:13">
      <c r="B780" t="s">
        <v>1551</v>
      </c>
      <c r="C780" s="4" t="s">
        <v>1552</v>
      </c>
      <c r="D780" s="4" t="s">
        <v>1552</v>
      </c>
      <c r="E780" s="4" t="s">
        <v>1552</v>
      </c>
      <c r="F780" s="4" t="s">
        <v>1552</v>
      </c>
      <c r="G780" s="5">
        <v>72.09972</v>
      </c>
      <c r="H780" s="9"/>
      <c r="I780" s="9">
        <f t="shared" si="60"/>
        <v>33.8868684</v>
      </c>
      <c r="J780" s="9">
        <f t="shared" si="61"/>
        <v>36.04986</v>
      </c>
      <c r="K780" s="9">
        <f t="shared" si="62"/>
        <v>39.654846</v>
      </c>
      <c r="L780" s="9">
        <f t="shared" si="63"/>
        <v>50.469804</v>
      </c>
      <c r="M780" s="9">
        <f t="shared" si="64"/>
        <v>61.284762</v>
      </c>
    </row>
    <row r="781" spans="2:13">
      <c r="B781" t="s">
        <v>1553</v>
      </c>
      <c r="C781" s="4" t="s">
        <v>1554</v>
      </c>
      <c r="D781" s="4" t="s">
        <v>1554</v>
      </c>
      <c r="E781" s="4" t="s">
        <v>1554</v>
      </c>
      <c r="F781" s="4" t="s">
        <v>1554</v>
      </c>
      <c r="G781" s="5">
        <v>82.29564</v>
      </c>
      <c r="H781" s="9"/>
      <c r="I781" s="9">
        <f t="shared" si="60"/>
        <v>38.6789508</v>
      </c>
      <c r="J781" s="9">
        <f t="shared" si="61"/>
        <v>41.14782</v>
      </c>
      <c r="K781" s="9">
        <f t="shared" si="62"/>
        <v>45.262602</v>
      </c>
      <c r="L781" s="9">
        <f t="shared" si="63"/>
        <v>57.606948</v>
      </c>
      <c r="M781" s="9">
        <f t="shared" si="64"/>
        <v>69.951294</v>
      </c>
    </row>
    <row r="782" spans="2:13">
      <c r="B782" t="s">
        <v>1555</v>
      </c>
      <c r="C782" s="4" t="s">
        <v>1556</v>
      </c>
      <c r="D782" s="4" t="s">
        <v>1556</v>
      </c>
      <c r="E782" s="4" t="s">
        <v>1556</v>
      </c>
      <c r="F782" s="4" t="s">
        <v>1556</v>
      </c>
      <c r="G782" s="5">
        <v>101.54304</v>
      </c>
      <c r="H782" s="9"/>
      <c r="I782" s="9">
        <f t="shared" si="60"/>
        <v>47.7252288</v>
      </c>
      <c r="J782" s="9">
        <f t="shared" si="61"/>
        <v>50.77152</v>
      </c>
      <c r="K782" s="9">
        <f t="shared" si="62"/>
        <v>55.848672</v>
      </c>
      <c r="L782" s="9">
        <f t="shared" si="63"/>
        <v>71.080128</v>
      </c>
      <c r="M782" s="9">
        <f t="shared" si="64"/>
        <v>86.311584</v>
      </c>
    </row>
    <row r="783" ht="27" spans="2:13">
      <c r="B783" t="s">
        <v>1557</v>
      </c>
      <c r="C783" s="4" t="s">
        <v>1558</v>
      </c>
      <c r="D783" s="4" t="s">
        <v>1558</v>
      </c>
      <c r="E783" s="4" t="s">
        <v>1558</v>
      </c>
      <c r="F783" s="4" t="s">
        <v>1558</v>
      </c>
      <c r="G783" s="5">
        <v>446.95584</v>
      </c>
      <c r="H783" s="9"/>
      <c r="I783" s="9">
        <f t="shared" si="60"/>
        <v>210.0692448</v>
      </c>
      <c r="J783" s="9">
        <f t="shared" si="61"/>
        <v>223.47792</v>
      </c>
      <c r="K783" s="9">
        <f t="shared" si="62"/>
        <v>245.825712</v>
      </c>
      <c r="L783" s="9">
        <f t="shared" si="63"/>
        <v>312.869088</v>
      </c>
      <c r="M783" s="9">
        <f t="shared" si="64"/>
        <v>379.912464</v>
      </c>
    </row>
    <row r="784" ht="27" spans="2:13">
      <c r="B784" t="s">
        <v>1559</v>
      </c>
      <c r="C784" s="4" t="s">
        <v>1560</v>
      </c>
      <c r="D784" s="4" t="s">
        <v>1560</v>
      </c>
      <c r="E784" s="4" t="s">
        <v>1560</v>
      </c>
      <c r="F784" s="4" t="s">
        <v>1560</v>
      </c>
      <c r="G784" s="5">
        <v>670.32972</v>
      </c>
      <c r="H784" s="9"/>
      <c r="I784" s="9">
        <f t="shared" si="60"/>
        <v>315.0549684</v>
      </c>
      <c r="J784" s="9">
        <f t="shared" si="61"/>
        <v>335.16486</v>
      </c>
      <c r="K784" s="9">
        <f t="shared" si="62"/>
        <v>368.681346</v>
      </c>
      <c r="L784" s="9">
        <f t="shared" si="63"/>
        <v>469.230804</v>
      </c>
      <c r="M784" s="9">
        <f t="shared" si="64"/>
        <v>569.780262</v>
      </c>
    </row>
    <row r="785" ht="27" spans="2:13">
      <c r="B785" t="s">
        <v>1561</v>
      </c>
      <c r="C785" s="4" t="s">
        <v>1562</v>
      </c>
      <c r="D785" s="4" t="s">
        <v>1562</v>
      </c>
      <c r="E785" s="4" t="s">
        <v>1562</v>
      </c>
      <c r="F785" s="4" t="s">
        <v>1562</v>
      </c>
      <c r="G785" s="5">
        <v>1186.5762</v>
      </c>
      <c r="H785" s="9"/>
      <c r="I785" s="9">
        <f t="shared" si="60"/>
        <v>557.690814</v>
      </c>
      <c r="J785" s="9">
        <f t="shared" si="61"/>
        <v>593.2881</v>
      </c>
      <c r="K785" s="9">
        <f t="shared" si="62"/>
        <v>652.61691</v>
      </c>
      <c r="L785" s="9">
        <f t="shared" si="63"/>
        <v>830.60334</v>
      </c>
      <c r="M785" s="9">
        <f t="shared" si="64"/>
        <v>1008.58977</v>
      </c>
    </row>
    <row r="786" ht="27" spans="2:13">
      <c r="B786" t="s">
        <v>1563</v>
      </c>
      <c r="C786" s="4" t="s">
        <v>1564</v>
      </c>
      <c r="D786" s="4" t="s">
        <v>1564</v>
      </c>
      <c r="E786" s="4" t="s">
        <v>1564</v>
      </c>
      <c r="F786" s="4" t="s">
        <v>1564</v>
      </c>
      <c r="G786" s="5">
        <v>2148.426</v>
      </c>
      <c r="H786" s="9"/>
      <c r="I786" s="9">
        <f t="shared" si="60"/>
        <v>1009.76022</v>
      </c>
      <c r="J786" s="9">
        <f t="shared" si="61"/>
        <v>1074.213</v>
      </c>
      <c r="K786" s="9">
        <f t="shared" si="62"/>
        <v>1181.6343</v>
      </c>
      <c r="L786" s="9">
        <f t="shared" si="63"/>
        <v>1503.8982</v>
      </c>
      <c r="M786" s="9">
        <f t="shared" si="64"/>
        <v>1826.1621</v>
      </c>
    </row>
    <row r="787" spans="2:13">
      <c r="B787" t="s">
        <v>1565</v>
      </c>
      <c r="C787" s="4" t="s">
        <v>1566</v>
      </c>
      <c r="D787" s="4" t="s">
        <v>1566</v>
      </c>
      <c r="E787" s="4" t="s">
        <v>1566</v>
      </c>
      <c r="F787" s="4" t="s">
        <v>1566</v>
      </c>
      <c r="G787" s="5">
        <v>3286.6236</v>
      </c>
      <c r="H787" s="9"/>
      <c r="I787" s="9">
        <f t="shared" si="60"/>
        <v>1544.713092</v>
      </c>
      <c r="J787" s="9">
        <f t="shared" si="61"/>
        <v>1643.3118</v>
      </c>
      <c r="K787" s="9">
        <f t="shared" si="62"/>
        <v>1807.64298</v>
      </c>
      <c r="L787" s="9">
        <f t="shared" si="63"/>
        <v>2300.63652</v>
      </c>
      <c r="M787" s="9">
        <f t="shared" si="64"/>
        <v>2793.63006</v>
      </c>
    </row>
    <row r="788" ht="27" spans="2:13">
      <c r="B788" t="s">
        <v>1567</v>
      </c>
      <c r="C788" s="4" t="s">
        <v>1568</v>
      </c>
      <c r="D788" s="4" t="s">
        <v>1568</v>
      </c>
      <c r="E788" s="4" t="s">
        <v>1568</v>
      </c>
      <c r="F788" s="4" t="s">
        <v>1568</v>
      </c>
      <c r="G788" s="5">
        <v>103.20768</v>
      </c>
      <c r="H788" s="9"/>
      <c r="I788" s="9">
        <f t="shared" si="60"/>
        <v>48.5076096</v>
      </c>
      <c r="J788" s="9">
        <f t="shared" si="61"/>
        <v>51.60384</v>
      </c>
      <c r="K788" s="9">
        <f t="shared" si="62"/>
        <v>56.764224</v>
      </c>
      <c r="L788" s="9">
        <f t="shared" si="63"/>
        <v>72.245376</v>
      </c>
      <c r="M788" s="9">
        <f t="shared" si="64"/>
        <v>87.726528</v>
      </c>
    </row>
    <row r="789" ht="27" spans="2:13">
      <c r="B789" t="s">
        <v>1569</v>
      </c>
      <c r="C789" s="4" t="s">
        <v>1570</v>
      </c>
      <c r="D789" s="4" t="s">
        <v>1570</v>
      </c>
      <c r="E789" s="4" t="s">
        <v>1570</v>
      </c>
      <c r="F789" s="4" t="s">
        <v>1570</v>
      </c>
      <c r="G789" s="5">
        <v>241.78896</v>
      </c>
      <c r="H789" s="9"/>
      <c r="I789" s="9">
        <f t="shared" si="60"/>
        <v>113.6408112</v>
      </c>
      <c r="J789" s="9">
        <f t="shared" si="61"/>
        <v>120.89448</v>
      </c>
      <c r="K789" s="9">
        <f t="shared" si="62"/>
        <v>132.983928</v>
      </c>
      <c r="L789" s="9">
        <f t="shared" si="63"/>
        <v>169.252272</v>
      </c>
      <c r="M789" s="9">
        <f t="shared" si="64"/>
        <v>205.520616</v>
      </c>
    </row>
    <row r="790" ht="27" spans="2:13">
      <c r="B790" t="s">
        <v>1571</v>
      </c>
      <c r="C790" s="4" t="s">
        <v>1572</v>
      </c>
      <c r="D790" s="4" t="s">
        <v>1572</v>
      </c>
      <c r="E790" s="4" t="s">
        <v>1572</v>
      </c>
      <c r="F790" s="4" t="s">
        <v>1572</v>
      </c>
      <c r="G790" s="5">
        <v>288.50292</v>
      </c>
      <c r="H790" s="9"/>
      <c r="I790" s="9">
        <f t="shared" si="60"/>
        <v>135.5963724</v>
      </c>
      <c r="J790" s="9">
        <f t="shared" si="61"/>
        <v>144.25146</v>
      </c>
      <c r="K790" s="9">
        <f t="shared" si="62"/>
        <v>158.676606</v>
      </c>
      <c r="L790" s="9">
        <f t="shared" si="63"/>
        <v>201.952044</v>
      </c>
      <c r="M790" s="9">
        <f t="shared" si="64"/>
        <v>245.227482</v>
      </c>
    </row>
    <row r="791" ht="27" spans="2:13">
      <c r="B791" t="s">
        <v>1573</v>
      </c>
      <c r="C791" s="4" t="s">
        <v>1574</v>
      </c>
      <c r="D791" s="4" t="s">
        <v>1574</v>
      </c>
      <c r="E791" s="4" t="s">
        <v>1574</v>
      </c>
      <c r="F791" s="4" t="s">
        <v>1574</v>
      </c>
      <c r="G791" s="5">
        <v>596.1492</v>
      </c>
      <c r="H791" s="9"/>
      <c r="I791" s="9">
        <f t="shared" si="60"/>
        <v>280.190124</v>
      </c>
      <c r="J791" s="9">
        <f t="shared" si="61"/>
        <v>298.0746</v>
      </c>
      <c r="K791" s="9">
        <f t="shared" si="62"/>
        <v>327.88206</v>
      </c>
      <c r="L791" s="9">
        <f t="shared" si="63"/>
        <v>417.30444</v>
      </c>
      <c r="M791" s="9">
        <f t="shared" si="64"/>
        <v>506.72682</v>
      </c>
    </row>
    <row r="792" ht="27" spans="2:13">
      <c r="B792" t="s">
        <v>1575</v>
      </c>
      <c r="C792" s="4" t="s">
        <v>1576</v>
      </c>
      <c r="D792" s="4" t="s">
        <v>1576</v>
      </c>
      <c r="E792" s="4" t="s">
        <v>1576</v>
      </c>
      <c r="F792" s="4" t="s">
        <v>1576</v>
      </c>
      <c r="G792" s="5">
        <v>115.79652</v>
      </c>
      <c r="H792" s="9"/>
      <c r="I792" s="9">
        <f t="shared" si="60"/>
        <v>54.4243644</v>
      </c>
      <c r="J792" s="9">
        <f t="shared" si="61"/>
        <v>57.89826</v>
      </c>
      <c r="K792" s="9">
        <f t="shared" si="62"/>
        <v>63.688086</v>
      </c>
      <c r="L792" s="9">
        <f t="shared" si="63"/>
        <v>81.057564</v>
      </c>
      <c r="M792" s="9">
        <f t="shared" si="64"/>
        <v>98.427042</v>
      </c>
    </row>
    <row r="793" ht="27" spans="2:13">
      <c r="B793" t="s">
        <v>1577</v>
      </c>
      <c r="C793" s="4" t="s">
        <v>1578</v>
      </c>
      <c r="D793" s="4" t="s">
        <v>1578</v>
      </c>
      <c r="E793" s="4" t="s">
        <v>1578</v>
      </c>
      <c r="F793" s="4" t="s">
        <v>1578</v>
      </c>
      <c r="G793" s="5">
        <v>255.10608</v>
      </c>
      <c r="H793" s="9"/>
      <c r="I793" s="9">
        <f t="shared" si="60"/>
        <v>119.8998576</v>
      </c>
      <c r="J793" s="9">
        <f t="shared" si="61"/>
        <v>127.55304</v>
      </c>
      <c r="K793" s="9">
        <f t="shared" si="62"/>
        <v>140.308344</v>
      </c>
      <c r="L793" s="9">
        <f t="shared" si="63"/>
        <v>178.574256</v>
      </c>
      <c r="M793" s="9">
        <f t="shared" si="64"/>
        <v>216.840168</v>
      </c>
    </row>
    <row r="794" ht="27" spans="2:13">
      <c r="B794" t="s">
        <v>1579</v>
      </c>
      <c r="C794" s="4" t="s">
        <v>1580</v>
      </c>
      <c r="D794" s="4" t="s">
        <v>1580</v>
      </c>
      <c r="E794" s="4" t="s">
        <v>1580</v>
      </c>
      <c r="F794" s="4" t="s">
        <v>1580</v>
      </c>
      <c r="G794" s="5">
        <v>300.36348</v>
      </c>
      <c r="H794" s="9"/>
      <c r="I794" s="9">
        <f t="shared" si="60"/>
        <v>141.1708356</v>
      </c>
      <c r="J794" s="9">
        <f t="shared" si="61"/>
        <v>150.18174</v>
      </c>
      <c r="K794" s="9">
        <f t="shared" si="62"/>
        <v>165.199914</v>
      </c>
      <c r="L794" s="9">
        <f t="shared" si="63"/>
        <v>210.254436</v>
      </c>
      <c r="M794" s="9">
        <f t="shared" si="64"/>
        <v>255.308958</v>
      </c>
    </row>
    <row r="795" ht="27" spans="2:13">
      <c r="B795" t="s">
        <v>1581</v>
      </c>
      <c r="C795" s="4" t="s">
        <v>1582</v>
      </c>
      <c r="D795" s="4" t="s">
        <v>1582</v>
      </c>
      <c r="E795" s="4" t="s">
        <v>1582</v>
      </c>
      <c r="F795" s="4" t="s">
        <v>1582</v>
      </c>
      <c r="G795" s="5">
        <v>685.6236</v>
      </c>
      <c r="H795" s="9"/>
      <c r="I795" s="9">
        <f t="shared" si="60"/>
        <v>322.243092</v>
      </c>
      <c r="J795" s="9">
        <f t="shared" si="61"/>
        <v>342.8118</v>
      </c>
      <c r="K795" s="9">
        <f t="shared" si="62"/>
        <v>377.09298</v>
      </c>
      <c r="L795" s="9">
        <f t="shared" si="63"/>
        <v>479.93652</v>
      </c>
      <c r="M795" s="9">
        <f t="shared" si="64"/>
        <v>582.78006</v>
      </c>
    </row>
    <row r="796" spans="2:13">
      <c r="B796" t="s">
        <v>1583</v>
      </c>
      <c r="C796" s="4" t="s">
        <v>1584</v>
      </c>
      <c r="D796" s="4" t="s">
        <v>1584</v>
      </c>
      <c r="E796" s="4" t="s">
        <v>1584</v>
      </c>
      <c r="F796" s="4" t="s">
        <v>1584</v>
      </c>
      <c r="G796" s="5">
        <v>182.48616</v>
      </c>
      <c r="H796" s="9"/>
      <c r="I796" s="9">
        <f t="shared" si="60"/>
        <v>85.7684952</v>
      </c>
      <c r="J796" s="9">
        <f t="shared" si="61"/>
        <v>91.24308</v>
      </c>
      <c r="K796" s="9">
        <f t="shared" si="62"/>
        <v>100.367388</v>
      </c>
      <c r="L796" s="9">
        <f t="shared" si="63"/>
        <v>127.740312</v>
      </c>
      <c r="M796" s="9">
        <f t="shared" si="64"/>
        <v>155.113236</v>
      </c>
    </row>
    <row r="797" spans="2:13">
      <c r="B797" t="s">
        <v>1585</v>
      </c>
      <c r="C797" s="4" t="s">
        <v>1586</v>
      </c>
      <c r="D797" s="4" t="s">
        <v>1586</v>
      </c>
      <c r="E797" s="4" t="s">
        <v>1586</v>
      </c>
      <c r="F797" s="4" t="s">
        <v>1586</v>
      </c>
      <c r="G797" s="5">
        <v>260.6202</v>
      </c>
      <c r="H797" s="9"/>
      <c r="I797" s="9">
        <f t="shared" si="60"/>
        <v>122.491494</v>
      </c>
      <c r="J797" s="9">
        <f t="shared" si="61"/>
        <v>130.3101</v>
      </c>
      <c r="K797" s="9">
        <f t="shared" si="62"/>
        <v>143.34111</v>
      </c>
      <c r="L797" s="9">
        <f t="shared" si="63"/>
        <v>182.43414</v>
      </c>
      <c r="M797" s="9">
        <f t="shared" si="64"/>
        <v>221.52717</v>
      </c>
    </row>
    <row r="798" ht="27" spans="2:13">
      <c r="B798" t="s">
        <v>1587</v>
      </c>
      <c r="C798" s="4" t="s">
        <v>1588</v>
      </c>
      <c r="D798" s="4" t="s">
        <v>1588</v>
      </c>
      <c r="E798" s="4" t="s">
        <v>1588</v>
      </c>
      <c r="F798" s="4" t="s">
        <v>1588</v>
      </c>
      <c r="G798" s="5">
        <v>323.46036</v>
      </c>
      <c r="H798" s="9"/>
      <c r="I798" s="9">
        <f t="shared" si="60"/>
        <v>152.0263692</v>
      </c>
      <c r="J798" s="9">
        <f t="shared" si="61"/>
        <v>161.73018</v>
      </c>
      <c r="K798" s="9">
        <f t="shared" si="62"/>
        <v>177.903198</v>
      </c>
      <c r="L798" s="9">
        <f t="shared" si="63"/>
        <v>226.422252</v>
      </c>
      <c r="M798" s="9">
        <f t="shared" si="64"/>
        <v>274.941306</v>
      </c>
    </row>
    <row r="799" spans="2:13">
      <c r="B799" t="s">
        <v>1589</v>
      </c>
      <c r="C799" s="4" t="s">
        <v>1590</v>
      </c>
      <c r="D799" s="4" t="s">
        <v>1590</v>
      </c>
      <c r="E799" s="4" t="s">
        <v>1590</v>
      </c>
      <c r="F799" s="4" t="s">
        <v>1590</v>
      </c>
      <c r="G799" s="5">
        <v>409.3974</v>
      </c>
      <c r="H799" s="9"/>
      <c r="I799" s="9">
        <f t="shared" si="60"/>
        <v>192.416778</v>
      </c>
      <c r="J799" s="9">
        <f t="shared" si="61"/>
        <v>204.6987</v>
      </c>
      <c r="K799" s="9">
        <f t="shared" si="62"/>
        <v>225.16857</v>
      </c>
      <c r="L799" s="9">
        <f t="shared" si="63"/>
        <v>286.57818</v>
      </c>
      <c r="M799" s="9">
        <f t="shared" si="64"/>
        <v>347.98779</v>
      </c>
    </row>
    <row r="800" ht="27" spans="2:13">
      <c r="B800" t="s">
        <v>1591</v>
      </c>
      <c r="C800" s="4" t="s">
        <v>1592</v>
      </c>
      <c r="D800" s="4" t="s">
        <v>1592</v>
      </c>
      <c r="E800" s="4" t="s">
        <v>1592</v>
      </c>
      <c r="F800" s="4" t="s">
        <v>1592</v>
      </c>
      <c r="G800" s="5">
        <v>923.355</v>
      </c>
      <c r="H800" s="9"/>
      <c r="I800" s="9">
        <f t="shared" si="60"/>
        <v>433.97685</v>
      </c>
      <c r="J800" s="9">
        <f t="shared" si="61"/>
        <v>461.6775</v>
      </c>
      <c r="K800" s="9">
        <f t="shared" si="62"/>
        <v>507.84525</v>
      </c>
      <c r="L800" s="9">
        <f t="shared" si="63"/>
        <v>646.3485</v>
      </c>
      <c r="M800" s="9">
        <f t="shared" si="64"/>
        <v>784.85175</v>
      </c>
    </row>
    <row r="801" spans="2:13">
      <c r="B801" t="s">
        <v>1593</v>
      </c>
      <c r="C801" s="4" t="s">
        <v>1594</v>
      </c>
      <c r="D801" s="4" t="s">
        <v>1594</v>
      </c>
      <c r="E801" s="4" t="s">
        <v>1594</v>
      </c>
      <c r="F801" s="4" t="s">
        <v>1594</v>
      </c>
      <c r="G801" s="5">
        <v>218.90016</v>
      </c>
      <c r="H801" s="9"/>
      <c r="I801" s="9">
        <f t="shared" si="60"/>
        <v>102.8830752</v>
      </c>
      <c r="J801" s="9">
        <f t="shared" si="61"/>
        <v>109.45008</v>
      </c>
      <c r="K801" s="9">
        <f t="shared" si="62"/>
        <v>120.395088</v>
      </c>
      <c r="L801" s="9">
        <f t="shared" si="63"/>
        <v>153.230112</v>
      </c>
      <c r="M801" s="9">
        <f t="shared" si="64"/>
        <v>186.065136</v>
      </c>
    </row>
    <row r="802" spans="2:13">
      <c r="B802" t="s">
        <v>1595</v>
      </c>
      <c r="C802" s="4" t="s">
        <v>1596</v>
      </c>
      <c r="D802" s="4" t="s">
        <v>1596</v>
      </c>
      <c r="E802" s="4" t="s">
        <v>1596</v>
      </c>
      <c r="F802" s="4" t="s">
        <v>1596</v>
      </c>
      <c r="G802" s="5">
        <v>82.29564</v>
      </c>
      <c r="H802" s="9"/>
      <c r="I802" s="9">
        <f t="shared" si="60"/>
        <v>38.6789508</v>
      </c>
      <c r="J802" s="9">
        <f t="shared" si="61"/>
        <v>41.14782</v>
      </c>
      <c r="K802" s="9">
        <f t="shared" si="62"/>
        <v>45.262602</v>
      </c>
      <c r="L802" s="9">
        <f t="shared" si="63"/>
        <v>57.606948</v>
      </c>
      <c r="M802" s="9">
        <f t="shared" si="64"/>
        <v>69.951294</v>
      </c>
    </row>
    <row r="803" spans="2:13">
      <c r="B803" t="s">
        <v>1597</v>
      </c>
      <c r="C803" s="4" t="s">
        <v>1598</v>
      </c>
      <c r="D803" s="4" t="s">
        <v>1598</v>
      </c>
      <c r="E803" s="4" t="s">
        <v>1598</v>
      </c>
      <c r="F803" s="4" t="s">
        <v>1598</v>
      </c>
      <c r="G803" s="5">
        <v>105.6006</v>
      </c>
      <c r="H803" s="9"/>
      <c r="I803" s="9">
        <f t="shared" si="60"/>
        <v>49.632282</v>
      </c>
      <c r="J803" s="9">
        <f t="shared" si="61"/>
        <v>52.8003</v>
      </c>
      <c r="K803" s="9">
        <f t="shared" si="62"/>
        <v>58.08033</v>
      </c>
      <c r="L803" s="9">
        <f t="shared" si="63"/>
        <v>73.92042</v>
      </c>
      <c r="M803" s="9">
        <f t="shared" si="64"/>
        <v>89.76051</v>
      </c>
    </row>
    <row r="804" spans="2:13">
      <c r="B804" t="s">
        <v>1599</v>
      </c>
      <c r="C804" s="4" t="s">
        <v>1600</v>
      </c>
      <c r="D804" s="4" t="s">
        <v>1600</v>
      </c>
      <c r="E804" s="4" t="s">
        <v>1600</v>
      </c>
      <c r="F804" s="4" t="s">
        <v>1600</v>
      </c>
      <c r="G804" s="5">
        <v>345.72492</v>
      </c>
      <c r="H804" s="9"/>
      <c r="I804" s="9">
        <f t="shared" si="60"/>
        <v>162.4907124</v>
      </c>
      <c r="J804" s="9">
        <f t="shared" si="61"/>
        <v>172.86246</v>
      </c>
      <c r="K804" s="9">
        <f t="shared" si="62"/>
        <v>190.148706</v>
      </c>
      <c r="L804" s="9">
        <f t="shared" si="63"/>
        <v>242.007444</v>
      </c>
      <c r="M804" s="9">
        <f t="shared" si="64"/>
        <v>293.866182</v>
      </c>
    </row>
    <row r="805" spans="2:13">
      <c r="B805" t="s">
        <v>1601</v>
      </c>
      <c r="C805" s="4" t="s">
        <v>1602</v>
      </c>
      <c r="D805" s="4" t="s">
        <v>1602</v>
      </c>
      <c r="E805" s="4" t="s">
        <v>1602</v>
      </c>
      <c r="F805" s="4" t="s">
        <v>1602</v>
      </c>
      <c r="G805" s="5">
        <v>202.14972</v>
      </c>
      <c r="H805" s="9"/>
      <c r="I805" s="9">
        <f t="shared" si="60"/>
        <v>95.0103684</v>
      </c>
      <c r="J805" s="9">
        <f t="shared" si="61"/>
        <v>101.07486</v>
      </c>
      <c r="K805" s="9">
        <f t="shared" si="62"/>
        <v>111.182346</v>
      </c>
      <c r="L805" s="9">
        <f t="shared" si="63"/>
        <v>141.504804</v>
      </c>
      <c r="M805" s="9">
        <f t="shared" si="64"/>
        <v>171.827262</v>
      </c>
    </row>
    <row r="806" spans="2:13">
      <c r="B806" t="s">
        <v>1603</v>
      </c>
      <c r="C806" s="4" t="s">
        <v>1604</v>
      </c>
      <c r="D806" s="4" t="s">
        <v>1604</v>
      </c>
      <c r="E806" s="4" t="s">
        <v>1604</v>
      </c>
      <c r="F806" s="4" t="s">
        <v>1604</v>
      </c>
      <c r="G806" s="5">
        <v>518.43132</v>
      </c>
      <c r="H806" s="9"/>
      <c r="I806" s="9">
        <f t="shared" si="60"/>
        <v>243.6627204</v>
      </c>
      <c r="J806" s="9">
        <f t="shared" si="61"/>
        <v>259.21566</v>
      </c>
      <c r="K806" s="9">
        <f t="shared" si="62"/>
        <v>285.137226</v>
      </c>
      <c r="L806" s="9">
        <f t="shared" si="63"/>
        <v>362.901924</v>
      </c>
      <c r="M806" s="9">
        <f t="shared" si="64"/>
        <v>440.666622</v>
      </c>
    </row>
    <row r="807" spans="2:13">
      <c r="B807" t="s">
        <v>1605</v>
      </c>
      <c r="C807" s="4" t="s">
        <v>1606</v>
      </c>
      <c r="D807" s="4" t="s">
        <v>1606</v>
      </c>
      <c r="E807" s="4" t="s">
        <v>1606</v>
      </c>
      <c r="F807" s="4" t="s">
        <v>1606</v>
      </c>
      <c r="G807" s="5">
        <v>515.93436</v>
      </c>
      <c r="H807" s="9"/>
      <c r="I807" s="9">
        <f t="shared" si="60"/>
        <v>242.4891492</v>
      </c>
      <c r="J807" s="9">
        <f t="shared" si="61"/>
        <v>257.96718</v>
      </c>
      <c r="K807" s="9">
        <f t="shared" si="62"/>
        <v>283.763898</v>
      </c>
      <c r="L807" s="9">
        <f t="shared" si="63"/>
        <v>361.154052</v>
      </c>
      <c r="M807" s="9">
        <f t="shared" si="64"/>
        <v>438.544206</v>
      </c>
    </row>
    <row r="808" spans="2:13">
      <c r="B808" t="s">
        <v>1607</v>
      </c>
      <c r="C808" s="4" t="s">
        <v>1608</v>
      </c>
      <c r="D808" s="4" t="s">
        <v>1608</v>
      </c>
      <c r="E808" s="4" t="s">
        <v>1608</v>
      </c>
      <c r="F808" s="4" t="s">
        <v>1608</v>
      </c>
      <c r="G808" s="5">
        <v>707.26392</v>
      </c>
      <c r="H808" s="9"/>
      <c r="I808" s="9">
        <f t="shared" si="60"/>
        <v>332.4140424</v>
      </c>
      <c r="J808" s="9">
        <f t="shared" si="61"/>
        <v>353.63196</v>
      </c>
      <c r="K808" s="9">
        <f t="shared" si="62"/>
        <v>388.995156</v>
      </c>
      <c r="L808" s="9">
        <f t="shared" si="63"/>
        <v>495.084744</v>
      </c>
      <c r="M808" s="9">
        <f t="shared" si="64"/>
        <v>601.174332</v>
      </c>
    </row>
    <row r="809" ht="27" spans="2:13">
      <c r="B809" t="s">
        <v>1609</v>
      </c>
      <c r="C809" s="4" t="s">
        <v>1610</v>
      </c>
      <c r="D809" s="4" t="s">
        <v>1610</v>
      </c>
      <c r="E809" s="4" t="s">
        <v>1610</v>
      </c>
      <c r="F809" s="4" t="s">
        <v>1610</v>
      </c>
      <c r="G809" s="5">
        <v>4845</v>
      </c>
      <c r="H809" s="9"/>
      <c r="I809" s="9">
        <f t="shared" si="60"/>
        <v>2277.15</v>
      </c>
      <c r="J809" s="9">
        <f t="shared" si="61"/>
        <v>2422.5</v>
      </c>
      <c r="K809" s="9">
        <f t="shared" si="62"/>
        <v>2664.75</v>
      </c>
      <c r="L809" s="9">
        <f t="shared" si="63"/>
        <v>3391.5</v>
      </c>
      <c r="M809" s="9">
        <f t="shared" si="64"/>
        <v>4118.25</v>
      </c>
    </row>
    <row r="810" spans="2:13">
      <c r="B810" t="s">
        <v>1611</v>
      </c>
      <c r="C810" s="4" t="s">
        <v>1612</v>
      </c>
      <c r="D810" s="4" t="s">
        <v>1612</v>
      </c>
      <c r="E810" s="4" t="s">
        <v>1612</v>
      </c>
      <c r="F810" s="4" t="s">
        <v>1612</v>
      </c>
      <c r="G810" s="5">
        <v>970.38108</v>
      </c>
      <c r="H810" s="9"/>
      <c r="I810" s="9">
        <f t="shared" si="60"/>
        <v>456.0791076</v>
      </c>
      <c r="J810" s="9">
        <f t="shared" si="61"/>
        <v>485.19054</v>
      </c>
      <c r="K810" s="9">
        <f t="shared" si="62"/>
        <v>533.709594</v>
      </c>
      <c r="L810" s="9">
        <f t="shared" si="63"/>
        <v>679.266756</v>
      </c>
      <c r="M810" s="9">
        <f t="shared" si="64"/>
        <v>824.823918</v>
      </c>
    </row>
    <row r="811" spans="2:13">
      <c r="B811" t="s">
        <v>1613</v>
      </c>
      <c r="C811" s="4" t="s">
        <v>1614</v>
      </c>
      <c r="D811" s="4" t="s">
        <v>1614</v>
      </c>
      <c r="E811" s="4" t="s">
        <v>1614</v>
      </c>
      <c r="F811" s="4" t="s">
        <v>1614</v>
      </c>
      <c r="G811" s="5">
        <v>1369.6866</v>
      </c>
      <c r="H811" s="9"/>
      <c r="I811" s="9">
        <f t="shared" si="60"/>
        <v>643.752702</v>
      </c>
      <c r="J811" s="9">
        <f t="shared" si="61"/>
        <v>684.8433</v>
      </c>
      <c r="K811" s="9">
        <f t="shared" si="62"/>
        <v>753.32763</v>
      </c>
      <c r="L811" s="9">
        <f t="shared" si="63"/>
        <v>958.78062</v>
      </c>
      <c r="M811" s="9">
        <f t="shared" si="64"/>
        <v>1164.23361</v>
      </c>
    </row>
    <row r="812" spans="2:13">
      <c r="B812" t="s">
        <v>1615</v>
      </c>
      <c r="C812" s="4" t="s">
        <v>1616</v>
      </c>
      <c r="D812" s="4" t="s">
        <v>1616</v>
      </c>
      <c r="E812" s="4" t="s">
        <v>1616</v>
      </c>
      <c r="F812" s="4" t="s">
        <v>1616</v>
      </c>
      <c r="G812" s="5">
        <v>106.08</v>
      </c>
      <c r="H812" s="9"/>
      <c r="I812" s="9">
        <f t="shared" si="60"/>
        <v>49.8576</v>
      </c>
      <c r="J812" s="9">
        <f t="shared" si="61"/>
        <v>53.04</v>
      </c>
      <c r="K812" s="9">
        <f t="shared" si="62"/>
        <v>58.344</v>
      </c>
      <c r="L812" s="9">
        <f t="shared" si="63"/>
        <v>74.256</v>
      </c>
      <c r="M812" s="9">
        <f t="shared" si="64"/>
        <v>90.168</v>
      </c>
    </row>
    <row r="813" spans="2:13">
      <c r="B813" t="s">
        <v>1617</v>
      </c>
      <c r="C813" s="4" t="s">
        <v>1618</v>
      </c>
      <c r="D813" s="4" t="s">
        <v>1618</v>
      </c>
      <c r="E813" s="4" t="s">
        <v>1618</v>
      </c>
      <c r="F813" s="4" t="s">
        <v>1618</v>
      </c>
      <c r="G813" s="5">
        <v>106.08</v>
      </c>
      <c r="H813" s="9"/>
      <c r="I813" s="9">
        <f t="shared" si="60"/>
        <v>49.8576</v>
      </c>
      <c r="J813" s="9">
        <f t="shared" si="61"/>
        <v>53.04</v>
      </c>
      <c r="K813" s="9">
        <f t="shared" si="62"/>
        <v>58.344</v>
      </c>
      <c r="L813" s="9">
        <f t="shared" si="63"/>
        <v>74.256</v>
      </c>
      <c r="M813" s="9">
        <f t="shared" si="64"/>
        <v>90.168</v>
      </c>
    </row>
    <row r="814" ht="27" spans="2:13">
      <c r="B814" t="s">
        <v>1619</v>
      </c>
      <c r="C814" s="4" t="s">
        <v>1620</v>
      </c>
      <c r="D814" s="4" t="s">
        <v>1620</v>
      </c>
      <c r="E814" s="4" t="s">
        <v>1620</v>
      </c>
      <c r="F814" s="4" t="s">
        <v>1620</v>
      </c>
      <c r="G814" s="5">
        <v>145.1205</v>
      </c>
      <c r="H814" s="9"/>
      <c r="I814" s="9">
        <f t="shared" si="60"/>
        <v>68.206635</v>
      </c>
      <c r="J814" s="9">
        <f t="shared" si="61"/>
        <v>72.56025</v>
      </c>
      <c r="K814" s="9">
        <f t="shared" si="62"/>
        <v>79.816275</v>
      </c>
      <c r="L814" s="9">
        <f t="shared" si="63"/>
        <v>101.58435</v>
      </c>
      <c r="M814" s="9">
        <f t="shared" si="64"/>
        <v>123.352425</v>
      </c>
    </row>
    <row r="815" ht="27" spans="2:13">
      <c r="B815" t="s">
        <v>1621</v>
      </c>
      <c r="C815" s="4" t="s">
        <v>1622</v>
      </c>
      <c r="D815" s="4" t="s">
        <v>1622</v>
      </c>
      <c r="E815" s="4" t="s">
        <v>1622</v>
      </c>
      <c r="F815" s="4" t="s">
        <v>1622</v>
      </c>
      <c r="G815" s="5">
        <v>145.1205</v>
      </c>
      <c r="H815" s="9"/>
      <c r="I815" s="9">
        <f t="shared" si="60"/>
        <v>68.206635</v>
      </c>
      <c r="J815" s="9">
        <f t="shared" si="61"/>
        <v>72.56025</v>
      </c>
      <c r="K815" s="9">
        <f t="shared" si="62"/>
        <v>79.816275</v>
      </c>
      <c r="L815" s="9">
        <f t="shared" si="63"/>
        <v>101.58435</v>
      </c>
      <c r="M815" s="9">
        <f t="shared" si="64"/>
        <v>123.352425</v>
      </c>
    </row>
    <row r="816" spans="2:13">
      <c r="B816" t="s">
        <v>1623</v>
      </c>
      <c r="C816" s="4" t="s">
        <v>1624</v>
      </c>
      <c r="D816" s="4" t="s">
        <v>1624</v>
      </c>
      <c r="E816" s="4" t="s">
        <v>1624</v>
      </c>
      <c r="F816" s="4" t="s">
        <v>1624</v>
      </c>
      <c r="G816" s="5">
        <v>188.39808</v>
      </c>
      <c r="H816" s="9"/>
      <c r="I816" s="9">
        <f t="shared" si="60"/>
        <v>88.5470976</v>
      </c>
      <c r="J816" s="9">
        <f t="shared" si="61"/>
        <v>94.19904</v>
      </c>
      <c r="K816" s="9">
        <f t="shared" si="62"/>
        <v>103.618944</v>
      </c>
      <c r="L816" s="9">
        <f t="shared" si="63"/>
        <v>131.878656</v>
      </c>
      <c r="M816" s="9">
        <f t="shared" si="64"/>
        <v>160.138368</v>
      </c>
    </row>
    <row r="817" ht="27" spans="2:13">
      <c r="B817" t="s">
        <v>1625</v>
      </c>
      <c r="C817" s="4" t="s">
        <v>1626</v>
      </c>
      <c r="D817" s="4" t="s">
        <v>1626</v>
      </c>
      <c r="E817" s="4" t="s">
        <v>1626</v>
      </c>
      <c r="F817" s="4" t="s">
        <v>1626</v>
      </c>
      <c r="G817" s="5">
        <v>188.39808</v>
      </c>
      <c r="H817" s="9"/>
      <c r="I817" s="9">
        <f t="shared" si="60"/>
        <v>88.5470976</v>
      </c>
      <c r="J817" s="9">
        <f t="shared" si="61"/>
        <v>94.19904</v>
      </c>
      <c r="K817" s="9">
        <f t="shared" si="62"/>
        <v>103.618944</v>
      </c>
      <c r="L817" s="9">
        <f t="shared" si="63"/>
        <v>131.878656</v>
      </c>
      <c r="M817" s="9">
        <f t="shared" si="64"/>
        <v>160.138368</v>
      </c>
    </row>
    <row r="818" spans="2:13">
      <c r="B818" t="s">
        <v>1627</v>
      </c>
      <c r="C818" s="4" t="s">
        <v>1628</v>
      </c>
      <c r="D818" s="4" t="s">
        <v>1628</v>
      </c>
      <c r="E818" s="4" t="s">
        <v>1628</v>
      </c>
      <c r="F818" s="4" t="s">
        <v>1628</v>
      </c>
      <c r="G818" s="5">
        <v>327.10176</v>
      </c>
      <c r="H818" s="9"/>
      <c r="I818" s="9">
        <f t="shared" si="60"/>
        <v>153.7378272</v>
      </c>
      <c r="J818" s="9">
        <f t="shared" si="61"/>
        <v>163.55088</v>
      </c>
      <c r="K818" s="9">
        <f t="shared" si="62"/>
        <v>179.905968</v>
      </c>
      <c r="L818" s="9">
        <f t="shared" si="63"/>
        <v>228.971232</v>
      </c>
      <c r="M818" s="9">
        <f t="shared" si="64"/>
        <v>278.036496</v>
      </c>
    </row>
    <row r="819" ht="27" spans="2:13">
      <c r="B819" t="s">
        <v>1629</v>
      </c>
      <c r="C819" s="4" t="s">
        <v>1630</v>
      </c>
      <c r="D819" s="4" t="s">
        <v>1630</v>
      </c>
      <c r="E819" s="4" t="s">
        <v>1630</v>
      </c>
      <c r="F819" s="4" t="s">
        <v>1630</v>
      </c>
      <c r="G819" s="5">
        <v>327.10176</v>
      </c>
      <c r="H819" s="9"/>
      <c r="I819" s="9">
        <f t="shared" si="60"/>
        <v>153.7378272</v>
      </c>
      <c r="J819" s="9">
        <f t="shared" si="61"/>
        <v>163.55088</v>
      </c>
      <c r="K819" s="9">
        <f t="shared" si="62"/>
        <v>179.905968</v>
      </c>
      <c r="L819" s="9">
        <f t="shared" si="63"/>
        <v>228.971232</v>
      </c>
      <c r="M819" s="9">
        <f t="shared" si="64"/>
        <v>278.036496</v>
      </c>
    </row>
    <row r="820" ht="27" spans="2:13">
      <c r="B820" t="s">
        <v>1631</v>
      </c>
      <c r="C820" s="4" t="s">
        <v>1632</v>
      </c>
      <c r="D820" s="4" t="s">
        <v>1632</v>
      </c>
      <c r="E820" s="4" t="s">
        <v>1632</v>
      </c>
      <c r="F820" s="4" t="s">
        <v>1632</v>
      </c>
      <c r="G820" s="5">
        <v>187.2975</v>
      </c>
      <c r="H820" s="9"/>
      <c r="I820" s="9">
        <f t="shared" si="60"/>
        <v>88.029825</v>
      </c>
      <c r="J820" s="9">
        <f t="shared" si="61"/>
        <v>93.64875</v>
      </c>
      <c r="K820" s="9">
        <f t="shared" si="62"/>
        <v>103.013625</v>
      </c>
      <c r="L820" s="9">
        <f t="shared" si="63"/>
        <v>131.10825</v>
      </c>
      <c r="M820" s="9">
        <f t="shared" si="64"/>
        <v>159.202875</v>
      </c>
    </row>
    <row r="821" ht="27" spans="2:13">
      <c r="B821" t="s">
        <v>1633</v>
      </c>
      <c r="C821" s="4" t="s">
        <v>1634</v>
      </c>
      <c r="D821" s="4" t="s">
        <v>1634</v>
      </c>
      <c r="E821" s="4" t="s">
        <v>1634</v>
      </c>
      <c r="F821" s="4" t="s">
        <v>1634</v>
      </c>
      <c r="G821" s="5">
        <v>187.2975</v>
      </c>
      <c r="H821" s="9"/>
      <c r="I821" s="9">
        <f t="shared" si="60"/>
        <v>88.029825</v>
      </c>
      <c r="J821" s="9">
        <f t="shared" si="61"/>
        <v>93.64875</v>
      </c>
      <c r="K821" s="9">
        <f t="shared" si="62"/>
        <v>103.013625</v>
      </c>
      <c r="L821" s="9">
        <f t="shared" si="63"/>
        <v>131.10825</v>
      </c>
      <c r="M821" s="9">
        <f t="shared" si="64"/>
        <v>159.202875</v>
      </c>
    </row>
    <row r="822" ht="27" spans="2:13">
      <c r="B822" t="s">
        <v>1635</v>
      </c>
      <c r="C822" s="4" t="s">
        <v>1636</v>
      </c>
      <c r="D822" s="4" t="s">
        <v>1636</v>
      </c>
      <c r="E822" s="4" t="s">
        <v>1636</v>
      </c>
      <c r="F822" s="4" t="s">
        <v>1636</v>
      </c>
      <c r="G822" s="5">
        <v>255.969</v>
      </c>
      <c r="H822" s="9"/>
      <c r="I822" s="9">
        <f t="shared" si="60"/>
        <v>120.30543</v>
      </c>
      <c r="J822" s="9">
        <f t="shared" si="61"/>
        <v>127.9845</v>
      </c>
      <c r="K822" s="9">
        <f t="shared" si="62"/>
        <v>140.78295</v>
      </c>
      <c r="L822" s="9">
        <f t="shared" si="63"/>
        <v>179.1783</v>
      </c>
      <c r="M822" s="9">
        <f t="shared" si="64"/>
        <v>217.57365</v>
      </c>
    </row>
    <row r="823" ht="27" spans="2:13">
      <c r="B823" t="s">
        <v>1637</v>
      </c>
      <c r="C823" s="4" t="s">
        <v>1636</v>
      </c>
      <c r="D823" s="4" t="s">
        <v>1636</v>
      </c>
      <c r="E823" s="4" t="s">
        <v>1636</v>
      </c>
      <c r="F823" s="4" t="s">
        <v>1636</v>
      </c>
      <c r="G823" s="5">
        <v>255.969</v>
      </c>
      <c r="H823" s="9"/>
      <c r="I823" s="9">
        <f t="shared" si="60"/>
        <v>120.30543</v>
      </c>
      <c r="J823" s="9">
        <f t="shared" si="61"/>
        <v>127.9845</v>
      </c>
      <c r="K823" s="9">
        <f t="shared" si="62"/>
        <v>140.78295</v>
      </c>
      <c r="L823" s="9">
        <f t="shared" si="63"/>
        <v>179.1783</v>
      </c>
      <c r="M823" s="9">
        <f t="shared" si="64"/>
        <v>217.57365</v>
      </c>
    </row>
    <row r="824" ht="27" spans="2:13">
      <c r="B824" t="s">
        <v>1638</v>
      </c>
      <c r="C824" s="4" t="s">
        <v>1639</v>
      </c>
      <c r="D824" s="4" t="s">
        <v>1639</v>
      </c>
      <c r="E824" s="4" t="s">
        <v>1639</v>
      </c>
      <c r="F824" s="4" t="s">
        <v>1639</v>
      </c>
      <c r="G824" s="5">
        <v>299.01096</v>
      </c>
      <c r="H824" s="9"/>
      <c r="I824" s="9">
        <f t="shared" si="60"/>
        <v>140.5351512</v>
      </c>
      <c r="J824" s="9">
        <f t="shared" si="61"/>
        <v>149.50548</v>
      </c>
      <c r="K824" s="9">
        <f t="shared" si="62"/>
        <v>164.456028</v>
      </c>
      <c r="L824" s="9">
        <f t="shared" si="63"/>
        <v>209.307672</v>
      </c>
      <c r="M824" s="9">
        <f t="shared" si="64"/>
        <v>254.159316</v>
      </c>
    </row>
    <row r="825" ht="27" spans="2:13">
      <c r="B825" t="s">
        <v>1640</v>
      </c>
      <c r="C825" s="4" t="s">
        <v>1641</v>
      </c>
      <c r="D825" s="4" t="s">
        <v>1641</v>
      </c>
      <c r="E825" s="4" t="s">
        <v>1641</v>
      </c>
      <c r="F825" s="4" t="s">
        <v>1641</v>
      </c>
      <c r="G825" s="5">
        <v>299.01096</v>
      </c>
      <c r="H825" s="9"/>
      <c r="I825" s="9">
        <f t="shared" si="60"/>
        <v>140.5351512</v>
      </c>
      <c r="J825" s="9">
        <f t="shared" si="61"/>
        <v>149.50548</v>
      </c>
      <c r="K825" s="9">
        <f t="shared" si="62"/>
        <v>164.456028</v>
      </c>
      <c r="L825" s="9">
        <f t="shared" si="63"/>
        <v>209.307672</v>
      </c>
      <c r="M825" s="9">
        <f t="shared" si="64"/>
        <v>254.159316</v>
      </c>
    </row>
    <row r="826" ht="27" spans="2:13">
      <c r="B826" t="s">
        <v>1642</v>
      </c>
      <c r="C826" s="4" t="s">
        <v>1643</v>
      </c>
      <c r="D826" s="4" t="s">
        <v>1643</v>
      </c>
      <c r="E826" s="4" t="s">
        <v>1643</v>
      </c>
      <c r="F826" s="4" t="s">
        <v>1643</v>
      </c>
      <c r="G826" s="5">
        <v>604.78452</v>
      </c>
      <c r="H826" s="9"/>
      <c r="I826" s="9">
        <f t="shared" si="60"/>
        <v>284.2487244</v>
      </c>
      <c r="J826" s="9">
        <f t="shared" si="61"/>
        <v>302.39226</v>
      </c>
      <c r="K826" s="9">
        <f t="shared" si="62"/>
        <v>332.631486</v>
      </c>
      <c r="L826" s="9">
        <f t="shared" si="63"/>
        <v>423.349164</v>
      </c>
      <c r="M826" s="9">
        <f t="shared" si="64"/>
        <v>514.066842</v>
      </c>
    </row>
    <row r="827" ht="27" spans="2:13">
      <c r="B827" t="s">
        <v>1644</v>
      </c>
      <c r="C827" s="4" t="s">
        <v>1645</v>
      </c>
      <c r="D827" s="4" t="s">
        <v>1645</v>
      </c>
      <c r="E827" s="4" t="s">
        <v>1645</v>
      </c>
      <c r="F827" s="4" t="s">
        <v>1645</v>
      </c>
      <c r="G827" s="5">
        <v>604.78452</v>
      </c>
      <c r="H827" s="9"/>
      <c r="I827" s="9">
        <f t="shared" si="60"/>
        <v>284.2487244</v>
      </c>
      <c r="J827" s="9">
        <f t="shared" si="61"/>
        <v>302.39226</v>
      </c>
      <c r="K827" s="9">
        <f t="shared" si="62"/>
        <v>332.631486</v>
      </c>
      <c r="L827" s="9">
        <f t="shared" si="63"/>
        <v>423.349164</v>
      </c>
      <c r="M827" s="9">
        <f t="shared" si="64"/>
        <v>514.066842</v>
      </c>
    </row>
    <row r="828" spans="2:13">
      <c r="B828" t="s">
        <v>1646</v>
      </c>
      <c r="C828" s="4" t="s">
        <v>1647</v>
      </c>
      <c r="D828" s="4" t="s">
        <v>1647</v>
      </c>
      <c r="E828" s="4" t="s">
        <v>1647</v>
      </c>
      <c r="F828" s="4" t="s">
        <v>1647</v>
      </c>
      <c r="G828" s="5">
        <v>12.9948</v>
      </c>
      <c r="H828" s="9"/>
      <c r="I828" s="9">
        <f t="shared" si="60"/>
        <v>6.107556</v>
      </c>
      <c r="J828" s="9">
        <f t="shared" si="61"/>
        <v>6.4974</v>
      </c>
      <c r="K828" s="9">
        <f t="shared" si="62"/>
        <v>7.14714</v>
      </c>
      <c r="L828" s="9">
        <f t="shared" si="63"/>
        <v>9.09636</v>
      </c>
      <c r="M828" s="9">
        <f t="shared" si="64"/>
        <v>11.04558</v>
      </c>
    </row>
    <row r="829" ht="27" spans="2:13">
      <c r="B829" t="s">
        <v>1648</v>
      </c>
      <c r="C829" s="4" t="s">
        <v>1649</v>
      </c>
      <c r="D829" s="4" t="s">
        <v>1649</v>
      </c>
      <c r="E829" s="4" t="s">
        <v>1649</v>
      </c>
      <c r="F829" s="4" t="s">
        <v>1649</v>
      </c>
      <c r="G829" s="5">
        <v>31.668</v>
      </c>
      <c r="H829" s="9"/>
      <c r="I829" s="9">
        <f t="shared" si="60"/>
        <v>14.88396</v>
      </c>
      <c r="J829" s="9">
        <f t="shared" si="61"/>
        <v>15.834</v>
      </c>
      <c r="K829" s="9">
        <f t="shared" si="62"/>
        <v>17.4174</v>
      </c>
      <c r="L829" s="9">
        <f t="shared" si="63"/>
        <v>22.1676</v>
      </c>
      <c r="M829" s="9">
        <f t="shared" si="64"/>
        <v>26.9178</v>
      </c>
    </row>
    <row r="830" spans="2:13">
      <c r="B830" t="s">
        <v>1650</v>
      </c>
      <c r="C830" s="4" t="s">
        <v>1651</v>
      </c>
      <c r="D830" s="4" t="s">
        <v>1651</v>
      </c>
      <c r="E830" s="4" t="s">
        <v>1651</v>
      </c>
      <c r="F830" s="4" t="s">
        <v>1651</v>
      </c>
      <c r="G830" s="5">
        <v>31.668</v>
      </c>
      <c r="H830" s="9"/>
      <c r="I830" s="9">
        <f t="shared" si="60"/>
        <v>14.88396</v>
      </c>
      <c r="J830" s="9">
        <f t="shared" si="61"/>
        <v>15.834</v>
      </c>
      <c r="K830" s="9">
        <f t="shared" si="62"/>
        <v>17.4174</v>
      </c>
      <c r="L830" s="9">
        <f t="shared" si="63"/>
        <v>22.1676</v>
      </c>
      <c r="M830" s="9">
        <f t="shared" si="64"/>
        <v>26.9178</v>
      </c>
    </row>
    <row r="831" ht="27" spans="2:13">
      <c r="B831" t="s">
        <v>1652</v>
      </c>
      <c r="C831" s="4" t="s">
        <v>1653</v>
      </c>
      <c r="D831" s="4" t="s">
        <v>1653</v>
      </c>
      <c r="E831" s="4" t="s">
        <v>1653</v>
      </c>
      <c r="F831" s="4" t="s">
        <v>1653</v>
      </c>
      <c r="G831" s="5">
        <v>37.752</v>
      </c>
      <c r="H831" s="9"/>
      <c r="I831" s="9">
        <f t="shared" si="60"/>
        <v>17.74344</v>
      </c>
      <c r="J831" s="9">
        <f t="shared" si="61"/>
        <v>18.876</v>
      </c>
      <c r="K831" s="9">
        <f t="shared" si="62"/>
        <v>20.7636</v>
      </c>
      <c r="L831" s="9">
        <f t="shared" si="63"/>
        <v>26.4264</v>
      </c>
      <c r="M831" s="9">
        <f t="shared" si="64"/>
        <v>32.0892</v>
      </c>
    </row>
    <row r="832" ht="27" spans="2:13">
      <c r="B832" t="s">
        <v>1654</v>
      </c>
      <c r="C832" s="4" t="s">
        <v>1655</v>
      </c>
      <c r="D832" s="4" t="s">
        <v>1655</v>
      </c>
      <c r="E832" s="4" t="s">
        <v>1655</v>
      </c>
      <c r="F832" s="4" t="s">
        <v>1655</v>
      </c>
      <c r="G832" s="5">
        <v>37.752</v>
      </c>
      <c r="H832" s="9"/>
      <c r="I832" s="9">
        <f t="shared" si="60"/>
        <v>17.74344</v>
      </c>
      <c r="J832" s="9">
        <f t="shared" si="61"/>
        <v>18.876</v>
      </c>
      <c r="K832" s="9">
        <f t="shared" si="62"/>
        <v>20.7636</v>
      </c>
      <c r="L832" s="9">
        <f t="shared" si="63"/>
        <v>26.4264</v>
      </c>
      <c r="M832" s="9">
        <f t="shared" si="64"/>
        <v>32.0892</v>
      </c>
    </row>
    <row r="833" spans="2:13">
      <c r="B833" t="s">
        <v>1656</v>
      </c>
      <c r="C833" s="4" t="s">
        <v>1657</v>
      </c>
      <c r="D833" s="4" t="s">
        <v>1657</v>
      </c>
      <c r="E833" s="4" t="s">
        <v>1657</v>
      </c>
      <c r="F833" s="4" t="s">
        <v>1657</v>
      </c>
      <c r="G833" s="5">
        <v>132.8448</v>
      </c>
      <c r="H833" s="9"/>
      <c r="I833" s="9">
        <f t="shared" si="60"/>
        <v>62.437056</v>
      </c>
      <c r="J833" s="9">
        <f t="shared" si="61"/>
        <v>66.4224</v>
      </c>
      <c r="K833" s="9">
        <f t="shared" si="62"/>
        <v>73.06464</v>
      </c>
      <c r="L833" s="9">
        <f t="shared" si="63"/>
        <v>92.99136</v>
      </c>
      <c r="M833" s="9">
        <f t="shared" si="64"/>
        <v>112.91808</v>
      </c>
    </row>
    <row r="834" spans="2:13">
      <c r="B834" t="s">
        <v>1658</v>
      </c>
      <c r="C834" s="4" t="s">
        <v>1659</v>
      </c>
      <c r="D834" s="4" t="s">
        <v>1659</v>
      </c>
      <c r="E834" s="4" t="s">
        <v>1659</v>
      </c>
      <c r="F834" s="4" t="s">
        <v>1659</v>
      </c>
      <c r="G834" s="5">
        <v>156.1824</v>
      </c>
      <c r="H834" s="9"/>
      <c r="I834" s="9">
        <f t="shared" si="60"/>
        <v>73.405728</v>
      </c>
      <c r="J834" s="9">
        <f t="shared" si="61"/>
        <v>78.0912</v>
      </c>
      <c r="K834" s="9">
        <f t="shared" si="62"/>
        <v>85.90032</v>
      </c>
      <c r="L834" s="9">
        <f t="shared" si="63"/>
        <v>109.32768</v>
      </c>
      <c r="M834" s="9">
        <f t="shared" si="64"/>
        <v>132.75504</v>
      </c>
    </row>
    <row r="835" ht="27" spans="2:13">
      <c r="B835" t="s">
        <v>1660</v>
      </c>
      <c r="C835" s="4" t="s">
        <v>1661</v>
      </c>
      <c r="D835" s="4" t="s">
        <v>1661</v>
      </c>
      <c r="E835" s="4" t="s">
        <v>1661</v>
      </c>
      <c r="F835" s="4" t="s">
        <v>1661</v>
      </c>
      <c r="G835" s="5">
        <v>147.8796</v>
      </c>
      <c r="H835" s="9"/>
      <c r="I835" s="9">
        <f t="shared" si="60"/>
        <v>69.503412</v>
      </c>
      <c r="J835" s="9">
        <f t="shared" si="61"/>
        <v>73.9398</v>
      </c>
      <c r="K835" s="9">
        <f t="shared" si="62"/>
        <v>81.33378</v>
      </c>
      <c r="L835" s="9">
        <f t="shared" si="63"/>
        <v>103.51572</v>
      </c>
      <c r="M835" s="9">
        <f t="shared" si="64"/>
        <v>125.69766</v>
      </c>
    </row>
    <row r="836" ht="27" spans="2:13">
      <c r="B836" t="s">
        <v>1662</v>
      </c>
      <c r="C836" s="4" t="s">
        <v>1663</v>
      </c>
      <c r="D836" s="4" t="s">
        <v>1663</v>
      </c>
      <c r="E836" s="4" t="s">
        <v>1663</v>
      </c>
      <c r="F836" s="4" t="s">
        <v>1663</v>
      </c>
      <c r="G836" s="5">
        <v>219.31632</v>
      </c>
      <c r="H836" s="9"/>
      <c r="I836" s="9">
        <f t="shared" ref="I836:I899" si="65">G836*0.47</f>
        <v>103.0786704</v>
      </c>
      <c r="J836" s="9">
        <f t="shared" ref="J836:J899" si="66">G836*0.5</f>
        <v>109.65816</v>
      </c>
      <c r="K836" s="9">
        <f t="shared" ref="K836:K899" si="67">G836*0.55</f>
        <v>120.623976</v>
      </c>
      <c r="L836" s="9">
        <f t="shared" ref="L836:L899" si="68">G836*0.7</f>
        <v>153.521424</v>
      </c>
      <c r="M836" s="9">
        <f t="shared" ref="M836:M899" si="69">G836*0.85</f>
        <v>186.418872</v>
      </c>
    </row>
    <row r="837" spans="2:13">
      <c r="B837" t="s">
        <v>1664</v>
      </c>
      <c r="C837" s="4" t="s">
        <v>1665</v>
      </c>
      <c r="D837" s="4" t="s">
        <v>1665</v>
      </c>
      <c r="E837" s="4" t="s">
        <v>1665</v>
      </c>
      <c r="F837" s="4" t="s">
        <v>1665</v>
      </c>
      <c r="G837" s="5">
        <v>171.45792</v>
      </c>
      <c r="H837" s="9"/>
      <c r="I837" s="9">
        <f t="shared" si="65"/>
        <v>80.5852224</v>
      </c>
      <c r="J837" s="9">
        <f t="shared" si="66"/>
        <v>85.72896</v>
      </c>
      <c r="K837" s="9">
        <f t="shared" si="67"/>
        <v>94.301856</v>
      </c>
      <c r="L837" s="9">
        <f t="shared" si="68"/>
        <v>120.020544</v>
      </c>
      <c r="M837" s="9">
        <f t="shared" si="69"/>
        <v>145.739232</v>
      </c>
    </row>
    <row r="838" spans="2:13">
      <c r="B838" t="s">
        <v>1666</v>
      </c>
      <c r="C838" s="4" t="s">
        <v>1667</v>
      </c>
      <c r="D838" s="4" t="s">
        <v>1667</v>
      </c>
      <c r="E838" s="4" t="s">
        <v>1667</v>
      </c>
      <c r="F838" s="4" t="s">
        <v>1667</v>
      </c>
      <c r="G838" s="5">
        <v>199.34064</v>
      </c>
      <c r="H838" s="9"/>
      <c r="I838" s="9">
        <f t="shared" si="65"/>
        <v>93.6901008</v>
      </c>
      <c r="J838" s="9">
        <f t="shared" si="66"/>
        <v>99.67032</v>
      </c>
      <c r="K838" s="9">
        <f t="shared" si="67"/>
        <v>109.637352</v>
      </c>
      <c r="L838" s="9">
        <f t="shared" si="68"/>
        <v>139.538448</v>
      </c>
      <c r="M838" s="9">
        <f t="shared" si="69"/>
        <v>169.439544</v>
      </c>
    </row>
    <row r="839" ht="27" spans="2:13">
      <c r="B839" t="s">
        <v>1668</v>
      </c>
      <c r="C839" s="4" t="s">
        <v>1669</v>
      </c>
      <c r="D839" s="4" t="s">
        <v>1669</v>
      </c>
      <c r="E839" s="4" t="s">
        <v>1669</v>
      </c>
      <c r="F839" s="4" t="s">
        <v>1669</v>
      </c>
      <c r="G839" s="5">
        <v>191.64168</v>
      </c>
      <c r="H839" s="9"/>
      <c r="I839" s="9">
        <f t="shared" si="65"/>
        <v>90.0715896</v>
      </c>
      <c r="J839" s="9">
        <f t="shared" si="66"/>
        <v>95.82084</v>
      </c>
      <c r="K839" s="9">
        <f t="shared" si="67"/>
        <v>105.402924</v>
      </c>
      <c r="L839" s="9">
        <f t="shared" si="68"/>
        <v>134.149176</v>
      </c>
      <c r="M839" s="9">
        <f t="shared" si="69"/>
        <v>162.895428</v>
      </c>
    </row>
    <row r="840" ht="27" spans="2:13">
      <c r="B840" t="s">
        <v>1670</v>
      </c>
      <c r="C840" s="4" t="s">
        <v>1671</v>
      </c>
      <c r="D840" s="4" t="s">
        <v>1671</v>
      </c>
      <c r="E840" s="4" t="s">
        <v>1671</v>
      </c>
      <c r="F840" s="4" t="s">
        <v>1671</v>
      </c>
      <c r="G840" s="5">
        <v>267.17472</v>
      </c>
      <c r="H840" s="9"/>
      <c r="I840" s="9">
        <f t="shared" si="65"/>
        <v>125.5721184</v>
      </c>
      <c r="J840" s="9">
        <f t="shared" si="66"/>
        <v>133.58736</v>
      </c>
      <c r="K840" s="9">
        <f t="shared" si="67"/>
        <v>146.946096</v>
      </c>
      <c r="L840" s="9">
        <f t="shared" si="68"/>
        <v>187.022304</v>
      </c>
      <c r="M840" s="9">
        <f t="shared" si="69"/>
        <v>227.098512</v>
      </c>
    </row>
    <row r="841" spans="2:13">
      <c r="B841" t="s">
        <v>1672</v>
      </c>
      <c r="C841" s="4" t="s">
        <v>1673</v>
      </c>
      <c r="D841" s="4" t="s">
        <v>1673</v>
      </c>
      <c r="E841" s="4" t="s">
        <v>1673</v>
      </c>
      <c r="F841" s="4" t="s">
        <v>1673</v>
      </c>
      <c r="G841" s="5">
        <v>413.35092</v>
      </c>
      <c r="H841" s="9"/>
      <c r="I841" s="9">
        <f t="shared" si="65"/>
        <v>194.2749324</v>
      </c>
      <c r="J841" s="9">
        <f t="shared" si="66"/>
        <v>206.67546</v>
      </c>
      <c r="K841" s="9">
        <f t="shared" si="67"/>
        <v>227.343006</v>
      </c>
      <c r="L841" s="9">
        <f t="shared" si="68"/>
        <v>289.345644</v>
      </c>
      <c r="M841" s="9">
        <f t="shared" si="69"/>
        <v>351.348282</v>
      </c>
    </row>
    <row r="842" ht="27" spans="2:13">
      <c r="B842" t="s">
        <v>1674</v>
      </c>
      <c r="C842" s="4" t="s">
        <v>1675</v>
      </c>
      <c r="D842" s="4" t="s">
        <v>1675</v>
      </c>
      <c r="E842" s="4" t="s">
        <v>1675</v>
      </c>
      <c r="F842" s="4" t="s">
        <v>1675</v>
      </c>
      <c r="G842" s="5">
        <v>481.28904</v>
      </c>
      <c r="H842" s="9"/>
      <c r="I842" s="9">
        <f t="shared" si="65"/>
        <v>226.2058488</v>
      </c>
      <c r="J842" s="9">
        <f t="shared" si="66"/>
        <v>240.64452</v>
      </c>
      <c r="K842" s="9">
        <f t="shared" si="67"/>
        <v>264.708972</v>
      </c>
      <c r="L842" s="9">
        <f t="shared" si="68"/>
        <v>336.902328</v>
      </c>
      <c r="M842" s="9">
        <f t="shared" si="69"/>
        <v>409.095684</v>
      </c>
    </row>
    <row r="843" ht="27" spans="2:13">
      <c r="B843" t="s">
        <v>1676</v>
      </c>
      <c r="C843" s="4" t="s">
        <v>1677</v>
      </c>
      <c r="D843" s="4" t="s">
        <v>1677</v>
      </c>
      <c r="E843" s="4" t="s">
        <v>1677</v>
      </c>
      <c r="F843" s="4" t="s">
        <v>1677</v>
      </c>
      <c r="G843" s="5">
        <v>529.14744</v>
      </c>
      <c r="H843" s="9"/>
      <c r="I843" s="9">
        <f t="shared" si="65"/>
        <v>248.6992968</v>
      </c>
      <c r="J843" s="9">
        <f t="shared" si="66"/>
        <v>264.57372</v>
      </c>
      <c r="K843" s="9">
        <f t="shared" si="67"/>
        <v>291.031092</v>
      </c>
      <c r="L843" s="9">
        <f t="shared" si="68"/>
        <v>370.403208</v>
      </c>
      <c r="M843" s="9">
        <f t="shared" si="69"/>
        <v>449.775324</v>
      </c>
    </row>
    <row r="844" spans="2:13">
      <c r="B844" t="s">
        <v>1678</v>
      </c>
      <c r="C844" s="4" t="s">
        <v>1679</v>
      </c>
      <c r="D844" s="4" t="s">
        <v>1679</v>
      </c>
      <c r="E844" s="4" t="s">
        <v>1679</v>
      </c>
      <c r="F844" s="4" t="s">
        <v>1679</v>
      </c>
      <c r="G844" s="5">
        <v>880.1784</v>
      </c>
      <c r="H844" s="9"/>
      <c r="I844" s="9">
        <f t="shared" si="65"/>
        <v>413.683848</v>
      </c>
      <c r="J844" s="9">
        <f t="shared" si="66"/>
        <v>440.0892</v>
      </c>
      <c r="K844" s="9">
        <f t="shared" si="67"/>
        <v>484.09812</v>
      </c>
      <c r="L844" s="9">
        <f t="shared" si="68"/>
        <v>616.12488</v>
      </c>
      <c r="M844" s="9">
        <f t="shared" si="69"/>
        <v>748.15164</v>
      </c>
    </row>
    <row r="845" ht="27" spans="2:13">
      <c r="B845" t="s">
        <v>1680</v>
      </c>
      <c r="C845" s="4" t="s">
        <v>1681</v>
      </c>
      <c r="D845" s="4" t="s">
        <v>1681</v>
      </c>
      <c r="E845" s="4" t="s">
        <v>1681</v>
      </c>
      <c r="F845" s="4" t="s">
        <v>1681</v>
      </c>
      <c r="G845" s="5">
        <v>987.65172</v>
      </c>
      <c r="H845" s="9"/>
      <c r="I845" s="9">
        <f t="shared" si="65"/>
        <v>464.1963084</v>
      </c>
      <c r="J845" s="9">
        <f t="shared" si="66"/>
        <v>493.82586</v>
      </c>
      <c r="K845" s="9">
        <f t="shared" si="67"/>
        <v>543.208446</v>
      </c>
      <c r="L845" s="9">
        <f t="shared" si="68"/>
        <v>691.356204</v>
      </c>
      <c r="M845" s="9">
        <f t="shared" si="69"/>
        <v>839.503962</v>
      </c>
    </row>
    <row r="846" ht="27" spans="2:13">
      <c r="B846" t="s">
        <v>1682</v>
      </c>
      <c r="C846" s="4" t="s">
        <v>1683</v>
      </c>
      <c r="D846" s="4" t="s">
        <v>1683</v>
      </c>
      <c r="E846" s="4" t="s">
        <v>1683</v>
      </c>
      <c r="F846" s="4" t="s">
        <v>1683</v>
      </c>
      <c r="G846" s="5">
        <v>1112.7078</v>
      </c>
      <c r="H846" s="9"/>
      <c r="I846" s="9">
        <f t="shared" si="65"/>
        <v>522.972666</v>
      </c>
      <c r="J846" s="9">
        <f t="shared" si="66"/>
        <v>556.3539</v>
      </c>
      <c r="K846" s="9">
        <f t="shared" si="67"/>
        <v>611.98929</v>
      </c>
      <c r="L846" s="9">
        <f t="shared" si="68"/>
        <v>778.89546</v>
      </c>
      <c r="M846" s="9">
        <f t="shared" si="69"/>
        <v>945.80163</v>
      </c>
    </row>
    <row r="847" spans="2:13">
      <c r="B847" t="s">
        <v>1684</v>
      </c>
      <c r="C847" s="4" t="s">
        <v>1685</v>
      </c>
      <c r="D847" s="4" t="s">
        <v>1685</v>
      </c>
      <c r="E847" s="4" t="s">
        <v>1685</v>
      </c>
      <c r="F847" s="4" t="s">
        <v>1685</v>
      </c>
      <c r="G847" s="5">
        <v>67.4271</v>
      </c>
      <c r="H847" s="9"/>
      <c r="I847" s="9">
        <f t="shared" si="65"/>
        <v>31.690737</v>
      </c>
      <c r="J847" s="9">
        <f t="shared" si="66"/>
        <v>33.71355</v>
      </c>
      <c r="K847" s="9">
        <f t="shared" si="67"/>
        <v>37.084905</v>
      </c>
      <c r="L847" s="9">
        <f t="shared" si="68"/>
        <v>47.19897</v>
      </c>
      <c r="M847" s="9">
        <f t="shared" si="69"/>
        <v>57.313035</v>
      </c>
    </row>
    <row r="848" ht="27" spans="2:13">
      <c r="B848" t="s">
        <v>1686</v>
      </c>
      <c r="C848" s="4" t="s">
        <v>1687</v>
      </c>
      <c r="D848" s="4" t="s">
        <v>1687</v>
      </c>
      <c r="E848" s="4" t="s">
        <v>1687</v>
      </c>
      <c r="F848" s="4" t="s">
        <v>1687</v>
      </c>
      <c r="G848" s="5">
        <v>139.0974</v>
      </c>
      <c r="H848" s="9"/>
      <c r="I848" s="9">
        <f t="shared" si="65"/>
        <v>65.375778</v>
      </c>
      <c r="J848" s="9">
        <f t="shared" si="66"/>
        <v>69.5487</v>
      </c>
      <c r="K848" s="9">
        <f t="shared" si="67"/>
        <v>76.50357</v>
      </c>
      <c r="L848" s="9">
        <f t="shared" si="68"/>
        <v>97.36818</v>
      </c>
      <c r="M848" s="9">
        <f t="shared" si="69"/>
        <v>118.23279</v>
      </c>
    </row>
    <row r="849" ht="27" spans="2:13">
      <c r="B849" t="s">
        <v>1688</v>
      </c>
      <c r="C849" s="4" t="s">
        <v>1689</v>
      </c>
      <c r="D849" s="4" t="s">
        <v>1689</v>
      </c>
      <c r="E849" s="4" t="s">
        <v>1689</v>
      </c>
      <c r="F849" s="4" t="s">
        <v>1689</v>
      </c>
      <c r="G849" s="5">
        <v>642.13488</v>
      </c>
      <c r="H849" s="9"/>
      <c r="I849" s="9">
        <f t="shared" si="65"/>
        <v>301.8033936</v>
      </c>
      <c r="J849" s="9">
        <f t="shared" si="66"/>
        <v>321.06744</v>
      </c>
      <c r="K849" s="9">
        <f t="shared" si="67"/>
        <v>353.174184</v>
      </c>
      <c r="L849" s="9">
        <f t="shared" si="68"/>
        <v>449.494416</v>
      </c>
      <c r="M849" s="9">
        <f t="shared" si="69"/>
        <v>545.814648</v>
      </c>
    </row>
    <row r="850" ht="27" spans="2:13">
      <c r="B850" t="s">
        <v>1690</v>
      </c>
      <c r="C850" s="4" t="s">
        <v>1691</v>
      </c>
      <c r="D850" s="4" t="s">
        <v>1691</v>
      </c>
      <c r="E850" s="4" t="s">
        <v>1691</v>
      </c>
      <c r="F850" s="4" t="s">
        <v>1691</v>
      </c>
      <c r="G850" s="5">
        <v>820.25136</v>
      </c>
      <c r="H850" s="9"/>
      <c r="I850" s="9">
        <f t="shared" si="65"/>
        <v>385.5181392</v>
      </c>
      <c r="J850" s="9">
        <f t="shared" si="66"/>
        <v>410.12568</v>
      </c>
      <c r="K850" s="9">
        <f t="shared" si="67"/>
        <v>451.138248</v>
      </c>
      <c r="L850" s="9">
        <f t="shared" si="68"/>
        <v>574.175952</v>
      </c>
      <c r="M850" s="9">
        <f t="shared" si="69"/>
        <v>697.213656</v>
      </c>
    </row>
    <row r="851" ht="27" spans="2:13">
      <c r="B851" t="s">
        <v>1692</v>
      </c>
      <c r="C851" s="4" t="s">
        <v>1693</v>
      </c>
      <c r="D851" s="4" t="s">
        <v>1693</v>
      </c>
      <c r="E851" s="4" t="s">
        <v>1693</v>
      </c>
      <c r="F851" s="4" t="s">
        <v>1693</v>
      </c>
      <c r="G851" s="5">
        <v>2635.68</v>
      </c>
      <c r="H851" s="9"/>
      <c r="I851" s="9">
        <f t="shared" si="65"/>
        <v>1238.7696</v>
      </c>
      <c r="J851" s="9">
        <f t="shared" si="66"/>
        <v>1317.84</v>
      </c>
      <c r="K851" s="9">
        <f t="shared" si="67"/>
        <v>1449.624</v>
      </c>
      <c r="L851" s="9">
        <f t="shared" si="68"/>
        <v>1844.976</v>
      </c>
      <c r="M851" s="9">
        <f t="shared" si="69"/>
        <v>2240.328</v>
      </c>
    </row>
    <row r="852" ht="27" spans="2:13">
      <c r="B852" t="s">
        <v>1694</v>
      </c>
      <c r="C852" s="4" t="s">
        <v>1695</v>
      </c>
      <c r="D852" s="4" t="s">
        <v>1695</v>
      </c>
      <c r="E852" s="4" t="s">
        <v>1695</v>
      </c>
      <c r="F852" s="4" t="s">
        <v>1695</v>
      </c>
      <c r="G852" s="5" t="s">
        <v>1169</v>
      </c>
      <c r="H852" s="9"/>
      <c r="I852" s="9" t="e">
        <f t="shared" si="65"/>
        <v>#VALUE!</v>
      </c>
      <c r="J852" s="9" t="e">
        <f t="shared" si="66"/>
        <v>#VALUE!</v>
      </c>
      <c r="K852" s="9" t="e">
        <f t="shared" si="67"/>
        <v>#VALUE!</v>
      </c>
      <c r="L852" s="9" t="e">
        <f t="shared" si="68"/>
        <v>#VALUE!</v>
      </c>
      <c r="M852" s="9" t="e">
        <f t="shared" si="69"/>
        <v>#VALUE!</v>
      </c>
    </row>
    <row r="853" spans="2:13">
      <c r="B853" t="s">
        <v>1696</v>
      </c>
      <c r="C853" s="4" t="s">
        <v>1697</v>
      </c>
      <c r="D853" s="4" t="s">
        <v>1697</v>
      </c>
      <c r="E853" s="4" t="s">
        <v>1697</v>
      </c>
      <c r="F853" s="4" t="s">
        <v>1697</v>
      </c>
      <c r="G853" s="5">
        <v>662.11056</v>
      </c>
      <c r="H853" s="9"/>
      <c r="I853" s="9">
        <f t="shared" si="65"/>
        <v>311.1919632</v>
      </c>
      <c r="J853" s="9">
        <f t="shared" si="66"/>
        <v>331.05528</v>
      </c>
      <c r="K853" s="9">
        <f t="shared" si="67"/>
        <v>364.160808</v>
      </c>
      <c r="L853" s="9">
        <f t="shared" si="68"/>
        <v>463.477392</v>
      </c>
      <c r="M853" s="9">
        <f t="shared" si="69"/>
        <v>562.793976</v>
      </c>
    </row>
    <row r="854" spans="2:13">
      <c r="B854" t="s">
        <v>1698</v>
      </c>
      <c r="C854" s="4" t="s">
        <v>1699</v>
      </c>
      <c r="D854" s="4" t="s">
        <v>1699</v>
      </c>
      <c r="E854" s="4" t="s">
        <v>1699</v>
      </c>
      <c r="F854" s="4" t="s">
        <v>1699</v>
      </c>
      <c r="G854" s="5">
        <v>1031.66064</v>
      </c>
      <c r="H854" s="9"/>
      <c r="I854" s="9">
        <f t="shared" si="65"/>
        <v>484.8805008</v>
      </c>
      <c r="J854" s="9">
        <f t="shared" si="66"/>
        <v>515.83032</v>
      </c>
      <c r="K854" s="9">
        <f t="shared" si="67"/>
        <v>567.413352</v>
      </c>
      <c r="L854" s="9">
        <f t="shared" si="68"/>
        <v>722.162448</v>
      </c>
      <c r="M854" s="9">
        <f t="shared" si="69"/>
        <v>876.911544</v>
      </c>
    </row>
    <row r="855" ht="27" spans="2:13">
      <c r="B855" t="s">
        <v>1700</v>
      </c>
      <c r="C855" s="4" t="s">
        <v>1701</v>
      </c>
      <c r="D855" s="4" t="s">
        <v>1701</v>
      </c>
      <c r="E855" s="4" t="s">
        <v>1701</v>
      </c>
      <c r="F855" s="4" t="s">
        <v>1701</v>
      </c>
      <c r="G855" s="5">
        <v>2812.2012</v>
      </c>
      <c r="H855" s="9"/>
      <c r="I855" s="9">
        <f t="shared" si="65"/>
        <v>1321.734564</v>
      </c>
      <c r="J855" s="9">
        <f t="shared" si="66"/>
        <v>1406.1006</v>
      </c>
      <c r="K855" s="9">
        <f t="shared" si="67"/>
        <v>1546.71066</v>
      </c>
      <c r="L855" s="9">
        <f t="shared" si="68"/>
        <v>1968.54084</v>
      </c>
      <c r="M855" s="9">
        <f t="shared" si="69"/>
        <v>2390.37102</v>
      </c>
    </row>
    <row r="856" ht="27" spans="2:13">
      <c r="B856" t="s">
        <v>1702</v>
      </c>
      <c r="C856" s="4" t="s">
        <v>1703</v>
      </c>
      <c r="D856" s="4" t="s">
        <v>1703</v>
      </c>
      <c r="E856" s="4" t="s">
        <v>1703</v>
      </c>
      <c r="F856" s="4" t="s">
        <v>1703</v>
      </c>
      <c r="G856" s="5" t="s">
        <v>1169</v>
      </c>
      <c r="H856" s="9"/>
      <c r="I856" s="9" t="e">
        <f t="shared" si="65"/>
        <v>#VALUE!</v>
      </c>
      <c r="J856" s="9" t="e">
        <f t="shared" si="66"/>
        <v>#VALUE!</v>
      </c>
      <c r="K856" s="9" t="e">
        <f t="shared" si="67"/>
        <v>#VALUE!</v>
      </c>
      <c r="L856" s="9" t="e">
        <f t="shared" si="68"/>
        <v>#VALUE!</v>
      </c>
      <c r="M856" s="9" t="e">
        <f t="shared" si="69"/>
        <v>#VALUE!</v>
      </c>
    </row>
    <row r="857" ht="27" spans="2:13">
      <c r="B857" t="s">
        <v>1704</v>
      </c>
      <c r="C857" s="4" t="s">
        <v>1705</v>
      </c>
      <c r="D857" s="4" t="s">
        <v>1705</v>
      </c>
      <c r="E857" s="4" t="s">
        <v>1705</v>
      </c>
      <c r="F857" s="4" t="s">
        <v>1705</v>
      </c>
      <c r="G857" s="5" t="s">
        <v>1169</v>
      </c>
      <c r="H857" s="9"/>
      <c r="I857" s="9" t="e">
        <f t="shared" si="65"/>
        <v>#VALUE!</v>
      </c>
      <c r="J857" s="9" t="e">
        <f t="shared" si="66"/>
        <v>#VALUE!</v>
      </c>
      <c r="K857" s="9" t="e">
        <f t="shared" si="67"/>
        <v>#VALUE!</v>
      </c>
      <c r="L857" s="9" t="e">
        <f t="shared" si="68"/>
        <v>#VALUE!</v>
      </c>
      <c r="M857" s="9" t="e">
        <f t="shared" si="69"/>
        <v>#VALUE!</v>
      </c>
    </row>
    <row r="858" ht="27" spans="2:13">
      <c r="B858" s="13" t="s">
        <v>1706</v>
      </c>
      <c r="C858" s="4" t="s">
        <v>1707</v>
      </c>
      <c r="D858" s="4" t="s">
        <v>1707</v>
      </c>
      <c r="E858" s="4" t="s">
        <v>1707</v>
      </c>
      <c r="F858" s="4" t="s">
        <v>1707</v>
      </c>
      <c r="G858" s="5" t="s">
        <v>1169</v>
      </c>
      <c r="H858" s="9"/>
      <c r="I858" s="9" t="e">
        <f t="shared" si="65"/>
        <v>#VALUE!</v>
      </c>
      <c r="J858" s="9" t="e">
        <f t="shared" si="66"/>
        <v>#VALUE!</v>
      </c>
      <c r="K858" s="9" t="e">
        <f t="shared" si="67"/>
        <v>#VALUE!</v>
      </c>
      <c r="L858" s="9" t="e">
        <f t="shared" si="68"/>
        <v>#VALUE!</v>
      </c>
      <c r="M858" s="9" t="e">
        <f t="shared" si="69"/>
        <v>#VALUE!</v>
      </c>
    </row>
    <row r="859" ht="27" spans="2:13">
      <c r="B859" s="13" t="s">
        <v>1708</v>
      </c>
      <c r="C859" s="4" t="s">
        <v>1709</v>
      </c>
      <c r="D859" s="4" t="s">
        <v>1709</v>
      </c>
      <c r="E859" s="4" t="s">
        <v>1709</v>
      </c>
      <c r="F859" s="4" t="s">
        <v>1709</v>
      </c>
      <c r="G859" s="5" t="s">
        <v>1169</v>
      </c>
      <c r="H859" s="9"/>
      <c r="I859" s="9" t="e">
        <f t="shared" si="65"/>
        <v>#VALUE!</v>
      </c>
      <c r="J859" s="9" t="e">
        <f t="shared" si="66"/>
        <v>#VALUE!</v>
      </c>
      <c r="K859" s="9" t="e">
        <f t="shared" si="67"/>
        <v>#VALUE!</v>
      </c>
      <c r="L859" s="9" t="e">
        <f t="shared" si="68"/>
        <v>#VALUE!</v>
      </c>
      <c r="M859" s="9" t="e">
        <f t="shared" si="69"/>
        <v>#VALUE!</v>
      </c>
    </row>
    <row r="860" spans="2:13">
      <c r="B860" t="s">
        <v>1710</v>
      </c>
      <c r="C860" s="4" t="s">
        <v>1711</v>
      </c>
      <c r="D860" s="4" t="s">
        <v>1711</v>
      </c>
      <c r="E860" s="4" t="s">
        <v>1711</v>
      </c>
      <c r="F860" s="4" t="s">
        <v>1711</v>
      </c>
      <c r="G860" s="5">
        <v>597.08556</v>
      </c>
      <c r="H860" s="9"/>
      <c r="I860" s="9">
        <f t="shared" si="65"/>
        <v>280.6302132</v>
      </c>
      <c r="J860" s="9">
        <f t="shared" si="66"/>
        <v>298.54278</v>
      </c>
      <c r="K860" s="9">
        <f t="shared" si="67"/>
        <v>328.397058</v>
      </c>
      <c r="L860" s="9">
        <f t="shared" si="68"/>
        <v>417.959892</v>
      </c>
      <c r="M860" s="9">
        <f t="shared" si="69"/>
        <v>507.522726</v>
      </c>
    </row>
    <row r="861" ht="27" spans="2:13">
      <c r="B861" t="s">
        <v>1712</v>
      </c>
      <c r="C861" s="4" t="s">
        <v>1713</v>
      </c>
      <c r="D861" s="4" t="s">
        <v>1713</v>
      </c>
      <c r="E861" s="4" t="s">
        <v>1713</v>
      </c>
      <c r="F861" s="4" t="s">
        <v>1713</v>
      </c>
      <c r="G861" s="5">
        <v>1197.70848</v>
      </c>
      <c r="H861" s="9"/>
      <c r="I861" s="9">
        <f t="shared" si="65"/>
        <v>562.9229856</v>
      </c>
      <c r="J861" s="9">
        <f t="shared" si="66"/>
        <v>598.85424</v>
      </c>
      <c r="K861" s="9">
        <f t="shared" si="67"/>
        <v>658.739664</v>
      </c>
      <c r="L861" s="9">
        <f t="shared" si="68"/>
        <v>838.395936</v>
      </c>
      <c r="M861" s="9">
        <f t="shared" si="69"/>
        <v>1018.052208</v>
      </c>
    </row>
    <row r="862" ht="27" spans="2:13">
      <c r="B862" t="s">
        <v>1714</v>
      </c>
      <c r="C862" s="4" t="s">
        <v>1715</v>
      </c>
      <c r="D862" s="4" t="s">
        <v>1715</v>
      </c>
      <c r="E862" s="4" t="s">
        <v>1715</v>
      </c>
      <c r="F862" s="4" t="s">
        <v>1715</v>
      </c>
      <c r="G862" s="5">
        <v>1628.85024</v>
      </c>
      <c r="H862" s="9"/>
      <c r="I862" s="9">
        <f t="shared" si="65"/>
        <v>765.5596128</v>
      </c>
      <c r="J862" s="9">
        <f t="shared" si="66"/>
        <v>814.42512</v>
      </c>
      <c r="K862" s="9">
        <f t="shared" si="67"/>
        <v>895.867632</v>
      </c>
      <c r="L862" s="9">
        <f t="shared" si="68"/>
        <v>1140.195168</v>
      </c>
      <c r="M862" s="9">
        <f t="shared" si="69"/>
        <v>1384.522704</v>
      </c>
    </row>
    <row r="863" ht="40.5" spans="2:13">
      <c r="B863" t="s">
        <v>1716</v>
      </c>
      <c r="C863" s="4" t="s">
        <v>1717</v>
      </c>
      <c r="D863" s="4" t="s">
        <v>1717</v>
      </c>
      <c r="E863" s="4" t="s">
        <v>1717</v>
      </c>
      <c r="F863" s="4" t="s">
        <v>1717</v>
      </c>
      <c r="G863" s="5">
        <v>217.056</v>
      </c>
      <c r="H863" s="9"/>
      <c r="I863" s="9">
        <f t="shared" si="65"/>
        <v>102.01632</v>
      </c>
      <c r="J863" s="9">
        <f t="shared" si="66"/>
        <v>108.528</v>
      </c>
      <c r="K863" s="9">
        <f t="shared" si="67"/>
        <v>119.3808</v>
      </c>
      <c r="L863" s="9">
        <f t="shared" si="68"/>
        <v>151.9392</v>
      </c>
      <c r="M863" s="9">
        <f t="shared" si="69"/>
        <v>184.4976</v>
      </c>
    </row>
    <row r="864" ht="27" spans="2:13">
      <c r="B864" t="s">
        <v>1718</v>
      </c>
      <c r="C864" s="4" t="s">
        <v>1719</v>
      </c>
      <c r="D864" s="4" t="s">
        <v>1719</v>
      </c>
      <c r="E864" s="4" t="s">
        <v>1719</v>
      </c>
      <c r="F864" s="4" t="s">
        <v>1719</v>
      </c>
      <c r="G864" s="5">
        <v>776.97072</v>
      </c>
      <c r="H864" s="9"/>
      <c r="I864" s="9">
        <f t="shared" si="65"/>
        <v>365.1762384</v>
      </c>
      <c r="J864" s="9">
        <f t="shared" si="66"/>
        <v>388.48536</v>
      </c>
      <c r="K864" s="9">
        <f t="shared" si="67"/>
        <v>427.333896</v>
      </c>
      <c r="L864" s="9">
        <f t="shared" si="68"/>
        <v>543.879504</v>
      </c>
      <c r="M864" s="9">
        <f t="shared" si="69"/>
        <v>660.425112</v>
      </c>
    </row>
    <row r="865" ht="27" spans="2:13">
      <c r="B865" t="s">
        <v>1720</v>
      </c>
      <c r="C865" s="4" t="s">
        <v>1721</v>
      </c>
      <c r="D865" s="4" t="s">
        <v>1721</v>
      </c>
      <c r="E865" s="4" t="s">
        <v>1721</v>
      </c>
      <c r="F865" s="4" t="s">
        <v>1721</v>
      </c>
      <c r="G865" s="5">
        <v>1940.97024</v>
      </c>
      <c r="H865" s="9"/>
      <c r="I865" s="9">
        <f t="shared" si="65"/>
        <v>912.2560128</v>
      </c>
      <c r="J865" s="9">
        <f t="shared" si="66"/>
        <v>970.48512</v>
      </c>
      <c r="K865" s="9">
        <f t="shared" si="67"/>
        <v>1067.533632</v>
      </c>
      <c r="L865" s="9">
        <f t="shared" si="68"/>
        <v>1358.679168</v>
      </c>
      <c r="M865" s="9">
        <f t="shared" si="69"/>
        <v>1649.824704</v>
      </c>
    </row>
    <row r="866" ht="27" spans="2:13">
      <c r="B866" t="s">
        <v>1722</v>
      </c>
      <c r="C866" s="4" t="s">
        <v>1723</v>
      </c>
      <c r="D866" s="4" t="s">
        <v>1723</v>
      </c>
      <c r="E866" s="4" t="s">
        <v>1723</v>
      </c>
      <c r="F866" s="4" t="s">
        <v>1723</v>
      </c>
      <c r="G866" s="5">
        <v>680.62968</v>
      </c>
      <c r="H866" s="9"/>
      <c r="I866" s="9">
        <f t="shared" si="65"/>
        <v>319.8959496</v>
      </c>
      <c r="J866" s="9">
        <f t="shared" si="66"/>
        <v>340.31484</v>
      </c>
      <c r="K866" s="9">
        <f t="shared" si="67"/>
        <v>374.346324</v>
      </c>
      <c r="L866" s="9">
        <f t="shared" si="68"/>
        <v>476.440776</v>
      </c>
      <c r="M866" s="9">
        <f t="shared" si="69"/>
        <v>578.535228</v>
      </c>
    </row>
    <row r="867" ht="27" spans="2:13">
      <c r="B867" t="s">
        <v>1724</v>
      </c>
      <c r="C867" s="4" t="s">
        <v>1725</v>
      </c>
      <c r="D867" s="4" t="s">
        <v>1725</v>
      </c>
      <c r="E867" s="4" t="s">
        <v>1725</v>
      </c>
      <c r="F867" s="4" t="s">
        <v>1725</v>
      </c>
      <c r="G867" s="5">
        <v>967.78008</v>
      </c>
      <c r="H867" s="9"/>
      <c r="I867" s="9">
        <f t="shared" si="65"/>
        <v>454.8566376</v>
      </c>
      <c r="J867" s="9">
        <f t="shared" si="66"/>
        <v>483.89004</v>
      </c>
      <c r="K867" s="9">
        <f t="shared" si="67"/>
        <v>532.279044</v>
      </c>
      <c r="L867" s="9">
        <f t="shared" si="68"/>
        <v>677.446056</v>
      </c>
      <c r="M867" s="9">
        <f t="shared" si="69"/>
        <v>822.613068</v>
      </c>
    </row>
    <row r="868" ht="27" spans="2:13">
      <c r="B868" t="s">
        <v>1726</v>
      </c>
      <c r="C868" s="4" t="s">
        <v>1727</v>
      </c>
      <c r="D868" s="4" t="s">
        <v>1727</v>
      </c>
      <c r="E868" s="4" t="s">
        <v>1727</v>
      </c>
      <c r="F868" s="4" t="s">
        <v>1727</v>
      </c>
      <c r="G868" s="5">
        <v>2843.4132</v>
      </c>
      <c r="H868" s="9"/>
      <c r="I868" s="9">
        <f t="shared" si="65"/>
        <v>1336.404204</v>
      </c>
      <c r="J868" s="9">
        <f t="shared" si="66"/>
        <v>1421.7066</v>
      </c>
      <c r="K868" s="9">
        <f t="shared" si="67"/>
        <v>1563.87726</v>
      </c>
      <c r="L868" s="9">
        <f t="shared" si="68"/>
        <v>1990.38924</v>
      </c>
      <c r="M868" s="9">
        <f t="shared" si="69"/>
        <v>2416.90122</v>
      </c>
    </row>
    <row r="869" ht="27" spans="2:13">
      <c r="B869" t="s">
        <v>1728</v>
      </c>
      <c r="C869" s="4" t="s">
        <v>1729</v>
      </c>
      <c r="D869" s="4" t="s">
        <v>1729</v>
      </c>
      <c r="E869" s="4" t="s">
        <v>1729</v>
      </c>
      <c r="F869" s="4" t="s">
        <v>1729</v>
      </c>
      <c r="G869" s="5" t="s">
        <v>1169</v>
      </c>
      <c r="H869" s="9"/>
      <c r="I869" s="9" t="e">
        <f t="shared" si="65"/>
        <v>#VALUE!</v>
      </c>
      <c r="J869" s="9" t="e">
        <f t="shared" si="66"/>
        <v>#VALUE!</v>
      </c>
      <c r="K869" s="9" t="e">
        <f t="shared" si="67"/>
        <v>#VALUE!</v>
      </c>
      <c r="L869" s="9" t="e">
        <f t="shared" si="68"/>
        <v>#VALUE!</v>
      </c>
      <c r="M869" s="9" t="e">
        <f t="shared" si="69"/>
        <v>#VALUE!</v>
      </c>
    </row>
    <row r="870" ht="27" spans="2:13">
      <c r="B870" s="13" t="s">
        <v>1730</v>
      </c>
      <c r="C870" s="4" t="s">
        <v>1731</v>
      </c>
      <c r="D870" s="4" t="s">
        <v>1731</v>
      </c>
      <c r="E870" s="4" t="s">
        <v>1731</v>
      </c>
      <c r="F870" s="4" t="s">
        <v>1731</v>
      </c>
      <c r="G870" s="5">
        <v>9078</v>
      </c>
      <c r="H870" s="9"/>
      <c r="I870" s="9">
        <f t="shared" si="65"/>
        <v>4266.66</v>
      </c>
      <c r="J870" s="9">
        <f t="shared" si="66"/>
        <v>4539</v>
      </c>
      <c r="K870" s="9">
        <f t="shared" si="67"/>
        <v>4992.9</v>
      </c>
      <c r="L870" s="9">
        <f t="shared" si="68"/>
        <v>6354.6</v>
      </c>
      <c r="M870" s="9">
        <f t="shared" si="69"/>
        <v>7716.3</v>
      </c>
    </row>
    <row r="871" spans="2:13">
      <c r="B871" t="s">
        <v>1732</v>
      </c>
      <c r="C871" s="4" t="s">
        <v>1733</v>
      </c>
      <c r="D871" s="4" t="s">
        <v>1733</v>
      </c>
      <c r="E871" s="4" t="s">
        <v>1733</v>
      </c>
      <c r="F871" s="4" t="s">
        <v>1733</v>
      </c>
      <c r="G871" s="5">
        <v>707.26392</v>
      </c>
      <c r="H871" s="9"/>
      <c r="I871" s="9">
        <f t="shared" si="65"/>
        <v>332.4140424</v>
      </c>
      <c r="J871" s="9">
        <f t="shared" si="66"/>
        <v>353.63196</v>
      </c>
      <c r="K871" s="9">
        <f t="shared" si="67"/>
        <v>388.995156</v>
      </c>
      <c r="L871" s="9">
        <f t="shared" si="68"/>
        <v>495.084744</v>
      </c>
      <c r="M871" s="9">
        <f t="shared" si="69"/>
        <v>601.174332</v>
      </c>
    </row>
    <row r="872" spans="2:13">
      <c r="B872" t="s">
        <v>1734</v>
      </c>
      <c r="C872" s="4" t="s">
        <v>1735</v>
      </c>
      <c r="D872" s="4" t="s">
        <v>1735</v>
      </c>
      <c r="E872" s="4" t="s">
        <v>1735</v>
      </c>
      <c r="F872" s="4" t="s">
        <v>1735</v>
      </c>
      <c r="G872" s="5">
        <v>1082.12004</v>
      </c>
      <c r="H872" s="9"/>
      <c r="I872" s="9">
        <f t="shared" si="65"/>
        <v>508.5964188</v>
      </c>
      <c r="J872" s="9">
        <f t="shared" si="66"/>
        <v>541.06002</v>
      </c>
      <c r="K872" s="9">
        <f t="shared" si="67"/>
        <v>595.166022</v>
      </c>
      <c r="L872" s="9">
        <f t="shared" si="68"/>
        <v>757.484028</v>
      </c>
      <c r="M872" s="9">
        <f t="shared" si="69"/>
        <v>919.802034</v>
      </c>
    </row>
    <row r="873" ht="27" spans="2:13">
      <c r="B873" t="s">
        <v>1736</v>
      </c>
      <c r="C873" s="4" t="s">
        <v>1737</v>
      </c>
      <c r="D873" s="4" t="s">
        <v>1737</v>
      </c>
      <c r="E873" s="4" t="s">
        <v>1737</v>
      </c>
      <c r="F873" s="4" t="s">
        <v>1737</v>
      </c>
      <c r="G873" s="5" t="s">
        <v>1169</v>
      </c>
      <c r="H873" s="9"/>
      <c r="I873" s="9" t="e">
        <f t="shared" si="65"/>
        <v>#VALUE!</v>
      </c>
      <c r="J873" s="9" t="e">
        <f t="shared" si="66"/>
        <v>#VALUE!</v>
      </c>
      <c r="K873" s="9" t="e">
        <f t="shared" si="67"/>
        <v>#VALUE!</v>
      </c>
      <c r="L873" s="9" t="e">
        <f t="shared" si="68"/>
        <v>#VALUE!</v>
      </c>
      <c r="M873" s="9" t="e">
        <f t="shared" si="69"/>
        <v>#VALUE!</v>
      </c>
    </row>
    <row r="874" ht="27" spans="2:13">
      <c r="B874" t="s">
        <v>1738</v>
      </c>
      <c r="C874" s="4" t="s">
        <v>1739</v>
      </c>
      <c r="D874" s="4" t="s">
        <v>1739</v>
      </c>
      <c r="E874" s="4" t="s">
        <v>1739</v>
      </c>
      <c r="F874" s="4" t="s">
        <v>1739</v>
      </c>
      <c r="G874" s="5" t="s">
        <v>1169</v>
      </c>
      <c r="H874" s="9"/>
      <c r="I874" s="9" t="e">
        <f t="shared" si="65"/>
        <v>#VALUE!</v>
      </c>
      <c r="J874" s="9" t="e">
        <f t="shared" si="66"/>
        <v>#VALUE!</v>
      </c>
      <c r="K874" s="9" t="e">
        <f t="shared" si="67"/>
        <v>#VALUE!</v>
      </c>
      <c r="L874" s="9" t="e">
        <f t="shared" si="68"/>
        <v>#VALUE!</v>
      </c>
      <c r="M874" s="9" t="e">
        <f t="shared" si="69"/>
        <v>#VALUE!</v>
      </c>
    </row>
    <row r="875" ht="27" spans="2:13">
      <c r="B875" t="s">
        <v>1740</v>
      </c>
      <c r="C875" s="4" t="s">
        <v>1741</v>
      </c>
      <c r="D875" s="4" t="s">
        <v>1741</v>
      </c>
      <c r="E875" s="4" t="s">
        <v>1741</v>
      </c>
      <c r="F875" s="4" t="s">
        <v>1741</v>
      </c>
      <c r="G875" s="5">
        <v>80.7075</v>
      </c>
      <c r="H875" s="9"/>
      <c r="I875" s="9">
        <f t="shared" si="65"/>
        <v>37.932525</v>
      </c>
      <c r="J875" s="9">
        <f t="shared" si="66"/>
        <v>40.35375</v>
      </c>
      <c r="K875" s="9">
        <f t="shared" si="67"/>
        <v>44.389125</v>
      </c>
      <c r="L875" s="9">
        <f t="shared" si="68"/>
        <v>56.49525</v>
      </c>
      <c r="M875" s="9">
        <f t="shared" si="69"/>
        <v>68.601375</v>
      </c>
    </row>
    <row r="876" ht="27" spans="2:13">
      <c r="B876" s="13" t="s">
        <v>1742</v>
      </c>
      <c r="C876" s="4" t="s">
        <v>1743</v>
      </c>
      <c r="D876" s="4" t="s">
        <v>1743</v>
      </c>
      <c r="E876" s="4" t="s">
        <v>1743</v>
      </c>
      <c r="F876" s="4" t="s">
        <v>1743</v>
      </c>
      <c r="G876" s="5">
        <v>3634.26</v>
      </c>
      <c r="H876" s="9"/>
      <c r="I876" s="9">
        <f t="shared" si="65"/>
        <v>1708.1022</v>
      </c>
      <c r="J876" s="9">
        <f t="shared" si="66"/>
        <v>1817.13</v>
      </c>
      <c r="K876" s="9">
        <f t="shared" si="67"/>
        <v>1998.843</v>
      </c>
      <c r="L876" s="9">
        <f t="shared" si="68"/>
        <v>2543.982</v>
      </c>
      <c r="M876" s="9">
        <f t="shared" si="69"/>
        <v>3089.121</v>
      </c>
    </row>
    <row r="877" ht="27" spans="2:13">
      <c r="B877" s="13" t="s">
        <v>1744</v>
      </c>
      <c r="C877" s="4" t="s">
        <v>1745</v>
      </c>
      <c r="D877" s="4" t="s">
        <v>1745</v>
      </c>
      <c r="E877" s="4" t="s">
        <v>1745</v>
      </c>
      <c r="F877" s="4" t="s">
        <v>1745</v>
      </c>
      <c r="G877" s="5">
        <v>5144.523</v>
      </c>
      <c r="H877" s="9"/>
      <c r="I877" s="9">
        <f t="shared" si="65"/>
        <v>2417.92581</v>
      </c>
      <c r="J877" s="9">
        <f t="shared" si="66"/>
        <v>2572.2615</v>
      </c>
      <c r="K877" s="9">
        <f t="shared" si="67"/>
        <v>2829.48765</v>
      </c>
      <c r="L877" s="9">
        <f t="shared" si="68"/>
        <v>3601.1661</v>
      </c>
      <c r="M877" s="9">
        <f t="shared" si="69"/>
        <v>4372.84455</v>
      </c>
    </row>
    <row r="878" ht="27" spans="2:13">
      <c r="B878" s="13" t="s">
        <v>1746</v>
      </c>
      <c r="C878" s="4" t="s">
        <v>1747</v>
      </c>
      <c r="D878" s="4" t="s">
        <v>1747</v>
      </c>
      <c r="E878" s="4" t="s">
        <v>1747</v>
      </c>
      <c r="F878" s="4" t="s">
        <v>1747</v>
      </c>
      <c r="G878" s="5">
        <v>8624.6304</v>
      </c>
      <c r="H878" s="9"/>
      <c r="I878" s="9">
        <f t="shared" si="65"/>
        <v>4053.576288</v>
      </c>
      <c r="J878" s="9">
        <f t="shared" si="66"/>
        <v>4312.3152</v>
      </c>
      <c r="K878" s="9">
        <f t="shared" si="67"/>
        <v>4743.54672</v>
      </c>
      <c r="L878" s="9">
        <f t="shared" si="68"/>
        <v>6037.24128</v>
      </c>
      <c r="M878" s="9">
        <f t="shared" si="69"/>
        <v>7330.93584</v>
      </c>
    </row>
    <row r="879" ht="27" spans="2:13">
      <c r="B879" s="13" t="s">
        <v>1748</v>
      </c>
      <c r="C879" s="4" t="s">
        <v>1749</v>
      </c>
      <c r="D879" s="4" t="s">
        <v>1749</v>
      </c>
      <c r="E879" s="4" t="s">
        <v>1749</v>
      </c>
      <c r="F879" s="4" t="s">
        <v>1749</v>
      </c>
      <c r="G879" s="5">
        <v>9381.195</v>
      </c>
      <c r="H879" s="9"/>
      <c r="I879" s="9">
        <f t="shared" si="65"/>
        <v>4409.16165</v>
      </c>
      <c r="J879" s="9">
        <f t="shared" si="66"/>
        <v>4690.5975</v>
      </c>
      <c r="K879" s="9">
        <f t="shared" si="67"/>
        <v>5159.65725</v>
      </c>
      <c r="L879" s="9">
        <f t="shared" si="68"/>
        <v>6566.8365</v>
      </c>
      <c r="M879" s="9">
        <f t="shared" si="69"/>
        <v>7974.01575</v>
      </c>
    </row>
    <row r="880" ht="27" spans="2:13">
      <c r="B880" s="13" t="s">
        <v>1750</v>
      </c>
      <c r="C880" s="4" t="s">
        <v>1751</v>
      </c>
      <c r="D880" s="4" t="s">
        <v>1751</v>
      </c>
      <c r="E880" s="4" t="s">
        <v>1751</v>
      </c>
      <c r="F880" s="4" t="s">
        <v>1751</v>
      </c>
      <c r="G880" s="5" t="s">
        <v>1169</v>
      </c>
      <c r="H880" s="9"/>
      <c r="I880" s="9" t="e">
        <f t="shared" si="65"/>
        <v>#VALUE!</v>
      </c>
      <c r="J880" s="9" t="e">
        <f t="shared" si="66"/>
        <v>#VALUE!</v>
      </c>
      <c r="K880" s="9" t="e">
        <f t="shared" si="67"/>
        <v>#VALUE!</v>
      </c>
      <c r="L880" s="9" t="e">
        <f t="shared" si="68"/>
        <v>#VALUE!</v>
      </c>
      <c r="M880" s="9" t="e">
        <f t="shared" si="69"/>
        <v>#VALUE!</v>
      </c>
    </row>
    <row r="881" ht="27" spans="2:13">
      <c r="B881" s="13" t="s">
        <v>1752</v>
      </c>
      <c r="C881" s="4" t="s">
        <v>1753</v>
      </c>
      <c r="D881" s="4" t="s">
        <v>1753</v>
      </c>
      <c r="E881" s="4" t="s">
        <v>1753</v>
      </c>
      <c r="F881" s="4" t="s">
        <v>1753</v>
      </c>
      <c r="G881" s="5">
        <v>10289.046</v>
      </c>
      <c r="H881" s="9"/>
      <c r="I881" s="9">
        <f t="shared" si="65"/>
        <v>4835.85162</v>
      </c>
      <c r="J881" s="9">
        <f t="shared" si="66"/>
        <v>5144.523</v>
      </c>
      <c r="K881" s="9">
        <f t="shared" si="67"/>
        <v>5658.9753</v>
      </c>
      <c r="L881" s="9">
        <f t="shared" si="68"/>
        <v>7202.3322</v>
      </c>
      <c r="M881" s="9">
        <f t="shared" si="69"/>
        <v>8745.6891</v>
      </c>
    </row>
    <row r="882" ht="27" spans="2:13">
      <c r="B882" t="s">
        <v>1754</v>
      </c>
      <c r="C882" s="4" t="s">
        <v>1755</v>
      </c>
      <c r="D882" s="4" t="s">
        <v>1755</v>
      </c>
      <c r="E882" s="4" t="s">
        <v>1755</v>
      </c>
      <c r="F882" s="4" t="s">
        <v>1755</v>
      </c>
      <c r="G882" s="5">
        <v>972.98208</v>
      </c>
      <c r="H882" s="9"/>
      <c r="I882" s="9">
        <f t="shared" si="65"/>
        <v>457.3015776</v>
      </c>
      <c r="J882" s="9">
        <f t="shared" si="66"/>
        <v>486.49104</v>
      </c>
      <c r="K882" s="9">
        <f t="shared" si="67"/>
        <v>535.140144</v>
      </c>
      <c r="L882" s="9">
        <f t="shared" si="68"/>
        <v>681.087456</v>
      </c>
      <c r="M882" s="9">
        <f t="shared" si="69"/>
        <v>827.034768</v>
      </c>
    </row>
    <row r="883" ht="27" spans="2:13">
      <c r="B883" t="s">
        <v>1756</v>
      </c>
      <c r="C883" s="4" t="s">
        <v>1757</v>
      </c>
      <c r="D883" s="4" t="s">
        <v>1757</v>
      </c>
      <c r="E883" s="4" t="s">
        <v>1757</v>
      </c>
      <c r="F883" s="4" t="s">
        <v>1757</v>
      </c>
      <c r="G883" s="5">
        <v>154.18728</v>
      </c>
      <c r="H883" s="9"/>
      <c r="I883" s="9">
        <f t="shared" si="65"/>
        <v>72.4680216</v>
      </c>
      <c r="J883" s="9">
        <f t="shared" si="66"/>
        <v>77.09364</v>
      </c>
      <c r="K883" s="9">
        <f t="shared" si="67"/>
        <v>84.803004</v>
      </c>
      <c r="L883" s="9">
        <f t="shared" si="68"/>
        <v>107.931096</v>
      </c>
      <c r="M883" s="9">
        <f t="shared" si="69"/>
        <v>131.059188</v>
      </c>
    </row>
    <row r="884" spans="2:13">
      <c r="B884" t="s">
        <v>1758</v>
      </c>
      <c r="C884" s="4" t="s">
        <v>1759</v>
      </c>
      <c r="D884" s="4" t="s">
        <v>1759</v>
      </c>
      <c r="E884" s="4" t="s">
        <v>1759</v>
      </c>
      <c r="F884" s="4" t="s">
        <v>1759</v>
      </c>
      <c r="G884" s="5">
        <v>289.85544</v>
      </c>
      <c r="H884" s="9"/>
      <c r="I884" s="9">
        <f t="shared" si="65"/>
        <v>136.2320568</v>
      </c>
      <c r="J884" s="9">
        <f t="shared" si="66"/>
        <v>144.92772</v>
      </c>
      <c r="K884" s="9">
        <f t="shared" si="67"/>
        <v>159.420492</v>
      </c>
      <c r="L884" s="9">
        <f t="shared" si="68"/>
        <v>202.898808</v>
      </c>
      <c r="M884" s="9">
        <f t="shared" si="69"/>
        <v>246.377124</v>
      </c>
    </row>
    <row r="885" spans="2:13">
      <c r="B885" t="s">
        <v>1760</v>
      </c>
      <c r="C885" s="4" t="s">
        <v>1761</v>
      </c>
      <c r="D885" s="4" t="s">
        <v>1761</v>
      </c>
      <c r="E885" s="4" t="s">
        <v>1761</v>
      </c>
      <c r="F885" s="4" t="s">
        <v>1761</v>
      </c>
      <c r="G885" s="5">
        <v>208.70424</v>
      </c>
      <c r="H885" s="9"/>
      <c r="I885" s="9">
        <f t="shared" si="65"/>
        <v>98.0909928</v>
      </c>
      <c r="J885" s="9">
        <f t="shared" si="66"/>
        <v>104.35212</v>
      </c>
      <c r="K885" s="9">
        <f t="shared" si="67"/>
        <v>114.787332</v>
      </c>
      <c r="L885" s="9">
        <f t="shared" si="68"/>
        <v>146.092968</v>
      </c>
      <c r="M885" s="9">
        <f t="shared" si="69"/>
        <v>177.398604</v>
      </c>
    </row>
    <row r="886" spans="2:13">
      <c r="B886" t="s">
        <v>1762</v>
      </c>
      <c r="C886" s="4" t="s">
        <v>1763</v>
      </c>
      <c r="D886" s="4" t="s">
        <v>1763</v>
      </c>
      <c r="E886" s="4" t="s">
        <v>1763</v>
      </c>
      <c r="F886" s="4" t="s">
        <v>1763</v>
      </c>
      <c r="G886" s="5">
        <v>371.21472</v>
      </c>
      <c r="H886" s="9"/>
      <c r="I886" s="9">
        <f t="shared" si="65"/>
        <v>174.4709184</v>
      </c>
      <c r="J886" s="9">
        <f t="shared" si="66"/>
        <v>185.60736</v>
      </c>
      <c r="K886" s="9">
        <f t="shared" si="67"/>
        <v>204.168096</v>
      </c>
      <c r="L886" s="9">
        <f t="shared" si="68"/>
        <v>259.850304</v>
      </c>
      <c r="M886" s="9">
        <f t="shared" si="69"/>
        <v>315.532512</v>
      </c>
    </row>
    <row r="887" spans="2:13">
      <c r="B887" t="s">
        <v>1764</v>
      </c>
      <c r="C887" s="4" t="s">
        <v>1765</v>
      </c>
      <c r="D887" s="4" t="s">
        <v>1765</v>
      </c>
      <c r="E887" s="4" t="s">
        <v>1765</v>
      </c>
      <c r="F887" s="4" t="s">
        <v>1765</v>
      </c>
      <c r="G887" s="5">
        <v>486.59508</v>
      </c>
      <c r="H887" s="9"/>
      <c r="I887" s="9">
        <f t="shared" si="65"/>
        <v>228.6996876</v>
      </c>
      <c r="J887" s="9">
        <f t="shared" si="66"/>
        <v>243.29754</v>
      </c>
      <c r="K887" s="9">
        <f t="shared" si="67"/>
        <v>267.627294</v>
      </c>
      <c r="L887" s="9">
        <f t="shared" si="68"/>
        <v>340.616556</v>
      </c>
      <c r="M887" s="9">
        <f t="shared" si="69"/>
        <v>413.605818</v>
      </c>
    </row>
    <row r="888" spans="2:13">
      <c r="B888" t="s">
        <v>1766</v>
      </c>
      <c r="C888" s="4" t="s">
        <v>1767</v>
      </c>
      <c r="D888" s="4" t="s">
        <v>1767</v>
      </c>
      <c r="E888" s="4" t="s">
        <v>1767</v>
      </c>
      <c r="F888" s="4" t="s">
        <v>1767</v>
      </c>
      <c r="G888" s="5">
        <v>869.56632</v>
      </c>
      <c r="H888" s="9"/>
      <c r="I888" s="9">
        <f t="shared" si="65"/>
        <v>408.6961704</v>
      </c>
      <c r="J888" s="9">
        <f t="shared" si="66"/>
        <v>434.78316</v>
      </c>
      <c r="K888" s="9">
        <f t="shared" si="67"/>
        <v>478.261476</v>
      </c>
      <c r="L888" s="9">
        <f t="shared" si="68"/>
        <v>608.696424</v>
      </c>
      <c r="M888" s="9">
        <f t="shared" si="69"/>
        <v>739.131372</v>
      </c>
    </row>
    <row r="889" spans="2:13">
      <c r="B889" t="s">
        <v>1768</v>
      </c>
      <c r="C889" s="4" t="s">
        <v>1769</v>
      </c>
      <c r="D889" s="4" t="s">
        <v>1769</v>
      </c>
      <c r="E889" s="4" t="s">
        <v>1769</v>
      </c>
      <c r="F889" s="4" t="s">
        <v>1769</v>
      </c>
      <c r="G889" s="5">
        <v>892.143</v>
      </c>
      <c r="H889" s="9"/>
      <c r="I889" s="9">
        <f t="shared" si="65"/>
        <v>419.30721</v>
      </c>
      <c r="J889" s="9">
        <f t="shared" si="66"/>
        <v>446.0715</v>
      </c>
      <c r="K889" s="9">
        <f t="shared" si="67"/>
        <v>490.67865</v>
      </c>
      <c r="L889" s="9">
        <f t="shared" si="68"/>
        <v>624.5001</v>
      </c>
      <c r="M889" s="9">
        <f t="shared" si="69"/>
        <v>758.32155</v>
      </c>
    </row>
    <row r="890" spans="2:13">
      <c r="B890" t="s">
        <v>1770</v>
      </c>
      <c r="C890" s="4" t="s">
        <v>1771</v>
      </c>
      <c r="D890" s="4" t="s">
        <v>1771</v>
      </c>
      <c r="E890" s="4" t="s">
        <v>1771</v>
      </c>
      <c r="F890" s="4" t="s">
        <v>1771</v>
      </c>
      <c r="G890" s="5">
        <v>1706.7762</v>
      </c>
      <c r="H890" s="9"/>
      <c r="I890" s="9">
        <f t="shared" si="65"/>
        <v>802.184814</v>
      </c>
      <c r="J890" s="9">
        <f t="shared" si="66"/>
        <v>853.3881</v>
      </c>
      <c r="K890" s="9">
        <f t="shared" si="67"/>
        <v>938.72691</v>
      </c>
      <c r="L890" s="9">
        <f t="shared" si="68"/>
        <v>1194.74334</v>
      </c>
      <c r="M890" s="9">
        <f t="shared" si="69"/>
        <v>1450.75977</v>
      </c>
    </row>
    <row r="891" spans="2:13">
      <c r="B891" t="s">
        <v>1772</v>
      </c>
      <c r="C891" s="4" t="s">
        <v>1773</v>
      </c>
      <c r="D891" s="4" t="s">
        <v>1773</v>
      </c>
      <c r="E891" s="4" t="s">
        <v>1773</v>
      </c>
      <c r="F891" s="4" t="s">
        <v>1773</v>
      </c>
      <c r="G891" s="5">
        <v>1153.59552</v>
      </c>
      <c r="H891" s="9"/>
      <c r="I891" s="9">
        <f t="shared" si="65"/>
        <v>542.1898944</v>
      </c>
      <c r="J891" s="9">
        <f t="shared" si="66"/>
        <v>576.79776</v>
      </c>
      <c r="K891" s="9">
        <f t="shared" si="67"/>
        <v>634.477536</v>
      </c>
      <c r="L891" s="9">
        <f t="shared" si="68"/>
        <v>807.516864</v>
      </c>
      <c r="M891" s="9">
        <f t="shared" si="69"/>
        <v>980.556192</v>
      </c>
    </row>
    <row r="892" spans="2:13">
      <c r="B892" t="s">
        <v>1774</v>
      </c>
      <c r="C892" s="4" t="s">
        <v>1775</v>
      </c>
      <c r="D892" s="4" t="s">
        <v>1775</v>
      </c>
      <c r="E892" s="4" t="s">
        <v>1775</v>
      </c>
      <c r="F892" s="4" t="s">
        <v>1775</v>
      </c>
      <c r="G892" s="5">
        <v>2031.48504</v>
      </c>
      <c r="H892" s="9"/>
      <c r="I892" s="9">
        <f t="shared" si="65"/>
        <v>954.7979688</v>
      </c>
      <c r="J892" s="9">
        <f t="shared" si="66"/>
        <v>1015.74252</v>
      </c>
      <c r="K892" s="9">
        <f t="shared" si="67"/>
        <v>1117.316772</v>
      </c>
      <c r="L892" s="9">
        <f t="shared" si="68"/>
        <v>1422.039528</v>
      </c>
      <c r="M892" s="9">
        <f t="shared" si="69"/>
        <v>1726.762284</v>
      </c>
    </row>
    <row r="893" ht="40.5" spans="2:13">
      <c r="B893" t="s">
        <v>1776</v>
      </c>
      <c r="C893" s="4" t="s">
        <v>1777</v>
      </c>
      <c r="D893" s="4" t="s">
        <v>1777</v>
      </c>
      <c r="E893" s="4" t="s">
        <v>1777</v>
      </c>
      <c r="F893" s="4" t="s">
        <v>1777</v>
      </c>
      <c r="G893" s="5">
        <v>464.3652</v>
      </c>
      <c r="H893" s="9"/>
      <c r="I893" s="9">
        <f t="shared" si="65"/>
        <v>218.251644</v>
      </c>
      <c r="J893" s="9">
        <f t="shared" si="66"/>
        <v>232.1826</v>
      </c>
      <c r="K893" s="9">
        <f t="shared" si="67"/>
        <v>255.40086</v>
      </c>
      <c r="L893" s="9">
        <f t="shared" si="68"/>
        <v>325.05564</v>
      </c>
      <c r="M893" s="9">
        <f t="shared" si="69"/>
        <v>394.71042</v>
      </c>
    </row>
    <row r="894" ht="54" spans="2:13">
      <c r="B894" s="13" t="s">
        <v>1778</v>
      </c>
      <c r="C894" s="4" t="s">
        <v>1779</v>
      </c>
      <c r="D894" s="4" t="s">
        <v>1779</v>
      </c>
      <c r="E894" s="4" t="s">
        <v>1779</v>
      </c>
      <c r="F894" s="4" t="s">
        <v>1779</v>
      </c>
      <c r="G894" s="5">
        <v>535.5</v>
      </c>
      <c r="H894" s="9"/>
      <c r="I894" s="9">
        <f t="shared" si="65"/>
        <v>251.685</v>
      </c>
      <c r="J894" s="9">
        <f t="shared" si="66"/>
        <v>267.75</v>
      </c>
      <c r="K894" s="9">
        <f t="shared" si="67"/>
        <v>294.525</v>
      </c>
      <c r="L894" s="9">
        <f t="shared" si="68"/>
        <v>374.85</v>
      </c>
      <c r="M894" s="9">
        <f t="shared" si="69"/>
        <v>455.175</v>
      </c>
    </row>
    <row r="895" ht="54" spans="2:13">
      <c r="B895" s="13" t="s">
        <v>1780</v>
      </c>
      <c r="C895" s="4" t="s">
        <v>1781</v>
      </c>
      <c r="D895" s="4" t="s">
        <v>1781</v>
      </c>
      <c r="E895" s="4" t="s">
        <v>1781</v>
      </c>
      <c r="F895" s="4" t="s">
        <v>1781</v>
      </c>
      <c r="G895" s="5">
        <v>599.25</v>
      </c>
      <c r="H895" s="9"/>
      <c r="I895" s="9">
        <f t="shared" si="65"/>
        <v>281.6475</v>
      </c>
      <c r="J895" s="9">
        <f t="shared" si="66"/>
        <v>299.625</v>
      </c>
      <c r="K895" s="9">
        <f t="shared" si="67"/>
        <v>329.5875</v>
      </c>
      <c r="L895" s="9">
        <f t="shared" si="68"/>
        <v>419.475</v>
      </c>
      <c r="M895" s="9">
        <f t="shared" si="69"/>
        <v>509.3625</v>
      </c>
    </row>
    <row r="896" spans="2:13">
      <c r="B896" t="s">
        <v>1782</v>
      </c>
      <c r="C896" s="4" t="s">
        <v>1783</v>
      </c>
      <c r="D896" s="4" t="s">
        <v>1783</v>
      </c>
      <c r="E896" s="4" t="s">
        <v>1783</v>
      </c>
      <c r="F896" s="4" t="s">
        <v>1783</v>
      </c>
      <c r="G896" s="5">
        <v>170.6562</v>
      </c>
      <c r="H896" s="9"/>
      <c r="I896" s="9">
        <f t="shared" si="65"/>
        <v>80.208414</v>
      </c>
      <c r="J896" s="9">
        <f t="shared" si="66"/>
        <v>85.3281</v>
      </c>
      <c r="K896" s="9">
        <f t="shared" si="67"/>
        <v>93.86091</v>
      </c>
      <c r="L896" s="9">
        <f t="shared" si="68"/>
        <v>119.45934</v>
      </c>
      <c r="M896" s="9">
        <f t="shared" si="69"/>
        <v>145.05777</v>
      </c>
    </row>
    <row r="897" spans="2:13">
      <c r="B897" t="s">
        <v>1784</v>
      </c>
      <c r="C897" s="4" t="s">
        <v>1785</v>
      </c>
      <c r="D897" s="4" t="s">
        <v>1785</v>
      </c>
      <c r="E897" s="4" t="s">
        <v>1785</v>
      </c>
      <c r="F897" s="4" t="s">
        <v>1785</v>
      </c>
      <c r="G897" s="5">
        <v>255.21012</v>
      </c>
      <c r="H897" s="9"/>
      <c r="I897" s="9">
        <f t="shared" si="65"/>
        <v>119.9487564</v>
      </c>
      <c r="J897" s="9">
        <f t="shared" si="66"/>
        <v>127.60506</v>
      </c>
      <c r="K897" s="9">
        <f t="shared" si="67"/>
        <v>140.365566</v>
      </c>
      <c r="L897" s="9">
        <f t="shared" si="68"/>
        <v>178.647084</v>
      </c>
      <c r="M897" s="9">
        <f t="shared" si="69"/>
        <v>216.928602</v>
      </c>
    </row>
    <row r="898" spans="2:13">
      <c r="B898" t="s">
        <v>1786</v>
      </c>
      <c r="C898" s="4" t="s">
        <v>1787</v>
      </c>
      <c r="D898" s="4" t="s">
        <v>1787</v>
      </c>
      <c r="E898" s="4" t="s">
        <v>1787</v>
      </c>
      <c r="F898" s="4" t="s">
        <v>1787</v>
      </c>
      <c r="G898" s="5">
        <v>420.11352</v>
      </c>
      <c r="H898" s="9"/>
      <c r="I898" s="9">
        <f t="shared" si="65"/>
        <v>197.4533544</v>
      </c>
      <c r="J898" s="9">
        <f t="shared" si="66"/>
        <v>210.05676</v>
      </c>
      <c r="K898" s="9">
        <f t="shared" si="67"/>
        <v>231.062436</v>
      </c>
      <c r="L898" s="9">
        <f t="shared" si="68"/>
        <v>294.079464</v>
      </c>
      <c r="M898" s="9">
        <f t="shared" si="69"/>
        <v>357.096492</v>
      </c>
    </row>
    <row r="899" spans="2:13">
      <c r="B899" t="s">
        <v>1788</v>
      </c>
      <c r="C899" s="4" t="s">
        <v>1789</v>
      </c>
      <c r="D899" s="4" t="s">
        <v>1789</v>
      </c>
      <c r="E899" s="4" t="s">
        <v>1789</v>
      </c>
      <c r="F899" s="4" t="s">
        <v>1789</v>
      </c>
      <c r="G899" s="5">
        <v>505.1142</v>
      </c>
      <c r="H899" s="9"/>
      <c r="I899" s="9">
        <f t="shared" si="65"/>
        <v>237.403674</v>
      </c>
      <c r="J899" s="9">
        <f t="shared" si="66"/>
        <v>252.5571</v>
      </c>
      <c r="K899" s="9">
        <f t="shared" si="67"/>
        <v>277.81281</v>
      </c>
      <c r="L899" s="9">
        <f t="shared" si="68"/>
        <v>353.57994</v>
      </c>
      <c r="M899" s="9">
        <f t="shared" si="69"/>
        <v>429.34707</v>
      </c>
    </row>
    <row r="900" spans="2:13">
      <c r="B900" t="s">
        <v>1790</v>
      </c>
      <c r="C900" s="4" t="s">
        <v>1791</v>
      </c>
      <c r="D900" s="4" t="s">
        <v>1791</v>
      </c>
      <c r="E900" s="4" t="s">
        <v>1791</v>
      </c>
      <c r="F900" s="4" t="s">
        <v>1791</v>
      </c>
      <c r="G900" s="5">
        <v>1232.97804</v>
      </c>
      <c r="H900" s="9"/>
      <c r="I900" s="9">
        <f t="shared" ref="I900:I963" si="70">G900*0.47</f>
        <v>579.4996788</v>
      </c>
      <c r="J900" s="9">
        <f t="shared" ref="J900:J963" si="71">G900*0.5</f>
        <v>616.48902</v>
      </c>
      <c r="K900" s="9">
        <f t="shared" ref="K900:K963" si="72">G900*0.55</f>
        <v>678.137922</v>
      </c>
      <c r="L900" s="9">
        <f t="shared" ref="L900:L963" si="73">G900*0.7</f>
        <v>863.084628</v>
      </c>
      <c r="M900" s="9">
        <f t="shared" ref="M900:M963" si="74">G900*0.85</f>
        <v>1048.031334</v>
      </c>
    </row>
    <row r="901" spans="2:13">
      <c r="B901" t="s">
        <v>1792</v>
      </c>
      <c r="C901" s="4" t="s">
        <v>1793</v>
      </c>
      <c r="D901" s="4" t="s">
        <v>1793</v>
      </c>
      <c r="E901" s="4" t="s">
        <v>1793</v>
      </c>
      <c r="F901" s="4" t="s">
        <v>1793</v>
      </c>
      <c r="G901" s="5">
        <v>245.63844</v>
      </c>
      <c r="H901" s="9"/>
      <c r="I901" s="9">
        <f t="shared" si="70"/>
        <v>115.4500668</v>
      </c>
      <c r="J901" s="9">
        <f t="shared" si="71"/>
        <v>122.81922</v>
      </c>
      <c r="K901" s="9">
        <f t="shared" si="72"/>
        <v>135.101142</v>
      </c>
      <c r="L901" s="9">
        <f t="shared" si="73"/>
        <v>171.946908</v>
      </c>
      <c r="M901" s="9">
        <f t="shared" si="74"/>
        <v>208.792674</v>
      </c>
    </row>
    <row r="902" spans="2:13">
      <c r="B902" t="s">
        <v>1794</v>
      </c>
      <c r="C902" s="4" t="s">
        <v>1795</v>
      </c>
      <c r="D902" s="4" t="s">
        <v>1795</v>
      </c>
      <c r="E902" s="4" t="s">
        <v>1795</v>
      </c>
      <c r="F902" s="4" t="s">
        <v>1795</v>
      </c>
      <c r="G902" s="5">
        <v>245.63844</v>
      </c>
      <c r="H902" s="9"/>
      <c r="I902" s="9">
        <f t="shared" si="70"/>
        <v>115.4500668</v>
      </c>
      <c r="J902" s="9">
        <f t="shared" si="71"/>
        <v>122.81922</v>
      </c>
      <c r="K902" s="9">
        <f t="shared" si="72"/>
        <v>135.101142</v>
      </c>
      <c r="L902" s="9">
        <f t="shared" si="73"/>
        <v>171.946908</v>
      </c>
      <c r="M902" s="9">
        <f t="shared" si="74"/>
        <v>208.792674</v>
      </c>
    </row>
    <row r="903" spans="2:13">
      <c r="B903" t="s">
        <v>1796</v>
      </c>
      <c r="C903" s="4" t="s">
        <v>1797</v>
      </c>
      <c r="D903" s="4" t="s">
        <v>1797</v>
      </c>
      <c r="E903" s="4" t="s">
        <v>1797</v>
      </c>
      <c r="F903" s="4" t="s">
        <v>1797</v>
      </c>
      <c r="G903" s="5">
        <v>245.63844</v>
      </c>
      <c r="H903" s="9"/>
      <c r="I903" s="9">
        <f t="shared" si="70"/>
        <v>115.4500668</v>
      </c>
      <c r="J903" s="9">
        <f t="shared" si="71"/>
        <v>122.81922</v>
      </c>
      <c r="K903" s="9">
        <f t="shared" si="72"/>
        <v>135.101142</v>
      </c>
      <c r="L903" s="9">
        <f t="shared" si="73"/>
        <v>171.946908</v>
      </c>
      <c r="M903" s="9">
        <f t="shared" si="74"/>
        <v>208.792674</v>
      </c>
    </row>
    <row r="904" spans="2:13">
      <c r="B904" t="s">
        <v>1798</v>
      </c>
      <c r="C904" s="4" t="s">
        <v>1799</v>
      </c>
      <c r="D904" s="4" t="s">
        <v>1799</v>
      </c>
      <c r="E904" s="4" t="s">
        <v>1799</v>
      </c>
      <c r="F904" s="4" t="s">
        <v>1799</v>
      </c>
      <c r="G904" s="5">
        <v>245.63844</v>
      </c>
      <c r="H904" s="9"/>
      <c r="I904" s="9">
        <f t="shared" si="70"/>
        <v>115.4500668</v>
      </c>
      <c r="J904" s="9">
        <f t="shared" si="71"/>
        <v>122.81922</v>
      </c>
      <c r="K904" s="9">
        <f t="shared" si="72"/>
        <v>135.101142</v>
      </c>
      <c r="L904" s="9">
        <f t="shared" si="73"/>
        <v>171.946908</v>
      </c>
      <c r="M904" s="9">
        <f t="shared" si="74"/>
        <v>208.792674</v>
      </c>
    </row>
    <row r="905" ht="27" spans="2:13">
      <c r="B905" t="s">
        <v>1800</v>
      </c>
      <c r="C905" s="4" t="s">
        <v>1801</v>
      </c>
      <c r="D905" s="4" t="s">
        <v>1801</v>
      </c>
      <c r="E905" s="4" t="s">
        <v>1801</v>
      </c>
      <c r="F905" s="4" t="s">
        <v>1801</v>
      </c>
      <c r="G905" s="5">
        <v>245.63844</v>
      </c>
      <c r="H905" s="9"/>
      <c r="I905" s="9">
        <f t="shared" si="70"/>
        <v>115.4500668</v>
      </c>
      <c r="J905" s="9">
        <f t="shared" si="71"/>
        <v>122.81922</v>
      </c>
      <c r="K905" s="9">
        <f t="shared" si="72"/>
        <v>135.101142</v>
      </c>
      <c r="L905" s="9">
        <f t="shared" si="73"/>
        <v>171.946908</v>
      </c>
      <c r="M905" s="9">
        <f t="shared" si="74"/>
        <v>208.792674</v>
      </c>
    </row>
    <row r="906" spans="2:13">
      <c r="B906" t="s">
        <v>1802</v>
      </c>
      <c r="C906" s="4" t="s">
        <v>1803</v>
      </c>
      <c r="D906" s="4" t="s">
        <v>1803</v>
      </c>
      <c r="E906" s="4" t="s">
        <v>1803</v>
      </c>
      <c r="F906" s="4" t="s">
        <v>1803</v>
      </c>
      <c r="G906" s="5">
        <v>245.63844</v>
      </c>
      <c r="H906" s="9"/>
      <c r="I906" s="9">
        <f t="shared" si="70"/>
        <v>115.4500668</v>
      </c>
      <c r="J906" s="9">
        <f t="shared" si="71"/>
        <v>122.81922</v>
      </c>
      <c r="K906" s="9">
        <f t="shared" si="72"/>
        <v>135.101142</v>
      </c>
      <c r="L906" s="9">
        <f t="shared" si="73"/>
        <v>171.946908</v>
      </c>
      <c r="M906" s="9">
        <f t="shared" si="74"/>
        <v>208.792674</v>
      </c>
    </row>
    <row r="907" ht="27" spans="2:13">
      <c r="B907" t="s">
        <v>1804</v>
      </c>
      <c r="C907" s="4" t="s">
        <v>1805</v>
      </c>
      <c r="D907" s="4" t="s">
        <v>1805</v>
      </c>
      <c r="E907" s="4" t="s">
        <v>1805</v>
      </c>
      <c r="F907" s="4" t="s">
        <v>1805</v>
      </c>
      <c r="G907" s="5">
        <v>245.63844</v>
      </c>
      <c r="H907" s="9"/>
      <c r="I907" s="9">
        <f t="shared" si="70"/>
        <v>115.4500668</v>
      </c>
      <c r="J907" s="9">
        <f t="shared" si="71"/>
        <v>122.81922</v>
      </c>
      <c r="K907" s="9">
        <f t="shared" si="72"/>
        <v>135.101142</v>
      </c>
      <c r="L907" s="9">
        <f t="shared" si="73"/>
        <v>171.946908</v>
      </c>
      <c r="M907" s="9">
        <f t="shared" si="74"/>
        <v>208.792674</v>
      </c>
    </row>
    <row r="908" spans="2:13">
      <c r="B908" t="s">
        <v>1806</v>
      </c>
      <c r="C908" s="4" t="s">
        <v>1807</v>
      </c>
      <c r="D908" s="4" t="s">
        <v>1807</v>
      </c>
      <c r="E908" s="4" t="s">
        <v>1807</v>
      </c>
      <c r="F908" s="4" t="s">
        <v>1807</v>
      </c>
      <c r="G908" s="5">
        <v>153.70992</v>
      </c>
      <c r="H908" s="9"/>
      <c r="I908" s="9">
        <f t="shared" si="70"/>
        <v>72.2436624</v>
      </c>
      <c r="J908" s="9">
        <f t="shared" si="71"/>
        <v>76.85496</v>
      </c>
      <c r="K908" s="9">
        <f t="shared" si="72"/>
        <v>84.540456</v>
      </c>
      <c r="L908" s="9">
        <f t="shared" si="73"/>
        <v>107.596944</v>
      </c>
      <c r="M908" s="9">
        <f t="shared" si="74"/>
        <v>130.653432</v>
      </c>
    </row>
    <row r="909" spans="2:13">
      <c r="B909" t="s">
        <v>1808</v>
      </c>
      <c r="C909" s="4" t="s">
        <v>1809</v>
      </c>
      <c r="D909" s="4" t="s">
        <v>1809</v>
      </c>
      <c r="E909" s="4" t="s">
        <v>1809</v>
      </c>
      <c r="F909" s="4" t="s">
        <v>1809</v>
      </c>
      <c r="G909" s="5">
        <v>218.90016</v>
      </c>
      <c r="H909" s="9"/>
      <c r="I909" s="9">
        <f t="shared" si="70"/>
        <v>102.8830752</v>
      </c>
      <c r="J909" s="9">
        <f t="shared" si="71"/>
        <v>109.45008</v>
      </c>
      <c r="K909" s="9">
        <f t="shared" si="72"/>
        <v>120.395088</v>
      </c>
      <c r="L909" s="9">
        <f t="shared" si="73"/>
        <v>153.230112</v>
      </c>
      <c r="M909" s="9">
        <f t="shared" si="74"/>
        <v>186.065136</v>
      </c>
    </row>
    <row r="910" ht="40.5" spans="2:13">
      <c r="B910" t="s">
        <v>1810</v>
      </c>
      <c r="C910" s="4" t="s">
        <v>1811</v>
      </c>
      <c r="D910" s="4" t="s">
        <v>1811</v>
      </c>
      <c r="E910" s="4" t="s">
        <v>1811</v>
      </c>
      <c r="F910" s="4" t="s">
        <v>1811</v>
      </c>
      <c r="G910" s="5" t="s">
        <v>1169</v>
      </c>
      <c r="H910" s="9"/>
      <c r="I910" s="9" t="e">
        <f t="shared" si="70"/>
        <v>#VALUE!</v>
      </c>
      <c r="J910" s="9" t="e">
        <f t="shared" si="71"/>
        <v>#VALUE!</v>
      </c>
      <c r="K910" s="9" t="e">
        <f t="shared" si="72"/>
        <v>#VALUE!</v>
      </c>
      <c r="L910" s="9" t="e">
        <f t="shared" si="73"/>
        <v>#VALUE!</v>
      </c>
      <c r="M910" s="9" t="e">
        <f t="shared" si="74"/>
        <v>#VALUE!</v>
      </c>
    </row>
    <row r="911" ht="27" spans="2:13">
      <c r="B911" t="s">
        <v>1812</v>
      </c>
      <c r="C911" s="4" t="s">
        <v>1813</v>
      </c>
      <c r="D911" s="4" t="s">
        <v>1813</v>
      </c>
      <c r="E911" s="4" t="s">
        <v>1813</v>
      </c>
      <c r="F911" s="4" t="s">
        <v>1813</v>
      </c>
      <c r="G911" s="5" t="s">
        <v>1169</v>
      </c>
      <c r="H911" s="9"/>
      <c r="I911" s="9" t="e">
        <f t="shared" si="70"/>
        <v>#VALUE!</v>
      </c>
      <c r="J911" s="9" t="e">
        <f t="shared" si="71"/>
        <v>#VALUE!</v>
      </c>
      <c r="K911" s="9" t="e">
        <f t="shared" si="72"/>
        <v>#VALUE!</v>
      </c>
      <c r="L911" s="9" t="e">
        <f t="shared" si="73"/>
        <v>#VALUE!</v>
      </c>
      <c r="M911" s="9" t="e">
        <f t="shared" si="74"/>
        <v>#VALUE!</v>
      </c>
    </row>
    <row r="912" ht="27" spans="2:13">
      <c r="B912" t="s">
        <v>1814</v>
      </c>
      <c r="C912" s="4" t="s">
        <v>1815</v>
      </c>
      <c r="D912" s="4" t="s">
        <v>1815</v>
      </c>
      <c r="E912" s="4" t="s">
        <v>1815</v>
      </c>
      <c r="F912" s="4" t="s">
        <v>1815</v>
      </c>
      <c r="G912" s="5">
        <v>1606.5</v>
      </c>
      <c r="H912" s="9"/>
      <c r="I912" s="9">
        <f t="shared" si="70"/>
        <v>755.055</v>
      </c>
      <c r="J912" s="9">
        <f t="shared" si="71"/>
        <v>803.25</v>
      </c>
      <c r="K912" s="9">
        <f t="shared" si="72"/>
        <v>883.575</v>
      </c>
      <c r="L912" s="9">
        <f t="shared" si="73"/>
        <v>1124.55</v>
      </c>
      <c r="M912" s="9">
        <f t="shared" si="74"/>
        <v>1365.525</v>
      </c>
    </row>
    <row r="913" ht="27" spans="2:13">
      <c r="B913" t="s">
        <v>1816</v>
      </c>
      <c r="C913" s="4" t="s">
        <v>1817</v>
      </c>
      <c r="D913" s="4" t="s">
        <v>1817</v>
      </c>
      <c r="E913" s="4" t="s">
        <v>1817</v>
      </c>
      <c r="F913" s="4" t="s">
        <v>1817</v>
      </c>
      <c r="G913" s="5">
        <v>1606.5</v>
      </c>
      <c r="H913" s="9"/>
      <c r="I913" s="9">
        <f t="shared" si="70"/>
        <v>755.055</v>
      </c>
      <c r="J913" s="9">
        <f t="shared" si="71"/>
        <v>803.25</v>
      </c>
      <c r="K913" s="9">
        <f t="shared" si="72"/>
        <v>883.575</v>
      </c>
      <c r="L913" s="9">
        <f t="shared" si="73"/>
        <v>1124.55</v>
      </c>
      <c r="M913" s="9">
        <f t="shared" si="74"/>
        <v>1365.525</v>
      </c>
    </row>
    <row r="914" spans="2:13">
      <c r="B914" t="s">
        <v>1818</v>
      </c>
      <c r="C914" s="4" t="s">
        <v>1819</v>
      </c>
      <c r="D914" s="4" t="s">
        <v>1819</v>
      </c>
      <c r="E914" s="4" t="s">
        <v>1819</v>
      </c>
      <c r="F914" s="4" t="s">
        <v>1819</v>
      </c>
      <c r="G914" s="5">
        <v>142.8</v>
      </c>
      <c r="H914" s="9"/>
      <c r="I914" s="9">
        <f t="shared" si="70"/>
        <v>67.116</v>
      </c>
      <c r="J914" s="9">
        <f t="shared" si="71"/>
        <v>71.4</v>
      </c>
      <c r="K914" s="9">
        <f t="shared" si="72"/>
        <v>78.54</v>
      </c>
      <c r="L914" s="9">
        <f t="shared" si="73"/>
        <v>99.96</v>
      </c>
      <c r="M914" s="9">
        <f t="shared" si="74"/>
        <v>121.38</v>
      </c>
    </row>
    <row r="915" spans="2:13">
      <c r="B915" t="s">
        <v>1820</v>
      </c>
      <c r="C915" s="4" t="s">
        <v>1821</v>
      </c>
      <c r="D915" s="4" t="s">
        <v>1821</v>
      </c>
      <c r="E915" s="4" t="s">
        <v>1821</v>
      </c>
      <c r="F915" s="4" t="s">
        <v>1821</v>
      </c>
      <c r="G915" s="5">
        <v>153</v>
      </c>
      <c r="H915" s="9"/>
      <c r="I915" s="9">
        <f t="shared" si="70"/>
        <v>71.91</v>
      </c>
      <c r="J915" s="9">
        <f t="shared" si="71"/>
        <v>76.5</v>
      </c>
      <c r="K915" s="9">
        <f t="shared" si="72"/>
        <v>84.15</v>
      </c>
      <c r="L915" s="9">
        <f t="shared" si="73"/>
        <v>107.1</v>
      </c>
      <c r="M915" s="9">
        <f t="shared" si="74"/>
        <v>130.05</v>
      </c>
    </row>
    <row r="916" spans="2:13">
      <c r="B916" t="s">
        <v>1822</v>
      </c>
      <c r="C916" s="4" t="s">
        <v>1823</v>
      </c>
      <c r="D916" s="4" t="s">
        <v>1823</v>
      </c>
      <c r="E916" s="4" t="s">
        <v>1823</v>
      </c>
      <c r="F916" s="4" t="s">
        <v>1823</v>
      </c>
      <c r="G916" s="5" t="s">
        <v>1169</v>
      </c>
      <c r="H916" s="9"/>
      <c r="I916" s="9" t="e">
        <f t="shared" si="70"/>
        <v>#VALUE!</v>
      </c>
      <c r="J916" s="9" t="e">
        <f t="shared" si="71"/>
        <v>#VALUE!</v>
      </c>
      <c r="K916" s="9" t="e">
        <f t="shared" si="72"/>
        <v>#VALUE!</v>
      </c>
      <c r="L916" s="9" t="e">
        <f t="shared" si="73"/>
        <v>#VALUE!</v>
      </c>
      <c r="M916" s="9" t="e">
        <f t="shared" si="74"/>
        <v>#VALUE!</v>
      </c>
    </row>
    <row r="917" ht="27" spans="2:13">
      <c r="B917" t="s">
        <v>1824</v>
      </c>
      <c r="C917" s="4" t="s">
        <v>1825</v>
      </c>
      <c r="D917" s="4" t="s">
        <v>1825</v>
      </c>
      <c r="E917" s="4" t="s">
        <v>1825</v>
      </c>
      <c r="F917" s="4" t="s">
        <v>1825</v>
      </c>
      <c r="G917" s="5">
        <v>41.6262</v>
      </c>
      <c r="H917" s="9"/>
      <c r="I917" s="9">
        <f t="shared" si="70"/>
        <v>19.564314</v>
      </c>
      <c r="J917" s="9">
        <f t="shared" si="71"/>
        <v>20.8131</v>
      </c>
      <c r="K917" s="9">
        <f t="shared" si="72"/>
        <v>22.89441</v>
      </c>
      <c r="L917" s="9">
        <f t="shared" si="73"/>
        <v>29.13834</v>
      </c>
      <c r="M917" s="9">
        <f t="shared" si="74"/>
        <v>35.38227</v>
      </c>
    </row>
    <row r="918" spans="2:13">
      <c r="B918" t="s">
        <v>1826</v>
      </c>
      <c r="C918" s="4" t="s">
        <v>1827</v>
      </c>
      <c r="D918" s="4" t="s">
        <v>1827</v>
      </c>
      <c r="E918" s="4" t="s">
        <v>1827</v>
      </c>
      <c r="F918" s="4" t="s">
        <v>1827</v>
      </c>
      <c r="G918" s="5">
        <v>57.0336</v>
      </c>
      <c r="H918" s="9"/>
      <c r="I918" s="9">
        <f t="shared" si="70"/>
        <v>26.805792</v>
      </c>
      <c r="J918" s="9">
        <f t="shared" si="71"/>
        <v>28.5168</v>
      </c>
      <c r="K918" s="9">
        <f t="shared" si="72"/>
        <v>31.36848</v>
      </c>
      <c r="L918" s="9">
        <f t="shared" si="73"/>
        <v>39.92352</v>
      </c>
      <c r="M918" s="9">
        <f t="shared" si="74"/>
        <v>48.47856</v>
      </c>
    </row>
    <row r="919" spans="2:13">
      <c r="B919" t="s">
        <v>1828</v>
      </c>
      <c r="C919" s="4" t="s">
        <v>1829</v>
      </c>
      <c r="D919" s="4" t="s">
        <v>1829</v>
      </c>
      <c r="E919" s="4" t="s">
        <v>1829</v>
      </c>
      <c r="F919" s="4" t="s">
        <v>1829</v>
      </c>
      <c r="G919" s="5">
        <v>60.78384</v>
      </c>
      <c r="H919" s="9"/>
      <c r="I919" s="9">
        <f t="shared" si="70"/>
        <v>28.5684048</v>
      </c>
      <c r="J919" s="9">
        <f t="shared" si="71"/>
        <v>30.39192</v>
      </c>
      <c r="K919" s="9">
        <f t="shared" si="72"/>
        <v>33.431112</v>
      </c>
      <c r="L919" s="9">
        <f t="shared" si="73"/>
        <v>42.548688</v>
      </c>
      <c r="M919" s="9">
        <f t="shared" si="74"/>
        <v>51.666264</v>
      </c>
    </row>
    <row r="920" ht="27" spans="2:13">
      <c r="B920" t="s">
        <v>1830</v>
      </c>
      <c r="C920" s="4" t="s">
        <v>1831</v>
      </c>
      <c r="D920" s="4" t="s">
        <v>1831</v>
      </c>
      <c r="E920" s="4" t="s">
        <v>1831</v>
      </c>
      <c r="F920" s="4" t="s">
        <v>1831</v>
      </c>
      <c r="G920" s="5">
        <v>90.48</v>
      </c>
      <c r="H920" s="9"/>
      <c r="I920" s="9">
        <f t="shared" si="70"/>
        <v>42.5256</v>
      </c>
      <c r="J920" s="9">
        <f t="shared" si="71"/>
        <v>45.24</v>
      </c>
      <c r="K920" s="9">
        <f t="shared" si="72"/>
        <v>49.764</v>
      </c>
      <c r="L920" s="9">
        <f t="shared" si="73"/>
        <v>63.336</v>
      </c>
      <c r="M920" s="9">
        <f t="shared" si="74"/>
        <v>76.908</v>
      </c>
    </row>
    <row r="921" ht="27" spans="2:13">
      <c r="B921" t="s">
        <v>1832</v>
      </c>
      <c r="C921" s="4" t="s">
        <v>1833</v>
      </c>
      <c r="D921" s="4" t="s">
        <v>1833</v>
      </c>
      <c r="E921" s="4" t="s">
        <v>1833</v>
      </c>
      <c r="F921" s="4" t="s">
        <v>1833</v>
      </c>
      <c r="G921" s="5">
        <v>158.34</v>
      </c>
      <c r="H921" s="9"/>
      <c r="I921" s="9">
        <f t="shared" si="70"/>
        <v>74.4198</v>
      </c>
      <c r="J921" s="9">
        <f t="shared" si="71"/>
        <v>79.17</v>
      </c>
      <c r="K921" s="9">
        <f t="shared" si="72"/>
        <v>87.087</v>
      </c>
      <c r="L921" s="9">
        <f t="shared" si="73"/>
        <v>110.838</v>
      </c>
      <c r="M921" s="9">
        <f t="shared" si="74"/>
        <v>134.589</v>
      </c>
    </row>
    <row r="922" ht="27" spans="2:13">
      <c r="B922" t="s">
        <v>1834</v>
      </c>
      <c r="C922" s="4" t="s">
        <v>1835</v>
      </c>
      <c r="D922" s="4" t="s">
        <v>1835</v>
      </c>
      <c r="E922" s="4" t="s">
        <v>1835</v>
      </c>
      <c r="F922" s="4" t="s">
        <v>1835</v>
      </c>
      <c r="G922" s="5">
        <v>112.2576</v>
      </c>
      <c r="H922" s="9"/>
      <c r="I922" s="9">
        <f t="shared" si="70"/>
        <v>52.761072</v>
      </c>
      <c r="J922" s="9">
        <f t="shared" si="71"/>
        <v>56.1288</v>
      </c>
      <c r="K922" s="9">
        <f t="shared" si="72"/>
        <v>61.74168</v>
      </c>
      <c r="L922" s="9">
        <f t="shared" si="73"/>
        <v>78.58032</v>
      </c>
      <c r="M922" s="9">
        <f t="shared" si="74"/>
        <v>95.41896</v>
      </c>
    </row>
    <row r="923" ht="27" spans="2:13">
      <c r="B923" t="s">
        <v>1836</v>
      </c>
      <c r="C923" s="4" t="s">
        <v>1837</v>
      </c>
      <c r="D923" s="4" t="s">
        <v>1837</v>
      </c>
      <c r="E923" s="4" t="s">
        <v>1837</v>
      </c>
      <c r="F923" s="4" t="s">
        <v>1837</v>
      </c>
      <c r="G923" s="5">
        <v>224.5152</v>
      </c>
      <c r="H923" s="9"/>
      <c r="I923" s="9">
        <f t="shared" si="70"/>
        <v>105.522144</v>
      </c>
      <c r="J923" s="9">
        <f t="shared" si="71"/>
        <v>112.2576</v>
      </c>
      <c r="K923" s="9">
        <f t="shared" si="72"/>
        <v>123.48336</v>
      </c>
      <c r="L923" s="9">
        <f t="shared" si="73"/>
        <v>157.16064</v>
      </c>
      <c r="M923" s="9">
        <f t="shared" si="74"/>
        <v>190.83792</v>
      </c>
    </row>
    <row r="924" ht="27" spans="2:13">
      <c r="B924" t="s">
        <v>1838</v>
      </c>
      <c r="C924" s="4" t="s">
        <v>1839</v>
      </c>
      <c r="D924" s="4" t="s">
        <v>1839</v>
      </c>
      <c r="E924" s="4" t="s">
        <v>1839</v>
      </c>
      <c r="F924" s="4" t="s">
        <v>1839</v>
      </c>
      <c r="G924" s="5">
        <v>143.7384</v>
      </c>
      <c r="H924" s="9"/>
      <c r="I924" s="9">
        <f t="shared" si="70"/>
        <v>67.557048</v>
      </c>
      <c r="J924" s="9">
        <f t="shared" si="71"/>
        <v>71.8692</v>
      </c>
      <c r="K924" s="9">
        <f t="shared" si="72"/>
        <v>79.05612</v>
      </c>
      <c r="L924" s="9">
        <f t="shared" si="73"/>
        <v>100.61688</v>
      </c>
      <c r="M924" s="9">
        <f t="shared" si="74"/>
        <v>122.17764</v>
      </c>
    </row>
    <row r="925" ht="27" spans="2:13">
      <c r="B925" t="s">
        <v>1840</v>
      </c>
      <c r="C925" s="4" t="s">
        <v>1841</v>
      </c>
      <c r="D925" s="4" t="s">
        <v>1841</v>
      </c>
      <c r="E925" s="4" t="s">
        <v>1841</v>
      </c>
      <c r="F925" s="4" t="s">
        <v>1841</v>
      </c>
      <c r="G925" s="5">
        <v>281.9484</v>
      </c>
      <c r="H925" s="9"/>
      <c r="I925" s="9">
        <f t="shared" si="70"/>
        <v>132.515748</v>
      </c>
      <c r="J925" s="9">
        <f t="shared" si="71"/>
        <v>140.9742</v>
      </c>
      <c r="K925" s="9">
        <f t="shared" si="72"/>
        <v>155.07162</v>
      </c>
      <c r="L925" s="9">
        <f t="shared" si="73"/>
        <v>197.36388</v>
      </c>
      <c r="M925" s="9">
        <f t="shared" si="74"/>
        <v>239.65614</v>
      </c>
    </row>
    <row r="926" ht="27" spans="2:13">
      <c r="B926" t="s">
        <v>1842</v>
      </c>
      <c r="C926" s="4" t="s">
        <v>1843</v>
      </c>
      <c r="D926" s="4" t="s">
        <v>1843</v>
      </c>
      <c r="E926" s="4" t="s">
        <v>1843</v>
      </c>
      <c r="F926" s="4" t="s">
        <v>1843</v>
      </c>
      <c r="G926" s="5">
        <v>174.81984</v>
      </c>
      <c r="H926" s="9"/>
      <c r="I926" s="9">
        <f t="shared" si="70"/>
        <v>82.1653248</v>
      </c>
      <c r="J926" s="9">
        <f t="shared" si="71"/>
        <v>87.40992</v>
      </c>
      <c r="K926" s="9">
        <f t="shared" si="72"/>
        <v>96.150912</v>
      </c>
      <c r="L926" s="9">
        <f t="shared" si="73"/>
        <v>122.373888</v>
      </c>
      <c r="M926" s="9">
        <f t="shared" si="74"/>
        <v>148.596864</v>
      </c>
    </row>
    <row r="927" ht="27" spans="2:13">
      <c r="B927" t="s">
        <v>1844</v>
      </c>
      <c r="C927" s="4" t="s">
        <v>1845</v>
      </c>
      <c r="D927" s="4" t="s">
        <v>1845</v>
      </c>
      <c r="E927" s="4" t="s">
        <v>1845</v>
      </c>
      <c r="F927" s="4" t="s">
        <v>1845</v>
      </c>
      <c r="G927" s="5">
        <v>342.91584</v>
      </c>
      <c r="H927" s="9"/>
      <c r="I927" s="9">
        <f t="shared" si="70"/>
        <v>161.1704448</v>
      </c>
      <c r="J927" s="9">
        <f t="shared" si="71"/>
        <v>171.45792</v>
      </c>
      <c r="K927" s="9">
        <f t="shared" si="72"/>
        <v>188.603712</v>
      </c>
      <c r="L927" s="9">
        <f t="shared" si="73"/>
        <v>240.041088</v>
      </c>
      <c r="M927" s="9">
        <f t="shared" si="74"/>
        <v>291.478464</v>
      </c>
    </row>
    <row r="928" ht="27" spans="2:13">
      <c r="B928" t="s">
        <v>1846</v>
      </c>
      <c r="C928" s="4" t="s">
        <v>1847</v>
      </c>
      <c r="D928" s="4" t="s">
        <v>1847</v>
      </c>
      <c r="E928" s="4" t="s">
        <v>1847</v>
      </c>
      <c r="F928" s="4" t="s">
        <v>1847</v>
      </c>
      <c r="G928" s="5">
        <v>208.65936</v>
      </c>
      <c r="H928" s="9"/>
      <c r="I928" s="9">
        <f t="shared" si="70"/>
        <v>98.0698992</v>
      </c>
      <c r="J928" s="9">
        <f t="shared" si="71"/>
        <v>104.32968</v>
      </c>
      <c r="K928" s="9">
        <f t="shared" si="72"/>
        <v>114.762648</v>
      </c>
      <c r="L928" s="9">
        <f t="shared" si="73"/>
        <v>146.061552</v>
      </c>
      <c r="M928" s="9">
        <f t="shared" si="74"/>
        <v>177.360456</v>
      </c>
    </row>
    <row r="929" ht="27" spans="2:13">
      <c r="B929" t="s">
        <v>1848</v>
      </c>
      <c r="C929" s="4" t="s">
        <v>1849</v>
      </c>
      <c r="D929" s="4" t="s">
        <v>1849</v>
      </c>
      <c r="E929" s="4" t="s">
        <v>1849</v>
      </c>
      <c r="F929" s="4" t="s">
        <v>1849</v>
      </c>
      <c r="G929" s="5">
        <v>409.29336</v>
      </c>
      <c r="H929" s="9"/>
      <c r="I929" s="9">
        <f t="shared" si="70"/>
        <v>192.3678792</v>
      </c>
      <c r="J929" s="9">
        <f t="shared" si="71"/>
        <v>204.64668</v>
      </c>
      <c r="K929" s="9">
        <f t="shared" si="72"/>
        <v>225.111348</v>
      </c>
      <c r="L929" s="9">
        <f t="shared" si="73"/>
        <v>286.505352</v>
      </c>
      <c r="M929" s="9">
        <f t="shared" si="74"/>
        <v>347.899356</v>
      </c>
    </row>
    <row r="930" ht="27" spans="2:13">
      <c r="B930" t="s">
        <v>1850</v>
      </c>
      <c r="C930" s="4" t="s">
        <v>1851</v>
      </c>
      <c r="D930" s="4" t="s">
        <v>1851</v>
      </c>
      <c r="E930" s="4" t="s">
        <v>1851</v>
      </c>
      <c r="F930" s="4" t="s">
        <v>1851</v>
      </c>
      <c r="G930" s="5">
        <v>111.93728</v>
      </c>
      <c r="H930" s="9"/>
      <c r="I930" s="9">
        <f t="shared" si="70"/>
        <v>52.6105216</v>
      </c>
      <c r="J930" s="9">
        <f t="shared" si="71"/>
        <v>55.96864</v>
      </c>
      <c r="K930" s="9">
        <f t="shared" si="72"/>
        <v>61.565504</v>
      </c>
      <c r="L930" s="9">
        <f t="shared" si="73"/>
        <v>78.356096</v>
      </c>
      <c r="M930" s="9">
        <f t="shared" si="74"/>
        <v>95.146688</v>
      </c>
    </row>
    <row r="931" ht="27" spans="2:13">
      <c r="B931" t="s">
        <v>1852</v>
      </c>
      <c r="C931" s="4" t="s">
        <v>1853</v>
      </c>
      <c r="D931" s="4" t="s">
        <v>1853</v>
      </c>
      <c r="E931" s="4" t="s">
        <v>1853</v>
      </c>
      <c r="F931" s="4" t="s">
        <v>1853</v>
      </c>
      <c r="G931" s="5">
        <v>223.87456</v>
      </c>
      <c r="H931" s="9"/>
      <c r="I931" s="9">
        <f t="shared" si="70"/>
        <v>105.2210432</v>
      </c>
      <c r="J931" s="9">
        <f t="shared" si="71"/>
        <v>111.93728</v>
      </c>
      <c r="K931" s="9">
        <f t="shared" si="72"/>
        <v>123.131008</v>
      </c>
      <c r="L931" s="9">
        <f t="shared" si="73"/>
        <v>156.712192</v>
      </c>
      <c r="M931" s="9">
        <f t="shared" si="74"/>
        <v>190.293376</v>
      </c>
    </row>
    <row r="932" ht="27" spans="2:13">
      <c r="B932" t="s">
        <v>1854</v>
      </c>
      <c r="C932" s="4" t="s">
        <v>1855</v>
      </c>
      <c r="D932" s="4" t="s">
        <v>1855</v>
      </c>
      <c r="E932" s="4" t="s">
        <v>1855</v>
      </c>
      <c r="F932" s="4" t="s">
        <v>1855</v>
      </c>
      <c r="G932" s="5">
        <v>154.45248</v>
      </c>
      <c r="H932" s="9"/>
      <c r="I932" s="9">
        <f t="shared" si="70"/>
        <v>72.5926656</v>
      </c>
      <c r="J932" s="9">
        <f t="shared" si="71"/>
        <v>77.22624</v>
      </c>
      <c r="K932" s="9">
        <f t="shared" si="72"/>
        <v>84.948864</v>
      </c>
      <c r="L932" s="9">
        <f t="shared" si="73"/>
        <v>108.116736</v>
      </c>
      <c r="M932" s="9">
        <f t="shared" si="74"/>
        <v>131.284608</v>
      </c>
    </row>
    <row r="933" ht="27" spans="2:13">
      <c r="B933" t="s">
        <v>1856</v>
      </c>
      <c r="C933" s="4" t="s">
        <v>1857</v>
      </c>
      <c r="D933" s="4" t="s">
        <v>1857</v>
      </c>
      <c r="E933" s="4" t="s">
        <v>1857</v>
      </c>
      <c r="F933" s="4" t="s">
        <v>1857</v>
      </c>
      <c r="G933" s="5">
        <v>302.96448</v>
      </c>
      <c r="H933" s="9"/>
      <c r="I933" s="9">
        <f t="shared" si="70"/>
        <v>142.3933056</v>
      </c>
      <c r="J933" s="9">
        <f t="shared" si="71"/>
        <v>151.48224</v>
      </c>
      <c r="K933" s="9">
        <f t="shared" si="72"/>
        <v>166.630464</v>
      </c>
      <c r="L933" s="9">
        <f t="shared" si="73"/>
        <v>212.075136</v>
      </c>
      <c r="M933" s="9">
        <f t="shared" si="74"/>
        <v>257.519808</v>
      </c>
    </row>
    <row r="934" ht="27" spans="2:13">
      <c r="B934" t="s">
        <v>1858</v>
      </c>
      <c r="C934" s="4" t="s">
        <v>1859</v>
      </c>
      <c r="D934" s="4" t="s">
        <v>1859</v>
      </c>
      <c r="E934" s="4" t="s">
        <v>1859</v>
      </c>
      <c r="F934" s="4" t="s">
        <v>1859</v>
      </c>
      <c r="G934" s="5">
        <v>198.09216</v>
      </c>
      <c r="H934" s="9"/>
      <c r="I934" s="9">
        <f t="shared" si="70"/>
        <v>93.1033152</v>
      </c>
      <c r="J934" s="9">
        <f t="shared" si="71"/>
        <v>99.04608</v>
      </c>
      <c r="K934" s="9">
        <f t="shared" si="72"/>
        <v>108.950688</v>
      </c>
      <c r="L934" s="9">
        <f t="shared" si="73"/>
        <v>138.664512</v>
      </c>
      <c r="M934" s="9">
        <f t="shared" si="74"/>
        <v>168.378336</v>
      </c>
    </row>
    <row r="935" ht="27" spans="2:13">
      <c r="B935" t="s">
        <v>1860</v>
      </c>
      <c r="C935" s="4" t="s">
        <v>1861</v>
      </c>
      <c r="D935" s="4" t="s">
        <v>1861</v>
      </c>
      <c r="E935" s="4" t="s">
        <v>1861</v>
      </c>
      <c r="F935" s="4" t="s">
        <v>1861</v>
      </c>
      <c r="G935" s="5">
        <v>396.18432</v>
      </c>
      <c r="H935" s="9"/>
      <c r="I935" s="9">
        <f t="shared" si="70"/>
        <v>186.2066304</v>
      </c>
      <c r="J935" s="9">
        <f t="shared" si="71"/>
        <v>198.09216</v>
      </c>
      <c r="K935" s="9">
        <f t="shared" si="72"/>
        <v>217.901376</v>
      </c>
      <c r="L935" s="9">
        <f t="shared" si="73"/>
        <v>277.329024</v>
      </c>
      <c r="M935" s="9">
        <f t="shared" si="74"/>
        <v>336.756672</v>
      </c>
    </row>
    <row r="936" ht="27" spans="2:13">
      <c r="B936" t="s">
        <v>1862</v>
      </c>
      <c r="C936" s="4" t="s">
        <v>1863</v>
      </c>
      <c r="D936" s="4" t="s">
        <v>1863</v>
      </c>
      <c r="E936" s="4" t="s">
        <v>1863</v>
      </c>
      <c r="F936" s="4" t="s">
        <v>1863</v>
      </c>
      <c r="G936" s="5">
        <v>245.95056</v>
      </c>
      <c r="H936" s="9"/>
      <c r="I936" s="9">
        <f t="shared" si="70"/>
        <v>115.5967632</v>
      </c>
      <c r="J936" s="9">
        <f t="shared" si="71"/>
        <v>122.97528</v>
      </c>
      <c r="K936" s="9">
        <f t="shared" si="72"/>
        <v>135.272808</v>
      </c>
      <c r="L936" s="9">
        <f t="shared" si="73"/>
        <v>172.165392</v>
      </c>
      <c r="M936" s="9">
        <f t="shared" si="74"/>
        <v>209.057976</v>
      </c>
    </row>
    <row r="937" ht="27" spans="2:13">
      <c r="B937" t="s">
        <v>1864</v>
      </c>
      <c r="C937" s="4" t="s">
        <v>1865</v>
      </c>
      <c r="D937" s="4" t="s">
        <v>1865</v>
      </c>
      <c r="E937" s="4" t="s">
        <v>1865</v>
      </c>
      <c r="F937" s="4" t="s">
        <v>1865</v>
      </c>
      <c r="G937" s="5">
        <v>491.90112</v>
      </c>
      <c r="H937" s="9"/>
      <c r="I937" s="9">
        <f t="shared" si="70"/>
        <v>231.1935264</v>
      </c>
      <c r="J937" s="9">
        <f t="shared" si="71"/>
        <v>245.95056</v>
      </c>
      <c r="K937" s="9">
        <f t="shared" si="72"/>
        <v>270.545616</v>
      </c>
      <c r="L937" s="9">
        <f t="shared" si="73"/>
        <v>344.330784</v>
      </c>
      <c r="M937" s="9">
        <f t="shared" si="74"/>
        <v>418.115952</v>
      </c>
    </row>
    <row r="938" ht="27" spans="2:13">
      <c r="B938" t="s">
        <v>1866</v>
      </c>
      <c r="C938" s="4" t="s">
        <v>1867</v>
      </c>
      <c r="D938" s="4" t="s">
        <v>1867</v>
      </c>
      <c r="E938" s="4" t="s">
        <v>1867</v>
      </c>
      <c r="F938" s="4" t="s">
        <v>1867</v>
      </c>
      <c r="G938" s="5">
        <v>297.76248</v>
      </c>
      <c r="H938" s="9"/>
      <c r="I938" s="9">
        <f t="shared" si="70"/>
        <v>139.9483656</v>
      </c>
      <c r="J938" s="9">
        <f t="shared" si="71"/>
        <v>148.88124</v>
      </c>
      <c r="K938" s="9">
        <f t="shared" si="72"/>
        <v>163.769364</v>
      </c>
      <c r="L938" s="9">
        <f t="shared" si="73"/>
        <v>208.433736</v>
      </c>
      <c r="M938" s="9">
        <f t="shared" si="74"/>
        <v>253.098108</v>
      </c>
    </row>
    <row r="939" ht="27" spans="2:13">
      <c r="B939" t="s">
        <v>1868</v>
      </c>
      <c r="C939" s="4" t="s">
        <v>1869</v>
      </c>
      <c r="D939" s="4" t="s">
        <v>1869</v>
      </c>
      <c r="E939" s="4" t="s">
        <v>1869</v>
      </c>
      <c r="F939" s="4" t="s">
        <v>1869</v>
      </c>
      <c r="G939" s="5">
        <v>595.52496</v>
      </c>
      <c r="H939" s="9"/>
      <c r="I939" s="9">
        <f t="shared" si="70"/>
        <v>279.8967312</v>
      </c>
      <c r="J939" s="9">
        <f t="shared" si="71"/>
        <v>297.76248</v>
      </c>
      <c r="K939" s="9">
        <f t="shared" si="72"/>
        <v>327.538728</v>
      </c>
      <c r="L939" s="9">
        <f t="shared" si="73"/>
        <v>416.867472</v>
      </c>
      <c r="M939" s="9">
        <f t="shared" si="74"/>
        <v>506.196216</v>
      </c>
    </row>
    <row r="940" ht="27" spans="2:13">
      <c r="B940" t="s">
        <v>1870</v>
      </c>
      <c r="C940" s="4" t="s">
        <v>1871</v>
      </c>
      <c r="D940" s="4" t="s">
        <v>1871</v>
      </c>
      <c r="E940" s="4" t="s">
        <v>1871</v>
      </c>
      <c r="F940" s="4" t="s">
        <v>1871</v>
      </c>
      <c r="G940" s="5">
        <v>179.2752</v>
      </c>
      <c r="H940" s="9"/>
      <c r="I940" s="9">
        <f t="shared" si="70"/>
        <v>84.259344</v>
      </c>
      <c r="J940" s="9">
        <f t="shared" si="71"/>
        <v>89.6376</v>
      </c>
      <c r="K940" s="9">
        <f t="shared" si="72"/>
        <v>98.60136</v>
      </c>
      <c r="L940" s="9">
        <f t="shared" si="73"/>
        <v>125.49264</v>
      </c>
      <c r="M940" s="9">
        <f t="shared" si="74"/>
        <v>152.38392</v>
      </c>
    </row>
    <row r="941" ht="27" spans="2:13">
      <c r="B941" t="s">
        <v>1872</v>
      </c>
      <c r="C941" s="4" t="s">
        <v>1873</v>
      </c>
      <c r="D941" s="4" t="s">
        <v>1873</v>
      </c>
      <c r="E941" s="4" t="s">
        <v>1873</v>
      </c>
      <c r="F941" s="4" t="s">
        <v>1873</v>
      </c>
      <c r="G941" s="5">
        <v>351.6552</v>
      </c>
      <c r="H941" s="9"/>
      <c r="I941" s="9">
        <f t="shared" si="70"/>
        <v>165.277944</v>
      </c>
      <c r="J941" s="9">
        <f t="shared" si="71"/>
        <v>175.8276</v>
      </c>
      <c r="K941" s="9">
        <f t="shared" si="72"/>
        <v>193.41036</v>
      </c>
      <c r="L941" s="9">
        <f t="shared" si="73"/>
        <v>246.15864</v>
      </c>
      <c r="M941" s="9">
        <f t="shared" si="74"/>
        <v>298.90692</v>
      </c>
    </row>
    <row r="942" ht="27" spans="2:13">
      <c r="B942" t="s">
        <v>1874</v>
      </c>
      <c r="C942" s="4" t="s">
        <v>1875</v>
      </c>
      <c r="D942" s="4" t="s">
        <v>1875</v>
      </c>
      <c r="E942" s="4" t="s">
        <v>1875</v>
      </c>
      <c r="F942" s="4" t="s">
        <v>1875</v>
      </c>
      <c r="G942" s="5">
        <v>214.7964</v>
      </c>
      <c r="H942" s="9"/>
      <c r="I942" s="9">
        <f t="shared" si="70"/>
        <v>100.954308</v>
      </c>
      <c r="J942" s="9">
        <f t="shared" si="71"/>
        <v>107.3982</v>
      </c>
      <c r="K942" s="9">
        <f t="shared" si="72"/>
        <v>118.13802</v>
      </c>
      <c r="L942" s="9">
        <f t="shared" si="73"/>
        <v>150.35748</v>
      </c>
      <c r="M942" s="9">
        <f t="shared" si="74"/>
        <v>182.57694</v>
      </c>
    </row>
    <row r="943" ht="27" spans="2:13">
      <c r="B943" t="s">
        <v>1876</v>
      </c>
      <c r="C943" s="4" t="s">
        <v>1877</v>
      </c>
      <c r="D943" s="4" t="s">
        <v>1877</v>
      </c>
      <c r="E943" s="4" t="s">
        <v>1877</v>
      </c>
      <c r="F943" s="4" t="s">
        <v>1877</v>
      </c>
      <c r="G943" s="5">
        <v>429.5928</v>
      </c>
      <c r="H943" s="9"/>
      <c r="I943" s="9">
        <f t="shared" si="70"/>
        <v>201.908616</v>
      </c>
      <c r="J943" s="9">
        <f t="shared" si="71"/>
        <v>214.7964</v>
      </c>
      <c r="K943" s="9">
        <f t="shared" si="72"/>
        <v>236.27604</v>
      </c>
      <c r="L943" s="9">
        <f t="shared" si="73"/>
        <v>300.71496</v>
      </c>
      <c r="M943" s="9">
        <f t="shared" si="74"/>
        <v>365.15388</v>
      </c>
    </row>
    <row r="944" ht="27" spans="2:13">
      <c r="B944" t="s">
        <v>1878</v>
      </c>
      <c r="C944" s="4" t="s">
        <v>1879</v>
      </c>
      <c r="D944" s="4" t="s">
        <v>1879</v>
      </c>
      <c r="E944" s="4" t="s">
        <v>1879</v>
      </c>
      <c r="F944" s="4" t="s">
        <v>1879</v>
      </c>
      <c r="G944" s="5">
        <v>276.65664</v>
      </c>
      <c r="H944" s="9"/>
      <c r="I944" s="9">
        <f t="shared" si="70"/>
        <v>130.0286208</v>
      </c>
      <c r="J944" s="9">
        <f t="shared" si="71"/>
        <v>138.32832</v>
      </c>
      <c r="K944" s="9">
        <f t="shared" si="72"/>
        <v>152.161152</v>
      </c>
      <c r="L944" s="9">
        <f t="shared" si="73"/>
        <v>193.659648</v>
      </c>
      <c r="M944" s="9">
        <f t="shared" si="74"/>
        <v>235.158144</v>
      </c>
    </row>
    <row r="945" ht="27" spans="2:13">
      <c r="B945" t="s">
        <v>1880</v>
      </c>
      <c r="C945" s="4" t="s">
        <v>1881</v>
      </c>
      <c r="D945" s="4" t="s">
        <v>1881</v>
      </c>
      <c r="E945" s="4" t="s">
        <v>1881</v>
      </c>
      <c r="F945" s="4" t="s">
        <v>1881</v>
      </c>
      <c r="G945" s="5">
        <v>553.31328</v>
      </c>
      <c r="H945" s="9"/>
      <c r="I945" s="9">
        <f t="shared" si="70"/>
        <v>260.0572416</v>
      </c>
      <c r="J945" s="9">
        <f t="shared" si="71"/>
        <v>276.65664</v>
      </c>
      <c r="K945" s="9">
        <f t="shared" si="72"/>
        <v>304.322304</v>
      </c>
      <c r="L945" s="9">
        <f t="shared" si="73"/>
        <v>387.319296</v>
      </c>
      <c r="M945" s="9">
        <f t="shared" si="74"/>
        <v>470.316288</v>
      </c>
    </row>
    <row r="946" ht="27" spans="2:13">
      <c r="B946" t="s">
        <v>1882</v>
      </c>
      <c r="C946" s="4" t="s">
        <v>1883</v>
      </c>
      <c r="D946" s="4" t="s">
        <v>1883</v>
      </c>
      <c r="E946" s="4" t="s">
        <v>1883</v>
      </c>
      <c r="F946" s="4" t="s">
        <v>1883</v>
      </c>
      <c r="G946" s="5">
        <v>345.8208</v>
      </c>
      <c r="H946" s="9"/>
      <c r="I946" s="9">
        <f t="shared" si="70"/>
        <v>162.535776</v>
      </c>
      <c r="J946" s="9">
        <f t="shared" si="71"/>
        <v>172.9104</v>
      </c>
      <c r="K946" s="9">
        <f t="shared" si="72"/>
        <v>190.20144</v>
      </c>
      <c r="L946" s="9">
        <f t="shared" si="73"/>
        <v>242.07456</v>
      </c>
      <c r="M946" s="9">
        <f t="shared" si="74"/>
        <v>293.94768</v>
      </c>
    </row>
    <row r="947" ht="27" spans="2:13">
      <c r="B947" t="s">
        <v>1884</v>
      </c>
      <c r="C947" s="4" t="s">
        <v>1885</v>
      </c>
      <c r="D947" s="4" t="s">
        <v>1885</v>
      </c>
      <c r="E947" s="4" t="s">
        <v>1885</v>
      </c>
      <c r="F947" s="4" t="s">
        <v>1885</v>
      </c>
      <c r="G947" s="5">
        <v>678.3408</v>
      </c>
      <c r="H947" s="9"/>
      <c r="I947" s="9">
        <f t="shared" si="70"/>
        <v>318.820176</v>
      </c>
      <c r="J947" s="9">
        <f t="shared" si="71"/>
        <v>339.1704</v>
      </c>
      <c r="K947" s="9">
        <f t="shared" si="72"/>
        <v>373.08744</v>
      </c>
      <c r="L947" s="9">
        <f t="shared" si="73"/>
        <v>474.83856</v>
      </c>
      <c r="M947" s="9">
        <f t="shared" si="74"/>
        <v>576.58968</v>
      </c>
    </row>
    <row r="948" ht="27" spans="2:13">
      <c r="B948" t="s">
        <v>1886</v>
      </c>
      <c r="C948" s="4" t="s">
        <v>1887</v>
      </c>
      <c r="D948" s="4" t="s">
        <v>1887</v>
      </c>
      <c r="E948" s="4" t="s">
        <v>1887</v>
      </c>
      <c r="F948" s="4" t="s">
        <v>1887</v>
      </c>
      <c r="G948" s="5">
        <v>402.84288</v>
      </c>
      <c r="H948" s="9"/>
      <c r="I948" s="9">
        <f t="shared" si="70"/>
        <v>189.3361536</v>
      </c>
      <c r="J948" s="9">
        <f t="shared" si="71"/>
        <v>201.42144</v>
      </c>
      <c r="K948" s="9">
        <f t="shared" si="72"/>
        <v>221.563584</v>
      </c>
      <c r="L948" s="9">
        <f t="shared" si="73"/>
        <v>281.990016</v>
      </c>
      <c r="M948" s="9">
        <f t="shared" si="74"/>
        <v>342.416448</v>
      </c>
    </row>
    <row r="949" ht="27" spans="2:13">
      <c r="B949" t="s">
        <v>1888</v>
      </c>
      <c r="C949" s="4" t="s">
        <v>1889</v>
      </c>
      <c r="D949" s="4" t="s">
        <v>1889</v>
      </c>
      <c r="E949" s="4" t="s">
        <v>1889</v>
      </c>
      <c r="F949" s="4" t="s">
        <v>1889</v>
      </c>
      <c r="G949" s="5">
        <v>805.68576</v>
      </c>
      <c r="H949" s="9"/>
      <c r="I949" s="9">
        <f t="shared" si="70"/>
        <v>378.6723072</v>
      </c>
      <c r="J949" s="9">
        <f t="shared" si="71"/>
        <v>402.84288</v>
      </c>
      <c r="K949" s="9">
        <f t="shared" si="72"/>
        <v>443.127168</v>
      </c>
      <c r="L949" s="9">
        <f t="shared" si="73"/>
        <v>563.980032</v>
      </c>
      <c r="M949" s="9">
        <f t="shared" si="74"/>
        <v>684.832896</v>
      </c>
    </row>
    <row r="950" ht="27" spans="2:13">
      <c r="B950" t="s">
        <v>1890</v>
      </c>
      <c r="C950" s="4" t="s">
        <v>1891</v>
      </c>
      <c r="D950" s="4" t="s">
        <v>1891</v>
      </c>
      <c r="E950" s="4" t="s">
        <v>1891</v>
      </c>
      <c r="F950" s="4" t="s">
        <v>1891</v>
      </c>
      <c r="G950" s="5">
        <v>459</v>
      </c>
      <c r="H950" s="9"/>
      <c r="I950" s="9">
        <f t="shared" si="70"/>
        <v>215.73</v>
      </c>
      <c r="J950" s="9">
        <f t="shared" si="71"/>
        <v>229.5</v>
      </c>
      <c r="K950" s="9">
        <f t="shared" si="72"/>
        <v>252.45</v>
      </c>
      <c r="L950" s="9">
        <f t="shared" si="73"/>
        <v>321.3</v>
      </c>
      <c r="M950" s="9">
        <f t="shared" si="74"/>
        <v>390.15</v>
      </c>
    </row>
    <row r="951" ht="27" spans="2:13">
      <c r="B951" t="s">
        <v>1892</v>
      </c>
      <c r="C951" s="4" t="s">
        <v>1893</v>
      </c>
      <c r="D951" s="4" t="s">
        <v>1893</v>
      </c>
      <c r="E951" s="4" t="s">
        <v>1893</v>
      </c>
      <c r="F951" s="4" t="s">
        <v>1893</v>
      </c>
      <c r="G951" s="5">
        <v>520.2</v>
      </c>
      <c r="H951" s="9"/>
      <c r="I951" s="9">
        <f t="shared" si="70"/>
        <v>244.494</v>
      </c>
      <c r="J951" s="9">
        <f t="shared" si="71"/>
        <v>260.1</v>
      </c>
      <c r="K951" s="9">
        <f t="shared" si="72"/>
        <v>286.11</v>
      </c>
      <c r="L951" s="9">
        <f t="shared" si="73"/>
        <v>364.14</v>
      </c>
      <c r="M951" s="9">
        <f t="shared" si="74"/>
        <v>442.17</v>
      </c>
    </row>
    <row r="952" ht="27" spans="2:13">
      <c r="B952" t="s">
        <v>1894</v>
      </c>
      <c r="C952" s="4" t="s">
        <v>1895</v>
      </c>
      <c r="D952" s="4" t="s">
        <v>1895</v>
      </c>
      <c r="E952" s="4" t="s">
        <v>1895</v>
      </c>
      <c r="F952" s="4" t="s">
        <v>1895</v>
      </c>
      <c r="G952" s="5">
        <v>206.83152</v>
      </c>
      <c r="H952" s="9"/>
      <c r="I952" s="9">
        <f t="shared" si="70"/>
        <v>97.2108144</v>
      </c>
      <c r="J952" s="9">
        <f t="shared" si="71"/>
        <v>103.41576</v>
      </c>
      <c r="K952" s="9">
        <f t="shared" si="72"/>
        <v>113.757336</v>
      </c>
      <c r="L952" s="9">
        <f t="shared" si="73"/>
        <v>144.782064</v>
      </c>
      <c r="M952" s="9">
        <f t="shared" si="74"/>
        <v>175.806792</v>
      </c>
    </row>
    <row r="953" ht="27" spans="2:13">
      <c r="B953" t="s">
        <v>1896</v>
      </c>
      <c r="C953" s="4" t="s">
        <v>1897</v>
      </c>
      <c r="D953" s="4" t="s">
        <v>1897</v>
      </c>
      <c r="E953" s="4" t="s">
        <v>1897</v>
      </c>
      <c r="F953" s="4" t="s">
        <v>1897</v>
      </c>
      <c r="G953" s="5">
        <v>304.00488</v>
      </c>
      <c r="H953" s="9"/>
      <c r="I953" s="9">
        <f t="shared" si="70"/>
        <v>142.8822936</v>
      </c>
      <c r="J953" s="9">
        <f t="shared" si="71"/>
        <v>152.00244</v>
      </c>
      <c r="K953" s="9">
        <f t="shared" si="72"/>
        <v>167.202684</v>
      </c>
      <c r="L953" s="9">
        <f t="shared" si="73"/>
        <v>212.803416</v>
      </c>
      <c r="M953" s="9">
        <f t="shared" si="74"/>
        <v>258.404148</v>
      </c>
    </row>
    <row r="954" ht="27" spans="2:13">
      <c r="B954" t="s">
        <v>1898</v>
      </c>
      <c r="C954" s="4" t="s">
        <v>1899</v>
      </c>
      <c r="D954" s="4" t="s">
        <v>1899</v>
      </c>
      <c r="E954" s="4" t="s">
        <v>1899</v>
      </c>
      <c r="F954" s="4" t="s">
        <v>1899</v>
      </c>
      <c r="G954" s="5">
        <v>401.28228</v>
      </c>
      <c r="H954" s="9"/>
      <c r="I954" s="9">
        <f t="shared" si="70"/>
        <v>188.6026716</v>
      </c>
      <c r="J954" s="9">
        <f t="shared" si="71"/>
        <v>200.64114</v>
      </c>
      <c r="K954" s="9">
        <f t="shared" si="72"/>
        <v>220.705254</v>
      </c>
      <c r="L954" s="9">
        <f t="shared" si="73"/>
        <v>280.897596</v>
      </c>
      <c r="M954" s="9">
        <f t="shared" si="74"/>
        <v>341.089938</v>
      </c>
    </row>
    <row r="955" ht="27" spans="2:13">
      <c r="B955" t="s">
        <v>1900</v>
      </c>
      <c r="C955" s="4" t="s">
        <v>1901</v>
      </c>
      <c r="D955" s="4" t="s">
        <v>1901</v>
      </c>
      <c r="E955" s="4" t="s">
        <v>1901</v>
      </c>
      <c r="F955" s="4" t="s">
        <v>1901</v>
      </c>
      <c r="G955" s="5">
        <v>498.66372</v>
      </c>
      <c r="H955" s="9"/>
      <c r="I955" s="9">
        <f t="shared" si="70"/>
        <v>234.3719484</v>
      </c>
      <c r="J955" s="9">
        <f t="shared" si="71"/>
        <v>249.33186</v>
      </c>
      <c r="K955" s="9">
        <f t="shared" si="72"/>
        <v>274.265046</v>
      </c>
      <c r="L955" s="9">
        <f t="shared" si="73"/>
        <v>349.064604</v>
      </c>
      <c r="M955" s="9">
        <f t="shared" si="74"/>
        <v>423.864162</v>
      </c>
    </row>
    <row r="956" ht="27" spans="2:13">
      <c r="B956" t="s">
        <v>1902</v>
      </c>
      <c r="C956" s="4" t="s">
        <v>1903</v>
      </c>
      <c r="D956" s="4" t="s">
        <v>1903</v>
      </c>
      <c r="E956" s="4" t="s">
        <v>1903</v>
      </c>
      <c r="F956" s="4" t="s">
        <v>1903</v>
      </c>
      <c r="G956" s="5">
        <v>596.1492</v>
      </c>
      <c r="H956" s="9"/>
      <c r="I956" s="9">
        <f t="shared" si="70"/>
        <v>280.190124</v>
      </c>
      <c r="J956" s="9">
        <f t="shared" si="71"/>
        <v>298.0746</v>
      </c>
      <c r="K956" s="9">
        <f t="shared" si="72"/>
        <v>327.88206</v>
      </c>
      <c r="L956" s="9">
        <f t="shared" si="73"/>
        <v>417.30444</v>
      </c>
      <c r="M956" s="9">
        <f t="shared" si="74"/>
        <v>506.72682</v>
      </c>
    </row>
    <row r="957" spans="2:13">
      <c r="B957" t="s">
        <v>1904</v>
      </c>
      <c r="C957" s="4" t="s">
        <v>1905</v>
      </c>
      <c r="D957" s="4" t="s">
        <v>1905</v>
      </c>
      <c r="E957" s="4" t="s">
        <v>1905</v>
      </c>
      <c r="F957" s="4" t="s">
        <v>1905</v>
      </c>
      <c r="G957" s="5">
        <v>60.06</v>
      </c>
      <c r="H957" s="9"/>
      <c r="I957" s="9">
        <f t="shared" si="70"/>
        <v>28.2282</v>
      </c>
      <c r="J957" s="9">
        <f t="shared" si="71"/>
        <v>30.03</v>
      </c>
      <c r="K957" s="9">
        <f t="shared" si="72"/>
        <v>33.033</v>
      </c>
      <c r="L957" s="9">
        <f t="shared" si="73"/>
        <v>42.042</v>
      </c>
      <c r="M957" s="9">
        <f t="shared" si="74"/>
        <v>51.051</v>
      </c>
    </row>
    <row r="958" spans="2:13">
      <c r="B958" t="s">
        <v>1906</v>
      </c>
      <c r="C958" s="4" t="s">
        <v>1907</v>
      </c>
      <c r="D958" s="4" t="s">
        <v>1907</v>
      </c>
      <c r="E958" s="4" t="s">
        <v>1907</v>
      </c>
      <c r="F958" s="4" t="s">
        <v>1907</v>
      </c>
      <c r="G958" s="5">
        <v>70.86144</v>
      </c>
      <c r="H958" s="9"/>
      <c r="I958" s="9">
        <f t="shared" si="70"/>
        <v>33.3048768</v>
      </c>
      <c r="J958" s="9">
        <f t="shared" si="71"/>
        <v>35.43072</v>
      </c>
      <c r="K958" s="9">
        <f t="shared" si="72"/>
        <v>38.973792</v>
      </c>
      <c r="L958" s="9">
        <f t="shared" si="73"/>
        <v>49.603008</v>
      </c>
      <c r="M958" s="9">
        <f t="shared" si="74"/>
        <v>60.232224</v>
      </c>
    </row>
    <row r="959" spans="2:13">
      <c r="B959" t="s">
        <v>1908</v>
      </c>
      <c r="C959" s="4" t="s">
        <v>1909</v>
      </c>
      <c r="D959" s="4" t="s">
        <v>1909</v>
      </c>
      <c r="E959" s="4" t="s">
        <v>1909</v>
      </c>
      <c r="F959" s="4" t="s">
        <v>1909</v>
      </c>
      <c r="G959" s="5">
        <v>17.2744</v>
      </c>
      <c r="H959" s="9"/>
      <c r="I959" s="9">
        <f t="shared" si="70"/>
        <v>8.118968</v>
      </c>
      <c r="J959" s="9">
        <f t="shared" si="71"/>
        <v>8.6372</v>
      </c>
      <c r="K959" s="9">
        <f t="shared" si="72"/>
        <v>9.50092</v>
      </c>
      <c r="L959" s="9">
        <f t="shared" si="73"/>
        <v>12.09208</v>
      </c>
      <c r="M959" s="9">
        <f t="shared" si="74"/>
        <v>14.68324</v>
      </c>
    </row>
    <row r="960" spans="2:13">
      <c r="B960" t="s">
        <v>1910</v>
      </c>
      <c r="C960" s="4" t="s">
        <v>1911</v>
      </c>
      <c r="D960" s="4" t="s">
        <v>1911</v>
      </c>
      <c r="E960" s="4" t="s">
        <v>1911</v>
      </c>
      <c r="F960" s="4" t="s">
        <v>1911</v>
      </c>
      <c r="G960" s="5">
        <v>18.98832</v>
      </c>
      <c r="H960" s="9"/>
      <c r="I960" s="9">
        <f t="shared" si="70"/>
        <v>8.9245104</v>
      </c>
      <c r="J960" s="9">
        <f t="shared" si="71"/>
        <v>9.49416</v>
      </c>
      <c r="K960" s="9">
        <f t="shared" si="72"/>
        <v>10.443576</v>
      </c>
      <c r="L960" s="9">
        <f t="shared" si="73"/>
        <v>13.291824</v>
      </c>
      <c r="M960" s="9">
        <f t="shared" si="74"/>
        <v>16.140072</v>
      </c>
    </row>
    <row r="961" ht="27" spans="2:13">
      <c r="B961" t="s">
        <v>1912</v>
      </c>
      <c r="C961" s="4" t="s">
        <v>1913</v>
      </c>
      <c r="D961" s="4" t="s">
        <v>1913</v>
      </c>
      <c r="E961" s="4" t="s">
        <v>1913</v>
      </c>
      <c r="F961" s="4" t="s">
        <v>1913</v>
      </c>
      <c r="G961" s="5">
        <v>83.3664</v>
      </c>
      <c r="H961" s="9"/>
      <c r="I961" s="9">
        <f t="shared" si="70"/>
        <v>39.182208</v>
      </c>
      <c r="J961" s="9">
        <f t="shared" si="71"/>
        <v>41.6832</v>
      </c>
      <c r="K961" s="9">
        <f t="shared" si="72"/>
        <v>45.85152</v>
      </c>
      <c r="L961" s="9">
        <f t="shared" si="73"/>
        <v>58.35648</v>
      </c>
      <c r="M961" s="9">
        <f t="shared" si="74"/>
        <v>70.86144</v>
      </c>
    </row>
    <row r="962" ht="27" spans="2:13">
      <c r="B962" t="s">
        <v>1914</v>
      </c>
      <c r="C962" s="4" t="s">
        <v>1915</v>
      </c>
      <c r="D962" s="4" t="s">
        <v>1915</v>
      </c>
      <c r="E962" s="4" t="s">
        <v>1915</v>
      </c>
      <c r="F962" s="4" t="s">
        <v>1915</v>
      </c>
      <c r="G962" s="5">
        <v>95.524</v>
      </c>
      <c r="H962" s="9"/>
      <c r="I962" s="9">
        <f t="shared" si="70"/>
        <v>44.89628</v>
      </c>
      <c r="J962" s="9">
        <f t="shared" si="71"/>
        <v>47.762</v>
      </c>
      <c r="K962" s="9">
        <f t="shared" si="72"/>
        <v>52.5382</v>
      </c>
      <c r="L962" s="9">
        <f t="shared" si="73"/>
        <v>66.8668</v>
      </c>
      <c r="M962" s="9">
        <f t="shared" si="74"/>
        <v>81.1954</v>
      </c>
    </row>
    <row r="963" ht="27" spans="2:13">
      <c r="B963" t="s">
        <v>1916</v>
      </c>
      <c r="C963" s="4" t="s">
        <v>1917</v>
      </c>
      <c r="D963" s="4" t="s">
        <v>1917</v>
      </c>
      <c r="E963" s="4" t="s">
        <v>1917</v>
      </c>
      <c r="F963" s="4" t="s">
        <v>1917</v>
      </c>
      <c r="G963" s="5">
        <v>145.656</v>
      </c>
      <c r="H963" s="9"/>
      <c r="I963" s="9">
        <f t="shared" si="70"/>
        <v>68.45832</v>
      </c>
      <c r="J963" s="9">
        <f t="shared" si="71"/>
        <v>72.828</v>
      </c>
      <c r="K963" s="9">
        <f t="shared" si="72"/>
        <v>80.1108</v>
      </c>
      <c r="L963" s="9">
        <f t="shared" si="73"/>
        <v>101.9592</v>
      </c>
      <c r="M963" s="9">
        <f t="shared" si="74"/>
        <v>123.8076</v>
      </c>
    </row>
    <row r="964" ht="27" spans="2:13">
      <c r="B964" t="s">
        <v>1918</v>
      </c>
      <c r="C964" s="4" t="s">
        <v>1919</v>
      </c>
      <c r="D964" s="4" t="s">
        <v>1919</v>
      </c>
      <c r="E964" s="4" t="s">
        <v>1919</v>
      </c>
      <c r="F964" s="4" t="s">
        <v>1919</v>
      </c>
      <c r="G964" s="5">
        <v>208.08</v>
      </c>
      <c r="H964" s="9"/>
      <c r="I964" s="9">
        <f t="shared" ref="I964:I1027" si="75">G964*0.47</f>
        <v>97.7976</v>
      </c>
      <c r="J964" s="9">
        <f t="shared" ref="J964:J1027" si="76">G964*0.5</f>
        <v>104.04</v>
      </c>
      <c r="K964" s="9">
        <f t="shared" ref="K964:K1027" si="77">G964*0.55</f>
        <v>114.444</v>
      </c>
      <c r="L964" s="9">
        <f t="shared" ref="L964:L1027" si="78">G964*0.7</f>
        <v>145.656</v>
      </c>
      <c r="M964" s="9">
        <f t="shared" ref="M964:M1027" si="79">G964*0.85</f>
        <v>176.868</v>
      </c>
    </row>
    <row r="965" ht="27" spans="2:13">
      <c r="B965" t="s">
        <v>1920</v>
      </c>
      <c r="C965" s="4" t="s">
        <v>1921</v>
      </c>
      <c r="D965" s="4" t="s">
        <v>1921</v>
      </c>
      <c r="E965" s="4" t="s">
        <v>1921</v>
      </c>
      <c r="F965" s="4" t="s">
        <v>1921</v>
      </c>
      <c r="G965" s="5">
        <v>235.62</v>
      </c>
      <c r="H965" s="9"/>
      <c r="I965" s="9">
        <f t="shared" si="75"/>
        <v>110.7414</v>
      </c>
      <c r="J965" s="9">
        <f t="shared" si="76"/>
        <v>117.81</v>
      </c>
      <c r="K965" s="9">
        <f t="shared" si="77"/>
        <v>129.591</v>
      </c>
      <c r="L965" s="9">
        <f t="shared" si="78"/>
        <v>164.934</v>
      </c>
      <c r="M965" s="9">
        <f t="shared" si="79"/>
        <v>200.277</v>
      </c>
    </row>
    <row r="966" ht="27" spans="2:13">
      <c r="B966" t="s">
        <v>1922</v>
      </c>
      <c r="C966" s="4" t="s">
        <v>1923</v>
      </c>
      <c r="D966" s="4" t="s">
        <v>1923</v>
      </c>
      <c r="E966" s="4" t="s">
        <v>1923</v>
      </c>
      <c r="F966" s="4" t="s">
        <v>1923</v>
      </c>
      <c r="G966" s="5">
        <v>570.078</v>
      </c>
      <c r="H966" s="9"/>
      <c r="I966" s="9">
        <f t="shared" si="75"/>
        <v>267.93666</v>
      </c>
      <c r="J966" s="9">
        <f t="shared" si="76"/>
        <v>285.039</v>
      </c>
      <c r="K966" s="9">
        <f t="shared" si="77"/>
        <v>313.5429</v>
      </c>
      <c r="L966" s="9">
        <f t="shared" si="78"/>
        <v>399.0546</v>
      </c>
      <c r="M966" s="9">
        <f t="shared" si="79"/>
        <v>484.5663</v>
      </c>
    </row>
    <row r="967" ht="27" spans="2:13">
      <c r="B967" t="s">
        <v>1924</v>
      </c>
      <c r="C967" s="4" t="s">
        <v>1925</v>
      </c>
      <c r="D967" s="4" t="s">
        <v>1925</v>
      </c>
      <c r="E967" s="4" t="s">
        <v>1925</v>
      </c>
      <c r="F967" s="4" t="s">
        <v>1925</v>
      </c>
      <c r="G967" s="5">
        <v>812.2515</v>
      </c>
      <c r="H967" s="9"/>
      <c r="I967" s="9">
        <f t="shared" si="75"/>
        <v>381.758205</v>
      </c>
      <c r="J967" s="9">
        <f t="shared" si="76"/>
        <v>406.12575</v>
      </c>
      <c r="K967" s="9">
        <f t="shared" si="77"/>
        <v>446.738325</v>
      </c>
      <c r="L967" s="9">
        <f t="shared" si="78"/>
        <v>568.57605</v>
      </c>
      <c r="M967" s="9">
        <f t="shared" si="79"/>
        <v>690.413775</v>
      </c>
    </row>
    <row r="968" ht="27" spans="2:13">
      <c r="B968" t="s">
        <v>1926</v>
      </c>
      <c r="C968" s="4" t="s">
        <v>1927</v>
      </c>
      <c r="D968" s="4" t="s">
        <v>1927</v>
      </c>
      <c r="E968" s="4" t="s">
        <v>1927</v>
      </c>
      <c r="F968" s="4" t="s">
        <v>1927</v>
      </c>
      <c r="G968" s="5">
        <v>599.862</v>
      </c>
      <c r="H968" s="9"/>
      <c r="I968" s="9">
        <f t="shared" si="75"/>
        <v>281.93514</v>
      </c>
      <c r="J968" s="9">
        <f t="shared" si="76"/>
        <v>299.931</v>
      </c>
      <c r="K968" s="9">
        <f t="shared" si="77"/>
        <v>329.9241</v>
      </c>
      <c r="L968" s="9">
        <f t="shared" si="78"/>
        <v>419.9034</v>
      </c>
      <c r="M968" s="9">
        <f t="shared" si="79"/>
        <v>509.8827</v>
      </c>
    </row>
    <row r="969" ht="27" spans="2:13">
      <c r="B969" t="s">
        <v>1928</v>
      </c>
      <c r="C969" s="4" t="s">
        <v>1929</v>
      </c>
      <c r="D969" s="4" t="s">
        <v>1929</v>
      </c>
      <c r="E969" s="4" t="s">
        <v>1929</v>
      </c>
      <c r="F969" s="4" t="s">
        <v>1929</v>
      </c>
      <c r="G969" s="5">
        <v>874.3185</v>
      </c>
      <c r="H969" s="9"/>
      <c r="I969" s="9">
        <f t="shared" si="75"/>
        <v>410.929695</v>
      </c>
      <c r="J969" s="9">
        <f t="shared" si="76"/>
        <v>437.15925</v>
      </c>
      <c r="K969" s="9">
        <f t="shared" si="77"/>
        <v>480.875175</v>
      </c>
      <c r="L969" s="9">
        <f t="shared" si="78"/>
        <v>612.02295</v>
      </c>
      <c r="M969" s="9">
        <f t="shared" si="79"/>
        <v>743.170725</v>
      </c>
    </row>
    <row r="970" ht="27" spans="2:13">
      <c r="B970" t="s">
        <v>1930</v>
      </c>
      <c r="C970" s="4" t="s">
        <v>1931</v>
      </c>
      <c r="D970" s="4" t="s">
        <v>1931</v>
      </c>
      <c r="E970" s="4" t="s">
        <v>1931</v>
      </c>
      <c r="F970" s="4" t="s">
        <v>1931</v>
      </c>
      <c r="G970" s="5">
        <v>642.396</v>
      </c>
      <c r="H970" s="9"/>
      <c r="I970" s="9">
        <f t="shared" si="75"/>
        <v>301.92612</v>
      </c>
      <c r="J970" s="9">
        <f t="shared" si="76"/>
        <v>321.198</v>
      </c>
      <c r="K970" s="9">
        <f t="shared" si="77"/>
        <v>353.3178</v>
      </c>
      <c r="L970" s="9">
        <f t="shared" si="78"/>
        <v>449.6772</v>
      </c>
      <c r="M970" s="9">
        <f t="shared" si="79"/>
        <v>546.0366</v>
      </c>
    </row>
    <row r="971" ht="27" spans="2:13">
      <c r="B971" t="s">
        <v>1932</v>
      </c>
      <c r="C971" s="4" t="s">
        <v>1933</v>
      </c>
      <c r="D971" s="4" t="s">
        <v>1933</v>
      </c>
      <c r="E971" s="4" t="s">
        <v>1933</v>
      </c>
      <c r="F971" s="4" t="s">
        <v>1933</v>
      </c>
      <c r="G971" s="5">
        <v>936.105</v>
      </c>
      <c r="H971" s="9"/>
      <c r="I971" s="9">
        <f t="shared" si="75"/>
        <v>439.96935</v>
      </c>
      <c r="J971" s="9">
        <f t="shared" si="76"/>
        <v>468.0525</v>
      </c>
      <c r="K971" s="9">
        <f t="shared" si="77"/>
        <v>514.85775</v>
      </c>
      <c r="L971" s="9">
        <f t="shared" si="78"/>
        <v>655.2735</v>
      </c>
      <c r="M971" s="9">
        <f t="shared" si="79"/>
        <v>795.68925</v>
      </c>
    </row>
    <row r="972" ht="40.5" spans="2:13">
      <c r="B972" t="s">
        <v>1934</v>
      </c>
      <c r="C972" s="4" t="s">
        <v>1935</v>
      </c>
      <c r="D972" s="4" t="s">
        <v>1935</v>
      </c>
      <c r="E972" s="4" t="s">
        <v>1935</v>
      </c>
      <c r="F972" s="4" t="s">
        <v>1935</v>
      </c>
      <c r="G972" s="5">
        <v>795.8805</v>
      </c>
      <c r="H972" s="9"/>
      <c r="I972" s="9">
        <f t="shared" si="75"/>
        <v>374.063835</v>
      </c>
      <c r="J972" s="9">
        <f t="shared" si="76"/>
        <v>397.94025</v>
      </c>
      <c r="K972" s="9">
        <f t="shared" si="77"/>
        <v>437.734275</v>
      </c>
      <c r="L972" s="9">
        <f t="shared" si="78"/>
        <v>557.11635</v>
      </c>
      <c r="M972" s="9">
        <f t="shared" si="79"/>
        <v>676.498425</v>
      </c>
    </row>
    <row r="973" ht="40.5" spans="2:13">
      <c r="B973" t="s">
        <v>1936</v>
      </c>
      <c r="C973" s="4" t="s">
        <v>1937</v>
      </c>
      <c r="D973" s="4" t="s">
        <v>1937</v>
      </c>
      <c r="E973" s="4" t="s">
        <v>1937</v>
      </c>
      <c r="F973" s="4" t="s">
        <v>1937</v>
      </c>
      <c r="G973" s="5">
        <v>719.967</v>
      </c>
      <c r="H973" s="9"/>
      <c r="I973" s="9">
        <f t="shared" si="75"/>
        <v>338.38449</v>
      </c>
      <c r="J973" s="9">
        <f t="shared" si="76"/>
        <v>359.9835</v>
      </c>
      <c r="K973" s="9">
        <f t="shared" si="77"/>
        <v>395.98185</v>
      </c>
      <c r="L973" s="9">
        <f t="shared" si="78"/>
        <v>503.9769</v>
      </c>
      <c r="M973" s="9">
        <f t="shared" si="79"/>
        <v>611.97195</v>
      </c>
    </row>
    <row r="974" ht="40.5" spans="2:13">
      <c r="B974" t="s">
        <v>1938</v>
      </c>
      <c r="C974" s="4" t="s">
        <v>1939</v>
      </c>
      <c r="D974" s="4" t="s">
        <v>1939</v>
      </c>
      <c r="E974" s="4" t="s">
        <v>1939</v>
      </c>
      <c r="F974" s="4" t="s">
        <v>1939</v>
      </c>
      <c r="G974" s="5">
        <v>882.3765</v>
      </c>
      <c r="H974" s="9"/>
      <c r="I974" s="9">
        <f t="shared" si="75"/>
        <v>414.716955</v>
      </c>
      <c r="J974" s="9">
        <f t="shared" si="76"/>
        <v>441.18825</v>
      </c>
      <c r="K974" s="9">
        <f t="shared" si="77"/>
        <v>485.307075</v>
      </c>
      <c r="L974" s="9">
        <f t="shared" si="78"/>
        <v>617.66355</v>
      </c>
      <c r="M974" s="9">
        <f t="shared" si="79"/>
        <v>750.020025</v>
      </c>
    </row>
    <row r="975" ht="27" spans="2:13">
      <c r="B975" t="s">
        <v>1940</v>
      </c>
      <c r="C975" s="4" t="s">
        <v>1941</v>
      </c>
      <c r="D975" s="4" t="s">
        <v>1941</v>
      </c>
      <c r="E975" s="4" t="s">
        <v>1941</v>
      </c>
      <c r="F975" s="4" t="s">
        <v>1941</v>
      </c>
      <c r="G975" s="5">
        <v>955.0872</v>
      </c>
      <c r="H975" s="9"/>
      <c r="I975" s="9">
        <f t="shared" si="75"/>
        <v>448.890984</v>
      </c>
      <c r="J975" s="9">
        <f t="shared" si="76"/>
        <v>477.5436</v>
      </c>
      <c r="K975" s="9">
        <f t="shared" si="77"/>
        <v>525.29796</v>
      </c>
      <c r="L975" s="9">
        <f t="shared" si="78"/>
        <v>668.56104</v>
      </c>
      <c r="M975" s="9">
        <f t="shared" si="79"/>
        <v>811.82412</v>
      </c>
    </row>
    <row r="976" ht="27" spans="2:13">
      <c r="B976" t="s">
        <v>1942</v>
      </c>
      <c r="C976" s="4" t="s">
        <v>1943</v>
      </c>
      <c r="D976" s="4" t="s">
        <v>1943</v>
      </c>
      <c r="E976" s="4" t="s">
        <v>1943</v>
      </c>
      <c r="F976" s="4" t="s">
        <v>1943</v>
      </c>
      <c r="G976" s="5">
        <v>387.23688</v>
      </c>
      <c r="H976" s="9"/>
      <c r="I976" s="9">
        <f t="shared" si="75"/>
        <v>182.0013336</v>
      </c>
      <c r="J976" s="9">
        <f t="shared" si="76"/>
        <v>193.61844</v>
      </c>
      <c r="K976" s="9">
        <f t="shared" si="77"/>
        <v>212.980284</v>
      </c>
      <c r="L976" s="9">
        <f t="shared" si="78"/>
        <v>271.065816</v>
      </c>
      <c r="M976" s="9">
        <f t="shared" si="79"/>
        <v>329.151348</v>
      </c>
    </row>
    <row r="977" ht="27" spans="2:13">
      <c r="B977" t="s">
        <v>1944</v>
      </c>
      <c r="C977" s="4" t="s">
        <v>1945</v>
      </c>
      <c r="D977" s="4" t="s">
        <v>1945</v>
      </c>
      <c r="E977" s="4" t="s">
        <v>1945</v>
      </c>
      <c r="F977" s="4" t="s">
        <v>1945</v>
      </c>
      <c r="G977" s="5">
        <v>411.16608</v>
      </c>
      <c r="H977" s="9"/>
      <c r="I977" s="9">
        <f t="shared" si="75"/>
        <v>193.2480576</v>
      </c>
      <c r="J977" s="9">
        <f t="shared" si="76"/>
        <v>205.58304</v>
      </c>
      <c r="K977" s="9">
        <f t="shared" si="77"/>
        <v>226.141344</v>
      </c>
      <c r="L977" s="9">
        <f t="shared" si="78"/>
        <v>287.816256</v>
      </c>
      <c r="M977" s="9">
        <f t="shared" si="79"/>
        <v>349.491168</v>
      </c>
    </row>
    <row r="978" ht="27" spans="2:13">
      <c r="B978" t="s">
        <v>1946</v>
      </c>
      <c r="C978" s="4" t="s">
        <v>1947</v>
      </c>
      <c r="D978" s="4" t="s">
        <v>1947</v>
      </c>
      <c r="E978" s="4" t="s">
        <v>1947</v>
      </c>
      <c r="F978" s="4" t="s">
        <v>1947</v>
      </c>
      <c r="G978" s="5">
        <v>438.2685</v>
      </c>
      <c r="H978" s="9"/>
      <c r="I978" s="9">
        <f t="shared" si="75"/>
        <v>205.986195</v>
      </c>
      <c r="J978" s="9">
        <f t="shared" si="76"/>
        <v>219.13425</v>
      </c>
      <c r="K978" s="9">
        <f t="shared" si="77"/>
        <v>241.047675</v>
      </c>
      <c r="L978" s="9">
        <f t="shared" si="78"/>
        <v>306.78795</v>
      </c>
      <c r="M978" s="9">
        <f t="shared" si="79"/>
        <v>372.528225</v>
      </c>
    </row>
    <row r="979" spans="2:13">
      <c r="B979" t="s">
        <v>1948</v>
      </c>
      <c r="C979" s="4" t="s">
        <v>1949</v>
      </c>
      <c r="D979" s="4" t="s">
        <v>1949</v>
      </c>
      <c r="E979" s="4" t="s">
        <v>1949</v>
      </c>
      <c r="F979" s="4" t="s">
        <v>1949</v>
      </c>
      <c r="G979" s="5">
        <v>296.93016</v>
      </c>
      <c r="H979" s="9"/>
      <c r="I979" s="9">
        <f t="shared" si="75"/>
        <v>139.5571752</v>
      </c>
      <c r="J979" s="9">
        <f t="shared" si="76"/>
        <v>148.46508</v>
      </c>
      <c r="K979" s="9">
        <f t="shared" si="77"/>
        <v>163.311588</v>
      </c>
      <c r="L979" s="9">
        <f t="shared" si="78"/>
        <v>207.851112</v>
      </c>
      <c r="M979" s="9">
        <f t="shared" si="79"/>
        <v>252.390636</v>
      </c>
    </row>
    <row r="980" ht="27" spans="2:13">
      <c r="B980" t="s">
        <v>1950</v>
      </c>
      <c r="C980" s="4" t="s">
        <v>1951</v>
      </c>
      <c r="D980" s="4" t="s">
        <v>1951</v>
      </c>
      <c r="E980" s="4" t="s">
        <v>1951</v>
      </c>
      <c r="F980" s="4" t="s">
        <v>1951</v>
      </c>
      <c r="G980" s="5">
        <v>567.85032</v>
      </c>
      <c r="H980" s="9"/>
      <c r="I980" s="9">
        <f t="shared" si="75"/>
        <v>266.8896504</v>
      </c>
      <c r="J980" s="9">
        <f t="shared" si="76"/>
        <v>283.92516</v>
      </c>
      <c r="K980" s="9">
        <f t="shared" si="77"/>
        <v>312.317676</v>
      </c>
      <c r="L980" s="9">
        <f t="shared" si="78"/>
        <v>397.495224</v>
      </c>
      <c r="M980" s="9">
        <f t="shared" si="79"/>
        <v>482.672772</v>
      </c>
    </row>
    <row r="981" ht="27" spans="2:13">
      <c r="B981" t="s">
        <v>1952</v>
      </c>
      <c r="C981" s="4" t="s">
        <v>1953</v>
      </c>
      <c r="D981" s="4" t="s">
        <v>1953</v>
      </c>
      <c r="E981" s="4" t="s">
        <v>1953</v>
      </c>
      <c r="F981" s="4" t="s">
        <v>1953</v>
      </c>
      <c r="G981" s="5">
        <v>258.0192</v>
      </c>
      <c r="H981" s="9"/>
      <c r="I981" s="9">
        <f t="shared" si="75"/>
        <v>121.269024</v>
      </c>
      <c r="J981" s="9">
        <f t="shared" si="76"/>
        <v>129.0096</v>
      </c>
      <c r="K981" s="9">
        <f t="shared" si="77"/>
        <v>141.91056</v>
      </c>
      <c r="L981" s="9">
        <f t="shared" si="78"/>
        <v>180.61344</v>
      </c>
      <c r="M981" s="9">
        <f t="shared" si="79"/>
        <v>219.31632</v>
      </c>
    </row>
    <row r="982" ht="27" spans="2:13">
      <c r="B982" t="s">
        <v>1954</v>
      </c>
      <c r="C982" s="4" t="s">
        <v>1955</v>
      </c>
      <c r="D982" s="4" t="s">
        <v>1955</v>
      </c>
      <c r="E982" s="4" t="s">
        <v>1955</v>
      </c>
      <c r="F982" s="4" t="s">
        <v>1955</v>
      </c>
      <c r="G982" s="5">
        <v>258.0192</v>
      </c>
      <c r="H982" s="9"/>
      <c r="I982" s="9">
        <f t="shared" si="75"/>
        <v>121.269024</v>
      </c>
      <c r="J982" s="9">
        <f t="shared" si="76"/>
        <v>129.0096</v>
      </c>
      <c r="K982" s="9">
        <f t="shared" si="77"/>
        <v>141.91056</v>
      </c>
      <c r="L982" s="9">
        <f t="shared" si="78"/>
        <v>180.61344</v>
      </c>
      <c r="M982" s="9">
        <f t="shared" si="79"/>
        <v>219.31632</v>
      </c>
    </row>
    <row r="983" spans="2:13">
      <c r="B983" t="s">
        <v>1956</v>
      </c>
      <c r="C983" s="4" t="s">
        <v>1957</v>
      </c>
      <c r="D983" s="4" t="s">
        <v>1957</v>
      </c>
      <c r="E983" s="4" t="s">
        <v>1957</v>
      </c>
      <c r="F983" s="4" t="s">
        <v>1957</v>
      </c>
      <c r="G983" s="5">
        <v>219.42036</v>
      </c>
      <c r="H983" s="9"/>
      <c r="I983" s="9">
        <f t="shared" si="75"/>
        <v>103.1275692</v>
      </c>
      <c r="J983" s="9">
        <f t="shared" si="76"/>
        <v>109.71018</v>
      </c>
      <c r="K983" s="9">
        <f t="shared" si="77"/>
        <v>120.681198</v>
      </c>
      <c r="L983" s="9">
        <f t="shared" si="78"/>
        <v>153.594252</v>
      </c>
      <c r="M983" s="9">
        <f t="shared" si="79"/>
        <v>186.507306</v>
      </c>
    </row>
    <row r="984" ht="27" spans="2:13">
      <c r="B984" t="s">
        <v>1958</v>
      </c>
      <c r="C984" s="4" t="s">
        <v>1959</v>
      </c>
      <c r="D984" s="4" t="s">
        <v>1959</v>
      </c>
      <c r="E984" s="4" t="s">
        <v>1959</v>
      </c>
      <c r="F984" s="4" t="s">
        <v>1959</v>
      </c>
      <c r="G984" s="5">
        <v>774.26568</v>
      </c>
      <c r="H984" s="9"/>
      <c r="I984" s="9">
        <f t="shared" si="75"/>
        <v>363.9048696</v>
      </c>
      <c r="J984" s="9">
        <f t="shared" si="76"/>
        <v>387.13284</v>
      </c>
      <c r="K984" s="9">
        <f t="shared" si="77"/>
        <v>425.846124</v>
      </c>
      <c r="L984" s="9">
        <f t="shared" si="78"/>
        <v>541.985976</v>
      </c>
      <c r="M984" s="9">
        <f t="shared" si="79"/>
        <v>658.125828</v>
      </c>
    </row>
    <row r="985" ht="27" spans="2:13">
      <c r="B985" t="s">
        <v>1960</v>
      </c>
      <c r="C985" s="4" t="s">
        <v>1961</v>
      </c>
      <c r="D985" s="4" t="s">
        <v>1961</v>
      </c>
      <c r="E985" s="4" t="s">
        <v>1961</v>
      </c>
      <c r="F985" s="4" t="s">
        <v>1961</v>
      </c>
      <c r="G985" s="5">
        <v>322.73208</v>
      </c>
      <c r="H985" s="9"/>
      <c r="I985" s="9">
        <f t="shared" si="75"/>
        <v>151.6840776</v>
      </c>
      <c r="J985" s="9">
        <f t="shared" si="76"/>
        <v>161.36604</v>
      </c>
      <c r="K985" s="9">
        <f t="shared" si="77"/>
        <v>177.502644</v>
      </c>
      <c r="L985" s="9">
        <f t="shared" si="78"/>
        <v>225.912456</v>
      </c>
      <c r="M985" s="9">
        <f t="shared" si="79"/>
        <v>274.322268</v>
      </c>
    </row>
    <row r="986" spans="2:13">
      <c r="B986" t="s">
        <v>1962</v>
      </c>
      <c r="C986" s="4" t="s">
        <v>1963</v>
      </c>
      <c r="D986" s="4" t="s">
        <v>1963</v>
      </c>
      <c r="E986" s="4" t="s">
        <v>1963</v>
      </c>
      <c r="F986" s="4" t="s">
        <v>1963</v>
      </c>
      <c r="G986" s="5">
        <v>322.73208</v>
      </c>
      <c r="H986" s="9"/>
      <c r="I986" s="9">
        <f t="shared" si="75"/>
        <v>151.6840776</v>
      </c>
      <c r="J986" s="9">
        <f t="shared" si="76"/>
        <v>161.36604</v>
      </c>
      <c r="K986" s="9">
        <f t="shared" si="77"/>
        <v>177.502644</v>
      </c>
      <c r="L986" s="9">
        <f t="shared" si="78"/>
        <v>225.912456</v>
      </c>
      <c r="M986" s="9">
        <f t="shared" si="79"/>
        <v>274.322268</v>
      </c>
    </row>
    <row r="987" spans="2:13">
      <c r="B987" t="s">
        <v>1964</v>
      </c>
      <c r="C987" s="4" t="s">
        <v>1965</v>
      </c>
      <c r="D987" s="4" t="s">
        <v>1965</v>
      </c>
      <c r="E987" s="4" t="s">
        <v>1965</v>
      </c>
      <c r="F987" s="4" t="s">
        <v>1965</v>
      </c>
      <c r="G987" s="5">
        <v>266.55048</v>
      </c>
      <c r="H987" s="9"/>
      <c r="I987" s="9">
        <f t="shared" si="75"/>
        <v>125.2787256</v>
      </c>
      <c r="J987" s="9">
        <f t="shared" si="76"/>
        <v>133.27524</v>
      </c>
      <c r="K987" s="9">
        <f t="shared" si="77"/>
        <v>146.602764</v>
      </c>
      <c r="L987" s="9">
        <f t="shared" si="78"/>
        <v>186.585336</v>
      </c>
      <c r="M987" s="9">
        <f t="shared" si="79"/>
        <v>226.567908</v>
      </c>
    </row>
    <row r="988" spans="2:13">
      <c r="B988" t="s">
        <v>1966</v>
      </c>
      <c r="C988" s="4" t="s">
        <v>1967</v>
      </c>
      <c r="D988" s="4" t="s">
        <v>1967</v>
      </c>
      <c r="E988" s="4" t="s">
        <v>1967</v>
      </c>
      <c r="F988" s="4" t="s">
        <v>1967</v>
      </c>
      <c r="G988" s="5">
        <v>390.15</v>
      </c>
      <c r="H988" s="9"/>
      <c r="I988" s="9">
        <f t="shared" si="75"/>
        <v>183.3705</v>
      </c>
      <c r="J988" s="9">
        <f t="shared" si="76"/>
        <v>195.075</v>
      </c>
      <c r="K988" s="9">
        <f t="shared" si="77"/>
        <v>214.5825</v>
      </c>
      <c r="L988" s="9">
        <f t="shared" si="78"/>
        <v>273.105</v>
      </c>
      <c r="M988" s="9">
        <f t="shared" si="79"/>
        <v>331.6275</v>
      </c>
    </row>
    <row r="989" ht="27" spans="2:13">
      <c r="B989" t="s">
        <v>1968</v>
      </c>
      <c r="C989" s="4" t="s">
        <v>1969</v>
      </c>
      <c r="D989" s="4" t="s">
        <v>1969</v>
      </c>
      <c r="E989" s="4" t="s">
        <v>1969</v>
      </c>
      <c r="F989" s="4" t="s">
        <v>1969</v>
      </c>
      <c r="G989" s="5">
        <v>130.05</v>
      </c>
      <c r="H989" s="9"/>
      <c r="I989" s="9">
        <f t="shared" si="75"/>
        <v>61.1235</v>
      </c>
      <c r="J989" s="9">
        <f t="shared" si="76"/>
        <v>65.025</v>
      </c>
      <c r="K989" s="9">
        <f t="shared" si="77"/>
        <v>71.5275</v>
      </c>
      <c r="L989" s="9">
        <f t="shared" si="78"/>
        <v>91.035</v>
      </c>
      <c r="M989" s="9">
        <f t="shared" si="79"/>
        <v>110.5425</v>
      </c>
    </row>
    <row r="990" ht="40.5" spans="2:13">
      <c r="B990" t="s">
        <v>1970</v>
      </c>
      <c r="C990" s="4" t="s">
        <v>1971</v>
      </c>
      <c r="D990" s="4" t="s">
        <v>1971</v>
      </c>
      <c r="E990" s="4" t="s">
        <v>1971</v>
      </c>
      <c r="F990" s="4" t="s">
        <v>1971</v>
      </c>
      <c r="G990" s="5">
        <v>31.212</v>
      </c>
      <c r="H990" s="9"/>
      <c r="I990" s="9">
        <f t="shared" si="75"/>
        <v>14.66964</v>
      </c>
      <c r="J990" s="9">
        <f t="shared" si="76"/>
        <v>15.606</v>
      </c>
      <c r="K990" s="9">
        <f t="shared" si="77"/>
        <v>17.1666</v>
      </c>
      <c r="L990" s="9">
        <f t="shared" si="78"/>
        <v>21.8484</v>
      </c>
      <c r="M990" s="9">
        <f t="shared" si="79"/>
        <v>26.5302</v>
      </c>
    </row>
    <row r="991" ht="27" spans="2:13">
      <c r="B991" t="s">
        <v>1972</v>
      </c>
      <c r="C991" s="4" t="s">
        <v>1973</v>
      </c>
      <c r="D991" s="4" t="s">
        <v>1973</v>
      </c>
      <c r="E991" s="4" t="s">
        <v>1973</v>
      </c>
      <c r="F991" s="4" t="s">
        <v>1973</v>
      </c>
      <c r="G991" s="5">
        <v>26.01</v>
      </c>
      <c r="H991" s="9"/>
      <c r="I991" s="9">
        <f t="shared" si="75"/>
        <v>12.2247</v>
      </c>
      <c r="J991" s="9">
        <f t="shared" si="76"/>
        <v>13.005</v>
      </c>
      <c r="K991" s="9">
        <f t="shared" si="77"/>
        <v>14.3055</v>
      </c>
      <c r="L991" s="9">
        <f t="shared" si="78"/>
        <v>18.207</v>
      </c>
      <c r="M991" s="9">
        <f t="shared" si="79"/>
        <v>22.1085</v>
      </c>
    </row>
    <row r="992" spans="2:13">
      <c r="B992" t="s">
        <v>1974</v>
      </c>
      <c r="C992" s="4" t="s">
        <v>1975</v>
      </c>
      <c r="D992" s="4" t="s">
        <v>1975</v>
      </c>
      <c r="E992" s="4" t="s">
        <v>1975</v>
      </c>
      <c r="F992" s="4" t="s">
        <v>1975</v>
      </c>
      <c r="G992" s="5">
        <v>249.696</v>
      </c>
      <c r="H992" s="9"/>
      <c r="I992" s="9">
        <f t="shared" si="75"/>
        <v>117.35712</v>
      </c>
      <c r="J992" s="9">
        <f t="shared" si="76"/>
        <v>124.848</v>
      </c>
      <c r="K992" s="9">
        <f t="shared" si="77"/>
        <v>137.3328</v>
      </c>
      <c r="L992" s="9">
        <f t="shared" si="78"/>
        <v>174.7872</v>
      </c>
      <c r="M992" s="9">
        <f t="shared" si="79"/>
        <v>212.2416</v>
      </c>
    </row>
    <row r="993" ht="27" spans="2:13">
      <c r="B993" t="s">
        <v>1976</v>
      </c>
      <c r="C993" s="4" t="s">
        <v>1977</v>
      </c>
      <c r="D993" s="4" t="s">
        <v>1977</v>
      </c>
      <c r="E993" s="4" t="s">
        <v>1977</v>
      </c>
      <c r="F993" s="4" t="s">
        <v>1977</v>
      </c>
      <c r="G993" s="5">
        <v>1612.62</v>
      </c>
      <c r="H993" s="9"/>
      <c r="I993" s="9">
        <f t="shared" si="75"/>
        <v>757.9314</v>
      </c>
      <c r="J993" s="9">
        <f t="shared" si="76"/>
        <v>806.31</v>
      </c>
      <c r="K993" s="9">
        <f t="shared" si="77"/>
        <v>886.941</v>
      </c>
      <c r="L993" s="9">
        <f t="shared" si="78"/>
        <v>1128.834</v>
      </c>
      <c r="M993" s="9">
        <f t="shared" si="79"/>
        <v>1370.727</v>
      </c>
    </row>
    <row r="994" ht="27" spans="2:13">
      <c r="B994" t="s">
        <v>1978</v>
      </c>
      <c r="C994" s="4" t="s">
        <v>1979</v>
      </c>
      <c r="D994" s="4" t="s">
        <v>1979</v>
      </c>
      <c r="E994" s="4" t="s">
        <v>1979</v>
      </c>
      <c r="F994" s="4" t="s">
        <v>1979</v>
      </c>
      <c r="G994" s="5">
        <v>676.26</v>
      </c>
      <c r="H994" s="9"/>
      <c r="I994" s="9">
        <f t="shared" si="75"/>
        <v>317.8422</v>
      </c>
      <c r="J994" s="9">
        <f t="shared" si="76"/>
        <v>338.13</v>
      </c>
      <c r="K994" s="9">
        <f t="shared" si="77"/>
        <v>371.943</v>
      </c>
      <c r="L994" s="9">
        <f t="shared" si="78"/>
        <v>473.382</v>
      </c>
      <c r="M994" s="9">
        <f t="shared" si="79"/>
        <v>574.821</v>
      </c>
    </row>
    <row r="995" ht="27" spans="2:13">
      <c r="B995" t="s">
        <v>1980</v>
      </c>
      <c r="C995" s="4" t="s">
        <v>1981</v>
      </c>
      <c r="D995" s="4" t="s">
        <v>1981</v>
      </c>
      <c r="E995" s="4" t="s">
        <v>1981</v>
      </c>
      <c r="F995" s="4" t="s">
        <v>1981</v>
      </c>
      <c r="G995" s="5">
        <v>676.26</v>
      </c>
      <c r="H995" s="9"/>
      <c r="I995" s="9">
        <f t="shared" si="75"/>
        <v>317.8422</v>
      </c>
      <c r="J995" s="9">
        <f t="shared" si="76"/>
        <v>338.13</v>
      </c>
      <c r="K995" s="9">
        <f t="shared" si="77"/>
        <v>371.943</v>
      </c>
      <c r="L995" s="9">
        <f t="shared" si="78"/>
        <v>473.382</v>
      </c>
      <c r="M995" s="9">
        <f t="shared" si="79"/>
        <v>574.821</v>
      </c>
    </row>
    <row r="996" ht="27" spans="2:13">
      <c r="B996" t="s">
        <v>1982</v>
      </c>
      <c r="C996" s="4" t="s">
        <v>1983</v>
      </c>
      <c r="D996" s="4" t="s">
        <v>1983</v>
      </c>
      <c r="E996" s="4" t="s">
        <v>1983</v>
      </c>
      <c r="F996" s="4" t="s">
        <v>1983</v>
      </c>
      <c r="G996" s="5">
        <v>728.28</v>
      </c>
      <c r="H996" s="9"/>
      <c r="I996" s="9">
        <f t="shared" si="75"/>
        <v>342.2916</v>
      </c>
      <c r="J996" s="9">
        <f t="shared" si="76"/>
        <v>364.14</v>
      </c>
      <c r="K996" s="9">
        <f t="shared" si="77"/>
        <v>400.554</v>
      </c>
      <c r="L996" s="9">
        <f t="shared" si="78"/>
        <v>509.796</v>
      </c>
      <c r="M996" s="9">
        <f t="shared" si="79"/>
        <v>619.038</v>
      </c>
    </row>
    <row r="997" spans="2:13">
      <c r="B997" t="s">
        <v>1984</v>
      </c>
      <c r="C997" s="4" t="s">
        <v>1985</v>
      </c>
      <c r="D997" s="4" t="s">
        <v>1985</v>
      </c>
      <c r="E997" s="4" t="s">
        <v>1985</v>
      </c>
      <c r="F997" s="4" t="s">
        <v>1985</v>
      </c>
      <c r="G997" s="5">
        <v>546.21</v>
      </c>
      <c r="H997" s="9"/>
      <c r="I997" s="9">
        <f t="shared" si="75"/>
        <v>256.7187</v>
      </c>
      <c r="J997" s="9">
        <f t="shared" si="76"/>
        <v>273.105</v>
      </c>
      <c r="K997" s="9">
        <f t="shared" si="77"/>
        <v>300.4155</v>
      </c>
      <c r="L997" s="9">
        <f t="shared" si="78"/>
        <v>382.347</v>
      </c>
      <c r="M997" s="9">
        <f t="shared" si="79"/>
        <v>464.2785</v>
      </c>
    </row>
    <row r="998" ht="27" spans="2:13">
      <c r="B998" t="s">
        <v>1986</v>
      </c>
      <c r="C998" s="4" t="s">
        <v>1987</v>
      </c>
      <c r="D998" s="4" t="s">
        <v>1987</v>
      </c>
      <c r="E998" s="4" t="s">
        <v>1987</v>
      </c>
      <c r="F998" s="4" t="s">
        <v>1987</v>
      </c>
      <c r="G998" s="5">
        <v>2162.4</v>
      </c>
      <c r="H998" s="9"/>
      <c r="I998" s="9">
        <f t="shared" si="75"/>
        <v>1016.328</v>
      </c>
      <c r="J998" s="9">
        <f t="shared" si="76"/>
        <v>1081.2</v>
      </c>
      <c r="K998" s="9">
        <f t="shared" si="77"/>
        <v>1189.32</v>
      </c>
      <c r="L998" s="9">
        <f t="shared" si="78"/>
        <v>1513.68</v>
      </c>
      <c r="M998" s="9">
        <f t="shared" si="79"/>
        <v>1838.04</v>
      </c>
    </row>
    <row r="999" ht="40.5" spans="2:13">
      <c r="B999" t="s">
        <v>1988</v>
      </c>
      <c r="C999" s="4" t="s">
        <v>1989</v>
      </c>
      <c r="D999" s="4" t="s">
        <v>1989</v>
      </c>
      <c r="E999" s="4" t="s">
        <v>1989</v>
      </c>
      <c r="F999" s="4" t="s">
        <v>1989</v>
      </c>
      <c r="G999" s="5">
        <v>280.908</v>
      </c>
      <c r="H999" s="9"/>
      <c r="I999" s="9">
        <f t="shared" si="75"/>
        <v>132.02676</v>
      </c>
      <c r="J999" s="9">
        <f t="shared" si="76"/>
        <v>140.454</v>
      </c>
      <c r="K999" s="9">
        <f t="shared" si="77"/>
        <v>154.4994</v>
      </c>
      <c r="L999" s="9">
        <f t="shared" si="78"/>
        <v>196.6356</v>
      </c>
      <c r="M999" s="9">
        <f t="shared" si="79"/>
        <v>238.7718</v>
      </c>
    </row>
    <row r="1000" ht="40.5" spans="2:13">
      <c r="B1000" t="s">
        <v>1990</v>
      </c>
      <c r="C1000" s="4" t="s">
        <v>1991</v>
      </c>
      <c r="D1000" s="4" t="s">
        <v>1991</v>
      </c>
      <c r="E1000" s="4" t="s">
        <v>1991</v>
      </c>
      <c r="F1000" s="4" t="s">
        <v>1991</v>
      </c>
      <c r="G1000" s="5">
        <v>296.514</v>
      </c>
      <c r="H1000" s="9"/>
      <c r="I1000" s="9">
        <f t="shared" si="75"/>
        <v>139.36158</v>
      </c>
      <c r="J1000" s="9">
        <f t="shared" si="76"/>
        <v>148.257</v>
      </c>
      <c r="K1000" s="9">
        <f t="shared" si="77"/>
        <v>163.0827</v>
      </c>
      <c r="L1000" s="9">
        <f t="shared" si="78"/>
        <v>207.5598</v>
      </c>
      <c r="M1000" s="9">
        <f t="shared" si="79"/>
        <v>252.0369</v>
      </c>
    </row>
    <row r="1001" ht="40.5" spans="2:13">
      <c r="B1001" t="s">
        <v>1992</v>
      </c>
      <c r="C1001" s="4" t="s">
        <v>1993</v>
      </c>
      <c r="D1001" s="4" t="s">
        <v>1993</v>
      </c>
      <c r="E1001" s="4" t="s">
        <v>1993</v>
      </c>
      <c r="F1001" s="4" t="s">
        <v>1993</v>
      </c>
      <c r="G1001" s="5">
        <v>7.65</v>
      </c>
      <c r="H1001" s="9"/>
      <c r="I1001" s="9">
        <f t="shared" si="75"/>
        <v>3.5955</v>
      </c>
      <c r="J1001" s="9">
        <f t="shared" si="76"/>
        <v>3.825</v>
      </c>
      <c r="K1001" s="9">
        <f t="shared" si="77"/>
        <v>4.2075</v>
      </c>
      <c r="L1001" s="9">
        <f t="shared" si="78"/>
        <v>5.355</v>
      </c>
      <c r="M1001" s="9">
        <f t="shared" si="79"/>
        <v>6.5025</v>
      </c>
    </row>
    <row r="1002" spans="2:13">
      <c r="B1002" t="s">
        <v>1994</v>
      </c>
      <c r="C1002" s="4" t="s">
        <v>1995</v>
      </c>
      <c r="D1002" s="4" t="s">
        <v>1995</v>
      </c>
      <c r="E1002" s="4" t="s">
        <v>1995</v>
      </c>
      <c r="F1002" s="4" t="s">
        <v>1995</v>
      </c>
      <c r="G1002" s="5">
        <v>241.06068</v>
      </c>
      <c r="H1002" s="9"/>
      <c r="I1002" s="9">
        <f t="shared" si="75"/>
        <v>113.2985196</v>
      </c>
      <c r="J1002" s="9">
        <f t="shared" si="76"/>
        <v>120.53034</v>
      </c>
      <c r="K1002" s="9">
        <f t="shared" si="77"/>
        <v>132.583374</v>
      </c>
      <c r="L1002" s="9">
        <f t="shared" si="78"/>
        <v>168.742476</v>
      </c>
      <c r="M1002" s="9">
        <f t="shared" si="79"/>
        <v>204.901578</v>
      </c>
    </row>
    <row r="1003" spans="2:13">
      <c r="B1003" t="s">
        <v>1996</v>
      </c>
      <c r="C1003" s="4" t="s">
        <v>1997</v>
      </c>
      <c r="D1003" s="4" t="s">
        <v>1997</v>
      </c>
      <c r="E1003" s="4" t="s">
        <v>1997</v>
      </c>
      <c r="F1003" s="4" t="s">
        <v>1997</v>
      </c>
      <c r="G1003" s="5">
        <v>341.35524</v>
      </c>
      <c r="H1003" s="9"/>
      <c r="I1003" s="9">
        <f t="shared" si="75"/>
        <v>160.4369628</v>
      </c>
      <c r="J1003" s="9">
        <f t="shared" si="76"/>
        <v>170.67762</v>
      </c>
      <c r="K1003" s="9">
        <f t="shared" si="77"/>
        <v>187.745382</v>
      </c>
      <c r="L1003" s="9">
        <f t="shared" si="78"/>
        <v>238.948668</v>
      </c>
      <c r="M1003" s="9">
        <f t="shared" si="79"/>
        <v>290.151954</v>
      </c>
    </row>
    <row r="1004" spans="2:13">
      <c r="B1004" t="s">
        <v>1998</v>
      </c>
      <c r="C1004" s="4" t="s">
        <v>1999</v>
      </c>
      <c r="D1004" s="4" t="s">
        <v>1999</v>
      </c>
      <c r="E1004" s="4" t="s">
        <v>1999</v>
      </c>
      <c r="F1004" s="4" t="s">
        <v>1999</v>
      </c>
      <c r="G1004" s="5">
        <v>514.58184</v>
      </c>
      <c r="H1004" s="9"/>
      <c r="I1004" s="9">
        <f t="shared" si="75"/>
        <v>241.8534648</v>
      </c>
      <c r="J1004" s="9">
        <f t="shared" si="76"/>
        <v>257.29092</v>
      </c>
      <c r="K1004" s="9">
        <f t="shared" si="77"/>
        <v>283.020012</v>
      </c>
      <c r="L1004" s="9">
        <f t="shared" si="78"/>
        <v>360.207288</v>
      </c>
      <c r="M1004" s="9">
        <f t="shared" si="79"/>
        <v>437.394564</v>
      </c>
    </row>
    <row r="1005" spans="2:13">
      <c r="B1005" t="s">
        <v>2000</v>
      </c>
      <c r="C1005" s="4" t="s">
        <v>2001</v>
      </c>
      <c r="D1005" s="4" t="s">
        <v>2001</v>
      </c>
      <c r="E1005" s="4" t="s">
        <v>2001</v>
      </c>
      <c r="F1005" s="4" t="s">
        <v>2001</v>
      </c>
      <c r="G1005" s="5">
        <v>663.56712</v>
      </c>
      <c r="H1005" s="9"/>
      <c r="I1005" s="9">
        <f t="shared" si="75"/>
        <v>311.8765464</v>
      </c>
      <c r="J1005" s="9">
        <f t="shared" si="76"/>
        <v>331.78356</v>
      </c>
      <c r="K1005" s="9">
        <f t="shared" si="77"/>
        <v>364.961916</v>
      </c>
      <c r="L1005" s="9">
        <f t="shared" si="78"/>
        <v>464.496984</v>
      </c>
      <c r="M1005" s="9">
        <f t="shared" si="79"/>
        <v>564.032052</v>
      </c>
    </row>
    <row r="1006" spans="2:13">
      <c r="B1006" t="s">
        <v>2002</v>
      </c>
      <c r="C1006" s="4" t="s">
        <v>2003</v>
      </c>
      <c r="D1006" s="4" t="s">
        <v>2003</v>
      </c>
      <c r="E1006" s="4" t="s">
        <v>2003</v>
      </c>
      <c r="F1006" s="4" t="s">
        <v>2003</v>
      </c>
      <c r="G1006" s="5">
        <v>89.2528</v>
      </c>
      <c r="H1006" s="9"/>
      <c r="I1006" s="9">
        <f t="shared" si="75"/>
        <v>41.948816</v>
      </c>
      <c r="J1006" s="9">
        <f t="shared" si="76"/>
        <v>44.6264</v>
      </c>
      <c r="K1006" s="9">
        <f t="shared" si="77"/>
        <v>49.08904</v>
      </c>
      <c r="L1006" s="9">
        <f t="shared" si="78"/>
        <v>62.47696</v>
      </c>
      <c r="M1006" s="9">
        <f t="shared" si="79"/>
        <v>75.86488</v>
      </c>
    </row>
    <row r="1007" spans="2:13">
      <c r="B1007" t="s">
        <v>2004</v>
      </c>
      <c r="C1007" s="4" t="s">
        <v>2005</v>
      </c>
      <c r="D1007" s="4" t="s">
        <v>2005</v>
      </c>
      <c r="E1007" s="4" t="s">
        <v>2005</v>
      </c>
      <c r="F1007" s="4" t="s">
        <v>2005</v>
      </c>
      <c r="G1007" s="5">
        <v>128.8144</v>
      </c>
      <c r="H1007" s="9"/>
      <c r="I1007" s="9">
        <f t="shared" si="75"/>
        <v>60.542768</v>
      </c>
      <c r="J1007" s="9">
        <f t="shared" si="76"/>
        <v>64.4072</v>
      </c>
      <c r="K1007" s="9">
        <f t="shared" si="77"/>
        <v>70.84792</v>
      </c>
      <c r="L1007" s="9">
        <f t="shared" si="78"/>
        <v>90.17008</v>
      </c>
      <c r="M1007" s="9">
        <f t="shared" si="79"/>
        <v>109.49224</v>
      </c>
    </row>
    <row r="1008" spans="2:13">
      <c r="B1008" t="s">
        <v>2006</v>
      </c>
      <c r="C1008" s="4" t="s">
        <v>2007</v>
      </c>
      <c r="D1008" s="4" t="s">
        <v>2007</v>
      </c>
      <c r="E1008" s="4" t="s">
        <v>2007</v>
      </c>
      <c r="F1008" s="4" t="s">
        <v>2007</v>
      </c>
      <c r="G1008" s="5">
        <v>180.82152</v>
      </c>
      <c r="H1008" s="9"/>
      <c r="I1008" s="9">
        <f t="shared" si="75"/>
        <v>84.9861144</v>
      </c>
      <c r="J1008" s="9">
        <f t="shared" si="76"/>
        <v>90.41076</v>
      </c>
      <c r="K1008" s="9">
        <f t="shared" si="77"/>
        <v>99.451836</v>
      </c>
      <c r="L1008" s="9">
        <f t="shared" si="78"/>
        <v>126.575064</v>
      </c>
      <c r="M1008" s="9">
        <f t="shared" si="79"/>
        <v>153.698292</v>
      </c>
    </row>
    <row r="1009" spans="2:13">
      <c r="B1009" t="s">
        <v>2008</v>
      </c>
      <c r="C1009" s="4" t="s">
        <v>2009</v>
      </c>
      <c r="D1009" s="4" t="s">
        <v>2009</v>
      </c>
      <c r="E1009" s="4" t="s">
        <v>2009</v>
      </c>
      <c r="F1009" s="4" t="s">
        <v>2009</v>
      </c>
      <c r="G1009" s="5">
        <v>245.22228</v>
      </c>
      <c r="H1009" s="9"/>
      <c r="I1009" s="9">
        <f t="shared" si="75"/>
        <v>115.2544716</v>
      </c>
      <c r="J1009" s="9">
        <f t="shared" si="76"/>
        <v>122.61114</v>
      </c>
      <c r="K1009" s="9">
        <f t="shared" si="77"/>
        <v>134.872254</v>
      </c>
      <c r="L1009" s="9">
        <f t="shared" si="78"/>
        <v>171.655596</v>
      </c>
      <c r="M1009" s="9">
        <f t="shared" si="79"/>
        <v>208.438938</v>
      </c>
    </row>
    <row r="1010" spans="2:13">
      <c r="B1010" t="s">
        <v>2010</v>
      </c>
      <c r="C1010" s="4" t="s">
        <v>2011</v>
      </c>
      <c r="D1010" s="4" t="s">
        <v>2011</v>
      </c>
      <c r="E1010" s="4" t="s">
        <v>2011</v>
      </c>
      <c r="F1010" s="4" t="s">
        <v>2011</v>
      </c>
      <c r="G1010" s="5">
        <v>22.05648</v>
      </c>
      <c r="H1010" s="9"/>
      <c r="I1010" s="9">
        <f t="shared" si="75"/>
        <v>10.3665456</v>
      </c>
      <c r="J1010" s="9">
        <f t="shared" si="76"/>
        <v>11.02824</v>
      </c>
      <c r="K1010" s="9">
        <f t="shared" si="77"/>
        <v>12.131064</v>
      </c>
      <c r="L1010" s="9">
        <f t="shared" si="78"/>
        <v>15.439536</v>
      </c>
      <c r="M1010" s="9">
        <f t="shared" si="79"/>
        <v>18.748008</v>
      </c>
    </row>
    <row r="1011" spans="2:13">
      <c r="B1011" t="s">
        <v>2012</v>
      </c>
      <c r="C1011" s="4" t="s">
        <v>2013</v>
      </c>
      <c r="D1011" s="4" t="s">
        <v>2013</v>
      </c>
      <c r="E1011" s="4" t="s">
        <v>2013</v>
      </c>
      <c r="F1011" s="4" t="s">
        <v>2013</v>
      </c>
      <c r="G1011" s="5">
        <v>94.9416</v>
      </c>
      <c r="H1011" s="9"/>
      <c r="I1011" s="9">
        <f t="shared" si="75"/>
        <v>44.622552</v>
      </c>
      <c r="J1011" s="9">
        <f t="shared" si="76"/>
        <v>47.4708</v>
      </c>
      <c r="K1011" s="9">
        <f t="shared" si="77"/>
        <v>52.21788</v>
      </c>
      <c r="L1011" s="9">
        <f t="shared" si="78"/>
        <v>66.45912</v>
      </c>
      <c r="M1011" s="9">
        <f t="shared" si="79"/>
        <v>80.70036</v>
      </c>
    </row>
    <row r="1012" spans="2:13">
      <c r="B1012" t="s">
        <v>2014</v>
      </c>
      <c r="C1012" s="4" t="s">
        <v>2015</v>
      </c>
      <c r="D1012" s="4" t="s">
        <v>2015</v>
      </c>
      <c r="E1012" s="4" t="s">
        <v>2015</v>
      </c>
      <c r="F1012" s="4" t="s">
        <v>2015</v>
      </c>
      <c r="G1012" s="5">
        <v>110.74752</v>
      </c>
      <c r="H1012" s="9"/>
      <c r="I1012" s="9">
        <f t="shared" si="75"/>
        <v>52.0513344</v>
      </c>
      <c r="J1012" s="9">
        <f t="shared" si="76"/>
        <v>55.37376</v>
      </c>
      <c r="K1012" s="9">
        <f t="shared" si="77"/>
        <v>60.911136</v>
      </c>
      <c r="L1012" s="9">
        <f t="shared" si="78"/>
        <v>77.523264</v>
      </c>
      <c r="M1012" s="9">
        <f t="shared" si="79"/>
        <v>94.135392</v>
      </c>
    </row>
    <row r="1013" ht="40.5" spans="2:13">
      <c r="B1013" t="s">
        <v>2016</v>
      </c>
      <c r="C1013" s="4" t="s">
        <v>2017</v>
      </c>
      <c r="D1013" s="4" t="s">
        <v>2017</v>
      </c>
      <c r="E1013" s="4" t="s">
        <v>2017</v>
      </c>
      <c r="F1013" s="4" t="s">
        <v>2017</v>
      </c>
      <c r="G1013" s="5">
        <v>6.97068</v>
      </c>
      <c r="H1013" s="9"/>
      <c r="I1013" s="9">
        <f t="shared" si="75"/>
        <v>3.2762196</v>
      </c>
      <c r="J1013" s="9">
        <f t="shared" si="76"/>
        <v>3.48534</v>
      </c>
      <c r="K1013" s="9">
        <f t="shared" si="77"/>
        <v>3.833874</v>
      </c>
      <c r="L1013" s="9">
        <f t="shared" si="78"/>
        <v>4.879476</v>
      </c>
      <c r="M1013" s="9">
        <f t="shared" si="79"/>
        <v>5.925078</v>
      </c>
    </row>
    <row r="1014" ht="27" spans="2:13">
      <c r="B1014" t="s">
        <v>2018</v>
      </c>
      <c r="C1014" s="4" t="s">
        <v>2019</v>
      </c>
      <c r="D1014" s="4" t="s">
        <v>2019</v>
      </c>
      <c r="E1014" s="4" t="s">
        <v>2019</v>
      </c>
      <c r="F1014" s="4" t="s">
        <v>2019</v>
      </c>
      <c r="G1014" s="5">
        <v>84.89664</v>
      </c>
      <c r="H1014" s="9"/>
      <c r="I1014" s="9">
        <f t="shared" si="75"/>
        <v>39.9014208</v>
      </c>
      <c r="J1014" s="9">
        <f t="shared" si="76"/>
        <v>42.44832</v>
      </c>
      <c r="K1014" s="9">
        <f t="shared" si="77"/>
        <v>46.693152</v>
      </c>
      <c r="L1014" s="9">
        <f t="shared" si="78"/>
        <v>59.427648</v>
      </c>
      <c r="M1014" s="9">
        <f t="shared" si="79"/>
        <v>72.162144</v>
      </c>
    </row>
    <row r="1015" spans="2:13">
      <c r="B1015" t="s">
        <v>2020</v>
      </c>
      <c r="C1015" s="4" t="s">
        <v>466</v>
      </c>
      <c r="D1015" s="4" t="s">
        <v>466</v>
      </c>
      <c r="E1015" s="4" t="s">
        <v>466</v>
      </c>
      <c r="F1015" s="4" t="s">
        <v>466</v>
      </c>
      <c r="G1015" s="5">
        <v>6.86664</v>
      </c>
      <c r="H1015" s="9"/>
      <c r="I1015" s="9">
        <f t="shared" si="75"/>
        <v>3.2273208</v>
      </c>
      <c r="J1015" s="9">
        <f t="shared" si="76"/>
        <v>3.43332</v>
      </c>
      <c r="K1015" s="9">
        <f t="shared" si="77"/>
        <v>3.776652</v>
      </c>
      <c r="L1015" s="9">
        <f t="shared" si="78"/>
        <v>4.806648</v>
      </c>
      <c r="M1015" s="9">
        <f t="shared" si="79"/>
        <v>5.836644</v>
      </c>
    </row>
    <row r="1016" ht="27" spans="2:13">
      <c r="B1016" t="s">
        <v>2021</v>
      </c>
      <c r="C1016" s="4" t="s">
        <v>2022</v>
      </c>
      <c r="D1016" s="4" t="s">
        <v>2022</v>
      </c>
      <c r="E1016" s="4" t="s">
        <v>2022</v>
      </c>
      <c r="F1016" s="4" t="s">
        <v>2022</v>
      </c>
      <c r="G1016" s="5">
        <v>7.59492</v>
      </c>
      <c r="H1016" s="9"/>
      <c r="I1016" s="9">
        <f t="shared" si="75"/>
        <v>3.5696124</v>
      </c>
      <c r="J1016" s="9">
        <f t="shared" si="76"/>
        <v>3.79746</v>
      </c>
      <c r="K1016" s="9">
        <f t="shared" si="77"/>
        <v>4.177206</v>
      </c>
      <c r="L1016" s="9">
        <f t="shared" si="78"/>
        <v>5.316444</v>
      </c>
      <c r="M1016" s="9">
        <f t="shared" si="79"/>
        <v>6.455682</v>
      </c>
    </row>
    <row r="1017" ht="27" spans="2:13">
      <c r="B1017" t="s">
        <v>2023</v>
      </c>
      <c r="C1017" s="4" t="s">
        <v>2024</v>
      </c>
      <c r="D1017" s="4" t="s">
        <v>2024</v>
      </c>
      <c r="E1017" s="4" t="s">
        <v>2024</v>
      </c>
      <c r="F1017" s="4" t="s">
        <v>2024</v>
      </c>
      <c r="G1017" s="5">
        <v>11.02824</v>
      </c>
      <c r="H1017" s="9"/>
      <c r="I1017" s="9">
        <f t="shared" si="75"/>
        <v>5.1832728</v>
      </c>
      <c r="J1017" s="9">
        <f t="shared" si="76"/>
        <v>5.51412</v>
      </c>
      <c r="K1017" s="9">
        <f t="shared" si="77"/>
        <v>6.065532</v>
      </c>
      <c r="L1017" s="9">
        <f t="shared" si="78"/>
        <v>7.719768</v>
      </c>
      <c r="M1017" s="9">
        <f t="shared" si="79"/>
        <v>9.374004</v>
      </c>
    </row>
    <row r="1018" ht="27" spans="2:13">
      <c r="B1018" t="s">
        <v>2025</v>
      </c>
      <c r="C1018" s="4" t="s">
        <v>2026</v>
      </c>
      <c r="D1018" s="4" t="s">
        <v>2026</v>
      </c>
      <c r="E1018" s="4" t="s">
        <v>2026</v>
      </c>
      <c r="F1018" s="4" t="s">
        <v>2026</v>
      </c>
      <c r="G1018" s="5">
        <v>154.70748</v>
      </c>
      <c r="H1018" s="9"/>
      <c r="I1018" s="9">
        <f t="shared" si="75"/>
        <v>72.7125156</v>
      </c>
      <c r="J1018" s="9">
        <f t="shared" si="76"/>
        <v>77.35374</v>
      </c>
      <c r="K1018" s="9">
        <f t="shared" si="77"/>
        <v>85.089114</v>
      </c>
      <c r="L1018" s="9">
        <f t="shared" si="78"/>
        <v>108.295236</v>
      </c>
      <c r="M1018" s="9">
        <f t="shared" si="79"/>
        <v>131.501358</v>
      </c>
    </row>
    <row r="1019" ht="27" spans="2:13">
      <c r="B1019" t="s">
        <v>2027</v>
      </c>
      <c r="C1019" s="4" t="s">
        <v>2028</v>
      </c>
      <c r="D1019" s="4" t="s">
        <v>2028</v>
      </c>
      <c r="E1019" s="4" t="s">
        <v>2028</v>
      </c>
      <c r="F1019" s="4" t="s">
        <v>2028</v>
      </c>
      <c r="G1019" s="5">
        <v>116.5248</v>
      </c>
      <c r="H1019" s="9"/>
      <c r="I1019" s="9">
        <f t="shared" si="75"/>
        <v>54.766656</v>
      </c>
      <c r="J1019" s="9">
        <f t="shared" si="76"/>
        <v>58.2624</v>
      </c>
      <c r="K1019" s="9">
        <f t="shared" si="77"/>
        <v>64.08864</v>
      </c>
      <c r="L1019" s="9">
        <f t="shared" si="78"/>
        <v>81.56736</v>
      </c>
      <c r="M1019" s="9">
        <f t="shared" si="79"/>
        <v>99.04608</v>
      </c>
    </row>
    <row r="1020" ht="40.5" spans="2:13">
      <c r="B1020" t="s">
        <v>2029</v>
      </c>
      <c r="C1020" s="4" t="s">
        <v>2030</v>
      </c>
      <c r="D1020" s="4" t="s">
        <v>2030</v>
      </c>
      <c r="E1020" s="4" t="s">
        <v>2030</v>
      </c>
      <c r="F1020" s="4" t="s">
        <v>2030</v>
      </c>
      <c r="G1020" s="5">
        <v>323.46036</v>
      </c>
      <c r="H1020" s="9"/>
      <c r="I1020" s="9">
        <f t="shared" si="75"/>
        <v>152.0263692</v>
      </c>
      <c r="J1020" s="9">
        <f t="shared" si="76"/>
        <v>161.73018</v>
      </c>
      <c r="K1020" s="9">
        <f t="shared" si="77"/>
        <v>177.903198</v>
      </c>
      <c r="L1020" s="9">
        <f t="shared" si="78"/>
        <v>226.422252</v>
      </c>
      <c r="M1020" s="9">
        <f t="shared" si="79"/>
        <v>274.941306</v>
      </c>
    </row>
    <row r="1021" ht="40.5" spans="2:13">
      <c r="B1021" t="s">
        <v>2031</v>
      </c>
      <c r="C1021" s="4" t="s">
        <v>2032</v>
      </c>
      <c r="D1021" s="4" t="s">
        <v>2032</v>
      </c>
      <c r="E1021" s="4" t="s">
        <v>2032</v>
      </c>
      <c r="F1021" s="4" t="s">
        <v>2032</v>
      </c>
      <c r="G1021" s="5">
        <v>323.46036</v>
      </c>
      <c r="H1021" s="9"/>
      <c r="I1021" s="9">
        <f t="shared" si="75"/>
        <v>152.0263692</v>
      </c>
      <c r="J1021" s="9">
        <f t="shared" si="76"/>
        <v>161.73018</v>
      </c>
      <c r="K1021" s="9">
        <f t="shared" si="77"/>
        <v>177.903198</v>
      </c>
      <c r="L1021" s="9">
        <f t="shared" si="78"/>
        <v>226.422252</v>
      </c>
      <c r="M1021" s="9">
        <f t="shared" si="79"/>
        <v>274.941306</v>
      </c>
    </row>
    <row r="1022" ht="27" spans="2:13">
      <c r="B1022" t="s">
        <v>2033</v>
      </c>
      <c r="C1022" s="4" t="s">
        <v>2034</v>
      </c>
      <c r="D1022" s="4" t="s">
        <v>2034</v>
      </c>
      <c r="E1022" s="4" t="s">
        <v>2034</v>
      </c>
      <c r="F1022" s="4" t="s">
        <v>2034</v>
      </c>
      <c r="G1022" s="5">
        <v>78.34212</v>
      </c>
      <c r="H1022" s="9"/>
      <c r="I1022" s="9">
        <f t="shared" si="75"/>
        <v>36.8207964</v>
      </c>
      <c r="J1022" s="9">
        <f t="shared" si="76"/>
        <v>39.17106</v>
      </c>
      <c r="K1022" s="9">
        <f t="shared" si="77"/>
        <v>43.088166</v>
      </c>
      <c r="L1022" s="9">
        <f t="shared" si="78"/>
        <v>54.839484</v>
      </c>
      <c r="M1022" s="9">
        <f t="shared" si="79"/>
        <v>66.590802</v>
      </c>
    </row>
    <row r="1023" spans="2:13">
      <c r="B1023" t="s">
        <v>2035</v>
      </c>
      <c r="C1023" s="4" t="s">
        <v>2036</v>
      </c>
      <c r="D1023" s="4" t="s">
        <v>2036</v>
      </c>
      <c r="E1023" s="4" t="s">
        <v>2036</v>
      </c>
      <c r="F1023" s="4" t="s">
        <v>2036</v>
      </c>
      <c r="G1023" s="5">
        <v>164.17512</v>
      </c>
      <c r="H1023" s="9"/>
      <c r="I1023" s="9">
        <f t="shared" si="75"/>
        <v>77.1623064</v>
      </c>
      <c r="J1023" s="9">
        <f t="shared" si="76"/>
        <v>82.08756</v>
      </c>
      <c r="K1023" s="9">
        <f t="shared" si="77"/>
        <v>90.296316</v>
      </c>
      <c r="L1023" s="9">
        <f t="shared" si="78"/>
        <v>114.922584</v>
      </c>
      <c r="M1023" s="9">
        <f t="shared" si="79"/>
        <v>139.548852</v>
      </c>
    </row>
    <row r="1024" ht="27" spans="2:13">
      <c r="B1024" t="s">
        <v>2037</v>
      </c>
      <c r="C1024" s="4" t="s">
        <v>2038</v>
      </c>
      <c r="D1024" s="4" t="s">
        <v>2038</v>
      </c>
      <c r="E1024" s="4" t="s">
        <v>2038</v>
      </c>
      <c r="F1024" s="4" t="s">
        <v>2038</v>
      </c>
      <c r="G1024" s="5">
        <v>6.86664</v>
      </c>
      <c r="H1024" s="9"/>
      <c r="I1024" s="9">
        <f t="shared" si="75"/>
        <v>3.2273208</v>
      </c>
      <c r="J1024" s="9">
        <f t="shared" si="76"/>
        <v>3.43332</v>
      </c>
      <c r="K1024" s="9">
        <f t="shared" si="77"/>
        <v>3.776652</v>
      </c>
      <c r="L1024" s="9">
        <f t="shared" si="78"/>
        <v>4.806648</v>
      </c>
      <c r="M1024" s="9">
        <f t="shared" si="79"/>
        <v>5.836644</v>
      </c>
    </row>
    <row r="1025" spans="2:13">
      <c r="B1025" t="s">
        <v>2039</v>
      </c>
      <c r="C1025" s="4" t="s">
        <v>2040</v>
      </c>
      <c r="D1025" s="4" t="s">
        <v>2040</v>
      </c>
      <c r="E1025" s="4" t="s">
        <v>2040</v>
      </c>
      <c r="F1025" s="4" t="s">
        <v>2040</v>
      </c>
      <c r="G1025" s="5">
        <v>7.59492</v>
      </c>
      <c r="H1025" s="9"/>
      <c r="I1025" s="9">
        <f t="shared" si="75"/>
        <v>3.5696124</v>
      </c>
      <c r="J1025" s="9">
        <f t="shared" si="76"/>
        <v>3.79746</v>
      </c>
      <c r="K1025" s="9">
        <f t="shared" si="77"/>
        <v>4.177206</v>
      </c>
      <c r="L1025" s="9">
        <f t="shared" si="78"/>
        <v>5.316444</v>
      </c>
      <c r="M1025" s="9">
        <f t="shared" si="79"/>
        <v>6.455682</v>
      </c>
    </row>
    <row r="1026" ht="27" spans="2:13">
      <c r="B1026" t="s">
        <v>2041</v>
      </c>
      <c r="C1026" s="4" t="s">
        <v>2042</v>
      </c>
      <c r="D1026" s="4" t="s">
        <v>2042</v>
      </c>
      <c r="E1026" s="4" t="s">
        <v>2042</v>
      </c>
      <c r="F1026" s="4" t="s">
        <v>2042</v>
      </c>
      <c r="G1026" s="5">
        <v>32.87664</v>
      </c>
      <c r="H1026" s="9"/>
      <c r="I1026" s="9">
        <f t="shared" si="75"/>
        <v>15.4520208</v>
      </c>
      <c r="J1026" s="9">
        <f t="shared" si="76"/>
        <v>16.43832</v>
      </c>
      <c r="K1026" s="9">
        <f t="shared" si="77"/>
        <v>18.082152</v>
      </c>
      <c r="L1026" s="9">
        <f t="shared" si="78"/>
        <v>23.013648</v>
      </c>
      <c r="M1026" s="9">
        <f t="shared" si="79"/>
        <v>27.945144</v>
      </c>
    </row>
    <row r="1027" spans="2:13">
      <c r="B1027" t="s">
        <v>2043</v>
      </c>
      <c r="C1027" s="4" t="s">
        <v>2044</v>
      </c>
      <c r="D1027" s="4" t="s">
        <v>2044</v>
      </c>
      <c r="E1027" s="4" t="s">
        <v>2044</v>
      </c>
      <c r="F1027" s="4" t="s">
        <v>2044</v>
      </c>
      <c r="G1027" s="5">
        <v>154.70748</v>
      </c>
      <c r="H1027" s="9"/>
      <c r="I1027" s="9">
        <f t="shared" si="75"/>
        <v>72.7125156</v>
      </c>
      <c r="J1027" s="9">
        <f t="shared" si="76"/>
        <v>77.35374</v>
      </c>
      <c r="K1027" s="9">
        <f t="shared" si="77"/>
        <v>85.089114</v>
      </c>
      <c r="L1027" s="9">
        <f t="shared" si="78"/>
        <v>108.295236</v>
      </c>
      <c r="M1027" s="9">
        <f t="shared" si="79"/>
        <v>131.501358</v>
      </c>
    </row>
    <row r="1028" spans="2:13">
      <c r="B1028" t="s">
        <v>2045</v>
      </c>
      <c r="C1028" s="4" t="s">
        <v>2046</v>
      </c>
      <c r="D1028" s="4" t="s">
        <v>2046</v>
      </c>
      <c r="E1028" s="4" t="s">
        <v>2046</v>
      </c>
      <c r="F1028" s="4" t="s">
        <v>2046</v>
      </c>
      <c r="G1028" s="5">
        <v>483.99408</v>
      </c>
      <c r="H1028" s="9"/>
      <c r="I1028" s="9">
        <f t="shared" ref="I1028:I1091" si="80">G1028*0.47</f>
        <v>227.4772176</v>
      </c>
      <c r="J1028" s="9">
        <f t="shared" ref="J1028:J1091" si="81">G1028*0.5</f>
        <v>241.99704</v>
      </c>
      <c r="K1028" s="9">
        <f t="shared" ref="K1028:K1091" si="82">G1028*0.55</f>
        <v>266.196744</v>
      </c>
      <c r="L1028" s="9">
        <f t="shared" ref="L1028:L1091" si="83">G1028*0.7</f>
        <v>338.795856</v>
      </c>
      <c r="M1028" s="9">
        <f t="shared" ref="M1028:M1091" si="84">G1028*0.85</f>
        <v>411.394968</v>
      </c>
    </row>
    <row r="1029" ht="27" spans="2:13">
      <c r="B1029" t="s">
        <v>2047</v>
      </c>
      <c r="C1029" s="4" t="s">
        <v>2048</v>
      </c>
      <c r="D1029" s="4" t="s">
        <v>2048</v>
      </c>
      <c r="E1029" s="4" t="s">
        <v>2048</v>
      </c>
      <c r="F1029" s="4" t="s">
        <v>2048</v>
      </c>
      <c r="G1029" s="5">
        <v>103.20768</v>
      </c>
      <c r="H1029" s="9"/>
      <c r="I1029" s="9">
        <f t="shared" si="80"/>
        <v>48.5076096</v>
      </c>
      <c r="J1029" s="9">
        <f t="shared" si="81"/>
        <v>51.60384</v>
      </c>
      <c r="K1029" s="9">
        <f t="shared" si="82"/>
        <v>56.764224</v>
      </c>
      <c r="L1029" s="9">
        <f t="shared" si="83"/>
        <v>72.245376</v>
      </c>
      <c r="M1029" s="9">
        <f t="shared" si="84"/>
        <v>87.726528</v>
      </c>
    </row>
    <row r="1030" ht="27" spans="2:13">
      <c r="B1030" t="s">
        <v>2049</v>
      </c>
      <c r="C1030" s="4" t="s">
        <v>2050</v>
      </c>
      <c r="D1030" s="4" t="s">
        <v>2050</v>
      </c>
      <c r="E1030" s="4" t="s">
        <v>2050</v>
      </c>
      <c r="F1030" s="4" t="s">
        <v>2050</v>
      </c>
      <c r="G1030" s="5">
        <v>911.18232</v>
      </c>
      <c r="H1030" s="9"/>
      <c r="I1030" s="9">
        <f t="shared" si="80"/>
        <v>428.2556904</v>
      </c>
      <c r="J1030" s="9">
        <f t="shared" si="81"/>
        <v>455.59116</v>
      </c>
      <c r="K1030" s="9">
        <f t="shared" si="82"/>
        <v>501.150276</v>
      </c>
      <c r="L1030" s="9">
        <f t="shared" si="83"/>
        <v>637.827624</v>
      </c>
      <c r="M1030" s="9">
        <f t="shared" si="84"/>
        <v>774.504972</v>
      </c>
    </row>
    <row r="1031" ht="40.5" spans="2:13">
      <c r="B1031" t="s">
        <v>2051</v>
      </c>
      <c r="C1031" s="4" t="s">
        <v>2052</v>
      </c>
      <c r="D1031" s="4" t="s">
        <v>2052</v>
      </c>
      <c r="E1031" s="4" t="s">
        <v>2052</v>
      </c>
      <c r="F1031" s="4" t="s">
        <v>2052</v>
      </c>
      <c r="G1031" s="5">
        <v>87.54966</v>
      </c>
      <c r="H1031" s="9"/>
      <c r="I1031" s="9">
        <f t="shared" si="80"/>
        <v>41.1483402</v>
      </c>
      <c r="J1031" s="9">
        <f t="shared" si="81"/>
        <v>43.77483</v>
      </c>
      <c r="K1031" s="9">
        <f t="shared" si="82"/>
        <v>48.152313</v>
      </c>
      <c r="L1031" s="9">
        <f t="shared" si="83"/>
        <v>61.284762</v>
      </c>
      <c r="M1031" s="9">
        <f t="shared" si="84"/>
        <v>74.417211</v>
      </c>
    </row>
    <row r="1032" ht="40.5" spans="2:13">
      <c r="B1032" t="s">
        <v>2053</v>
      </c>
      <c r="C1032" s="4" t="s">
        <v>2054</v>
      </c>
      <c r="D1032" s="4" t="s">
        <v>2054</v>
      </c>
      <c r="E1032" s="4" t="s">
        <v>2054</v>
      </c>
      <c r="F1032" s="4" t="s">
        <v>2054</v>
      </c>
      <c r="G1032" s="5">
        <v>99.22815</v>
      </c>
      <c r="H1032" s="9"/>
      <c r="I1032" s="9">
        <f t="shared" si="80"/>
        <v>46.6372305</v>
      </c>
      <c r="J1032" s="9">
        <f t="shared" si="81"/>
        <v>49.614075</v>
      </c>
      <c r="K1032" s="9">
        <f t="shared" si="82"/>
        <v>54.5754825</v>
      </c>
      <c r="L1032" s="9">
        <f t="shared" si="83"/>
        <v>69.459705</v>
      </c>
      <c r="M1032" s="9">
        <f t="shared" si="84"/>
        <v>84.3439275</v>
      </c>
    </row>
    <row r="1033" ht="27" spans="2:13">
      <c r="B1033" t="s">
        <v>2055</v>
      </c>
      <c r="C1033" s="4" t="s">
        <v>2056</v>
      </c>
      <c r="D1033" s="4" t="s">
        <v>2056</v>
      </c>
      <c r="E1033" s="4" t="s">
        <v>2056</v>
      </c>
      <c r="F1033" s="4" t="s">
        <v>2056</v>
      </c>
      <c r="G1033" s="5">
        <v>98.838</v>
      </c>
      <c r="H1033" s="9"/>
      <c r="I1033" s="9">
        <f t="shared" si="80"/>
        <v>46.45386</v>
      </c>
      <c r="J1033" s="9">
        <f t="shared" si="81"/>
        <v>49.419</v>
      </c>
      <c r="K1033" s="9">
        <f t="shared" si="82"/>
        <v>54.3609</v>
      </c>
      <c r="L1033" s="9">
        <f t="shared" si="83"/>
        <v>69.1866</v>
      </c>
      <c r="M1033" s="9">
        <f t="shared" si="84"/>
        <v>84.0123</v>
      </c>
    </row>
    <row r="1034" ht="27" spans="2:13">
      <c r="B1034" t="s">
        <v>2057</v>
      </c>
      <c r="C1034" s="4" t="s">
        <v>2058</v>
      </c>
      <c r="D1034" s="4" t="s">
        <v>2058</v>
      </c>
      <c r="E1034" s="4" t="s">
        <v>2058</v>
      </c>
      <c r="F1034" s="4" t="s">
        <v>2058</v>
      </c>
      <c r="G1034" s="5">
        <v>109.7622</v>
      </c>
      <c r="H1034" s="9"/>
      <c r="I1034" s="9">
        <f t="shared" si="80"/>
        <v>51.588234</v>
      </c>
      <c r="J1034" s="9">
        <f t="shared" si="81"/>
        <v>54.8811</v>
      </c>
      <c r="K1034" s="9">
        <f t="shared" si="82"/>
        <v>60.36921</v>
      </c>
      <c r="L1034" s="9">
        <f t="shared" si="83"/>
        <v>76.83354</v>
      </c>
      <c r="M1034" s="9">
        <f t="shared" si="84"/>
        <v>93.29787</v>
      </c>
    </row>
    <row r="1035" ht="27" spans="2:13">
      <c r="B1035" t="s">
        <v>2059</v>
      </c>
      <c r="C1035" s="4" t="s">
        <v>2060</v>
      </c>
      <c r="D1035" s="4" t="s">
        <v>2060</v>
      </c>
      <c r="E1035" s="4" t="s">
        <v>2060</v>
      </c>
      <c r="F1035" s="4" t="s">
        <v>2060</v>
      </c>
      <c r="G1035" s="5">
        <v>103.20768</v>
      </c>
      <c r="H1035" s="9"/>
      <c r="I1035" s="9">
        <f t="shared" si="80"/>
        <v>48.5076096</v>
      </c>
      <c r="J1035" s="9">
        <f t="shared" si="81"/>
        <v>51.60384</v>
      </c>
      <c r="K1035" s="9">
        <f t="shared" si="82"/>
        <v>56.764224</v>
      </c>
      <c r="L1035" s="9">
        <f t="shared" si="83"/>
        <v>72.245376</v>
      </c>
      <c r="M1035" s="9">
        <f t="shared" si="84"/>
        <v>87.726528</v>
      </c>
    </row>
    <row r="1036" ht="40.5" spans="2:13">
      <c r="B1036" t="s">
        <v>2061</v>
      </c>
      <c r="C1036" s="4" t="s">
        <v>2062</v>
      </c>
      <c r="D1036" s="4" t="s">
        <v>2062</v>
      </c>
      <c r="E1036" s="4" t="s">
        <v>2062</v>
      </c>
      <c r="F1036" s="4" t="s">
        <v>2062</v>
      </c>
      <c r="G1036" s="5">
        <v>131.29848</v>
      </c>
      <c r="H1036" s="9"/>
      <c r="I1036" s="9">
        <f t="shared" si="80"/>
        <v>61.7102856</v>
      </c>
      <c r="J1036" s="9">
        <f t="shared" si="81"/>
        <v>65.64924</v>
      </c>
      <c r="K1036" s="9">
        <f t="shared" si="82"/>
        <v>72.214164</v>
      </c>
      <c r="L1036" s="9">
        <f t="shared" si="83"/>
        <v>91.908936</v>
      </c>
      <c r="M1036" s="9">
        <f t="shared" si="84"/>
        <v>111.603708</v>
      </c>
    </row>
    <row r="1037" ht="40.5" spans="2:13">
      <c r="B1037" t="s">
        <v>2063</v>
      </c>
      <c r="C1037" s="4" t="s">
        <v>2064</v>
      </c>
      <c r="D1037" s="4" t="s">
        <v>2064</v>
      </c>
      <c r="E1037" s="4" t="s">
        <v>2064</v>
      </c>
      <c r="F1037" s="4" t="s">
        <v>2064</v>
      </c>
      <c r="G1037" s="5">
        <v>148.7772</v>
      </c>
      <c r="H1037" s="9"/>
      <c r="I1037" s="9">
        <f t="shared" si="80"/>
        <v>69.925284</v>
      </c>
      <c r="J1037" s="9">
        <f t="shared" si="81"/>
        <v>74.3886</v>
      </c>
      <c r="K1037" s="9">
        <f t="shared" si="82"/>
        <v>81.82746</v>
      </c>
      <c r="L1037" s="9">
        <f t="shared" si="83"/>
        <v>104.14404</v>
      </c>
      <c r="M1037" s="9">
        <f t="shared" si="84"/>
        <v>126.46062</v>
      </c>
    </row>
    <row r="1038" ht="27" spans="2:13">
      <c r="B1038" t="s">
        <v>2065</v>
      </c>
      <c r="C1038" s="4" t="s">
        <v>2066</v>
      </c>
      <c r="D1038" s="4" t="s">
        <v>2066</v>
      </c>
      <c r="E1038" s="4" t="s">
        <v>2066</v>
      </c>
      <c r="F1038" s="4" t="s">
        <v>2066</v>
      </c>
      <c r="G1038" s="5">
        <v>148.7772</v>
      </c>
      <c r="H1038" s="9"/>
      <c r="I1038" s="9">
        <f t="shared" si="80"/>
        <v>69.925284</v>
      </c>
      <c r="J1038" s="9">
        <f t="shared" si="81"/>
        <v>74.3886</v>
      </c>
      <c r="K1038" s="9">
        <f t="shared" si="82"/>
        <v>81.82746</v>
      </c>
      <c r="L1038" s="9">
        <f t="shared" si="83"/>
        <v>104.14404</v>
      </c>
      <c r="M1038" s="9">
        <f t="shared" si="84"/>
        <v>126.46062</v>
      </c>
    </row>
    <row r="1039" ht="27" spans="2:13">
      <c r="B1039" t="s">
        <v>2067</v>
      </c>
      <c r="C1039" s="4" t="s">
        <v>2068</v>
      </c>
      <c r="D1039" s="4" t="s">
        <v>2068</v>
      </c>
      <c r="E1039" s="4" t="s">
        <v>2068</v>
      </c>
      <c r="F1039" s="4" t="s">
        <v>2068</v>
      </c>
      <c r="G1039" s="5">
        <v>165.00744</v>
      </c>
      <c r="H1039" s="9"/>
      <c r="I1039" s="9">
        <f t="shared" si="80"/>
        <v>77.5534968</v>
      </c>
      <c r="J1039" s="9">
        <f t="shared" si="81"/>
        <v>82.50372</v>
      </c>
      <c r="K1039" s="9">
        <f t="shared" si="82"/>
        <v>90.754092</v>
      </c>
      <c r="L1039" s="9">
        <f t="shared" si="83"/>
        <v>115.505208</v>
      </c>
      <c r="M1039" s="9">
        <f t="shared" si="84"/>
        <v>140.256324</v>
      </c>
    </row>
    <row r="1040" ht="27" spans="2:13">
      <c r="B1040" t="s">
        <v>2069</v>
      </c>
      <c r="C1040" s="4" t="s">
        <v>2070</v>
      </c>
      <c r="D1040" s="4" t="s">
        <v>2070</v>
      </c>
      <c r="E1040" s="4" t="s">
        <v>2070</v>
      </c>
      <c r="F1040" s="4" t="s">
        <v>2070</v>
      </c>
      <c r="G1040" s="5">
        <v>140.76612</v>
      </c>
      <c r="H1040" s="9"/>
      <c r="I1040" s="9">
        <f t="shared" si="80"/>
        <v>66.1600764</v>
      </c>
      <c r="J1040" s="9">
        <f t="shared" si="81"/>
        <v>70.38306</v>
      </c>
      <c r="K1040" s="9">
        <f t="shared" si="82"/>
        <v>77.421366</v>
      </c>
      <c r="L1040" s="9">
        <f t="shared" si="83"/>
        <v>98.536284</v>
      </c>
      <c r="M1040" s="9">
        <f t="shared" si="84"/>
        <v>119.651202</v>
      </c>
    </row>
    <row r="1041" ht="40.5" spans="2:13">
      <c r="B1041" t="s">
        <v>2071</v>
      </c>
      <c r="C1041" s="4" t="s">
        <v>2072</v>
      </c>
      <c r="D1041" s="4" t="s">
        <v>2072</v>
      </c>
      <c r="E1041" s="4" t="s">
        <v>2072</v>
      </c>
      <c r="F1041" s="4" t="s">
        <v>2072</v>
      </c>
      <c r="G1041" s="5">
        <v>150.23376</v>
      </c>
      <c r="H1041" s="9"/>
      <c r="I1041" s="9">
        <f t="shared" si="80"/>
        <v>70.6098672</v>
      </c>
      <c r="J1041" s="9">
        <f t="shared" si="81"/>
        <v>75.11688</v>
      </c>
      <c r="K1041" s="9">
        <f t="shared" si="82"/>
        <v>82.628568</v>
      </c>
      <c r="L1041" s="9">
        <f t="shared" si="83"/>
        <v>105.163632</v>
      </c>
      <c r="M1041" s="9">
        <f t="shared" si="84"/>
        <v>127.698696</v>
      </c>
    </row>
    <row r="1042" ht="40.5" spans="2:13">
      <c r="B1042" t="s">
        <v>2073</v>
      </c>
      <c r="C1042" s="4" t="s">
        <v>2074</v>
      </c>
      <c r="D1042" s="4" t="s">
        <v>2074</v>
      </c>
      <c r="E1042" s="4" t="s">
        <v>2074</v>
      </c>
      <c r="F1042" s="4" t="s">
        <v>2074</v>
      </c>
      <c r="G1042" s="5">
        <v>201.3174</v>
      </c>
      <c r="H1042" s="9"/>
      <c r="I1042" s="9">
        <f t="shared" si="80"/>
        <v>94.619178</v>
      </c>
      <c r="J1042" s="9">
        <f t="shared" si="81"/>
        <v>100.6587</v>
      </c>
      <c r="K1042" s="9">
        <f t="shared" si="82"/>
        <v>110.72457</v>
      </c>
      <c r="L1042" s="9">
        <f t="shared" si="83"/>
        <v>140.92218</v>
      </c>
      <c r="M1042" s="9">
        <f t="shared" si="84"/>
        <v>171.11979</v>
      </c>
    </row>
    <row r="1043" ht="27" spans="2:13">
      <c r="B1043" t="s">
        <v>2075</v>
      </c>
      <c r="C1043" s="4" t="s">
        <v>2076</v>
      </c>
      <c r="D1043" s="4" t="s">
        <v>2076</v>
      </c>
      <c r="E1043" s="4" t="s">
        <v>2076</v>
      </c>
      <c r="F1043" s="4" t="s">
        <v>2076</v>
      </c>
      <c r="G1043" s="5">
        <v>78.34212</v>
      </c>
      <c r="H1043" s="9"/>
      <c r="I1043" s="9">
        <f t="shared" si="80"/>
        <v>36.8207964</v>
      </c>
      <c r="J1043" s="9">
        <f t="shared" si="81"/>
        <v>39.17106</v>
      </c>
      <c r="K1043" s="9">
        <f t="shared" si="82"/>
        <v>43.088166</v>
      </c>
      <c r="L1043" s="9">
        <f t="shared" si="83"/>
        <v>54.839484</v>
      </c>
      <c r="M1043" s="9">
        <f t="shared" si="84"/>
        <v>66.590802</v>
      </c>
    </row>
    <row r="1044" ht="40.5" spans="2:13">
      <c r="B1044" t="s">
        <v>2077</v>
      </c>
      <c r="C1044" s="4" t="s">
        <v>2078</v>
      </c>
      <c r="D1044" s="4" t="s">
        <v>2078</v>
      </c>
      <c r="E1044" s="4" t="s">
        <v>2078</v>
      </c>
      <c r="F1044" s="4" t="s">
        <v>2078</v>
      </c>
      <c r="G1044" s="5">
        <v>102.79152</v>
      </c>
      <c r="H1044" s="9"/>
      <c r="I1044" s="9">
        <f t="shared" si="80"/>
        <v>48.3120144</v>
      </c>
      <c r="J1044" s="9">
        <f t="shared" si="81"/>
        <v>51.39576</v>
      </c>
      <c r="K1044" s="9">
        <f t="shared" si="82"/>
        <v>56.535336</v>
      </c>
      <c r="L1044" s="9">
        <f t="shared" si="83"/>
        <v>71.954064</v>
      </c>
      <c r="M1044" s="9">
        <f t="shared" si="84"/>
        <v>87.372792</v>
      </c>
    </row>
    <row r="1045" ht="27" spans="2:13">
      <c r="B1045" t="s">
        <v>2079</v>
      </c>
      <c r="C1045" s="4" t="s">
        <v>2080</v>
      </c>
      <c r="D1045" s="4" t="s">
        <v>2080</v>
      </c>
      <c r="E1045" s="4" t="s">
        <v>2080</v>
      </c>
      <c r="F1045" s="4" t="s">
        <v>2080</v>
      </c>
      <c r="G1045" s="5">
        <v>48.06648</v>
      </c>
      <c r="H1045" s="9"/>
      <c r="I1045" s="9">
        <f t="shared" si="80"/>
        <v>22.5912456</v>
      </c>
      <c r="J1045" s="9">
        <f t="shared" si="81"/>
        <v>24.03324</v>
      </c>
      <c r="K1045" s="9">
        <f t="shared" si="82"/>
        <v>26.436564</v>
      </c>
      <c r="L1045" s="9">
        <f t="shared" si="83"/>
        <v>33.646536</v>
      </c>
      <c r="M1045" s="9">
        <f t="shared" si="84"/>
        <v>40.856508</v>
      </c>
    </row>
    <row r="1046" ht="27" spans="2:13">
      <c r="B1046" t="s">
        <v>2081</v>
      </c>
      <c r="C1046" s="4" t="s">
        <v>2082</v>
      </c>
      <c r="D1046" s="4" t="s">
        <v>2082</v>
      </c>
      <c r="E1046" s="4" t="s">
        <v>2082</v>
      </c>
      <c r="F1046" s="4" t="s">
        <v>2082</v>
      </c>
      <c r="G1046" s="5">
        <v>72.51588</v>
      </c>
      <c r="H1046" s="9"/>
      <c r="I1046" s="9">
        <f t="shared" si="80"/>
        <v>34.0824636</v>
      </c>
      <c r="J1046" s="9">
        <f t="shared" si="81"/>
        <v>36.25794</v>
      </c>
      <c r="K1046" s="9">
        <f t="shared" si="82"/>
        <v>39.883734</v>
      </c>
      <c r="L1046" s="9">
        <f t="shared" si="83"/>
        <v>50.761116</v>
      </c>
      <c r="M1046" s="9">
        <f t="shared" si="84"/>
        <v>61.638498</v>
      </c>
    </row>
    <row r="1047" spans="2:13">
      <c r="B1047" t="s">
        <v>2083</v>
      </c>
      <c r="C1047" s="4" t="s">
        <v>2084</v>
      </c>
      <c r="D1047" s="4" t="s">
        <v>2084</v>
      </c>
      <c r="E1047" s="4" t="s">
        <v>2084</v>
      </c>
      <c r="F1047" s="4" t="s">
        <v>2084</v>
      </c>
      <c r="G1047" s="5">
        <v>57.53412</v>
      </c>
      <c r="H1047" s="9"/>
      <c r="I1047" s="9">
        <f t="shared" si="80"/>
        <v>27.0410364</v>
      </c>
      <c r="J1047" s="9">
        <f t="shared" si="81"/>
        <v>28.76706</v>
      </c>
      <c r="K1047" s="9">
        <f t="shared" si="82"/>
        <v>31.643766</v>
      </c>
      <c r="L1047" s="9">
        <f t="shared" si="83"/>
        <v>40.273884</v>
      </c>
      <c r="M1047" s="9">
        <f t="shared" si="84"/>
        <v>48.904002</v>
      </c>
    </row>
    <row r="1048" spans="2:13">
      <c r="B1048" t="s">
        <v>2085</v>
      </c>
      <c r="C1048" s="4" t="s">
        <v>2086</v>
      </c>
      <c r="D1048" s="4" t="s">
        <v>2086</v>
      </c>
      <c r="E1048" s="4" t="s">
        <v>2086</v>
      </c>
      <c r="F1048" s="4" t="s">
        <v>2086</v>
      </c>
      <c r="G1048" s="5">
        <v>71.2674</v>
      </c>
      <c r="H1048" s="9"/>
      <c r="I1048" s="9">
        <f t="shared" si="80"/>
        <v>33.495678</v>
      </c>
      <c r="J1048" s="9">
        <f t="shared" si="81"/>
        <v>35.6337</v>
      </c>
      <c r="K1048" s="9">
        <f t="shared" si="82"/>
        <v>39.19707</v>
      </c>
      <c r="L1048" s="9">
        <f t="shared" si="83"/>
        <v>49.88718</v>
      </c>
      <c r="M1048" s="9">
        <f t="shared" si="84"/>
        <v>60.57729</v>
      </c>
    </row>
    <row r="1049" spans="2:13">
      <c r="B1049" t="s">
        <v>2087</v>
      </c>
      <c r="C1049" s="4" t="s">
        <v>2088</v>
      </c>
      <c r="D1049" s="4" t="s">
        <v>2088</v>
      </c>
      <c r="E1049" s="4" t="s">
        <v>2088</v>
      </c>
      <c r="F1049" s="4" t="s">
        <v>2088</v>
      </c>
      <c r="G1049" s="5">
        <v>74.49264</v>
      </c>
      <c r="H1049" s="9"/>
      <c r="I1049" s="9">
        <f t="shared" si="80"/>
        <v>35.0115408</v>
      </c>
      <c r="J1049" s="9">
        <f t="shared" si="81"/>
        <v>37.24632</v>
      </c>
      <c r="K1049" s="9">
        <f t="shared" si="82"/>
        <v>40.970952</v>
      </c>
      <c r="L1049" s="9">
        <f t="shared" si="83"/>
        <v>52.144848</v>
      </c>
      <c r="M1049" s="9">
        <f t="shared" si="84"/>
        <v>63.318744</v>
      </c>
    </row>
    <row r="1050" ht="40.5" spans="2:13">
      <c r="B1050" t="s">
        <v>2089</v>
      </c>
      <c r="C1050" s="4" t="s">
        <v>2090</v>
      </c>
      <c r="D1050" s="4" t="s">
        <v>2090</v>
      </c>
      <c r="E1050" s="4" t="s">
        <v>2090</v>
      </c>
      <c r="F1050" s="4" t="s">
        <v>2090</v>
      </c>
      <c r="G1050" s="5">
        <v>196.6356</v>
      </c>
      <c r="H1050" s="9"/>
      <c r="I1050" s="9">
        <f t="shared" si="80"/>
        <v>92.418732</v>
      </c>
      <c r="J1050" s="9">
        <f t="shared" si="81"/>
        <v>98.3178</v>
      </c>
      <c r="K1050" s="9">
        <f t="shared" si="82"/>
        <v>108.14958</v>
      </c>
      <c r="L1050" s="9">
        <f t="shared" si="83"/>
        <v>137.64492</v>
      </c>
      <c r="M1050" s="9">
        <f t="shared" si="84"/>
        <v>167.14026</v>
      </c>
    </row>
    <row r="1051" ht="40.5" spans="2:13">
      <c r="B1051" t="s">
        <v>2091</v>
      </c>
      <c r="C1051" s="4" t="s">
        <v>2092</v>
      </c>
      <c r="D1051" s="4" t="s">
        <v>2092</v>
      </c>
      <c r="E1051" s="4" t="s">
        <v>2092</v>
      </c>
      <c r="F1051" s="4" t="s">
        <v>2092</v>
      </c>
      <c r="G1051" s="5">
        <v>123.18336</v>
      </c>
      <c r="H1051" s="9"/>
      <c r="I1051" s="9">
        <f t="shared" si="80"/>
        <v>57.8961792</v>
      </c>
      <c r="J1051" s="9">
        <f t="shared" si="81"/>
        <v>61.59168</v>
      </c>
      <c r="K1051" s="9">
        <f t="shared" si="82"/>
        <v>67.750848</v>
      </c>
      <c r="L1051" s="9">
        <f t="shared" si="83"/>
        <v>86.228352</v>
      </c>
      <c r="M1051" s="9">
        <f t="shared" si="84"/>
        <v>104.705856</v>
      </c>
    </row>
    <row r="1052" ht="27" spans="2:13">
      <c r="B1052" t="s">
        <v>2093</v>
      </c>
      <c r="C1052" s="4" t="s">
        <v>2094</v>
      </c>
      <c r="D1052" s="4" t="s">
        <v>2094</v>
      </c>
      <c r="E1052" s="4" t="s">
        <v>2094</v>
      </c>
      <c r="F1052" s="4" t="s">
        <v>2094</v>
      </c>
      <c r="G1052" s="5">
        <v>123.18336</v>
      </c>
      <c r="H1052" s="9"/>
      <c r="I1052" s="9">
        <f t="shared" si="80"/>
        <v>57.8961792</v>
      </c>
      <c r="J1052" s="9">
        <f t="shared" si="81"/>
        <v>61.59168</v>
      </c>
      <c r="K1052" s="9">
        <f t="shared" si="82"/>
        <v>67.750848</v>
      </c>
      <c r="L1052" s="9">
        <f t="shared" si="83"/>
        <v>86.228352</v>
      </c>
      <c r="M1052" s="9">
        <f t="shared" si="84"/>
        <v>104.705856</v>
      </c>
    </row>
    <row r="1053" ht="27" spans="2:13">
      <c r="B1053" t="s">
        <v>2095</v>
      </c>
      <c r="C1053" s="4" t="s">
        <v>2096</v>
      </c>
      <c r="D1053" s="4" t="s">
        <v>2096</v>
      </c>
      <c r="E1053" s="4" t="s">
        <v>2096</v>
      </c>
      <c r="F1053" s="4" t="s">
        <v>2096</v>
      </c>
      <c r="G1053" s="5">
        <v>82.29564</v>
      </c>
      <c r="H1053" s="9"/>
      <c r="I1053" s="9">
        <f t="shared" si="80"/>
        <v>38.6789508</v>
      </c>
      <c r="J1053" s="9">
        <f t="shared" si="81"/>
        <v>41.14782</v>
      </c>
      <c r="K1053" s="9">
        <f t="shared" si="82"/>
        <v>45.262602</v>
      </c>
      <c r="L1053" s="9">
        <f t="shared" si="83"/>
        <v>57.606948</v>
      </c>
      <c r="M1053" s="9">
        <f t="shared" si="84"/>
        <v>69.951294</v>
      </c>
    </row>
    <row r="1054" ht="40.5" spans="2:13">
      <c r="B1054" t="s">
        <v>2097</v>
      </c>
      <c r="C1054" s="4" t="s">
        <v>2098</v>
      </c>
      <c r="D1054" s="4" t="s">
        <v>2098</v>
      </c>
      <c r="E1054" s="4" t="s">
        <v>2098</v>
      </c>
      <c r="F1054" s="4" t="s">
        <v>2098</v>
      </c>
      <c r="G1054" s="5">
        <v>175.41144</v>
      </c>
      <c r="H1054" s="9"/>
      <c r="I1054" s="9">
        <f t="shared" si="80"/>
        <v>82.4433768</v>
      </c>
      <c r="J1054" s="9">
        <f t="shared" si="81"/>
        <v>87.70572</v>
      </c>
      <c r="K1054" s="9">
        <f t="shared" si="82"/>
        <v>96.476292</v>
      </c>
      <c r="L1054" s="9">
        <f t="shared" si="83"/>
        <v>122.788008</v>
      </c>
      <c r="M1054" s="9">
        <f t="shared" si="84"/>
        <v>149.099724</v>
      </c>
    </row>
    <row r="1055" ht="40.5" spans="2:13">
      <c r="B1055" t="s">
        <v>2099</v>
      </c>
      <c r="C1055" s="4" t="s">
        <v>2100</v>
      </c>
      <c r="D1055" s="4" t="s">
        <v>2100</v>
      </c>
      <c r="E1055" s="4" t="s">
        <v>2100</v>
      </c>
      <c r="F1055" s="4" t="s">
        <v>2100</v>
      </c>
      <c r="G1055" s="5">
        <v>175.41144</v>
      </c>
      <c r="H1055" s="9"/>
      <c r="I1055" s="9">
        <f t="shared" si="80"/>
        <v>82.4433768</v>
      </c>
      <c r="J1055" s="9">
        <f t="shared" si="81"/>
        <v>87.70572</v>
      </c>
      <c r="K1055" s="9">
        <f t="shared" si="82"/>
        <v>96.476292</v>
      </c>
      <c r="L1055" s="9">
        <f t="shared" si="83"/>
        <v>122.788008</v>
      </c>
      <c r="M1055" s="9">
        <f t="shared" si="84"/>
        <v>149.099724</v>
      </c>
    </row>
    <row r="1056" ht="27" spans="2:13">
      <c r="B1056" t="s">
        <v>2101</v>
      </c>
      <c r="C1056" s="4" t="s">
        <v>2102</v>
      </c>
      <c r="D1056" s="4" t="s">
        <v>2102</v>
      </c>
      <c r="E1056" s="4" t="s">
        <v>2102</v>
      </c>
      <c r="F1056" s="4" t="s">
        <v>2102</v>
      </c>
      <c r="G1056" s="5">
        <v>99.98244</v>
      </c>
      <c r="H1056" s="9"/>
      <c r="I1056" s="9">
        <f t="shared" si="80"/>
        <v>46.9917468</v>
      </c>
      <c r="J1056" s="9">
        <f t="shared" si="81"/>
        <v>49.99122</v>
      </c>
      <c r="K1056" s="9">
        <f t="shared" si="82"/>
        <v>54.990342</v>
      </c>
      <c r="L1056" s="9">
        <f t="shared" si="83"/>
        <v>69.987708</v>
      </c>
      <c r="M1056" s="9">
        <f t="shared" si="84"/>
        <v>84.985074</v>
      </c>
    </row>
    <row r="1057" ht="40.5" spans="2:13">
      <c r="B1057" t="s">
        <v>2103</v>
      </c>
      <c r="C1057" s="4" t="s">
        <v>2104</v>
      </c>
      <c r="D1057" s="4" t="s">
        <v>2104</v>
      </c>
      <c r="E1057" s="4" t="s">
        <v>2104</v>
      </c>
      <c r="F1057" s="4" t="s">
        <v>2104</v>
      </c>
      <c r="G1057" s="5">
        <v>519.78384</v>
      </c>
      <c r="H1057" s="9"/>
      <c r="I1057" s="9">
        <f t="shared" si="80"/>
        <v>244.2984048</v>
      </c>
      <c r="J1057" s="9">
        <f t="shared" si="81"/>
        <v>259.89192</v>
      </c>
      <c r="K1057" s="9">
        <f t="shared" si="82"/>
        <v>285.881112</v>
      </c>
      <c r="L1057" s="9">
        <f t="shared" si="83"/>
        <v>363.848688</v>
      </c>
      <c r="M1057" s="9">
        <f t="shared" si="84"/>
        <v>441.816264</v>
      </c>
    </row>
    <row r="1058" ht="40.5" spans="2:13">
      <c r="B1058" t="s">
        <v>2105</v>
      </c>
      <c r="C1058" s="4" t="s">
        <v>2106</v>
      </c>
      <c r="D1058" s="4" t="s">
        <v>2106</v>
      </c>
      <c r="E1058" s="4" t="s">
        <v>2106</v>
      </c>
      <c r="F1058" s="4" t="s">
        <v>2106</v>
      </c>
      <c r="G1058" s="5">
        <v>245.63844</v>
      </c>
      <c r="H1058" s="9"/>
      <c r="I1058" s="9">
        <f t="shared" si="80"/>
        <v>115.4500668</v>
      </c>
      <c r="J1058" s="9">
        <f t="shared" si="81"/>
        <v>122.81922</v>
      </c>
      <c r="K1058" s="9">
        <f t="shared" si="82"/>
        <v>135.101142</v>
      </c>
      <c r="L1058" s="9">
        <f t="shared" si="83"/>
        <v>171.946908</v>
      </c>
      <c r="M1058" s="9">
        <f t="shared" si="84"/>
        <v>208.792674</v>
      </c>
    </row>
    <row r="1059" ht="40.5" spans="2:13">
      <c r="B1059" t="s">
        <v>2107</v>
      </c>
      <c r="C1059" s="4" t="s">
        <v>2108</v>
      </c>
      <c r="D1059" s="4" t="s">
        <v>2108</v>
      </c>
      <c r="E1059" s="4" t="s">
        <v>2108</v>
      </c>
      <c r="F1059" s="4" t="s">
        <v>2108</v>
      </c>
      <c r="G1059" s="5">
        <v>245.63844</v>
      </c>
      <c r="H1059" s="9"/>
      <c r="I1059" s="9">
        <f t="shared" si="80"/>
        <v>115.4500668</v>
      </c>
      <c r="J1059" s="9">
        <f t="shared" si="81"/>
        <v>122.81922</v>
      </c>
      <c r="K1059" s="9">
        <f t="shared" si="82"/>
        <v>135.101142</v>
      </c>
      <c r="L1059" s="9">
        <f t="shared" si="83"/>
        <v>171.946908</v>
      </c>
      <c r="M1059" s="9">
        <f t="shared" si="84"/>
        <v>208.792674</v>
      </c>
    </row>
    <row r="1060" ht="40.5" spans="2:13">
      <c r="B1060" t="s">
        <v>2109</v>
      </c>
      <c r="C1060" s="4" t="s">
        <v>2110</v>
      </c>
      <c r="D1060" s="4" t="s">
        <v>2110</v>
      </c>
      <c r="E1060" s="4" t="s">
        <v>2110</v>
      </c>
      <c r="F1060" s="4" t="s">
        <v>2110</v>
      </c>
      <c r="G1060" s="5">
        <v>222.02136</v>
      </c>
      <c r="H1060" s="9"/>
      <c r="I1060" s="9">
        <f t="shared" si="80"/>
        <v>104.3500392</v>
      </c>
      <c r="J1060" s="9">
        <f t="shared" si="81"/>
        <v>111.01068</v>
      </c>
      <c r="K1060" s="9">
        <f t="shared" si="82"/>
        <v>122.111748</v>
      </c>
      <c r="L1060" s="9">
        <f t="shared" si="83"/>
        <v>155.414952</v>
      </c>
      <c r="M1060" s="9">
        <f t="shared" si="84"/>
        <v>188.718156</v>
      </c>
    </row>
    <row r="1061" ht="40.5" spans="2:13">
      <c r="B1061" t="s">
        <v>2111</v>
      </c>
      <c r="C1061" s="4" t="s">
        <v>2112</v>
      </c>
      <c r="D1061" s="4" t="s">
        <v>2112</v>
      </c>
      <c r="E1061" s="4" t="s">
        <v>2112</v>
      </c>
      <c r="F1061" s="4" t="s">
        <v>2112</v>
      </c>
      <c r="G1061" s="5">
        <v>222.02136</v>
      </c>
      <c r="H1061" s="9"/>
      <c r="I1061" s="9">
        <f t="shared" si="80"/>
        <v>104.3500392</v>
      </c>
      <c r="J1061" s="9">
        <f t="shared" si="81"/>
        <v>111.01068</v>
      </c>
      <c r="K1061" s="9">
        <f t="shared" si="82"/>
        <v>122.111748</v>
      </c>
      <c r="L1061" s="9">
        <f t="shared" si="83"/>
        <v>155.414952</v>
      </c>
      <c r="M1061" s="9">
        <f t="shared" si="84"/>
        <v>188.718156</v>
      </c>
    </row>
    <row r="1062" ht="27" spans="2:13">
      <c r="B1062" t="s">
        <v>2113</v>
      </c>
      <c r="C1062" s="4" t="s">
        <v>2114</v>
      </c>
      <c r="D1062" s="4" t="s">
        <v>2114</v>
      </c>
      <c r="E1062" s="4" t="s">
        <v>2114</v>
      </c>
      <c r="F1062" s="4" t="s">
        <v>2114</v>
      </c>
      <c r="G1062" s="5">
        <v>121.51872</v>
      </c>
      <c r="H1062" s="9"/>
      <c r="I1062" s="9">
        <f t="shared" si="80"/>
        <v>57.1137984</v>
      </c>
      <c r="J1062" s="9">
        <f t="shared" si="81"/>
        <v>60.75936</v>
      </c>
      <c r="K1062" s="9">
        <f t="shared" si="82"/>
        <v>66.835296</v>
      </c>
      <c r="L1062" s="9">
        <f t="shared" si="83"/>
        <v>85.063104</v>
      </c>
      <c r="M1062" s="9">
        <f t="shared" si="84"/>
        <v>103.290912</v>
      </c>
    </row>
    <row r="1063" ht="40.5" spans="2:13">
      <c r="B1063" t="s">
        <v>2115</v>
      </c>
      <c r="C1063" s="4" t="s">
        <v>2116</v>
      </c>
      <c r="D1063" s="4" t="s">
        <v>2116</v>
      </c>
      <c r="E1063" s="4" t="s">
        <v>2116</v>
      </c>
      <c r="F1063" s="4" t="s">
        <v>2116</v>
      </c>
      <c r="G1063" s="5">
        <v>269.9838</v>
      </c>
      <c r="H1063" s="9"/>
      <c r="I1063" s="9">
        <f t="shared" si="80"/>
        <v>126.892386</v>
      </c>
      <c r="J1063" s="9">
        <f t="shared" si="81"/>
        <v>134.9919</v>
      </c>
      <c r="K1063" s="9">
        <f t="shared" si="82"/>
        <v>148.49109</v>
      </c>
      <c r="L1063" s="9">
        <f t="shared" si="83"/>
        <v>188.98866</v>
      </c>
      <c r="M1063" s="9">
        <f t="shared" si="84"/>
        <v>229.48623</v>
      </c>
    </row>
    <row r="1064" ht="27" spans="2:13">
      <c r="B1064" t="s">
        <v>2117</v>
      </c>
      <c r="C1064" s="4" t="s">
        <v>2118</v>
      </c>
      <c r="D1064" s="4" t="s">
        <v>2118</v>
      </c>
      <c r="E1064" s="4" t="s">
        <v>2118</v>
      </c>
      <c r="F1064" s="4" t="s">
        <v>2118</v>
      </c>
      <c r="G1064" s="5">
        <v>269.9838</v>
      </c>
      <c r="H1064" s="9"/>
      <c r="I1064" s="9">
        <f t="shared" si="80"/>
        <v>126.892386</v>
      </c>
      <c r="J1064" s="9">
        <f t="shared" si="81"/>
        <v>134.9919</v>
      </c>
      <c r="K1064" s="9">
        <f t="shared" si="82"/>
        <v>148.49109</v>
      </c>
      <c r="L1064" s="9">
        <f t="shared" si="83"/>
        <v>188.98866</v>
      </c>
      <c r="M1064" s="9">
        <f t="shared" si="84"/>
        <v>229.48623</v>
      </c>
    </row>
    <row r="1065" ht="40.5" spans="2:13">
      <c r="B1065" t="s">
        <v>2119</v>
      </c>
      <c r="C1065" s="4" t="s">
        <v>2120</v>
      </c>
      <c r="D1065" s="4" t="s">
        <v>2120</v>
      </c>
      <c r="E1065" s="4" t="s">
        <v>2120</v>
      </c>
      <c r="F1065" s="4" t="s">
        <v>2120</v>
      </c>
      <c r="G1065" s="5">
        <v>7.3815</v>
      </c>
      <c r="H1065" s="9"/>
      <c r="I1065" s="9">
        <f t="shared" si="80"/>
        <v>3.469305</v>
      </c>
      <c r="J1065" s="9">
        <f t="shared" si="81"/>
        <v>3.69075</v>
      </c>
      <c r="K1065" s="9">
        <f t="shared" si="82"/>
        <v>4.059825</v>
      </c>
      <c r="L1065" s="9">
        <f t="shared" si="83"/>
        <v>5.16705</v>
      </c>
      <c r="M1065" s="9">
        <f t="shared" si="84"/>
        <v>6.274275</v>
      </c>
    </row>
    <row r="1066" ht="27" spans="2:13">
      <c r="B1066" t="s">
        <v>2121</v>
      </c>
      <c r="C1066" s="4" t="s">
        <v>2122</v>
      </c>
      <c r="D1066" s="4" t="s">
        <v>2122</v>
      </c>
      <c r="E1066" s="4" t="s">
        <v>2122</v>
      </c>
      <c r="F1066" s="4" t="s">
        <v>2122</v>
      </c>
      <c r="G1066" s="5">
        <v>7.3815</v>
      </c>
      <c r="H1066" s="9"/>
      <c r="I1066" s="9">
        <f t="shared" si="80"/>
        <v>3.469305</v>
      </c>
      <c r="J1066" s="9">
        <f t="shared" si="81"/>
        <v>3.69075</v>
      </c>
      <c r="K1066" s="9">
        <f t="shared" si="82"/>
        <v>4.059825</v>
      </c>
      <c r="L1066" s="9">
        <f t="shared" si="83"/>
        <v>5.16705</v>
      </c>
      <c r="M1066" s="9">
        <f t="shared" si="84"/>
        <v>6.274275</v>
      </c>
    </row>
    <row r="1067" ht="40.5" spans="2:13">
      <c r="B1067" t="s">
        <v>2123</v>
      </c>
      <c r="C1067" s="4" t="s">
        <v>2124</v>
      </c>
      <c r="D1067" s="4" t="s">
        <v>2124</v>
      </c>
      <c r="E1067" s="4" t="s">
        <v>2124</v>
      </c>
      <c r="F1067" s="4" t="s">
        <v>2124</v>
      </c>
      <c r="G1067" s="5">
        <v>7.3815</v>
      </c>
      <c r="H1067" s="9"/>
      <c r="I1067" s="9">
        <f t="shared" si="80"/>
        <v>3.469305</v>
      </c>
      <c r="J1067" s="9">
        <f t="shared" si="81"/>
        <v>3.69075</v>
      </c>
      <c r="K1067" s="9">
        <f t="shared" si="82"/>
        <v>4.059825</v>
      </c>
      <c r="L1067" s="9">
        <f t="shared" si="83"/>
        <v>5.16705</v>
      </c>
      <c r="M1067" s="9">
        <f t="shared" si="84"/>
        <v>6.274275</v>
      </c>
    </row>
    <row r="1068" ht="40.5" spans="2:13">
      <c r="B1068" t="s">
        <v>2125</v>
      </c>
      <c r="C1068" s="4" t="s">
        <v>2126</v>
      </c>
      <c r="D1068" s="4" t="s">
        <v>2126</v>
      </c>
      <c r="E1068" s="4" t="s">
        <v>2126</v>
      </c>
      <c r="F1068" s="4" t="s">
        <v>2126</v>
      </c>
      <c r="G1068" s="5">
        <v>7.3815</v>
      </c>
      <c r="H1068" s="9"/>
      <c r="I1068" s="9">
        <f t="shared" si="80"/>
        <v>3.469305</v>
      </c>
      <c r="J1068" s="9">
        <f t="shared" si="81"/>
        <v>3.69075</v>
      </c>
      <c r="K1068" s="9">
        <f t="shared" si="82"/>
        <v>4.059825</v>
      </c>
      <c r="L1068" s="9">
        <f t="shared" si="83"/>
        <v>5.16705</v>
      </c>
      <c r="M1068" s="9">
        <f t="shared" si="84"/>
        <v>6.274275</v>
      </c>
    </row>
    <row r="1069" ht="40.5" spans="2:13">
      <c r="B1069" t="s">
        <v>2127</v>
      </c>
      <c r="C1069" s="4" t="s">
        <v>2128</v>
      </c>
      <c r="D1069" s="4" t="s">
        <v>2128</v>
      </c>
      <c r="E1069" s="4" t="s">
        <v>2128</v>
      </c>
      <c r="F1069" s="4" t="s">
        <v>2128</v>
      </c>
      <c r="G1069" s="5">
        <v>7.3815</v>
      </c>
      <c r="H1069" s="9"/>
      <c r="I1069" s="9">
        <f t="shared" si="80"/>
        <v>3.469305</v>
      </c>
      <c r="J1069" s="9">
        <f t="shared" si="81"/>
        <v>3.69075</v>
      </c>
      <c r="K1069" s="9">
        <f t="shared" si="82"/>
        <v>4.059825</v>
      </c>
      <c r="L1069" s="9">
        <f t="shared" si="83"/>
        <v>5.16705</v>
      </c>
      <c r="M1069" s="9">
        <f t="shared" si="84"/>
        <v>6.274275</v>
      </c>
    </row>
    <row r="1070" ht="40.5" spans="2:13">
      <c r="B1070" t="s">
        <v>2129</v>
      </c>
      <c r="C1070" s="4" t="s">
        <v>2130</v>
      </c>
      <c r="D1070" s="4" t="s">
        <v>2130</v>
      </c>
      <c r="E1070" s="4" t="s">
        <v>2130</v>
      </c>
      <c r="F1070" s="4" t="s">
        <v>2130</v>
      </c>
      <c r="G1070" s="5">
        <v>7.3815</v>
      </c>
      <c r="H1070" s="9"/>
      <c r="I1070" s="9">
        <f t="shared" si="80"/>
        <v>3.469305</v>
      </c>
      <c r="J1070" s="9">
        <f t="shared" si="81"/>
        <v>3.69075</v>
      </c>
      <c r="K1070" s="9">
        <f t="shared" si="82"/>
        <v>4.059825</v>
      </c>
      <c r="L1070" s="9">
        <f t="shared" si="83"/>
        <v>5.16705</v>
      </c>
      <c r="M1070" s="9">
        <f t="shared" si="84"/>
        <v>6.274275</v>
      </c>
    </row>
    <row r="1071" ht="40.5" spans="2:13">
      <c r="B1071" t="s">
        <v>2131</v>
      </c>
      <c r="C1071" s="4" t="s">
        <v>2132</v>
      </c>
      <c r="D1071" s="4" t="s">
        <v>2132</v>
      </c>
      <c r="E1071" s="4" t="s">
        <v>2132</v>
      </c>
      <c r="F1071" s="4" t="s">
        <v>2132</v>
      </c>
      <c r="G1071" s="5">
        <v>7.1706</v>
      </c>
      <c r="H1071" s="9"/>
      <c r="I1071" s="9">
        <f t="shared" si="80"/>
        <v>3.370182</v>
      </c>
      <c r="J1071" s="9">
        <f t="shared" si="81"/>
        <v>3.5853</v>
      </c>
      <c r="K1071" s="9">
        <f t="shared" si="82"/>
        <v>3.94383</v>
      </c>
      <c r="L1071" s="9">
        <f t="shared" si="83"/>
        <v>5.01942</v>
      </c>
      <c r="M1071" s="9">
        <f t="shared" si="84"/>
        <v>6.09501</v>
      </c>
    </row>
    <row r="1072" ht="40.5" spans="2:13">
      <c r="B1072" t="s">
        <v>2133</v>
      </c>
      <c r="C1072" s="4" t="s">
        <v>2134</v>
      </c>
      <c r="D1072" s="4" t="s">
        <v>2134</v>
      </c>
      <c r="E1072" s="4" t="s">
        <v>2134</v>
      </c>
      <c r="F1072" s="4" t="s">
        <v>2134</v>
      </c>
      <c r="G1072" s="5">
        <v>7.1706</v>
      </c>
      <c r="H1072" s="9"/>
      <c r="I1072" s="9">
        <f t="shared" si="80"/>
        <v>3.370182</v>
      </c>
      <c r="J1072" s="9">
        <f t="shared" si="81"/>
        <v>3.5853</v>
      </c>
      <c r="K1072" s="9">
        <f t="shared" si="82"/>
        <v>3.94383</v>
      </c>
      <c r="L1072" s="9">
        <f t="shared" si="83"/>
        <v>5.01942</v>
      </c>
      <c r="M1072" s="9">
        <f t="shared" si="84"/>
        <v>6.09501</v>
      </c>
    </row>
    <row r="1073" ht="27" spans="2:13">
      <c r="B1073" t="s">
        <v>2135</v>
      </c>
      <c r="C1073" s="4" t="s">
        <v>2136</v>
      </c>
      <c r="D1073" s="4" t="s">
        <v>2136</v>
      </c>
      <c r="E1073" s="4" t="s">
        <v>2136</v>
      </c>
      <c r="F1073" s="4" t="s">
        <v>2136</v>
      </c>
      <c r="G1073" s="5">
        <v>7.3815</v>
      </c>
      <c r="H1073" s="9"/>
      <c r="I1073" s="9">
        <f t="shared" si="80"/>
        <v>3.469305</v>
      </c>
      <c r="J1073" s="9">
        <f t="shared" si="81"/>
        <v>3.69075</v>
      </c>
      <c r="K1073" s="9">
        <f t="shared" si="82"/>
        <v>4.059825</v>
      </c>
      <c r="L1073" s="9">
        <f t="shared" si="83"/>
        <v>5.16705</v>
      </c>
      <c r="M1073" s="9">
        <f t="shared" si="84"/>
        <v>6.274275</v>
      </c>
    </row>
    <row r="1074" spans="2:13">
      <c r="B1074" t="s">
        <v>2137</v>
      </c>
      <c r="C1074" s="4" t="s">
        <v>466</v>
      </c>
      <c r="D1074" s="4" t="s">
        <v>466</v>
      </c>
      <c r="E1074" s="4" t="s">
        <v>466</v>
      </c>
      <c r="F1074" s="4" t="s">
        <v>466</v>
      </c>
      <c r="G1074" s="5">
        <v>6.97068</v>
      </c>
      <c r="H1074" s="9"/>
      <c r="I1074" s="9">
        <f t="shared" si="80"/>
        <v>3.2762196</v>
      </c>
      <c r="J1074" s="9">
        <f t="shared" si="81"/>
        <v>3.48534</v>
      </c>
      <c r="K1074" s="9">
        <f t="shared" si="82"/>
        <v>3.833874</v>
      </c>
      <c r="L1074" s="9">
        <f t="shared" si="83"/>
        <v>4.879476</v>
      </c>
      <c r="M1074" s="9">
        <f t="shared" si="84"/>
        <v>5.925078</v>
      </c>
    </row>
    <row r="1075" spans="2:13">
      <c r="B1075" t="s">
        <v>2138</v>
      </c>
      <c r="C1075" s="4" t="s">
        <v>2139</v>
      </c>
      <c r="D1075" s="4" t="s">
        <v>2139</v>
      </c>
      <c r="E1075" s="4" t="s">
        <v>2139</v>
      </c>
      <c r="F1075" s="4" t="s">
        <v>2139</v>
      </c>
      <c r="G1075" s="5">
        <v>26.0712</v>
      </c>
      <c r="H1075" s="9"/>
      <c r="I1075" s="9">
        <f t="shared" si="80"/>
        <v>12.253464</v>
      </c>
      <c r="J1075" s="9">
        <f t="shared" si="81"/>
        <v>13.0356</v>
      </c>
      <c r="K1075" s="9">
        <f t="shared" si="82"/>
        <v>14.33916</v>
      </c>
      <c r="L1075" s="9">
        <f t="shared" si="83"/>
        <v>18.24984</v>
      </c>
      <c r="M1075" s="9">
        <f t="shared" si="84"/>
        <v>22.16052</v>
      </c>
    </row>
    <row r="1076" ht="27" spans="2:13">
      <c r="B1076" t="s">
        <v>2140</v>
      </c>
      <c r="C1076" s="4" t="s">
        <v>2141</v>
      </c>
      <c r="D1076" s="4" t="s">
        <v>2141</v>
      </c>
      <c r="E1076" s="4" t="s">
        <v>2141</v>
      </c>
      <c r="F1076" s="4" t="s">
        <v>2141</v>
      </c>
      <c r="G1076" s="5">
        <v>125.16012</v>
      </c>
      <c r="H1076" s="9"/>
      <c r="I1076" s="9">
        <f t="shared" si="80"/>
        <v>58.8252564</v>
      </c>
      <c r="J1076" s="9">
        <f t="shared" si="81"/>
        <v>62.58006</v>
      </c>
      <c r="K1076" s="9">
        <f t="shared" si="82"/>
        <v>68.838066</v>
      </c>
      <c r="L1076" s="9">
        <f t="shared" si="83"/>
        <v>87.612084</v>
      </c>
      <c r="M1076" s="9">
        <f t="shared" si="84"/>
        <v>106.386102</v>
      </c>
    </row>
    <row r="1077" ht="27" spans="2:13">
      <c r="B1077" t="s">
        <v>2142</v>
      </c>
      <c r="C1077" s="4" t="s">
        <v>2143</v>
      </c>
      <c r="D1077" s="4" t="s">
        <v>2143</v>
      </c>
      <c r="E1077" s="4" t="s">
        <v>2143</v>
      </c>
      <c r="F1077" s="4" t="s">
        <v>2143</v>
      </c>
      <c r="G1077" s="5">
        <v>134.436</v>
      </c>
      <c r="H1077" s="9"/>
      <c r="I1077" s="9">
        <f t="shared" si="80"/>
        <v>63.18492</v>
      </c>
      <c r="J1077" s="9">
        <f t="shared" si="81"/>
        <v>67.218</v>
      </c>
      <c r="K1077" s="9">
        <f t="shared" si="82"/>
        <v>73.9398</v>
      </c>
      <c r="L1077" s="9">
        <f t="shared" si="83"/>
        <v>94.1052</v>
      </c>
      <c r="M1077" s="9">
        <f t="shared" si="84"/>
        <v>114.2706</v>
      </c>
    </row>
    <row r="1078" ht="40.5" spans="2:13">
      <c r="B1078" t="s">
        <v>2144</v>
      </c>
      <c r="C1078" s="4" t="s">
        <v>2145</v>
      </c>
      <c r="D1078" s="4" t="s">
        <v>2145</v>
      </c>
      <c r="E1078" s="4" t="s">
        <v>2145</v>
      </c>
      <c r="F1078" s="4" t="s">
        <v>2145</v>
      </c>
      <c r="G1078" s="5">
        <v>16.218</v>
      </c>
      <c r="H1078" s="9"/>
      <c r="I1078" s="9">
        <f t="shared" si="80"/>
        <v>7.62246</v>
      </c>
      <c r="J1078" s="9">
        <f t="shared" si="81"/>
        <v>8.109</v>
      </c>
      <c r="K1078" s="9">
        <f t="shared" si="82"/>
        <v>8.9199</v>
      </c>
      <c r="L1078" s="9">
        <f t="shared" si="83"/>
        <v>11.3526</v>
      </c>
      <c r="M1078" s="9">
        <f t="shared" si="84"/>
        <v>13.7853</v>
      </c>
    </row>
    <row r="1079" spans="2:13">
      <c r="B1079" t="s">
        <v>2146</v>
      </c>
      <c r="C1079" s="4" t="s">
        <v>2147</v>
      </c>
      <c r="D1079" s="4" t="s">
        <v>2147</v>
      </c>
      <c r="E1079" s="4" t="s">
        <v>2147</v>
      </c>
      <c r="F1079" s="4" t="s">
        <v>2147</v>
      </c>
      <c r="G1079" s="5">
        <v>214.63452</v>
      </c>
      <c r="H1079" s="9"/>
      <c r="I1079" s="9">
        <f t="shared" si="80"/>
        <v>100.8782244</v>
      </c>
      <c r="J1079" s="9">
        <f t="shared" si="81"/>
        <v>107.31726</v>
      </c>
      <c r="K1079" s="9">
        <f t="shared" si="82"/>
        <v>118.048986</v>
      </c>
      <c r="L1079" s="9">
        <f t="shared" si="83"/>
        <v>150.244164</v>
      </c>
      <c r="M1079" s="9">
        <f t="shared" si="84"/>
        <v>182.439342</v>
      </c>
    </row>
    <row r="1080" spans="2:13">
      <c r="B1080" t="s">
        <v>2148</v>
      </c>
      <c r="C1080" s="4" t="s">
        <v>2149</v>
      </c>
      <c r="D1080" s="4" t="s">
        <v>2149</v>
      </c>
      <c r="E1080" s="4" t="s">
        <v>2149</v>
      </c>
      <c r="F1080" s="4" t="s">
        <v>2149</v>
      </c>
      <c r="G1080" s="5">
        <v>119.22984</v>
      </c>
      <c r="H1080" s="9"/>
      <c r="I1080" s="9">
        <f t="shared" si="80"/>
        <v>56.0380248</v>
      </c>
      <c r="J1080" s="9">
        <f t="shared" si="81"/>
        <v>59.61492</v>
      </c>
      <c r="K1080" s="9">
        <f t="shared" si="82"/>
        <v>65.576412</v>
      </c>
      <c r="L1080" s="9">
        <f t="shared" si="83"/>
        <v>83.460888</v>
      </c>
      <c r="M1080" s="9">
        <f t="shared" si="84"/>
        <v>101.345364</v>
      </c>
    </row>
    <row r="1081" spans="2:13">
      <c r="B1081" t="s">
        <v>2150</v>
      </c>
      <c r="C1081" s="4" t="s">
        <v>2151</v>
      </c>
      <c r="D1081" s="4" t="s">
        <v>2151</v>
      </c>
      <c r="E1081" s="4" t="s">
        <v>2151</v>
      </c>
      <c r="F1081" s="4" t="s">
        <v>2151</v>
      </c>
      <c r="G1081" s="5">
        <v>114.54804</v>
      </c>
      <c r="H1081" s="9"/>
      <c r="I1081" s="9">
        <f t="shared" si="80"/>
        <v>53.8375788</v>
      </c>
      <c r="J1081" s="9">
        <f t="shared" si="81"/>
        <v>57.27402</v>
      </c>
      <c r="K1081" s="9">
        <f t="shared" si="82"/>
        <v>63.001422</v>
      </c>
      <c r="L1081" s="9">
        <f t="shared" si="83"/>
        <v>80.183628</v>
      </c>
      <c r="M1081" s="9">
        <f t="shared" si="84"/>
        <v>97.365834</v>
      </c>
    </row>
    <row r="1082" ht="40.5" spans="2:13">
      <c r="B1082" t="s">
        <v>2152</v>
      </c>
      <c r="C1082" s="4" t="s">
        <v>2153</v>
      </c>
      <c r="D1082" s="4" t="s">
        <v>2153</v>
      </c>
      <c r="E1082" s="4" t="s">
        <v>2153</v>
      </c>
      <c r="F1082" s="4" t="s">
        <v>2153</v>
      </c>
      <c r="G1082" s="5">
        <v>359.9784</v>
      </c>
      <c r="H1082" s="9"/>
      <c r="I1082" s="9">
        <f t="shared" si="80"/>
        <v>169.189848</v>
      </c>
      <c r="J1082" s="9">
        <f t="shared" si="81"/>
        <v>179.9892</v>
      </c>
      <c r="K1082" s="9">
        <f t="shared" si="82"/>
        <v>197.98812</v>
      </c>
      <c r="L1082" s="9">
        <f t="shared" si="83"/>
        <v>251.98488</v>
      </c>
      <c r="M1082" s="9">
        <f t="shared" si="84"/>
        <v>305.98164</v>
      </c>
    </row>
    <row r="1083" ht="40.5" spans="2:13">
      <c r="B1083" t="s">
        <v>2154</v>
      </c>
      <c r="C1083" s="4" t="s">
        <v>2155</v>
      </c>
      <c r="D1083" s="4" t="s">
        <v>2155</v>
      </c>
      <c r="E1083" s="4" t="s">
        <v>2155</v>
      </c>
      <c r="F1083" s="4" t="s">
        <v>2155</v>
      </c>
      <c r="G1083" s="5">
        <v>441.9099</v>
      </c>
      <c r="H1083" s="9"/>
      <c r="I1083" s="9">
        <f t="shared" si="80"/>
        <v>207.697653</v>
      </c>
      <c r="J1083" s="9">
        <f t="shared" si="81"/>
        <v>220.95495</v>
      </c>
      <c r="K1083" s="9">
        <f t="shared" si="82"/>
        <v>243.050445</v>
      </c>
      <c r="L1083" s="9">
        <f t="shared" si="83"/>
        <v>309.33693</v>
      </c>
      <c r="M1083" s="9">
        <f t="shared" si="84"/>
        <v>375.623415</v>
      </c>
    </row>
    <row r="1084" ht="27" spans="2:13">
      <c r="B1084" t="s">
        <v>2156</v>
      </c>
      <c r="C1084" s="4" t="s">
        <v>2157</v>
      </c>
      <c r="D1084" s="4" t="s">
        <v>2157</v>
      </c>
      <c r="E1084" s="4" t="s">
        <v>2157</v>
      </c>
      <c r="F1084" s="4" t="s">
        <v>2157</v>
      </c>
      <c r="G1084" s="5">
        <v>8.11512</v>
      </c>
      <c r="H1084" s="9"/>
      <c r="I1084" s="9">
        <f t="shared" si="80"/>
        <v>3.8141064</v>
      </c>
      <c r="J1084" s="9">
        <f t="shared" si="81"/>
        <v>4.05756</v>
      </c>
      <c r="K1084" s="9">
        <f t="shared" si="82"/>
        <v>4.463316</v>
      </c>
      <c r="L1084" s="9">
        <f t="shared" si="83"/>
        <v>5.680584</v>
      </c>
      <c r="M1084" s="9">
        <f t="shared" si="84"/>
        <v>6.897852</v>
      </c>
    </row>
    <row r="1085" spans="2:13">
      <c r="B1085" t="s">
        <v>2158</v>
      </c>
      <c r="C1085" s="4" t="s">
        <v>2159</v>
      </c>
      <c r="D1085" s="4" t="s">
        <v>2159</v>
      </c>
      <c r="E1085" s="4" t="s">
        <v>2159</v>
      </c>
      <c r="F1085" s="4" t="s">
        <v>2159</v>
      </c>
      <c r="G1085" s="5">
        <v>10.34775</v>
      </c>
      <c r="H1085" s="9"/>
      <c r="I1085" s="9">
        <f t="shared" si="80"/>
        <v>4.8634425</v>
      </c>
      <c r="J1085" s="9">
        <f t="shared" si="81"/>
        <v>5.173875</v>
      </c>
      <c r="K1085" s="9">
        <f t="shared" si="82"/>
        <v>5.6912625</v>
      </c>
      <c r="L1085" s="9">
        <f t="shared" si="83"/>
        <v>7.243425</v>
      </c>
      <c r="M1085" s="9">
        <f t="shared" si="84"/>
        <v>8.7955875</v>
      </c>
    </row>
    <row r="1086" ht="27" spans="2:13">
      <c r="B1086" t="s">
        <v>2160</v>
      </c>
      <c r="C1086" s="4" t="s">
        <v>2161</v>
      </c>
      <c r="D1086" s="4" t="s">
        <v>2161</v>
      </c>
      <c r="E1086" s="4" t="s">
        <v>2161</v>
      </c>
      <c r="F1086" s="4" t="s">
        <v>2161</v>
      </c>
      <c r="G1086" s="5">
        <v>32.87664</v>
      </c>
      <c r="H1086" s="9"/>
      <c r="I1086" s="9">
        <f t="shared" si="80"/>
        <v>15.4520208</v>
      </c>
      <c r="J1086" s="9">
        <f t="shared" si="81"/>
        <v>16.43832</v>
      </c>
      <c r="K1086" s="9">
        <f t="shared" si="82"/>
        <v>18.082152</v>
      </c>
      <c r="L1086" s="9">
        <f t="shared" si="83"/>
        <v>23.013648</v>
      </c>
      <c r="M1086" s="9">
        <f t="shared" si="84"/>
        <v>27.945144</v>
      </c>
    </row>
    <row r="1087" spans="2:13">
      <c r="B1087" t="s">
        <v>2162</v>
      </c>
      <c r="C1087" s="4" t="s">
        <v>2163</v>
      </c>
      <c r="D1087" s="4" t="s">
        <v>2163</v>
      </c>
      <c r="E1087" s="4" t="s">
        <v>2163</v>
      </c>
      <c r="F1087" s="4" t="s">
        <v>2163</v>
      </c>
      <c r="G1087" s="5">
        <v>205.79112</v>
      </c>
      <c r="H1087" s="9"/>
      <c r="I1087" s="9">
        <f t="shared" si="80"/>
        <v>96.7218264</v>
      </c>
      <c r="J1087" s="9">
        <f t="shared" si="81"/>
        <v>102.89556</v>
      </c>
      <c r="K1087" s="9">
        <f t="shared" si="82"/>
        <v>113.185116</v>
      </c>
      <c r="L1087" s="9">
        <f t="shared" si="83"/>
        <v>144.053784</v>
      </c>
      <c r="M1087" s="9">
        <f t="shared" si="84"/>
        <v>174.922452</v>
      </c>
    </row>
    <row r="1088" spans="2:13">
      <c r="B1088" t="s">
        <v>2164</v>
      </c>
      <c r="C1088" s="4" t="s">
        <v>2165</v>
      </c>
      <c r="D1088" s="4" t="s">
        <v>2165</v>
      </c>
      <c r="E1088" s="4" t="s">
        <v>2165</v>
      </c>
      <c r="F1088" s="4" t="s">
        <v>2165</v>
      </c>
      <c r="G1088" s="5">
        <v>112.57128</v>
      </c>
      <c r="H1088" s="9"/>
      <c r="I1088" s="9">
        <f t="shared" si="80"/>
        <v>52.9085016</v>
      </c>
      <c r="J1088" s="9">
        <f t="shared" si="81"/>
        <v>56.28564</v>
      </c>
      <c r="K1088" s="9">
        <f t="shared" si="82"/>
        <v>61.914204</v>
      </c>
      <c r="L1088" s="9">
        <f t="shared" si="83"/>
        <v>78.799896</v>
      </c>
      <c r="M1088" s="9">
        <f t="shared" si="84"/>
        <v>95.685588</v>
      </c>
    </row>
    <row r="1089" ht="27" spans="2:13">
      <c r="B1089" t="s">
        <v>2166</v>
      </c>
      <c r="C1089" s="4" t="s">
        <v>2167</v>
      </c>
      <c r="D1089" s="4" t="s">
        <v>2167</v>
      </c>
      <c r="E1089" s="4" t="s">
        <v>2167</v>
      </c>
      <c r="F1089" s="4" t="s">
        <v>2167</v>
      </c>
      <c r="G1089" s="5">
        <v>118.70964</v>
      </c>
      <c r="H1089" s="9"/>
      <c r="I1089" s="9">
        <f t="shared" si="80"/>
        <v>55.7935308</v>
      </c>
      <c r="J1089" s="9">
        <f t="shared" si="81"/>
        <v>59.35482</v>
      </c>
      <c r="K1089" s="9">
        <f t="shared" si="82"/>
        <v>65.290302</v>
      </c>
      <c r="L1089" s="9">
        <f t="shared" si="83"/>
        <v>83.096748</v>
      </c>
      <c r="M1089" s="9">
        <f t="shared" si="84"/>
        <v>100.903194</v>
      </c>
    </row>
    <row r="1090" spans="2:13">
      <c r="B1090" t="s">
        <v>2168</v>
      </c>
      <c r="C1090" s="4" t="s">
        <v>2169</v>
      </c>
      <c r="D1090" s="4" t="s">
        <v>2169</v>
      </c>
      <c r="E1090" s="4" t="s">
        <v>2169</v>
      </c>
      <c r="F1090" s="4" t="s">
        <v>2169</v>
      </c>
      <c r="G1090" s="5">
        <v>948.63672</v>
      </c>
      <c r="H1090" s="9"/>
      <c r="I1090" s="9">
        <f t="shared" si="80"/>
        <v>445.8592584</v>
      </c>
      <c r="J1090" s="9">
        <f t="shared" si="81"/>
        <v>474.31836</v>
      </c>
      <c r="K1090" s="9">
        <f t="shared" si="82"/>
        <v>521.750196</v>
      </c>
      <c r="L1090" s="9">
        <f t="shared" si="83"/>
        <v>664.045704</v>
      </c>
      <c r="M1090" s="9">
        <f t="shared" si="84"/>
        <v>806.341212</v>
      </c>
    </row>
    <row r="1091" spans="2:13">
      <c r="B1091" t="s">
        <v>2170</v>
      </c>
      <c r="C1091" s="4" t="s">
        <v>2169</v>
      </c>
      <c r="D1091" s="4" t="s">
        <v>2169</v>
      </c>
      <c r="E1091" s="4" t="s">
        <v>2169</v>
      </c>
      <c r="F1091" s="4" t="s">
        <v>2169</v>
      </c>
      <c r="G1091" s="5">
        <v>948.63672</v>
      </c>
      <c r="H1091" s="9"/>
      <c r="I1091" s="9">
        <f t="shared" si="80"/>
        <v>445.8592584</v>
      </c>
      <c r="J1091" s="9">
        <f t="shared" si="81"/>
        <v>474.31836</v>
      </c>
      <c r="K1091" s="9">
        <f t="shared" si="82"/>
        <v>521.750196</v>
      </c>
      <c r="L1091" s="9">
        <f t="shared" si="83"/>
        <v>664.045704</v>
      </c>
      <c r="M1091" s="9">
        <f t="shared" si="84"/>
        <v>806.341212</v>
      </c>
    </row>
    <row r="1092" ht="27" spans="2:13">
      <c r="B1092" t="s">
        <v>2171</v>
      </c>
      <c r="C1092" s="4" t="s">
        <v>2172</v>
      </c>
      <c r="D1092" s="4" t="s">
        <v>2172</v>
      </c>
      <c r="E1092" s="4" t="s">
        <v>2172</v>
      </c>
      <c r="F1092" s="4" t="s">
        <v>2172</v>
      </c>
      <c r="G1092" s="5">
        <v>136.78659</v>
      </c>
      <c r="H1092" s="9"/>
      <c r="I1092" s="9">
        <f t="shared" ref="I1092:I1155" si="85">G1092*0.47</f>
        <v>64.2896973</v>
      </c>
      <c r="J1092" s="9">
        <f t="shared" ref="J1092:J1155" si="86">G1092*0.5</f>
        <v>68.393295</v>
      </c>
      <c r="K1092" s="9">
        <f t="shared" ref="K1092:K1155" si="87">G1092*0.55</f>
        <v>75.2326245</v>
      </c>
      <c r="L1092" s="9">
        <f t="shared" ref="L1092:L1155" si="88">G1092*0.7</f>
        <v>95.750613</v>
      </c>
      <c r="M1092" s="9">
        <f t="shared" ref="M1092:M1155" si="89">G1092*0.85</f>
        <v>116.2686015</v>
      </c>
    </row>
    <row r="1093" ht="27" spans="2:13">
      <c r="B1093" t="s">
        <v>2173</v>
      </c>
      <c r="C1093" s="4" t="s">
        <v>2174</v>
      </c>
      <c r="D1093" s="4" t="s">
        <v>2174</v>
      </c>
      <c r="E1093" s="4" t="s">
        <v>2174</v>
      </c>
      <c r="F1093" s="4" t="s">
        <v>2174</v>
      </c>
      <c r="G1093" s="5">
        <v>126.09648</v>
      </c>
      <c r="H1093" s="9"/>
      <c r="I1093" s="9">
        <f t="shared" si="85"/>
        <v>59.2653456</v>
      </c>
      <c r="J1093" s="9">
        <f t="shared" si="86"/>
        <v>63.04824</v>
      </c>
      <c r="K1093" s="9">
        <f t="shared" si="87"/>
        <v>69.353064</v>
      </c>
      <c r="L1093" s="9">
        <f t="shared" si="88"/>
        <v>88.267536</v>
      </c>
      <c r="M1093" s="9">
        <f t="shared" si="89"/>
        <v>107.182008</v>
      </c>
    </row>
    <row r="1094" ht="27" spans="2:13">
      <c r="B1094" t="s">
        <v>2175</v>
      </c>
      <c r="C1094" s="4" t="s">
        <v>2176</v>
      </c>
      <c r="D1094" s="4" t="s">
        <v>2176</v>
      </c>
      <c r="E1094" s="4" t="s">
        <v>2176</v>
      </c>
      <c r="F1094" s="4" t="s">
        <v>2176</v>
      </c>
      <c r="G1094" s="5">
        <v>140.9742</v>
      </c>
      <c r="H1094" s="9"/>
      <c r="I1094" s="9">
        <f t="shared" si="85"/>
        <v>66.257874</v>
      </c>
      <c r="J1094" s="9">
        <f t="shared" si="86"/>
        <v>70.4871</v>
      </c>
      <c r="K1094" s="9">
        <f t="shared" si="87"/>
        <v>77.53581</v>
      </c>
      <c r="L1094" s="9">
        <f t="shared" si="88"/>
        <v>98.68194</v>
      </c>
      <c r="M1094" s="9">
        <f t="shared" si="89"/>
        <v>119.82807</v>
      </c>
    </row>
    <row r="1095" ht="27" spans="2:13">
      <c r="B1095" t="s">
        <v>2177</v>
      </c>
      <c r="C1095" s="4" t="s">
        <v>2178</v>
      </c>
      <c r="D1095" s="4" t="s">
        <v>2178</v>
      </c>
      <c r="E1095" s="4" t="s">
        <v>2178</v>
      </c>
      <c r="F1095" s="4" t="s">
        <v>2178</v>
      </c>
      <c r="G1095" s="5">
        <v>168.64884</v>
      </c>
      <c r="H1095" s="9"/>
      <c r="I1095" s="9">
        <f t="shared" si="85"/>
        <v>79.2649548</v>
      </c>
      <c r="J1095" s="9">
        <f t="shared" si="86"/>
        <v>84.32442</v>
      </c>
      <c r="K1095" s="9">
        <f t="shared" si="87"/>
        <v>92.756862</v>
      </c>
      <c r="L1095" s="9">
        <f t="shared" si="88"/>
        <v>118.054188</v>
      </c>
      <c r="M1095" s="9">
        <f t="shared" si="89"/>
        <v>143.351514</v>
      </c>
    </row>
    <row r="1096" ht="27" spans="2:13">
      <c r="B1096" t="s">
        <v>2179</v>
      </c>
      <c r="C1096" s="4" t="s">
        <v>2180</v>
      </c>
      <c r="D1096" s="4" t="s">
        <v>2180</v>
      </c>
      <c r="E1096" s="4" t="s">
        <v>2180</v>
      </c>
      <c r="F1096" s="4" t="s">
        <v>2180</v>
      </c>
      <c r="G1096" s="5">
        <v>189.76896</v>
      </c>
      <c r="H1096" s="9"/>
      <c r="I1096" s="9">
        <f t="shared" si="85"/>
        <v>89.1914112</v>
      </c>
      <c r="J1096" s="9">
        <f t="shared" si="86"/>
        <v>94.88448</v>
      </c>
      <c r="K1096" s="9">
        <f t="shared" si="87"/>
        <v>104.372928</v>
      </c>
      <c r="L1096" s="9">
        <f t="shared" si="88"/>
        <v>132.838272</v>
      </c>
      <c r="M1096" s="9">
        <f t="shared" si="89"/>
        <v>161.303616</v>
      </c>
    </row>
    <row r="1097" ht="27" spans="2:13">
      <c r="B1097" t="s">
        <v>2181</v>
      </c>
      <c r="C1097" s="4" t="s">
        <v>2182</v>
      </c>
      <c r="D1097" s="4" t="s">
        <v>2182</v>
      </c>
      <c r="E1097" s="4" t="s">
        <v>2182</v>
      </c>
      <c r="F1097" s="4" t="s">
        <v>2182</v>
      </c>
      <c r="G1097" s="5">
        <v>189.76896</v>
      </c>
      <c r="H1097" s="9"/>
      <c r="I1097" s="9">
        <f t="shared" si="85"/>
        <v>89.1914112</v>
      </c>
      <c r="J1097" s="9">
        <f t="shared" si="86"/>
        <v>94.88448</v>
      </c>
      <c r="K1097" s="9">
        <f t="shared" si="87"/>
        <v>104.372928</v>
      </c>
      <c r="L1097" s="9">
        <f t="shared" si="88"/>
        <v>132.838272</v>
      </c>
      <c r="M1097" s="9">
        <f t="shared" si="89"/>
        <v>161.303616</v>
      </c>
    </row>
    <row r="1098" ht="27" spans="2:13">
      <c r="B1098" t="s">
        <v>2183</v>
      </c>
      <c r="C1098" s="4" t="s">
        <v>2184</v>
      </c>
      <c r="D1098" s="4" t="s">
        <v>2184</v>
      </c>
      <c r="E1098" s="4" t="s">
        <v>2184</v>
      </c>
      <c r="F1098" s="4" t="s">
        <v>2184</v>
      </c>
      <c r="G1098" s="5">
        <v>209.95272</v>
      </c>
      <c r="H1098" s="9"/>
      <c r="I1098" s="9">
        <f t="shared" si="85"/>
        <v>98.6777784</v>
      </c>
      <c r="J1098" s="9">
        <f t="shared" si="86"/>
        <v>104.97636</v>
      </c>
      <c r="K1098" s="9">
        <f t="shared" si="87"/>
        <v>115.473996</v>
      </c>
      <c r="L1098" s="9">
        <f t="shared" si="88"/>
        <v>146.966904</v>
      </c>
      <c r="M1098" s="9">
        <f t="shared" si="89"/>
        <v>178.459812</v>
      </c>
    </row>
    <row r="1099" ht="27" spans="2:13">
      <c r="B1099" t="s">
        <v>2185</v>
      </c>
      <c r="C1099" s="4" t="s">
        <v>2186</v>
      </c>
      <c r="D1099" s="4" t="s">
        <v>2186</v>
      </c>
      <c r="E1099" s="4" t="s">
        <v>2186</v>
      </c>
      <c r="F1099" s="4" t="s">
        <v>2186</v>
      </c>
      <c r="G1099" s="5">
        <v>178.84476</v>
      </c>
      <c r="H1099" s="9"/>
      <c r="I1099" s="9">
        <f t="shared" si="85"/>
        <v>84.0570372</v>
      </c>
      <c r="J1099" s="9">
        <f t="shared" si="86"/>
        <v>89.42238</v>
      </c>
      <c r="K1099" s="9">
        <f t="shared" si="87"/>
        <v>98.364618</v>
      </c>
      <c r="L1099" s="9">
        <f t="shared" si="88"/>
        <v>125.191332</v>
      </c>
      <c r="M1099" s="9">
        <f t="shared" si="89"/>
        <v>152.018046</v>
      </c>
    </row>
    <row r="1100" ht="27" spans="2:13">
      <c r="B1100" t="s">
        <v>2187</v>
      </c>
      <c r="C1100" s="4" t="s">
        <v>2188</v>
      </c>
      <c r="D1100" s="4" t="s">
        <v>2188</v>
      </c>
      <c r="E1100" s="4" t="s">
        <v>2188</v>
      </c>
      <c r="F1100" s="4" t="s">
        <v>2188</v>
      </c>
      <c r="G1100" s="5">
        <v>187.7922</v>
      </c>
      <c r="H1100" s="9"/>
      <c r="I1100" s="9">
        <f t="shared" si="85"/>
        <v>88.262334</v>
      </c>
      <c r="J1100" s="9">
        <f t="shared" si="86"/>
        <v>93.8961</v>
      </c>
      <c r="K1100" s="9">
        <f t="shared" si="87"/>
        <v>103.28571</v>
      </c>
      <c r="L1100" s="9">
        <f t="shared" si="88"/>
        <v>131.45454</v>
      </c>
      <c r="M1100" s="9">
        <f t="shared" si="89"/>
        <v>159.62337</v>
      </c>
    </row>
    <row r="1101" ht="27" spans="2:13">
      <c r="B1101" t="s">
        <v>2189</v>
      </c>
      <c r="C1101" s="4" t="s">
        <v>2190</v>
      </c>
      <c r="D1101" s="4" t="s">
        <v>2190</v>
      </c>
      <c r="E1101" s="4" t="s">
        <v>2190</v>
      </c>
      <c r="F1101" s="4" t="s">
        <v>2190</v>
      </c>
      <c r="G1101" s="5">
        <v>196.6356</v>
      </c>
      <c r="H1101" s="9"/>
      <c r="I1101" s="9">
        <f t="shared" si="85"/>
        <v>92.418732</v>
      </c>
      <c r="J1101" s="9">
        <f t="shared" si="86"/>
        <v>98.3178</v>
      </c>
      <c r="K1101" s="9">
        <f t="shared" si="87"/>
        <v>108.14958</v>
      </c>
      <c r="L1101" s="9">
        <f t="shared" si="88"/>
        <v>137.64492</v>
      </c>
      <c r="M1101" s="9">
        <f t="shared" si="89"/>
        <v>167.14026</v>
      </c>
    </row>
    <row r="1102" ht="27" spans="2:13">
      <c r="B1102" t="s">
        <v>2191</v>
      </c>
      <c r="C1102" s="4" t="s">
        <v>2192</v>
      </c>
      <c r="D1102" s="4" t="s">
        <v>2192</v>
      </c>
      <c r="E1102" s="4" t="s">
        <v>2192</v>
      </c>
      <c r="F1102" s="4" t="s">
        <v>2192</v>
      </c>
      <c r="G1102" s="5">
        <v>123.18336</v>
      </c>
      <c r="H1102" s="9"/>
      <c r="I1102" s="9">
        <f t="shared" si="85"/>
        <v>57.8961792</v>
      </c>
      <c r="J1102" s="9">
        <f t="shared" si="86"/>
        <v>61.59168</v>
      </c>
      <c r="K1102" s="9">
        <f t="shared" si="87"/>
        <v>67.750848</v>
      </c>
      <c r="L1102" s="9">
        <f t="shared" si="88"/>
        <v>86.228352</v>
      </c>
      <c r="M1102" s="9">
        <f t="shared" si="89"/>
        <v>104.705856</v>
      </c>
    </row>
    <row r="1103" spans="2:13">
      <c r="B1103" t="s">
        <v>2193</v>
      </c>
      <c r="C1103" s="4" t="s">
        <v>2194</v>
      </c>
      <c r="D1103" s="4" t="s">
        <v>2194</v>
      </c>
      <c r="E1103" s="4" t="s">
        <v>2194</v>
      </c>
      <c r="F1103" s="4" t="s">
        <v>2194</v>
      </c>
      <c r="G1103" s="5">
        <v>82.29564</v>
      </c>
      <c r="H1103" s="9"/>
      <c r="I1103" s="9">
        <f t="shared" si="85"/>
        <v>38.6789508</v>
      </c>
      <c r="J1103" s="9">
        <f t="shared" si="86"/>
        <v>41.14782</v>
      </c>
      <c r="K1103" s="9">
        <f t="shared" si="87"/>
        <v>45.262602</v>
      </c>
      <c r="L1103" s="9">
        <f t="shared" si="88"/>
        <v>57.606948</v>
      </c>
      <c r="M1103" s="9">
        <f t="shared" si="89"/>
        <v>69.951294</v>
      </c>
    </row>
    <row r="1104" spans="2:13">
      <c r="B1104" t="s">
        <v>2195</v>
      </c>
      <c r="C1104" s="4" t="s">
        <v>2196</v>
      </c>
      <c r="D1104" s="4" t="s">
        <v>2196</v>
      </c>
      <c r="E1104" s="4" t="s">
        <v>2196</v>
      </c>
      <c r="F1104" s="4" t="s">
        <v>2196</v>
      </c>
      <c r="G1104" s="5">
        <v>75.429</v>
      </c>
      <c r="H1104" s="9"/>
      <c r="I1104" s="9">
        <f t="shared" si="85"/>
        <v>35.45163</v>
      </c>
      <c r="J1104" s="9">
        <f t="shared" si="86"/>
        <v>37.7145</v>
      </c>
      <c r="K1104" s="9">
        <f t="shared" si="87"/>
        <v>41.48595</v>
      </c>
      <c r="L1104" s="9">
        <f t="shared" si="88"/>
        <v>52.8003</v>
      </c>
      <c r="M1104" s="9">
        <f t="shared" si="89"/>
        <v>64.11465</v>
      </c>
    </row>
    <row r="1105" spans="2:13">
      <c r="B1105" t="s">
        <v>2197</v>
      </c>
      <c r="C1105" s="4" t="s">
        <v>2198</v>
      </c>
      <c r="D1105" s="4" t="s">
        <v>2198</v>
      </c>
      <c r="E1105" s="4" t="s">
        <v>2198</v>
      </c>
      <c r="F1105" s="4" t="s">
        <v>2198</v>
      </c>
      <c r="G1105" s="5">
        <v>97.2774</v>
      </c>
      <c r="H1105" s="9"/>
      <c r="I1105" s="9">
        <f t="shared" si="85"/>
        <v>45.720378</v>
      </c>
      <c r="J1105" s="9">
        <f t="shared" si="86"/>
        <v>48.6387</v>
      </c>
      <c r="K1105" s="9">
        <f t="shared" si="87"/>
        <v>53.50257</v>
      </c>
      <c r="L1105" s="9">
        <f t="shared" si="88"/>
        <v>68.09418</v>
      </c>
      <c r="M1105" s="9">
        <f t="shared" si="89"/>
        <v>82.68579</v>
      </c>
    </row>
    <row r="1106" spans="2:13">
      <c r="B1106" t="s">
        <v>2199</v>
      </c>
      <c r="C1106" s="4" t="s">
        <v>2200</v>
      </c>
      <c r="D1106" s="4" t="s">
        <v>2200</v>
      </c>
      <c r="E1106" s="4" t="s">
        <v>2200</v>
      </c>
      <c r="F1106" s="4" t="s">
        <v>2200</v>
      </c>
      <c r="G1106" s="5">
        <v>99.25416</v>
      </c>
      <c r="H1106" s="9"/>
      <c r="I1106" s="9">
        <f t="shared" si="85"/>
        <v>46.6494552</v>
      </c>
      <c r="J1106" s="9">
        <f t="shared" si="86"/>
        <v>49.62708</v>
      </c>
      <c r="K1106" s="9">
        <f t="shared" si="87"/>
        <v>54.589788</v>
      </c>
      <c r="L1106" s="9">
        <f t="shared" si="88"/>
        <v>69.477912</v>
      </c>
      <c r="M1106" s="9">
        <f t="shared" si="89"/>
        <v>84.366036</v>
      </c>
    </row>
    <row r="1107" ht="27" spans="2:13">
      <c r="B1107" t="s">
        <v>2201</v>
      </c>
      <c r="C1107" s="4" t="s">
        <v>2202</v>
      </c>
      <c r="D1107" s="4" t="s">
        <v>2202</v>
      </c>
      <c r="E1107" s="4" t="s">
        <v>2202</v>
      </c>
      <c r="F1107" s="4" t="s">
        <v>2202</v>
      </c>
      <c r="G1107" s="5">
        <v>403.155</v>
      </c>
      <c r="H1107" s="9"/>
      <c r="I1107" s="9">
        <f t="shared" si="85"/>
        <v>189.48285</v>
      </c>
      <c r="J1107" s="9">
        <f t="shared" si="86"/>
        <v>201.5775</v>
      </c>
      <c r="K1107" s="9">
        <f t="shared" si="87"/>
        <v>221.73525</v>
      </c>
      <c r="L1107" s="9">
        <f t="shared" si="88"/>
        <v>282.2085</v>
      </c>
      <c r="M1107" s="9">
        <f t="shared" si="89"/>
        <v>342.68175</v>
      </c>
    </row>
    <row r="1108" ht="27" spans="2:13">
      <c r="B1108" t="s">
        <v>2203</v>
      </c>
      <c r="C1108" s="4" t="s">
        <v>2204</v>
      </c>
      <c r="D1108" s="4" t="s">
        <v>2204</v>
      </c>
      <c r="E1108" s="4" t="s">
        <v>2204</v>
      </c>
      <c r="F1108" s="4" t="s">
        <v>2204</v>
      </c>
      <c r="G1108" s="5">
        <v>175.41144</v>
      </c>
      <c r="H1108" s="9"/>
      <c r="I1108" s="9">
        <f t="shared" si="85"/>
        <v>82.4433768</v>
      </c>
      <c r="J1108" s="9">
        <f t="shared" si="86"/>
        <v>87.70572</v>
      </c>
      <c r="K1108" s="9">
        <f t="shared" si="87"/>
        <v>96.476292</v>
      </c>
      <c r="L1108" s="9">
        <f t="shared" si="88"/>
        <v>122.788008</v>
      </c>
      <c r="M1108" s="9">
        <f t="shared" si="89"/>
        <v>149.099724</v>
      </c>
    </row>
    <row r="1109" ht="27" spans="2:13">
      <c r="B1109" t="s">
        <v>2205</v>
      </c>
      <c r="C1109" s="4" t="s">
        <v>2206</v>
      </c>
      <c r="D1109" s="4" t="s">
        <v>2206</v>
      </c>
      <c r="E1109" s="4" t="s">
        <v>2206</v>
      </c>
      <c r="F1109" s="4" t="s">
        <v>2206</v>
      </c>
      <c r="G1109" s="5">
        <v>175.41144</v>
      </c>
      <c r="H1109" s="9"/>
      <c r="I1109" s="9">
        <f t="shared" si="85"/>
        <v>82.4433768</v>
      </c>
      <c r="J1109" s="9">
        <f t="shared" si="86"/>
        <v>87.70572</v>
      </c>
      <c r="K1109" s="9">
        <f t="shared" si="87"/>
        <v>96.476292</v>
      </c>
      <c r="L1109" s="9">
        <f t="shared" si="88"/>
        <v>122.788008</v>
      </c>
      <c r="M1109" s="9">
        <f t="shared" si="89"/>
        <v>149.099724</v>
      </c>
    </row>
    <row r="1110" spans="2:13">
      <c r="B1110" t="s">
        <v>2207</v>
      </c>
      <c r="C1110" s="4" t="s">
        <v>2208</v>
      </c>
      <c r="D1110" s="4" t="s">
        <v>2208</v>
      </c>
      <c r="E1110" s="4" t="s">
        <v>2208</v>
      </c>
      <c r="F1110" s="4" t="s">
        <v>2208</v>
      </c>
      <c r="G1110" s="5">
        <v>99.98244</v>
      </c>
      <c r="H1110" s="9"/>
      <c r="I1110" s="9">
        <f t="shared" si="85"/>
        <v>46.9917468</v>
      </c>
      <c r="J1110" s="9">
        <f t="shared" si="86"/>
        <v>49.99122</v>
      </c>
      <c r="K1110" s="9">
        <f t="shared" si="87"/>
        <v>54.990342</v>
      </c>
      <c r="L1110" s="9">
        <f t="shared" si="88"/>
        <v>69.987708</v>
      </c>
      <c r="M1110" s="9">
        <f t="shared" si="89"/>
        <v>84.985074</v>
      </c>
    </row>
    <row r="1111" ht="27" spans="2:13">
      <c r="B1111" t="s">
        <v>2209</v>
      </c>
      <c r="C1111" s="4" t="s">
        <v>2210</v>
      </c>
      <c r="D1111" s="4" t="s">
        <v>2210</v>
      </c>
      <c r="E1111" s="4" t="s">
        <v>2210</v>
      </c>
      <c r="F1111" s="4" t="s">
        <v>2210</v>
      </c>
      <c r="G1111" s="5">
        <v>519.78384</v>
      </c>
      <c r="H1111" s="9"/>
      <c r="I1111" s="9">
        <f t="shared" si="85"/>
        <v>244.2984048</v>
      </c>
      <c r="J1111" s="9">
        <f t="shared" si="86"/>
        <v>259.89192</v>
      </c>
      <c r="K1111" s="9">
        <f t="shared" si="87"/>
        <v>285.881112</v>
      </c>
      <c r="L1111" s="9">
        <f t="shared" si="88"/>
        <v>363.848688</v>
      </c>
      <c r="M1111" s="9">
        <f t="shared" si="89"/>
        <v>441.816264</v>
      </c>
    </row>
    <row r="1112" spans="2:13">
      <c r="B1112" t="s">
        <v>2211</v>
      </c>
      <c r="C1112" s="4" t="s">
        <v>2212</v>
      </c>
      <c r="D1112" s="4" t="s">
        <v>2212</v>
      </c>
      <c r="E1112" s="4" t="s">
        <v>2212</v>
      </c>
      <c r="F1112" s="4" t="s">
        <v>2212</v>
      </c>
      <c r="G1112" s="5">
        <v>120.6864</v>
      </c>
      <c r="H1112" s="9"/>
      <c r="I1112" s="9">
        <f t="shared" si="85"/>
        <v>56.722608</v>
      </c>
      <c r="J1112" s="9">
        <f t="shared" si="86"/>
        <v>60.3432</v>
      </c>
      <c r="K1112" s="9">
        <f t="shared" si="87"/>
        <v>66.37752</v>
      </c>
      <c r="L1112" s="9">
        <f t="shared" si="88"/>
        <v>84.48048</v>
      </c>
      <c r="M1112" s="9">
        <f t="shared" si="89"/>
        <v>102.58344</v>
      </c>
    </row>
    <row r="1113" spans="2:13">
      <c r="B1113" t="s">
        <v>2213</v>
      </c>
      <c r="C1113" s="4" t="s">
        <v>2214</v>
      </c>
      <c r="D1113" s="4" t="s">
        <v>2214</v>
      </c>
      <c r="E1113" s="4" t="s">
        <v>2214</v>
      </c>
      <c r="F1113" s="4" t="s">
        <v>2214</v>
      </c>
      <c r="G1113" s="5">
        <v>116.42076</v>
      </c>
      <c r="H1113" s="9"/>
      <c r="I1113" s="9">
        <f t="shared" si="85"/>
        <v>54.7177572</v>
      </c>
      <c r="J1113" s="9">
        <f t="shared" si="86"/>
        <v>58.21038</v>
      </c>
      <c r="K1113" s="9">
        <f t="shared" si="87"/>
        <v>64.031418</v>
      </c>
      <c r="L1113" s="9">
        <f t="shared" si="88"/>
        <v>81.494532</v>
      </c>
      <c r="M1113" s="9">
        <f t="shared" si="89"/>
        <v>98.957646</v>
      </c>
    </row>
    <row r="1114" spans="2:13">
      <c r="B1114" t="s">
        <v>2215</v>
      </c>
      <c r="C1114" s="4" t="s">
        <v>2216</v>
      </c>
      <c r="D1114" s="4" t="s">
        <v>2216</v>
      </c>
      <c r="E1114" s="4" t="s">
        <v>2216</v>
      </c>
      <c r="F1114" s="4" t="s">
        <v>2216</v>
      </c>
      <c r="G1114" s="5">
        <v>158.34888</v>
      </c>
      <c r="H1114" s="9"/>
      <c r="I1114" s="9">
        <f t="shared" si="85"/>
        <v>74.4239736</v>
      </c>
      <c r="J1114" s="9">
        <f t="shared" si="86"/>
        <v>79.17444</v>
      </c>
      <c r="K1114" s="9">
        <f t="shared" si="87"/>
        <v>87.091884</v>
      </c>
      <c r="L1114" s="9">
        <f t="shared" si="88"/>
        <v>110.844216</v>
      </c>
      <c r="M1114" s="9">
        <f t="shared" si="89"/>
        <v>134.596548</v>
      </c>
    </row>
    <row r="1115" spans="2:13">
      <c r="B1115" t="s">
        <v>2217</v>
      </c>
      <c r="C1115" s="4" t="s">
        <v>2218</v>
      </c>
      <c r="D1115" s="4" t="s">
        <v>2218</v>
      </c>
      <c r="E1115" s="4" t="s">
        <v>2218</v>
      </c>
      <c r="F1115" s="4" t="s">
        <v>2218</v>
      </c>
      <c r="G1115" s="5">
        <v>158.34888</v>
      </c>
      <c r="H1115" s="9"/>
      <c r="I1115" s="9">
        <f t="shared" si="85"/>
        <v>74.4239736</v>
      </c>
      <c r="J1115" s="9">
        <f t="shared" si="86"/>
        <v>79.17444</v>
      </c>
      <c r="K1115" s="9">
        <f t="shared" si="87"/>
        <v>87.091884</v>
      </c>
      <c r="L1115" s="9">
        <f t="shared" si="88"/>
        <v>110.844216</v>
      </c>
      <c r="M1115" s="9">
        <f t="shared" si="89"/>
        <v>134.596548</v>
      </c>
    </row>
    <row r="1116" ht="27" spans="2:13">
      <c r="B1116" t="s">
        <v>2219</v>
      </c>
      <c r="C1116" s="4" t="s">
        <v>2220</v>
      </c>
      <c r="D1116" s="4" t="s">
        <v>2220</v>
      </c>
      <c r="E1116" s="4" t="s">
        <v>2220</v>
      </c>
      <c r="F1116" s="4" t="s">
        <v>2220</v>
      </c>
      <c r="G1116" s="5">
        <v>222.02136</v>
      </c>
      <c r="H1116" s="9"/>
      <c r="I1116" s="9">
        <f t="shared" si="85"/>
        <v>104.3500392</v>
      </c>
      <c r="J1116" s="9">
        <f t="shared" si="86"/>
        <v>111.01068</v>
      </c>
      <c r="K1116" s="9">
        <f t="shared" si="87"/>
        <v>122.111748</v>
      </c>
      <c r="L1116" s="9">
        <f t="shared" si="88"/>
        <v>155.414952</v>
      </c>
      <c r="M1116" s="9">
        <f t="shared" si="89"/>
        <v>188.718156</v>
      </c>
    </row>
    <row r="1117" ht="27" spans="2:13">
      <c r="B1117" t="s">
        <v>2221</v>
      </c>
      <c r="C1117" s="4" t="s">
        <v>2222</v>
      </c>
      <c r="D1117" s="4" t="s">
        <v>2222</v>
      </c>
      <c r="E1117" s="4" t="s">
        <v>2222</v>
      </c>
      <c r="F1117" s="4" t="s">
        <v>2222</v>
      </c>
      <c r="G1117" s="5">
        <v>222.02136</v>
      </c>
      <c r="H1117" s="9"/>
      <c r="I1117" s="9">
        <f t="shared" si="85"/>
        <v>104.3500392</v>
      </c>
      <c r="J1117" s="9">
        <f t="shared" si="86"/>
        <v>111.01068</v>
      </c>
      <c r="K1117" s="9">
        <f t="shared" si="87"/>
        <v>122.111748</v>
      </c>
      <c r="L1117" s="9">
        <f t="shared" si="88"/>
        <v>155.414952</v>
      </c>
      <c r="M1117" s="9">
        <f t="shared" si="89"/>
        <v>188.718156</v>
      </c>
    </row>
    <row r="1118" ht="27" spans="2:13">
      <c r="B1118" t="s">
        <v>2223</v>
      </c>
      <c r="C1118" s="4" t="s">
        <v>2224</v>
      </c>
      <c r="D1118" s="4" t="s">
        <v>2224</v>
      </c>
      <c r="E1118" s="4" t="s">
        <v>2224</v>
      </c>
      <c r="F1118" s="4" t="s">
        <v>2224</v>
      </c>
      <c r="G1118" s="5">
        <v>695.29932</v>
      </c>
      <c r="H1118" s="9"/>
      <c r="I1118" s="9">
        <f t="shared" si="85"/>
        <v>326.7906804</v>
      </c>
      <c r="J1118" s="9">
        <f t="shared" si="86"/>
        <v>347.64966</v>
      </c>
      <c r="K1118" s="9">
        <f t="shared" si="87"/>
        <v>382.414626</v>
      </c>
      <c r="L1118" s="9">
        <f t="shared" si="88"/>
        <v>486.709524</v>
      </c>
      <c r="M1118" s="9">
        <f t="shared" si="89"/>
        <v>591.004422</v>
      </c>
    </row>
    <row r="1119" spans="2:13">
      <c r="B1119" t="s">
        <v>2225</v>
      </c>
      <c r="C1119" s="4" t="s">
        <v>2226</v>
      </c>
      <c r="D1119" s="4" t="s">
        <v>2226</v>
      </c>
      <c r="E1119" s="4" t="s">
        <v>2226</v>
      </c>
      <c r="F1119" s="4" t="s">
        <v>2226</v>
      </c>
      <c r="G1119" s="5">
        <v>206.5194</v>
      </c>
      <c r="H1119" s="9"/>
      <c r="I1119" s="9">
        <f t="shared" si="85"/>
        <v>97.064118</v>
      </c>
      <c r="J1119" s="9">
        <f t="shared" si="86"/>
        <v>103.2597</v>
      </c>
      <c r="K1119" s="9">
        <f t="shared" si="87"/>
        <v>113.58567</v>
      </c>
      <c r="L1119" s="9">
        <f t="shared" si="88"/>
        <v>144.56358</v>
      </c>
      <c r="M1119" s="9">
        <f t="shared" si="89"/>
        <v>175.54149</v>
      </c>
    </row>
    <row r="1120" spans="2:13">
      <c r="B1120" t="s">
        <v>2227</v>
      </c>
      <c r="C1120" s="4" t="s">
        <v>2228</v>
      </c>
      <c r="D1120" s="4" t="s">
        <v>2228</v>
      </c>
      <c r="E1120" s="4" t="s">
        <v>2228</v>
      </c>
      <c r="F1120" s="4" t="s">
        <v>2228</v>
      </c>
      <c r="G1120" s="5">
        <v>279.13932</v>
      </c>
      <c r="H1120" s="9"/>
      <c r="I1120" s="9">
        <f t="shared" si="85"/>
        <v>131.1954804</v>
      </c>
      <c r="J1120" s="9">
        <f t="shared" si="86"/>
        <v>139.56966</v>
      </c>
      <c r="K1120" s="9">
        <f t="shared" si="87"/>
        <v>153.526626</v>
      </c>
      <c r="L1120" s="9">
        <f t="shared" si="88"/>
        <v>195.397524</v>
      </c>
      <c r="M1120" s="9">
        <f t="shared" si="89"/>
        <v>237.268422</v>
      </c>
    </row>
    <row r="1121" spans="2:13">
      <c r="B1121" t="s">
        <v>2229</v>
      </c>
      <c r="C1121" s="4" t="s">
        <v>2230</v>
      </c>
      <c r="D1121" s="4" t="s">
        <v>2230</v>
      </c>
      <c r="E1121" s="4" t="s">
        <v>2230</v>
      </c>
      <c r="F1121" s="4" t="s">
        <v>2230</v>
      </c>
      <c r="G1121" s="5">
        <v>279.13932</v>
      </c>
      <c r="H1121" s="9"/>
      <c r="I1121" s="9">
        <f t="shared" si="85"/>
        <v>131.1954804</v>
      </c>
      <c r="J1121" s="9">
        <f t="shared" si="86"/>
        <v>139.56966</v>
      </c>
      <c r="K1121" s="9">
        <f t="shared" si="87"/>
        <v>153.526626</v>
      </c>
      <c r="L1121" s="9">
        <f t="shared" si="88"/>
        <v>195.397524</v>
      </c>
      <c r="M1121" s="9">
        <f t="shared" si="89"/>
        <v>237.268422</v>
      </c>
    </row>
    <row r="1122" ht="27" spans="2:13">
      <c r="B1122" t="s">
        <v>2231</v>
      </c>
      <c r="C1122" s="4" t="s">
        <v>2232</v>
      </c>
      <c r="D1122" s="4" t="s">
        <v>2232</v>
      </c>
      <c r="E1122" s="4" t="s">
        <v>2232</v>
      </c>
      <c r="F1122" s="4" t="s">
        <v>2232</v>
      </c>
      <c r="G1122" s="5" t="s">
        <v>1169</v>
      </c>
      <c r="H1122" s="9"/>
      <c r="I1122" s="9" t="e">
        <f t="shared" si="85"/>
        <v>#VALUE!</v>
      </c>
      <c r="J1122" s="9" t="e">
        <f t="shared" si="86"/>
        <v>#VALUE!</v>
      </c>
      <c r="K1122" s="9" t="e">
        <f t="shared" si="87"/>
        <v>#VALUE!</v>
      </c>
      <c r="L1122" s="9" t="e">
        <f t="shared" si="88"/>
        <v>#VALUE!</v>
      </c>
      <c r="M1122" s="9" t="e">
        <f t="shared" si="89"/>
        <v>#VALUE!</v>
      </c>
    </row>
    <row r="1123" ht="27" spans="2:13">
      <c r="B1123" t="s">
        <v>2233</v>
      </c>
      <c r="C1123" s="4" t="s">
        <v>2234</v>
      </c>
      <c r="D1123" s="4" t="s">
        <v>2234</v>
      </c>
      <c r="E1123" s="4" t="s">
        <v>2234</v>
      </c>
      <c r="F1123" s="4" t="s">
        <v>2234</v>
      </c>
      <c r="G1123" s="5">
        <v>465.26688</v>
      </c>
      <c r="H1123" s="9"/>
      <c r="I1123" s="9">
        <f t="shared" si="85"/>
        <v>218.6754336</v>
      </c>
      <c r="J1123" s="9">
        <f t="shared" si="86"/>
        <v>232.63344</v>
      </c>
      <c r="K1123" s="9">
        <f t="shared" si="87"/>
        <v>255.896784</v>
      </c>
      <c r="L1123" s="9">
        <f t="shared" si="88"/>
        <v>325.686816</v>
      </c>
      <c r="M1123" s="9">
        <f t="shared" si="89"/>
        <v>395.476848</v>
      </c>
    </row>
    <row r="1124" ht="27" spans="2:13">
      <c r="B1124" t="s">
        <v>2235</v>
      </c>
      <c r="C1124" s="4" t="s">
        <v>2236</v>
      </c>
      <c r="D1124" s="4" t="s">
        <v>2236</v>
      </c>
      <c r="E1124" s="4" t="s">
        <v>2236</v>
      </c>
      <c r="F1124" s="4" t="s">
        <v>2236</v>
      </c>
      <c r="G1124" s="5">
        <v>669.8034</v>
      </c>
      <c r="H1124" s="9"/>
      <c r="I1124" s="9">
        <f t="shared" si="85"/>
        <v>314.807598</v>
      </c>
      <c r="J1124" s="9">
        <f t="shared" si="86"/>
        <v>334.9017</v>
      </c>
      <c r="K1124" s="9">
        <f t="shared" si="87"/>
        <v>368.39187</v>
      </c>
      <c r="L1124" s="9">
        <f t="shared" si="88"/>
        <v>468.86238</v>
      </c>
      <c r="M1124" s="9">
        <f t="shared" si="89"/>
        <v>569.33289</v>
      </c>
    </row>
    <row r="1125" ht="27" spans="2:13">
      <c r="B1125" t="s">
        <v>2237</v>
      </c>
      <c r="C1125" s="4" t="s">
        <v>2238</v>
      </c>
      <c r="D1125" s="4" t="s">
        <v>2238</v>
      </c>
      <c r="E1125" s="4" t="s">
        <v>2238</v>
      </c>
      <c r="F1125" s="4" t="s">
        <v>2238</v>
      </c>
      <c r="G1125" s="5">
        <v>322.68006</v>
      </c>
      <c r="H1125" s="9"/>
      <c r="I1125" s="9">
        <f t="shared" si="85"/>
        <v>151.6596282</v>
      </c>
      <c r="J1125" s="9">
        <f t="shared" si="86"/>
        <v>161.34003</v>
      </c>
      <c r="K1125" s="9">
        <f t="shared" si="87"/>
        <v>177.474033</v>
      </c>
      <c r="L1125" s="9">
        <f t="shared" si="88"/>
        <v>225.876042</v>
      </c>
      <c r="M1125" s="9">
        <f t="shared" si="89"/>
        <v>274.278051</v>
      </c>
    </row>
    <row r="1126" spans="2:13">
      <c r="B1126" t="s">
        <v>2239</v>
      </c>
      <c r="C1126" s="4" t="s">
        <v>2240</v>
      </c>
      <c r="D1126" s="4" t="s">
        <v>2240</v>
      </c>
      <c r="E1126" s="4" t="s">
        <v>2240</v>
      </c>
      <c r="F1126" s="4" t="s">
        <v>2240</v>
      </c>
      <c r="G1126" s="5">
        <v>164.59128</v>
      </c>
      <c r="H1126" s="9"/>
      <c r="I1126" s="9">
        <f t="shared" si="85"/>
        <v>77.3579016</v>
      </c>
      <c r="J1126" s="9">
        <f t="shared" si="86"/>
        <v>82.29564</v>
      </c>
      <c r="K1126" s="9">
        <f t="shared" si="87"/>
        <v>90.525204</v>
      </c>
      <c r="L1126" s="9">
        <f t="shared" si="88"/>
        <v>115.213896</v>
      </c>
      <c r="M1126" s="9">
        <f t="shared" si="89"/>
        <v>139.902588</v>
      </c>
    </row>
    <row r="1127" ht="40.5" spans="2:13">
      <c r="B1127" t="s">
        <v>2241</v>
      </c>
      <c r="C1127" s="4" t="s">
        <v>2242</v>
      </c>
      <c r="D1127" s="4" t="s">
        <v>2242</v>
      </c>
      <c r="E1127" s="4" t="s">
        <v>2242</v>
      </c>
      <c r="F1127" s="4" t="s">
        <v>2242</v>
      </c>
      <c r="G1127" s="5">
        <v>7.6125</v>
      </c>
      <c r="H1127" s="9"/>
      <c r="I1127" s="9">
        <f t="shared" si="85"/>
        <v>3.577875</v>
      </c>
      <c r="J1127" s="9">
        <f t="shared" si="86"/>
        <v>3.80625</v>
      </c>
      <c r="K1127" s="9">
        <f t="shared" si="87"/>
        <v>4.186875</v>
      </c>
      <c r="L1127" s="9">
        <f t="shared" si="88"/>
        <v>5.32875</v>
      </c>
      <c r="M1127" s="9">
        <f t="shared" si="89"/>
        <v>6.470625</v>
      </c>
    </row>
    <row r="1128" ht="40.5" spans="2:13">
      <c r="B1128" t="s">
        <v>2243</v>
      </c>
      <c r="C1128" s="4" t="s">
        <v>2244</v>
      </c>
      <c r="D1128" s="4" t="s">
        <v>2244</v>
      </c>
      <c r="E1128" s="4" t="s">
        <v>2244</v>
      </c>
      <c r="F1128" s="4" t="s">
        <v>2244</v>
      </c>
      <c r="G1128" s="5">
        <v>7.6125</v>
      </c>
      <c r="H1128" s="9"/>
      <c r="I1128" s="9">
        <f t="shared" si="85"/>
        <v>3.577875</v>
      </c>
      <c r="J1128" s="9">
        <f t="shared" si="86"/>
        <v>3.80625</v>
      </c>
      <c r="K1128" s="9">
        <f t="shared" si="87"/>
        <v>4.186875</v>
      </c>
      <c r="L1128" s="9">
        <f t="shared" si="88"/>
        <v>5.32875</v>
      </c>
      <c r="M1128" s="9">
        <f t="shared" si="89"/>
        <v>6.470625</v>
      </c>
    </row>
    <row r="1129" ht="40.5" spans="2:13">
      <c r="B1129" t="s">
        <v>2245</v>
      </c>
      <c r="C1129" s="4" t="s">
        <v>2246</v>
      </c>
      <c r="D1129" s="4" t="s">
        <v>2246</v>
      </c>
      <c r="E1129" s="4" t="s">
        <v>2246</v>
      </c>
      <c r="F1129" s="4" t="s">
        <v>2246</v>
      </c>
      <c r="G1129" s="5">
        <v>7.6125</v>
      </c>
      <c r="H1129" s="9"/>
      <c r="I1129" s="9">
        <f t="shared" si="85"/>
        <v>3.577875</v>
      </c>
      <c r="J1129" s="9">
        <f t="shared" si="86"/>
        <v>3.80625</v>
      </c>
      <c r="K1129" s="9">
        <f t="shared" si="87"/>
        <v>4.186875</v>
      </c>
      <c r="L1129" s="9">
        <f t="shared" si="88"/>
        <v>5.32875</v>
      </c>
      <c r="M1129" s="9">
        <f t="shared" si="89"/>
        <v>6.470625</v>
      </c>
    </row>
    <row r="1130" ht="40.5" spans="2:13">
      <c r="B1130" t="s">
        <v>2247</v>
      </c>
      <c r="C1130" s="4" t="s">
        <v>2248</v>
      </c>
      <c r="D1130" s="4" t="s">
        <v>2248</v>
      </c>
      <c r="E1130" s="4" t="s">
        <v>2248</v>
      </c>
      <c r="F1130" s="4" t="s">
        <v>2248</v>
      </c>
      <c r="G1130" s="5">
        <v>7.6125</v>
      </c>
      <c r="H1130" s="9"/>
      <c r="I1130" s="9">
        <f t="shared" si="85"/>
        <v>3.577875</v>
      </c>
      <c r="J1130" s="9">
        <f t="shared" si="86"/>
        <v>3.80625</v>
      </c>
      <c r="K1130" s="9">
        <f t="shared" si="87"/>
        <v>4.186875</v>
      </c>
      <c r="L1130" s="9">
        <f t="shared" si="88"/>
        <v>5.32875</v>
      </c>
      <c r="M1130" s="9">
        <f t="shared" si="89"/>
        <v>6.470625</v>
      </c>
    </row>
    <row r="1131" ht="40.5" spans="2:13">
      <c r="B1131" t="s">
        <v>2249</v>
      </c>
      <c r="C1131" s="4" t="s">
        <v>2250</v>
      </c>
      <c r="D1131" s="4" t="s">
        <v>2250</v>
      </c>
      <c r="E1131" s="4" t="s">
        <v>2250</v>
      </c>
      <c r="F1131" s="4" t="s">
        <v>2250</v>
      </c>
      <c r="G1131" s="5">
        <v>7.395</v>
      </c>
      <c r="H1131" s="9"/>
      <c r="I1131" s="9">
        <f t="shared" si="85"/>
        <v>3.47565</v>
      </c>
      <c r="J1131" s="9">
        <f t="shared" si="86"/>
        <v>3.6975</v>
      </c>
      <c r="K1131" s="9">
        <f t="shared" si="87"/>
        <v>4.06725</v>
      </c>
      <c r="L1131" s="9">
        <f t="shared" si="88"/>
        <v>5.1765</v>
      </c>
      <c r="M1131" s="9">
        <f t="shared" si="89"/>
        <v>6.28575</v>
      </c>
    </row>
    <row r="1132" ht="40.5" spans="2:13">
      <c r="B1132" t="s">
        <v>2251</v>
      </c>
      <c r="C1132" s="4" t="s">
        <v>2252</v>
      </c>
      <c r="D1132" s="4" t="s">
        <v>2252</v>
      </c>
      <c r="E1132" s="4" t="s">
        <v>2252</v>
      </c>
      <c r="F1132" s="4" t="s">
        <v>2252</v>
      </c>
      <c r="G1132" s="5">
        <v>7.395</v>
      </c>
      <c r="H1132" s="9"/>
      <c r="I1132" s="9">
        <f t="shared" si="85"/>
        <v>3.47565</v>
      </c>
      <c r="J1132" s="9">
        <f t="shared" si="86"/>
        <v>3.6975</v>
      </c>
      <c r="K1132" s="9">
        <f t="shared" si="87"/>
        <v>4.06725</v>
      </c>
      <c r="L1132" s="9">
        <f t="shared" si="88"/>
        <v>5.1765</v>
      </c>
      <c r="M1132" s="9">
        <f t="shared" si="89"/>
        <v>6.28575</v>
      </c>
    </row>
    <row r="1133" ht="40.5" spans="2:13">
      <c r="B1133" t="s">
        <v>2253</v>
      </c>
      <c r="C1133" s="4" t="s">
        <v>2254</v>
      </c>
      <c r="D1133" s="4" t="s">
        <v>2254</v>
      </c>
      <c r="E1133" s="4" t="s">
        <v>2254</v>
      </c>
      <c r="F1133" s="4" t="s">
        <v>2254</v>
      </c>
      <c r="G1133" s="5">
        <v>7.6125</v>
      </c>
      <c r="H1133" s="9"/>
      <c r="I1133" s="9">
        <f t="shared" si="85"/>
        <v>3.577875</v>
      </c>
      <c r="J1133" s="9">
        <f t="shared" si="86"/>
        <v>3.80625</v>
      </c>
      <c r="K1133" s="9">
        <f t="shared" si="87"/>
        <v>4.186875</v>
      </c>
      <c r="L1133" s="9">
        <f t="shared" si="88"/>
        <v>5.32875</v>
      </c>
      <c r="M1133" s="9">
        <f t="shared" si="89"/>
        <v>6.470625</v>
      </c>
    </row>
    <row r="1134" ht="40.5" spans="2:13">
      <c r="B1134" t="s">
        <v>2255</v>
      </c>
      <c r="C1134" s="4" t="s">
        <v>2256</v>
      </c>
      <c r="D1134" s="4" t="s">
        <v>2256</v>
      </c>
      <c r="E1134" s="4" t="s">
        <v>2256</v>
      </c>
      <c r="F1134" s="4" t="s">
        <v>2256</v>
      </c>
      <c r="G1134" s="5">
        <v>7.6125</v>
      </c>
      <c r="H1134" s="9"/>
      <c r="I1134" s="9">
        <f t="shared" si="85"/>
        <v>3.577875</v>
      </c>
      <c r="J1134" s="9">
        <f t="shared" si="86"/>
        <v>3.80625</v>
      </c>
      <c r="K1134" s="9">
        <f t="shared" si="87"/>
        <v>4.186875</v>
      </c>
      <c r="L1134" s="9">
        <f t="shared" si="88"/>
        <v>5.32875</v>
      </c>
      <c r="M1134" s="9">
        <f t="shared" si="89"/>
        <v>6.470625</v>
      </c>
    </row>
    <row r="1135" ht="27" spans="2:13">
      <c r="B1135" t="s">
        <v>2257</v>
      </c>
      <c r="C1135" s="4" t="s">
        <v>2258</v>
      </c>
      <c r="D1135" s="4" t="s">
        <v>2258</v>
      </c>
      <c r="E1135" s="4" t="s">
        <v>2258</v>
      </c>
      <c r="F1135" s="4" t="s">
        <v>2258</v>
      </c>
      <c r="G1135" s="5">
        <v>192.68208</v>
      </c>
      <c r="H1135" s="9"/>
      <c r="I1135" s="9">
        <f t="shared" si="85"/>
        <v>90.5605776</v>
      </c>
      <c r="J1135" s="9">
        <f t="shared" si="86"/>
        <v>96.34104</v>
      </c>
      <c r="K1135" s="9">
        <f t="shared" si="87"/>
        <v>105.975144</v>
      </c>
      <c r="L1135" s="9">
        <f t="shared" si="88"/>
        <v>134.877456</v>
      </c>
      <c r="M1135" s="9">
        <f t="shared" si="89"/>
        <v>163.779768</v>
      </c>
    </row>
    <row r="1136" ht="27" spans="2:13">
      <c r="B1136" t="s">
        <v>2259</v>
      </c>
      <c r="C1136" s="4" t="s">
        <v>2260</v>
      </c>
      <c r="D1136" s="4" t="s">
        <v>2260</v>
      </c>
      <c r="E1136" s="4" t="s">
        <v>2260</v>
      </c>
      <c r="F1136" s="4" t="s">
        <v>2260</v>
      </c>
      <c r="G1136" s="5">
        <v>6.86664</v>
      </c>
      <c r="H1136" s="9"/>
      <c r="I1136" s="9">
        <f t="shared" si="85"/>
        <v>3.2273208</v>
      </c>
      <c r="J1136" s="9">
        <f t="shared" si="86"/>
        <v>3.43332</v>
      </c>
      <c r="K1136" s="9">
        <f t="shared" si="87"/>
        <v>3.776652</v>
      </c>
      <c r="L1136" s="9">
        <f t="shared" si="88"/>
        <v>4.806648</v>
      </c>
      <c r="M1136" s="9">
        <f t="shared" si="89"/>
        <v>5.836644</v>
      </c>
    </row>
    <row r="1137" spans="2:13">
      <c r="B1137" t="s">
        <v>2261</v>
      </c>
      <c r="C1137" s="4" t="s">
        <v>2262</v>
      </c>
      <c r="D1137" s="4" t="s">
        <v>2262</v>
      </c>
      <c r="E1137" s="4" t="s">
        <v>2262</v>
      </c>
      <c r="F1137" s="4" t="s">
        <v>2262</v>
      </c>
      <c r="G1137" s="5">
        <v>22.05648</v>
      </c>
      <c r="H1137" s="9"/>
      <c r="I1137" s="9">
        <f t="shared" si="85"/>
        <v>10.3665456</v>
      </c>
      <c r="J1137" s="9">
        <f t="shared" si="86"/>
        <v>11.02824</v>
      </c>
      <c r="K1137" s="9">
        <f t="shared" si="87"/>
        <v>12.131064</v>
      </c>
      <c r="L1137" s="9">
        <f t="shared" si="88"/>
        <v>15.439536</v>
      </c>
      <c r="M1137" s="9">
        <f t="shared" si="89"/>
        <v>18.748008</v>
      </c>
    </row>
    <row r="1138" ht="27" spans="2:13">
      <c r="B1138" t="s">
        <v>2263</v>
      </c>
      <c r="C1138" s="4" t="s">
        <v>2264</v>
      </c>
      <c r="D1138" s="4" t="s">
        <v>2264</v>
      </c>
      <c r="E1138" s="4" t="s">
        <v>2264</v>
      </c>
      <c r="F1138" s="4" t="s">
        <v>2264</v>
      </c>
      <c r="G1138" s="5">
        <v>18.4314</v>
      </c>
      <c r="H1138" s="9"/>
      <c r="I1138" s="9">
        <f t="shared" si="85"/>
        <v>8.662758</v>
      </c>
      <c r="J1138" s="9">
        <f t="shared" si="86"/>
        <v>9.2157</v>
      </c>
      <c r="K1138" s="9">
        <f t="shared" si="87"/>
        <v>10.13727</v>
      </c>
      <c r="L1138" s="9">
        <f t="shared" si="88"/>
        <v>12.90198</v>
      </c>
      <c r="M1138" s="9">
        <f t="shared" si="89"/>
        <v>15.66669</v>
      </c>
    </row>
    <row r="1139" spans="2:13">
      <c r="B1139" t="s">
        <v>2265</v>
      </c>
      <c r="C1139" s="4" t="s">
        <v>2266</v>
      </c>
      <c r="D1139" s="4" t="s">
        <v>2266</v>
      </c>
      <c r="E1139" s="4" t="s">
        <v>2266</v>
      </c>
      <c r="F1139" s="4" t="s">
        <v>2266</v>
      </c>
      <c r="G1139" s="5">
        <v>159.59736</v>
      </c>
      <c r="H1139" s="9"/>
      <c r="I1139" s="9">
        <f t="shared" si="85"/>
        <v>75.0107592</v>
      </c>
      <c r="J1139" s="9">
        <f t="shared" si="86"/>
        <v>79.79868</v>
      </c>
      <c r="K1139" s="9">
        <f t="shared" si="87"/>
        <v>87.778548</v>
      </c>
      <c r="L1139" s="9">
        <f t="shared" si="88"/>
        <v>111.718152</v>
      </c>
      <c r="M1139" s="9">
        <f t="shared" si="89"/>
        <v>135.657756</v>
      </c>
    </row>
    <row r="1140" ht="27" spans="2:13">
      <c r="B1140" t="s">
        <v>2267</v>
      </c>
      <c r="C1140" s="4" t="s">
        <v>2268</v>
      </c>
      <c r="D1140" s="4" t="s">
        <v>2268</v>
      </c>
      <c r="E1140" s="4" t="s">
        <v>2268</v>
      </c>
      <c r="F1140" s="4" t="s">
        <v>2268</v>
      </c>
      <c r="G1140" s="5">
        <v>437.59224</v>
      </c>
      <c r="H1140" s="9"/>
      <c r="I1140" s="9">
        <f t="shared" si="85"/>
        <v>205.6683528</v>
      </c>
      <c r="J1140" s="9">
        <f t="shared" si="86"/>
        <v>218.79612</v>
      </c>
      <c r="K1140" s="9">
        <f t="shared" si="87"/>
        <v>240.675732</v>
      </c>
      <c r="L1140" s="9">
        <f t="shared" si="88"/>
        <v>306.314568</v>
      </c>
      <c r="M1140" s="9">
        <f t="shared" si="89"/>
        <v>371.953404</v>
      </c>
    </row>
    <row r="1141" ht="27" spans="2:13">
      <c r="B1141" t="s">
        <v>2269</v>
      </c>
      <c r="C1141" s="4" t="s">
        <v>2270</v>
      </c>
      <c r="D1141" s="4" t="s">
        <v>2270</v>
      </c>
      <c r="E1141" s="4" t="s">
        <v>2270</v>
      </c>
      <c r="F1141" s="4" t="s">
        <v>2270</v>
      </c>
      <c r="G1141" s="5">
        <v>245.95056</v>
      </c>
      <c r="H1141" s="9"/>
      <c r="I1141" s="9">
        <f t="shared" si="85"/>
        <v>115.5967632</v>
      </c>
      <c r="J1141" s="9">
        <f t="shared" si="86"/>
        <v>122.97528</v>
      </c>
      <c r="K1141" s="9">
        <f t="shared" si="87"/>
        <v>135.272808</v>
      </c>
      <c r="L1141" s="9">
        <f t="shared" si="88"/>
        <v>172.165392</v>
      </c>
      <c r="M1141" s="9">
        <f t="shared" si="89"/>
        <v>209.057976</v>
      </c>
    </row>
    <row r="1142" ht="27" spans="2:13">
      <c r="B1142" t="s">
        <v>2271</v>
      </c>
      <c r="C1142" s="4" t="s">
        <v>2272</v>
      </c>
      <c r="D1142" s="4" t="s">
        <v>2272</v>
      </c>
      <c r="E1142" s="4" t="s">
        <v>2272</v>
      </c>
      <c r="F1142" s="4" t="s">
        <v>2272</v>
      </c>
      <c r="G1142" s="5">
        <v>16.75044</v>
      </c>
      <c r="H1142" s="9"/>
      <c r="I1142" s="9">
        <f t="shared" si="85"/>
        <v>7.8727068</v>
      </c>
      <c r="J1142" s="9">
        <f t="shared" si="86"/>
        <v>8.37522</v>
      </c>
      <c r="K1142" s="9">
        <f t="shared" si="87"/>
        <v>9.212742</v>
      </c>
      <c r="L1142" s="9">
        <f t="shared" si="88"/>
        <v>11.725308</v>
      </c>
      <c r="M1142" s="9">
        <f t="shared" si="89"/>
        <v>14.237874</v>
      </c>
    </row>
    <row r="1143" ht="40.5" spans="2:13">
      <c r="B1143" t="s">
        <v>2273</v>
      </c>
      <c r="C1143" s="4" t="s">
        <v>2274</v>
      </c>
      <c r="D1143" s="4" t="s">
        <v>2274</v>
      </c>
      <c r="E1143" s="4" t="s">
        <v>2274</v>
      </c>
      <c r="F1143" s="4" t="s">
        <v>2274</v>
      </c>
      <c r="G1143" s="5">
        <v>487.63548</v>
      </c>
      <c r="H1143" s="9"/>
      <c r="I1143" s="9">
        <f t="shared" si="85"/>
        <v>229.1886756</v>
      </c>
      <c r="J1143" s="9">
        <f t="shared" si="86"/>
        <v>243.81774</v>
      </c>
      <c r="K1143" s="9">
        <f t="shared" si="87"/>
        <v>268.199514</v>
      </c>
      <c r="L1143" s="9">
        <f t="shared" si="88"/>
        <v>341.344836</v>
      </c>
      <c r="M1143" s="9">
        <f t="shared" si="89"/>
        <v>414.490158</v>
      </c>
    </row>
    <row r="1144" spans="2:13">
      <c r="B1144" t="s">
        <v>2275</v>
      </c>
      <c r="C1144" s="4" t="s">
        <v>2276</v>
      </c>
      <c r="D1144" s="4" t="s">
        <v>2276</v>
      </c>
      <c r="E1144" s="4" t="s">
        <v>2276</v>
      </c>
      <c r="F1144" s="4" t="s">
        <v>2276</v>
      </c>
      <c r="G1144" s="5">
        <v>22.05648</v>
      </c>
      <c r="H1144" s="9"/>
      <c r="I1144" s="9">
        <f t="shared" si="85"/>
        <v>10.3665456</v>
      </c>
      <c r="J1144" s="9">
        <f t="shared" si="86"/>
        <v>11.02824</v>
      </c>
      <c r="K1144" s="9">
        <f t="shared" si="87"/>
        <v>12.131064</v>
      </c>
      <c r="L1144" s="9">
        <f t="shared" si="88"/>
        <v>15.439536</v>
      </c>
      <c r="M1144" s="9">
        <f t="shared" si="89"/>
        <v>18.748008</v>
      </c>
    </row>
    <row r="1145" ht="27" spans="2:13">
      <c r="B1145" t="s">
        <v>2277</v>
      </c>
      <c r="C1145" s="4" t="s">
        <v>2278</v>
      </c>
      <c r="D1145" s="4" t="s">
        <v>2278</v>
      </c>
      <c r="E1145" s="4" t="s">
        <v>2278</v>
      </c>
      <c r="F1145" s="4" t="s">
        <v>2278</v>
      </c>
      <c r="G1145" s="5">
        <v>699.25284</v>
      </c>
      <c r="H1145" s="9"/>
      <c r="I1145" s="9">
        <f t="shared" si="85"/>
        <v>328.6488348</v>
      </c>
      <c r="J1145" s="9">
        <f t="shared" si="86"/>
        <v>349.62642</v>
      </c>
      <c r="K1145" s="9">
        <f t="shared" si="87"/>
        <v>384.589062</v>
      </c>
      <c r="L1145" s="9">
        <f t="shared" si="88"/>
        <v>489.476988</v>
      </c>
      <c r="M1145" s="9">
        <f t="shared" si="89"/>
        <v>594.364914</v>
      </c>
    </row>
    <row r="1146" spans="2:13">
      <c r="B1146" t="s">
        <v>2279</v>
      </c>
      <c r="C1146" s="4" t="s">
        <v>2280</v>
      </c>
      <c r="D1146" s="4" t="s">
        <v>2280</v>
      </c>
      <c r="E1146" s="4" t="s">
        <v>2280</v>
      </c>
      <c r="F1146" s="4" t="s">
        <v>2280</v>
      </c>
      <c r="G1146" s="5">
        <v>205.79112</v>
      </c>
      <c r="H1146" s="9"/>
      <c r="I1146" s="9">
        <f t="shared" si="85"/>
        <v>96.7218264</v>
      </c>
      <c r="J1146" s="9">
        <f t="shared" si="86"/>
        <v>102.89556</v>
      </c>
      <c r="K1146" s="9">
        <f t="shared" si="87"/>
        <v>113.185116</v>
      </c>
      <c r="L1146" s="9">
        <f t="shared" si="88"/>
        <v>144.053784</v>
      </c>
      <c r="M1146" s="9">
        <f t="shared" si="89"/>
        <v>174.922452</v>
      </c>
    </row>
    <row r="1147" ht="27" spans="2:13">
      <c r="B1147" t="s">
        <v>2281</v>
      </c>
      <c r="C1147" s="4" t="s">
        <v>2282</v>
      </c>
      <c r="D1147" s="4" t="s">
        <v>2282</v>
      </c>
      <c r="E1147" s="4" t="s">
        <v>2282</v>
      </c>
      <c r="F1147" s="4" t="s">
        <v>2282</v>
      </c>
      <c r="G1147" s="5">
        <v>259.47576</v>
      </c>
      <c r="H1147" s="9"/>
      <c r="I1147" s="9">
        <f t="shared" si="85"/>
        <v>121.9536072</v>
      </c>
      <c r="J1147" s="9">
        <f t="shared" si="86"/>
        <v>129.73788</v>
      </c>
      <c r="K1147" s="9">
        <f t="shared" si="87"/>
        <v>142.711668</v>
      </c>
      <c r="L1147" s="9">
        <f t="shared" si="88"/>
        <v>181.633032</v>
      </c>
      <c r="M1147" s="9">
        <f t="shared" si="89"/>
        <v>220.554396</v>
      </c>
    </row>
    <row r="1148" spans="2:13">
      <c r="B1148" t="s">
        <v>2283</v>
      </c>
      <c r="C1148" s="4" t="s">
        <v>2284</v>
      </c>
      <c r="D1148" s="4" t="s">
        <v>2284</v>
      </c>
      <c r="E1148" s="4" t="s">
        <v>2284</v>
      </c>
      <c r="F1148" s="4" t="s">
        <v>2284</v>
      </c>
      <c r="G1148" s="5">
        <v>255.31416</v>
      </c>
      <c r="H1148" s="9"/>
      <c r="I1148" s="9">
        <f t="shared" si="85"/>
        <v>119.9976552</v>
      </c>
      <c r="J1148" s="9">
        <f t="shared" si="86"/>
        <v>127.65708</v>
      </c>
      <c r="K1148" s="9">
        <f t="shared" si="87"/>
        <v>140.422788</v>
      </c>
      <c r="L1148" s="9">
        <f t="shared" si="88"/>
        <v>178.719912</v>
      </c>
      <c r="M1148" s="9">
        <f t="shared" si="89"/>
        <v>217.017036</v>
      </c>
    </row>
    <row r="1149" ht="27" spans="2:13">
      <c r="B1149" t="s">
        <v>2285</v>
      </c>
      <c r="C1149" s="4" t="s">
        <v>2286</v>
      </c>
      <c r="D1149" s="4" t="s">
        <v>2286</v>
      </c>
      <c r="E1149" s="4" t="s">
        <v>2286</v>
      </c>
      <c r="F1149" s="4" t="s">
        <v>2286</v>
      </c>
      <c r="G1149" s="5">
        <v>129.71187</v>
      </c>
      <c r="H1149" s="9"/>
      <c r="I1149" s="9">
        <f t="shared" si="85"/>
        <v>60.9645789</v>
      </c>
      <c r="J1149" s="9">
        <f t="shared" si="86"/>
        <v>64.855935</v>
      </c>
      <c r="K1149" s="9">
        <f t="shared" si="87"/>
        <v>71.3415285</v>
      </c>
      <c r="L1149" s="9">
        <f t="shared" si="88"/>
        <v>90.798309</v>
      </c>
      <c r="M1149" s="9">
        <f t="shared" si="89"/>
        <v>110.2550895</v>
      </c>
    </row>
    <row r="1150" ht="27" spans="2:13">
      <c r="B1150" t="s">
        <v>2287</v>
      </c>
      <c r="C1150" s="4" t="s">
        <v>2288</v>
      </c>
      <c r="D1150" s="4" t="s">
        <v>2288</v>
      </c>
      <c r="E1150" s="4" t="s">
        <v>2288</v>
      </c>
      <c r="F1150" s="4" t="s">
        <v>2288</v>
      </c>
      <c r="G1150" s="5">
        <v>1063.49688</v>
      </c>
      <c r="H1150" s="9"/>
      <c r="I1150" s="9">
        <f t="shared" si="85"/>
        <v>499.8435336</v>
      </c>
      <c r="J1150" s="9">
        <f t="shared" si="86"/>
        <v>531.74844</v>
      </c>
      <c r="K1150" s="9">
        <f t="shared" si="87"/>
        <v>584.923284</v>
      </c>
      <c r="L1150" s="9">
        <f t="shared" si="88"/>
        <v>744.447816</v>
      </c>
      <c r="M1150" s="9">
        <f t="shared" si="89"/>
        <v>903.972348</v>
      </c>
    </row>
    <row r="1151" spans="2:13">
      <c r="B1151" t="s">
        <v>2289</v>
      </c>
      <c r="C1151" s="4" t="s">
        <v>2290</v>
      </c>
      <c r="D1151" s="4" t="s">
        <v>2290</v>
      </c>
      <c r="E1151" s="4" t="s">
        <v>2290</v>
      </c>
      <c r="F1151" s="4" t="s">
        <v>2290</v>
      </c>
      <c r="G1151" s="5">
        <v>175.41144</v>
      </c>
      <c r="H1151" s="9"/>
      <c r="I1151" s="9">
        <f t="shared" si="85"/>
        <v>82.4433768</v>
      </c>
      <c r="J1151" s="9">
        <f t="shared" si="86"/>
        <v>87.70572</v>
      </c>
      <c r="K1151" s="9">
        <f t="shared" si="87"/>
        <v>96.476292</v>
      </c>
      <c r="L1151" s="9">
        <f t="shared" si="88"/>
        <v>122.788008</v>
      </c>
      <c r="M1151" s="9">
        <f t="shared" si="89"/>
        <v>149.099724</v>
      </c>
    </row>
    <row r="1152" spans="2:13">
      <c r="B1152" t="s">
        <v>2291</v>
      </c>
      <c r="C1152" s="4" t="s">
        <v>2292</v>
      </c>
      <c r="D1152" s="4" t="s">
        <v>2292</v>
      </c>
      <c r="E1152" s="4" t="s">
        <v>2292</v>
      </c>
      <c r="F1152" s="4" t="s">
        <v>2292</v>
      </c>
      <c r="G1152" s="5">
        <v>302.13216</v>
      </c>
      <c r="H1152" s="9"/>
      <c r="I1152" s="9">
        <f t="shared" si="85"/>
        <v>142.0021152</v>
      </c>
      <c r="J1152" s="9">
        <f t="shared" si="86"/>
        <v>151.06608</v>
      </c>
      <c r="K1152" s="9">
        <f t="shared" si="87"/>
        <v>166.172688</v>
      </c>
      <c r="L1152" s="9">
        <f t="shared" si="88"/>
        <v>211.492512</v>
      </c>
      <c r="M1152" s="9">
        <f t="shared" si="89"/>
        <v>256.812336</v>
      </c>
    </row>
    <row r="1153" spans="2:13">
      <c r="B1153" t="s">
        <v>2293</v>
      </c>
      <c r="C1153" s="4" t="s">
        <v>2294</v>
      </c>
      <c r="D1153" s="4" t="s">
        <v>2294</v>
      </c>
      <c r="E1153" s="4" t="s">
        <v>2294</v>
      </c>
      <c r="F1153" s="4" t="s">
        <v>2294</v>
      </c>
      <c r="G1153" s="5">
        <v>315.13716</v>
      </c>
      <c r="H1153" s="9"/>
      <c r="I1153" s="9">
        <f t="shared" si="85"/>
        <v>148.1144652</v>
      </c>
      <c r="J1153" s="9">
        <f t="shared" si="86"/>
        <v>157.56858</v>
      </c>
      <c r="K1153" s="9">
        <f t="shared" si="87"/>
        <v>173.325438</v>
      </c>
      <c r="L1153" s="9">
        <f t="shared" si="88"/>
        <v>220.596012</v>
      </c>
      <c r="M1153" s="9">
        <f t="shared" si="89"/>
        <v>267.866586</v>
      </c>
    </row>
    <row r="1154" spans="2:13">
      <c r="B1154" t="s">
        <v>2295</v>
      </c>
      <c r="C1154" s="4" t="s">
        <v>2296</v>
      </c>
      <c r="D1154" s="4" t="s">
        <v>2296</v>
      </c>
      <c r="E1154" s="4" t="s">
        <v>2296</v>
      </c>
      <c r="F1154" s="4" t="s">
        <v>2296</v>
      </c>
      <c r="G1154" s="5">
        <v>315.13716</v>
      </c>
      <c r="H1154" s="9"/>
      <c r="I1154" s="9">
        <f t="shared" si="85"/>
        <v>148.1144652</v>
      </c>
      <c r="J1154" s="9">
        <f t="shared" si="86"/>
        <v>157.56858</v>
      </c>
      <c r="K1154" s="9">
        <f t="shared" si="87"/>
        <v>173.325438</v>
      </c>
      <c r="L1154" s="9">
        <f t="shared" si="88"/>
        <v>220.596012</v>
      </c>
      <c r="M1154" s="9">
        <f t="shared" si="89"/>
        <v>267.866586</v>
      </c>
    </row>
    <row r="1155" ht="27" spans="2:13">
      <c r="B1155" t="s">
        <v>2297</v>
      </c>
      <c r="C1155" s="4" t="s">
        <v>2298</v>
      </c>
      <c r="D1155" s="4" t="s">
        <v>2298</v>
      </c>
      <c r="E1155" s="4" t="s">
        <v>2298</v>
      </c>
      <c r="F1155" s="4" t="s">
        <v>2298</v>
      </c>
      <c r="G1155" s="5">
        <v>465.26688</v>
      </c>
      <c r="H1155" s="9"/>
      <c r="I1155" s="9">
        <f t="shared" si="85"/>
        <v>218.6754336</v>
      </c>
      <c r="J1155" s="9">
        <f t="shared" si="86"/>
        <v>232.63344</v>
      </c>
      <c r="K1155" s="9">
        <f t="shared" si="87"/>
        <v>255.896784</v>
      </c>
      <c r="L1155" s="9">
        <f t="shared" si="88"/>
        <v>325.686816</v>
      </c>
      <c r="M1155" s="9">
        <f t="shared" si="89"/>
        <v>395.476848</v>
      </c>
    </row>
    <row r="1156" ht="27" spans="2:13">
      <c r="B1156" t="s">
        <v>2299</v>
      </c>
      <c r="C1156" s="4" t="s">
        <v>2300</v>
      </c>
      <c r="D1156" s="4" t="s">
        <v>2300</v>
      </c>
      <c r="E1156" s="4" t="s">
        <v>2300</v>
      </c>
      <c r="F1156" s="4" t="s">
        <v>2300</v>
      </c>
      <c r="G1156" s="5">
        <v>768.64752</v>
      </c>
      <c r="H1156" s="9"/>
      <c r="I1156" s="9">
        <f t="shared" ref="I1156:I1219" si="90">G1156*0.47</f>
        <v>361.2643344</v>
      </c>
      <c r="J1156" s="9">
        <f t="shared" ref="J1156:J1219" si="91">G1156*0.5</f>
        <v>384.32376</v>
      </c>
      <c r="K1156" s="9">
        <f t="shared" ref="K1156:K1219" si="92">G1156*0.55</f>
        <v>422.756136</v>
      </c>
      <c r="L1156" s="9">
        <f t="shared" ref="L1156:L1219" si="93">G1156*0.7</f>
        <v>538.053264</v>
      </c>
      <c r="M1156" s="9">
        <f t="shared" ref="M1156:M1219" si="94">G1156*0.85</f>
        <v>653.350392</v>
      </c>
    </row>
    <row r="1157" ht="27" spans="2:13">
      <c r="B1157" t="s">
        <v>2301</v>
      </c>
      <c r="C1157" s="4" t="s">
        <v>2302</v>
      </c>
      <c r="D1157" s="4" t="s">
        <v>2302</v>
      </c>
      <c r="E1157" s="4" t="s">
        <v>2302</v>
      </c>
      <c r="F1157" s="4" t="s">
        <v>2302</v>
      </c>
      <c r="G1157" s="5">
        <v>385.57224</v>
      </c>
      <c r="H1157" s="9"/>
      <c r="I1157" s="9">
        <f t="shared" si="90"/>
        <v>181.2189528</v>
      </c>
      <c r="J1157" s="9">
        <f t="shared" si="91"/>
        <v>192.78612</v>
      </c>
      <c r="K1157" s="9">
        <f t="shared" si="92"/>
        <v>212.064732</v>
      </c>
      <c r="L1157" s="9">
        <f t="shared" si="93"/>
        <v>269.900568</v>
      </c>
      <c r="M1157" s="9">
        <f t="shared" si="94"/>
        <v>327.736404</v>
      </c>
    </row>
    <row r="1158" ht="27" spans="2:13">
      <c r="B1158" t="s">
        <v>2303</v>
      </c>
      <c r="C1158" s="4" t="s">
        <v>2304</v>
      </c>
      <c r="D1158" s="4" t="s">
        <v>2304</v>
      </c>
      <c r="E1158" s="4" t="s">
        <v>2304</v>
      </c>
      <c r="F1158" s="4" t="s">
        <v>2304</v>
      </c>
      <c r="G1158" s="5">
        <v>385.57224</v>
      </c>
      <c r="H1158" s="9"/>
      <c r="I1158" s="9">
        <f t="shared" si="90"/>
        <v>181.2189528</v>
      </c>
      <c r="J1158" s="9">
        <f t="shared" si="91"/>
        <v>192.78612</v>
      </c>
      <c r="K1158" s="9">
        <f t="shared" si="92"/>
        <v>212.064732</v>
      </c>
      <c r="L1158" s="9">
        <f t="shared" si="93"/>
        <v>269.900568</v>
      </c>
      <c r="M1158" s="9">
        <f t="shared" si="94"/>
        <v>327.736404</v>
      </c>
    </row>
    <row r="1159" ht="27" spans="2:13">
      <c r="B1159" t="s">
        <v>2305</v>
      </c>
      <c r="C1159" s="4" t="s">
        <v>2306</v>
      </c>
      <c r="D1159" s="4" t="s">
        <v>2306</v>
      </c>
      <c r="E1159" s="4" t="s">
        <v>2306</v>
      </c>
      <c r="F1159" s="4" t="s">
        <v>2306</v>
      </c>
      <c r="G1159" s="5">
        <v>1595.76552</v>
      </c>
      <c r="H1159" s="9"/>
      <c r="I1159" s="9">
        <f t="shared" si="90"/>
        <v>750.0097944</v>
      </c>
      <c r="J1159" s="9">
        <f t="shared" si="91"/>
        <v>797.88276</v>
      </c>
      <c r="K1159" s="9">
        <f t="shared" si="92"/>
        <v>877.671036</v>
      </c>
      <c r="L1159" s="9">
        <f t="shared" si="93"/>
        <v>1117.035864</v>
      </c>
      <c r="M1159" s="9">
        <f t="shared" si="94"/>
        <v>1356.400692</v>
      </c>
    </row>
    <row r="1160" ht="27" spans="2:13">
      <c r="B1160" t="s">
        <v>2307</v>
      </c>
      <c r="C1160" s="4" t="s">
        <v>2308</v>
      </c>
      <c r="D1160" s="4" t="s">
        <v>2308</v>
      </c>
      <c r="E1160" s="4" t="s">
        <v>2308</v>
      </c>
      <c r="F1160" s="4" t="s">
        <v>2308</v>
      </c>
      <c r="G1160" s="5">
        <v>77.40576</v>
      </c>
      <c r="H1160" s="9"/>
      <c r="I1160" s="9">
        <f t="shared" si="90"/>
        <v>36.3807072</v>
      </c>
      <c r="J1160" s="9">
        <f t="shared" si="91"/>
        <v>38.70288</v>
      </c>
      <c r="K1160" s="9">
        <f t="shared" si="92"/>
        <v>42.573168</v>
      </c>
      <c r="L1160" s="9">
        <f t="shared" si="93"/>
        <v>54.184032</v>
      </c>
      <c r="M1160" s="9">
        <f t="shared" si="94"/>
        <v>65.794896</v>
      </c>
    </row>
    <row r="1161" ht="27" spans="2:13">
      <c r="B1161" t="s">
        <v>2309</v>
      </c>
      <c r="C1161" s="4" t="s">
        <v>2310</v>
      </c>
      <c r="D1161" s="4" t="s">
        <v>2310</v>
      </c>
      <c r="E1161" s="4" t="s">
        <v>2310</v>
      </c>
      <c r="F1161" s="4" t="s">
        <v>2310</v>
      </c>
      <c r="G1161" s="5">
        <v>116.10864</v>
      </c>
      <c r="H1161" s="9"/>
      <c r="I1161" s="9">
        <f t="shared" si="90"/>
        <v>54.5710608</v>
      </c>
      <c r="J1161" s="9">
        <f t="shared" si="91"/>
        <v>58.05432</v>
      </c>
      <c r="K1161" s="9">
        <f t="shared" si="92"/>
        <v>63.859752</v>
      </c>
      <c r="L1161" s="9">
        <f t="shared" si="93"/>
        <v>81.276048</v>
      </c>
      <c r="M1161" s="9">
        <f t="shared" si="94"/>
        <v>98.692344</v>
      </c>
    </row>
    <row r="1162" ht="27" spans="2:13">
      <c r="B1162" t="s">
        <v>2311</v>
      </c>
      <c r="C1162" s="4" t="s">
        <v>2312</v>
      </c>
      <c r="D1162" s="4" t="s">
        <v>2312</v>
      </c>
      <c r="E1162" s="4" t="s">
        <v>2312</v>
      </c>
      <c r="F1162" s="4" t="s">
        <v>2312</v>
      </c>
      <c r="G1162" s="5">
        <v>180.71748</v>
      </c>
      <c r="H1162" s="9"/>
      <c r="I1162" s="9">
        <f t="shared" si="90"/>
        <v>84.9372156</v>
      </c>
      <c r="J1162" s="9">
        <f t="shared" si="91"/>
        <v>90.35874</v>
      </c>
      <c r="K1162" s="9">
        <f t="shared" si="92"/>
        <v>99.394614</v>
      </c>
      <c r="L1162" s="9">
        <f t="shared" si="93"/>
        <v>126.502236</v>
      </c>
      <c r="M1162" s="9">
        <f t="shared" si="94"/>
        <v>153.609858</v>
      </c>
    </row>
    <row r="1163" ht="27" spans="2:13">
      <c r="B1163" t="s">
        <v>2313</v>
      </c>
      <c r="C1163" s="4" t="s">
        <v>2314</v>
      </c>
      <c r="D1163" s="4" t="s">
        <v>2314</v>
      </c>
      <c r="E1163" s="4" t="s">
        <v>2314</v>
      </c>
      <c r="F1163" s="4" t="s">
        <v>2314</v>
      </c>
      <c r="G1163" s="5">
        <v>354.2562</v>
      </c>
      <c r="H1163" s="9"/>
      <c r="I1163" s="9">
        <f t="shared" si="90"/>
        <v>166.500414</v>
      </c>
      <c r="J1163" s="9">
        <f t="shared" si="91"/>
        <v>177.1281</v>
      </c>
      <c r="K1163" s="9">
        <f t="shared" si="92"/>
        <v>194.84091</v>
      </c>
      <c r="L1163" s="9">
        <f t="shared" si="93"/>
        <v>247.97934</v>
      </c>
      <c r="M1163" s="9">
        <f t="shared" si="94"/>
        <v>301.11777</v>
      </c>
    </row>
    <row r="1164" ht="27" spans="2:13">
      <c r="B1164" t="s">
        <v>2315</v>
      </c>
      <c r="C1164" s="4" t="s">
        <v>2316</v>
      </c>
      <c r="D1164" s="4" t="s">
        <v>2316</v>
      </c>
      <c r="E1164" s="4" t="s">
        <v>2316</v>
      </c>
      <c r="F1164" s="4" t="s">
        <v>2316</v>
      </c>
      <c r="G1164" s="5">
        <v>630.37836</v>
      </c>
      <c r="H1164" s="9"/>
      <c r="I1164" s="9">
        <f t="shared" si="90"/>
        <v>296.2778292</v>
      </c>
      <c r="J1164" s="9">
        <f t="shared" si="91"/>
        <v>315.18918</v>
      </c>
      <c r="K1164" s="9">
        <f t="shared" si="92"/>
        <v>346.708098</v>
      </c>
      <c r="L1164" s="9">
        <f t="shared" si="93"/>
        <v>441.264852</v>
      </c>
      <c r="M1164" s="9">
        <f t="shared" si="94"/>
        <v>535.821606</v>
      </c>
    </row>
    <row r="1165" ht="27" spans="2:13">
      <c r="B1165" t="s">
        <v>2317</v>
      </c>
      <c r="C1165" s="4" t="s">
        <v>2318</v>
      </c>
      <c r="D1165" s="4" t="s">
        <v>2318</v>
      </c>
      <c r="E1165" s="4" t="s">
        <v>2318</v>
      </c>
      <c r="F1165" s="4" t="s">
        <v>2318</v>
      </c>
      <c r="G1165" s="5">
        <v>34.54128</v>
      </c>
      <c r="H1165" s="9"/>
      <c r="I1165" s="9">
        <f t="shared" si="90"/>
        <v>16.2344016</v>
      </c>
      <c r="J1165" s="9">
        <f t="shared" si="91"/>
        <v>17.27064</v>
      </c>
      <c r="K1165" s="9">
        <f t="shared" si="92"/>
        <v>18.997704</v>
      </c>
      <c r="L1165" s="9">
        <f t="shared" si="93"/>
        <v>24.178896</v>
      </c>
      <c r="M1165" s="9">
        <f t="shared" si="94"/>
        <v>29.360088</v>
      </c>
    </row>
    <row r="1166" ht="27" spans="2:13">
      <c r="B1166" t="s">
        <v>2319</v>
      </c>
      <c r="C1166" s="4" t="s">
        <v>2320</v>
      </c>
      <c r="D1166" s="4" t="s">
        <v>2320</v>
      </c>
      <c r="E1166" s="4" t="s">
        <v>2320</v>
      </c>
      <c r="F1166" s="4" t="s">
        <v>2320</v>
      </c>
      <c r="G1166" s="5">
        <v>3416.56956</v>
      </c>
      <c r="H1166" s="9"/>
      <c r="I1166" s="9">
        <f t="shared" si="90"/>
        <v>1605.7876932</v>
      </c>
      <c r="J1166" s="9">
        <f t="shared" si="91"/>
        <v>1708.28478</v>
      </c>
      <c r="K1166" s="9">
        <f t="shared" si="92"/>
        <v>1879.113258</v>
      </c>
      <c r="L1166" s="9">
        <f t="shared" si="93"/>
        <v>2391.598692</v>
      </c>
      <c r="M1166" s="9">
        <f t="shared" si="94"/>
        <v>2904.084126</v>
      </c>
    </row>
    <row r="1167" ht="27" spans="2:13">
      <c r="B1167" t="s">
        <v>2321</v>
      </c>
      <c r="C1167" s="4" t="s">
        <v>2322</v>
      </c>
      <c r="D1167" s="4" t="s">
        <v>2322</v>
      </c>
      <c r="E1167" s="4" t="s">
        <v>2322</v>
      </c>
      <c r="F1167" s="4" t="s">
        <v>2322</v>
      </c>
      <c r="G1167" s="5">
        <v>3416.56956</v>
      </c>
      <c r="H1167" s="9"/>
      <c r="I1167" s="9">
        <f t="shared" si="90"/>
        <v>1605.7876932</v>
      </c>
      <c r="J1167" s="9">
        <f t="shared" si="91"/>
        <v>1708.28478</v>
      </c>
      <c r="K1167" s="9">
        <f t="shared" si="92"/>
        <v>1879.113258</v>
      </c>
      <c r="L1167" s="9">
        <f t="shared" si="93"/>
        <v>2391.598692</v>
      </c>
      <c r="M1167" s="9">
        <f t="shared" si="94"/>
        <v>2904.084126</v>
      </c>
    </row>
    <row r="1168" ht="27" spans="2:13">
      <c r="B1168" t="s">
        <v>2323</v>
      </c>
      <c r="C1168" s="4" t="s">
        <v>2324</v>
      </c>
      <c r="D1168" s="4" t="s">
        <v>2324</v>
      </c>
      <c r="E1168" s="4" t="s">
        <v>2324</v>
      </c>
      <c r="F1168" s="4" t="s">
        <v>2324</v>
      </c>
      <c r="G1168" s="5">
        <v>3416.56956</v>
      </c>
      <c r="H1168" s="9"/>
      <c r="I1168" s="9">
        <f t="shared" si="90"/>
        <v>1605.7876932</v>
      </c>
      <c r="J1168" s="9">
        <f t="shared" si="91"/>
        <v>1708.28478</v>
      </c>
      <c r="K1168" s="9">
        <f t="shared" si="92"/>
        <v>1879.113258</v>
      </c>
      <c r="L1168" s="9">
        <f t="shared" si="93"/>
        <v>2391.598692</v>
      </c>
      <c r="M1168" s="9">
        <f t="shared" si="94"/>
        <v>2904.084126</v>
      </c>
    </row>
    <row r="1169" spans="2:13">
      <c r="B1169" t="s">
        <v>2325</v>
      </c>
      <c r="C1169" s="4" t="s">
        <v>2326</v>
      </c>
      <c r="D1169" s="4" t="s">
        <v>2326</v>
      </c>
      <c r="E1169" s="4" t="s">
        <v>2326</v>
      </c>
      <c r="F1169" s="4" t="s">
        <v>2326</v>
      </c>
      <c r="G1169" s="5">
        <v>3970.1664</v>
      </c>
      <c r="H1169" s="9"/>
      <c r="I1169" s="9">
        <f t="shared" si="90"/>
        <v>1865.978208</v>
      </c>
      <c r="J1169" s="9">
        <f t="shared" si="91"/>
        <v>1985.0832</v>
      </c>
      <c r="K1169" s="9">
        <f t="shared" si="92"/>
        <v>2183.59152</v>
      </c>
      <c r="L1169" s="9">
        <f t="shared" si="93"/>
        <v>2779.11648</v>
      </c>
      <c r="M1169" s="9">
        <f t="shared" si="94"/>
        <v>3374.64144</v>
      </c>
    </row>
    <row r="1170" ht="27" spans="2:13">
      <c r="B1170" t="s">
        <v>2327</v>
      </c>
      <c r="C1170" s="4" t="s">
        <v>2328</v>
      </c>
      <c r="D1170" s="4" t="s">
        <v>2328</v>
      </c>
      <c r="E1170" s="4" t="s">
        <v>2328</v>
      </c>
      <c r="F1170" s="4" t="s">
        <v>2328</v>
      </c>
      <c r="G1170" s="5">
        <v>3970.1664</v>
      </c>
      <c r="H1170" s="9"/>
      <c r="I1170" s="9">
        <f t="shared" si="90"/>
        <v>1865.978208</v>
      </c>
      <c r="J1170" s="9">
        <f t="shared" si="91"/>
        <v>1985.0832</v>
      </c>
      <c r="K1170" s="9">
        <f t="shared" si="92"/>
        <v>2183.59152</v>
      </c>
      <c r="L1170" s="9">
        <f t="shared" si="93"/>
        <v>2779.11648</v>
      </c>
      <c r="M1170" s="9">
        <f t="shared" si="94"/>
        <v>3374.64144</v>
      </c>
    </row>
    <row r="1171" ht="27" spans="2:13">
      <c r="B1171" t="s">
        <v>2329</v>
      </c>
      <c r="C1171" s="4" t="s">
        <v>2330</v>
      </c>
      <c r="D1171" s="4" t="s">
        <v>2330</v>
      </c>
      <c r="E1171" s="4" t="s">
        <v>2330</v>
      </c>
      <c r="F1171" s="4" t="s">
        <v>2330</v>
      </c>
      <c r="G1171" s="5">
        <v>3970.1664</v>
      </c>
      <c r="H1171" s="9"/>
      <c r="I1171" s="9">
        <f t="shared" si="90"/>
        <v>1865.978208</v>
      </c>
      <c r="J1171" s="9">
        <f t="shared" si="91"/>
        <v>1985.0832</v>
      </c>
      <c r="K1171" s="9">
        <f t="shared" si="92"/>
        <v>2183.59152</v>
      </c>
      <c r="L1171" s="9">
        <f t="shared" si="93"/>
        <v>2779.11648</v>
      </c>
      <c r="M1171" s="9">
        <f t="shared" si="94"/>
        <v>3374.64144</v>
      </c>
    </row>
    <row r="1172" spans="2:13">
      <c r="B1172" t="s">
        <v>2331</v>
      </c>
      <c r="C1172" s="4" t="s">
        <v>2332</v>
      </c>
      <c r="D1172" s="4" t="s">
        <v>2332</v>
      </c>
      <c r="E1172" s="4" t="s">
        <v>2332</v>
      </c>
      <c r="F1172" s="4" t="s">
        <v>2332</v>
      </c>
      <c r="G1172" s="5">
        <v>3970.1664</v>
      </c>
      <c r="H1172" s="9"/>
      <c r="I1172" s="9">
        <f t="shared" si="90"/>
        <v>1865.978208</v>
      </c>
      <c r="J1172" s="9">
        <f t="shared" si="91"/>
        <v>1985.0832</v>
      </c>
      <c r="K1172" s="9">
        <f t="shared" si="92"/>
        <v>2183.59152</v>
      </c>
      <c r="L1172" s="9">
        <f t="shared" si="93"/>
        <v>2779.11648</v>
      </c>
      <c r="M1172" s="9">
        <f t="shared" si="94"/>
        <v>3374.64144</v>
      </c>
    </row>
    <row r="1173" ht="27" spans="2:13">
      <c r="B1173" t="s">
        <v>2333</v>
      </c>
      <c r="C1173" s="4" t="s">
        <v>2334</v>
      </c>
      <c r="D1173" s="4" t="s">
        <v>2334</v>
      </c>
      <c r="E1173" s="4" t="s">
        <v>2334</v>
      </c>
      <c r="F1173" s="4" t="s">
        <v>2334</v>
      </c>
      <c r="G1173" s="5">
        <v>3037.13568</v>
      </c>
      <c r="H1173" s="9"/>
      <c r="I1173" s="9">
        <f t="shared" si="90"/>
        <v>1427.4537696</v>
      </c>
      <c r="J1173" s="9">
        <f t="shared" si="91"/>
        <v>1518.56784</v>
      </c>
      <c r="K1173" s="9">
        <f t="shared" si="92"/>
        <v>1670.424624</v>
      </c>
      <c r="L1173" s="9">
        <f t="shared" si="93"/>
        <v>2125.994976</v>
      </c>
      <c r="M1173" s="9">
        <f t="shared" si="94"/>
        <v>2581.565328</v>
      </c>
    </row>
    <row r="1174" ht="27" spans="2:13">
      <c r="B1174" t="s">
        <v>2335</v>
      </c>
      <c r="C1174" s="4" t="s">
        <v>2336</v>
      </c>
      <c r="D1174" s="4" t="s">
        <v>2336</v>
      </c>
      <c r="E1174" s="4" t="s">
        <v>2336</v>
      </c>
      <c r="F1174" s="4" t="s">
        <v>2336</v>
      </c>
      <c r="G1174" s="5">
        <v>3037.13568</v>
      </c>
      <c r="H1174" s="9"/>
      <c r="I1174" s="9">
        <f t="shared" si="90"/>
        <v>1427.4537696</v>
      </c>
      <c r="J1174" s="9">
        <f t="shared" si="91"/>
        <v>1518.56784</v>
      </c>
      <c r="K1174" s="9">
        <f t="shared" si="92"/>
        <v>1670.424624</v>
      </c>
      <c r="L1174" s="9">
        <f t="shared" si="93"/>
        <v>2125.994976</v>
      </c>
      <c r="M1174" s="9">
        <f t="shared" si="94"/>
        <v>2581.565328</v>
      </c>
    </row>
    <row r="1175" ht="27" spans="2:13">
      <c r="B1175" t="s">
        <v>2337</v>
      </c>
      <c r="C1175" s="4" t="s">
        <v>2338</v>
      </c>
      <c r="D1175" s="4" t="s">
        <v>2338</v>
      </c>
      <c r="E1175" s="4" t="s">
        <v>2338</v>
      </c>
      <c r="F1175" s="4" t="s">
        <v>2338</v>
      </c>
      <c r="G1175" s="5">
        <v>3037.13568</v>
      </c>
      <c r="H1175" s="9"/>
      <c r="I1175" s="9">
        <f t="shared" si="90"/>
        <v>1427.4537696</v>
      </c>
      <c r="J1175" s="9">
        <f t="shared" si="91"/>
        <v>1518.56784</v>
      </c>
      <c r="K1175" s="9">
        <f t="shared" si="92"/>
        <v>1670.424624</v>
      </c>
      <c r="L1175" s="9">
        <f t="shared" si="93"/>
        <v>2125.994976</v>
      </c>
      <c r="M1175" s="9">
        <f t="shared" si="94"/>
        <v>2581.565328</v>
      </c>
    </row>
    <row r="1176" ht="27" spans="2:13">
      <c r="B1176" t="s">
        <v>2339</v>
      </c>
      <c r="C1176" s="4" t="s">
        <v>2340</v>
      </c>
      <c r="D1176" s="4" t="s">
        <v>2340</v>
      </c>
      <c r="E1176" s="4" t="s">
        <v>2340</v>
      </c>
      <c r="F1176" s="4" t="s">
        <v>2340</v>
      </c>
      <c r="G1176" s="5">
        <v>2194.2036</v>
      </c>
      <c r="H1176" s="9"/>
      <c r="I1176" s="9">
        <f t="shared" si="90"/>
        <v>1031.275692</v>
      </c>
      <c r="J1176" s="9">
        <f t="shared" si="91"/>
        <v>1097.1018</v>
      </c>
      <c r="K1176" s="9">
        <f t="shared" si="92"/>
        <v>1206.81198</v>
      </c>
      <c r="L1176" s="9">
        <f t="shared" si="93"/>
        <v>1535.94252</v>
      </c>
      <c r="M1176" s="9">
        <f t="shared" si="94"/>
        <v>1865.07306</v>
      </c>
    </row>
    <row r="1177" ht="27" spans="2:13">
      <c r="B1177" t="s">
        <v>2341</v>
      </c>
      <c r="C1177" s="4" t="s">
        <v>2342</v>
      </c>
      <c r="D1177" s="4" t="s">
        <v>2342</v>
      </c>
      <c r="E1177" s="4" t="s">
        <v>2342</v>
      </c>
      <c r="F1177" s="4" t="s">
        <v>2342</v>
      </c>
      <c r="G1177" s="5">
        <v>217.02744</v>
      </c>
      <c r="H1177" s="9"/>
      <c r="I1177" s="9">
        <f t="shared" si="90"/>
        <v>102.0028968</v>
      </c>
      <c r="J1177" s="9">
        <f t="shared" si="91"/>
        <v>108.51372</v>
      </c>
      <c r="K1177" s="9">
        <f t="shared" si="92"/>
        <v>119.365092</v>
      </c>
      <c r="L1177" s="9">
        <f t="shared" si="93"/>
        <v>151.919208</v>
      </c>
      <c r="M1177" s="9">
        <f t="shared" si="94"/>
        <v>184.473324</v>
      </c>
    </row>
    <row r="1178" ht="27" spans="2:13">
      <c r="B1178" t="s">
        <v>2343</v>
      </c>
      <c r="C1178" s="4" t="s">
        <v>2344</v>
      </c>
      <c r="D1178" s="4" t="s">
        <v>2344</v>
      </c>
      <c r="E1178" s="4" t="s">
        <v>2344</v>
      </c>
      <c r="F1178" s="4" t="s">
        <v>2344</v>
      </c>
      <c r="G1178" s="5">
        <v>334.90476</v>
      </c>
      <c r="H1178" s="9"/>
      <c r="I1178" s="9">
        <f t="shared" si="90"/>
        <v>157.4052372</v>
      </c>
      <c r="J1178" s="9">
        <f t="shared" si="91"/>
        <v>167.45238</v>
      </c>
      <c r="K1178" s="9">
        <f t="shared" si="92"/>
        <v>184.197618</v>
      </c>
      <c r="L1178" s="9">
        <f t="shared" si="93"/>
        <v>234.433332</v>
      </c>
      <c r="M1178" s="9">
        <f t="shared" si="94"/>
        <v>284.669046</v>
      </c>
    </row>
    <row r="1179" ht="27" spans="2:13">
      <c r="B1179" t="s">
        <v>2345</v>
      </c>
      <c r="C1179" s="4" t="s">
        <v>2346</v>
      </c>
      <c r="D1179" s="4" t="s">
        <v>2346</v>
      </c>
      <c r="E1179" s="4" t="s">
        <v>2346</v>
      </c>
      <c r="F1179" s="4" t="s">
        <v>2346</v>
      </c>
      <c r="G1179" s="5">
        <v>79.38252</v>
      </c>
      <c r="H1179" s="9"/>
      <c r="I1179" s="9">
        <f t="shared" si="90"/>
        <v>37.3097844</v>
      </c>
      <c r="J1179" s="9">
        <f t="shared" si="91"/>
        <v>39.69126</v>
      </c>
      <c r="K1179" s="9">
        <f t="shared" si="92"/>
        <v>43.660386</v>
      </c>
      <c r="L1179" s="9">
        <f t="shared" si="93"/>
        <v>55.567764</v>
      </c>
      <c r="M1179" s="9">
        <f t="shared" si="94"/>
        <v>67.475142</v>
      </c>
    </row>
    <row r="1180" ht="27" spans="2:13">
      <c r="B1180" t="s">
        <v>2347</v>
      </c>
      <c r="C1180" s="4" t="s">
        <v>2348</v>
      </c>
      <c r="D1180" s="4" t="s">
        <v>2348</v>
      </c>
      <c r="E1180" s="4" t="s">
        <v>2348</v>
      </c>
      <c r="F1180" s="4" t="s">
        <v>2348</v>
      </c>
      <c r="G1180" s="5">
        <v>93.66864</v>
      </c>
      <c r="H1180" s="9"/>
      <c r="I1180" s="9">
        <f t="shared" si="90"/>
        <v>44.0242608</v>
      </c>
      <c r="J1180" s="9">
        <f t="shared" si="91"/>
        <v>46.83432</v>
      </c>
      <c r="K1180" s="9">
        <f t="shared" si="92"/>
        <v>51.517752</v>
      </c>
      <c r="L1180" s="9">
        <f t="shared" si="93"/>
        <v>65.568048</v>
      </c>
      <c r="M1180" s="9">
        <f t="shared" si="94"/>
        <v>79.618344</v>
      </c>
    </row>
    <row r="1181" ht="27" spans="2:13">
      <c r="B1181" t="s">
        <v>2349</v>
      </c>
      <c r="C1181" s="4" t="s">
        <v>2350</v>
      </c>
      <c r="D1181" s="4" t="s">
        <v>2350</v>
      </c>
      <c r="E1181" s="4" t="s">
        <v>2350</v>
      </c>
      <c r="F1181" s="4" t="s">
        <v>2350</v>
      </c>
      <c r="G1181" s="5">
        <v>151.27416</v>
      </c>
      <c r="H1181" s="9"/>
      <c r="I1181" s="9">
        <f t="shared" si="90"/>
        <v>71.0988552</v>
      </c>
      <c r="J1181" s="9">
        <f t="shared" si="91"/>
        <v>75.63708</v>
      </c>
      <c r="K1181" s="9">
        <f t="shared" si="92"/>
        <v>83.200788</v>
      </c>
      <c r="L1181" s="9">
        <f t="shared" si="93"/>
        <v>105.891912</v>
      </c>
      <c r="M1181" s="9">
        <f t="shared" si="94"/>
        <v>128.583036</v>
      </c>
    </row>
    <row r="1182" ht="27" spans="2:13">
      <c r="B1182" t="s">
        <v>2351</v>
      </c>
      <c r="C1182" s="4" t="s">
        <v>2352</v>
      </c>
      <c r="D1182" s="4" t="s">
        <v>2352</v>
      </c>
      <c r="E1182" s="4" t="s">
        <v>2352</v>
      </c>
      <c r="F1182" s="4" t="s">
        <v>2352</v>
      </c>
      <c r="G1182" s="5">
        <v>166.86384</v>
      </c>
      <c r="H1182" s="9"/>
      <c r="I1182" s="9">
        <f t="shared" si="90"/>
        <v>78.4260048</v>
      </c>
      <c r="J1182" s="9">
        <f t="shared" si="91"/>
        <v>83.43192</v>
      </c>
      <c r="K1182" s="9">
        <f t="shared" si="92"/>
        <v>91.775112</v>
      </c>
      <c r="L1182" s="9">
        <f t="shared" si="93"/>
        <v>116.804688</v>
      </c>
      <c r="M1182" s="9">
        <f t="shared" si="94"/>
        <v>141.834264</v>
      </c>
    </row>
    <row r="1183" ht="27" spans="2:13">
      <c r="B1183" t="s">
        <v>2353</v>
      </c>
      <c r="C1183" s="4" t="s">
        <v>2354</v>
      </c>
      <c r="D1183" s="4" t="s">
        <v>2354</v>
      </c>
      <c r="E1183" s="4" t="s">
        <v>2354</v>
      </c>
      <c r="F1183" s="4" t="s">
        <v>2354</v>
      </c>
      <c r="G1183" s="5">
        <v>116.36976</v>
      </c>
      <c r="H1183" s="9"/>
      <c r="I1183" s="9">
        <f t="shared" si="90"/>
        <v>54.6937872</v>
      </c>
      <c r="J1183" s="9">
        <f t="shared" si="91"/>
        <v>58.18488</v>
      </c>
      <c r="K1183" s="9">
        <f t="shared" si="92"/>
        <v>64.003368</v>
      </c>
      <c r="L1183" s="9">
        <f t="shared" si="93"/>
        <v>81.458832</v>
      </c>
      <c r="M1183" s="9">
        <f t="shared" si="94"/>
        <v>98.914296</v>
      </c>
    </row>
    <row r="1184" ht="27" spans="2:13">
      <c r="B1184" t="s">
        <v>2355</v>
      </c>
      <c r="C1184" s="4" t="s">
        <v>2356</v>
      </c>
      <c r="D1184" s="4" t="s">
        <v>2356</v>
      </c>
      <c r="E1184" s="4" t="s">
        <v>2356</v>
      </c>
      <c r="F1184" s="4" t="s">
        <v>2356</v>
      </c>
      <c r="G1184" s="5">
        <v>132.81216</v>
      </c>
      <c r="H1184" s="9"/>
      <c r="I1184" s="9">
        <f t="shared" si="90"/>
        <v>62.4217152</v>
      </c>
      <c r="J1184" s="9">
        <f t="shared" si="91"/>
        <v>66.40608</v>
      </c>
      <c r="K1184" s="9">
        <f t="shared" si="92"/>
        <v>73.046688</v>
      </c>
      <c r="L1184" s="9">
        <f t="shared" si="93"/>
        <v>92.968512</v>
      </c>
      <c r="M1184" s="9">
        <f t="shared" si="94"/>
        <v>112.890336</v>
      </c>
    </row>
    <row r="1185" ht="27" spans="2:13">
      <c r="B1185" t="s">
        <v>2357</v>
      </c>
      <c r="C1185" s="4" t="s">
        <v>2358</v>
      </c>
      <c r="D1185" s="4" t="s">
        <v>2358</v>
      </c>
      <c r="E1185" s="4" t="s">
        <v>2358</v>
      </c>
      <c r="F1185" s="4" t="s">
        <v>2358</v>
      </c>
      <c r="G1185" s="5">
        <v>205.9992</v>
      </c>
      <c r="H1185" s="9"/>
      <c r="I1185" s="9">
        <f t="shared" si="90"/>
        <v>96.819624</v>
      </c>
      <c r="J1185" s="9">
        <f t="shared" si="91"/>
        <v>102.9996</v>
      </c>
      <c r="K1185" s="9">
        <f t="shared" si="92"/>
        <v>113.29956</v>
      </c>
      <c r="L1185" s="9">
        <f t="shared" si="93"/>
        <v>144.19944</v>
      </c>
      <c r="M1185" s="9">
        <f t="shared" si="94"/>
        <v>175.09932</v>
      </c>
    </row>
    <row r="1186" ht="27" spans="2:13">
      <c r="B1186" t="s">
        <v>2359</v>
      </c>
      <c r="C1186" s="4" t="s">
        <v>2360</v>
      </c>
      <c r="D1186" s="4" t="s">
        <v>2360</v>
      </c>
      <c r="E1186" s="4" t="s">
        <v>2360</v>
      </c>
      <c r="F1186" s="4" t="s">
        <v>2360</v>
      </c>
      <c r="G1186" s="5">
        <v>222.1254</v>
      </c>
      <c r="H1186" s="9"/>
      <c r="I1186" s="9">
        <f t="shared" si="90"/>
        <v>104.398938</v>
      </c>
      <c r="J1186" s="9">
        <f t="shared" si="91"/>
        <v>111.0627</v>
      </c>
      <c r="K1186" s="9">
        <f t="shared" si="92"/>
        <v>122.16897</v>
      </c>
      <c r="L1186" s="9">
        <f t="shared" si="93"/>
        <v>155.48778</v>
      </c>
      <c r="M1186" s="9">
        <f t="shared" si="94"/>
        <v>188.80659</v>
      </c>
    </row>
    <row r="1187" ht="27" spans="2:13">
      <c r="B1187" t="s">
        <v>2361</v>
      </c>
      <c r="C1187" s="4" t="s">
        <v>2362</v>
      </c>
      <c r="D1187" s="4" t="s">
        <v>2362</v>
      </c>
      <c r="E1187" s="4" t="s">
        <v>2362</v>
      </c>
      <c r="F1187" s="4" t="s">
        <v>2362</v>
      </c>
      <c r="G1187" s="5">
        <v>151.6944</v>
      </c>
      <c r="H1187" s="9"/>
      <c r="I1187" s="9">
        <f t="shared" si="90"/>
        <v>71.296368</v>
      </c>
      <c r="J1187" s="9">
        <f t="shared" si="91"/>
        <v>75.8472</v>
      </c>
      <c r="K1187" s="9">
        <f t="shared" si="92"/>
        <v>83.43192</v>
      </c>
      <c r="L1187" s="9">
        <f t="shared" si="93"/>
        <v>106.18608</v>
      </c>
      <c r="M1187" s="9">
        <f t="shared" si="94"/>
        <v>128.94024</v>
      </c>
    </row>
    <row r="1188" ht="27" spans="2:13">
      <c r="B1188" t="s">
        <v>2363</v>
      </c>
      <c r="C1188" s="4" t="s">
        <v>2364</v>
      </c>
      <c r="D1188" s="4" t="s">
        <v>2364</v>
      </c>
      <c r="E1188" s="4" t="s">
        <v>2364</v>
      </c>
      <c r="F1188" s="4" t="s">
        <v>2364</v>
      </c>
      <c r="G1188" s="5">
        <v>172.06176</v>
      </c>
      <c r="H1188" s="9"/>
      <c r="I1188" s="9">
        <f t="shared" si="90"/>
        <v>80.8690272</v>
      </c>
      <c r="J1188" s="9">
        <f t="shared" si="91"/>
        <v>86.03088</v>
      </c>
      <c r="K1188" s="9">
        <f t="shared" si="92"/>
        <v>94.633968</v>
      </c>
      <c r="L1188" s="9">
        <f t="shared" si="93"/>
        <v>120.443232</v>
      </c>
      <c r="M1188" s="9">
        <f t="shared" si="94"/>
        <v>146.252496</v>
      </c>
    </row>
    <row r="1189" ht="27" spans="2:13">
      <c r="B1189" t="s">
        <v>2365</v>
      </c>
      <c r="C1189" s="4" t="s">
        <v>2366</v>
      </c>
      <c r="D1189" s="4" t="s">
        <v>2366</v>
      </c>
      <c r="E1189" s="4" t="s">
        <v>2366</v>
      </c>
      <c r="F1189" s="4" t="s">
        <v>2366</v>
      </c>
      <c r="G1189" s="5">
        <v>324.6048</v>
      </c>
      <c r="H1189" s="9"/>
      <c r="I1189" s="9">
        <f t="shared" si="90"/>
        <v>152.564256</v>
      </c>
      <c r="J1189" s="9">
        <f t="shared" si="91"/>
        <v>162.3024</v>
      </c>
      <c r="K1189" s="9">
        <f t="shared" si="92"/>
        <v>178.53264</v>
      </c>
      <c r="L1189" s="9">
        <f t="shared" si="93"/>
        <v>227.22336</v>
      </c>
      <c r="M1189" s="9">
        <f t="shared" si="94"/>
        <v>275.91408</v>
      </c>
    </row>
    <row r="1190" ht="27" spans="2:13">
      <c r="B1190" t="s">
        <v>2367</v>
      </c>
      <c r="C1190" s="4" t="s">
        <v>2368</v>
      </c>
      <c r="D1190" s="4" t="s">
        <v>2368</v>
      </c>
      <c r="E1190" s="4" t="s">
        <v>2368</v>
      </c>
      <c r="F1190" s="4" t="s">
        <v>2368</v>
      </c>
      <c r="G1190" s="5">
        <v>344.8926</v>
      </c>
      <c r="H1190" s="9"/>
      <c r="I1190" s="9">
        <f t="shared" si="90"/>
        <v>162.099522</v>
      </c>
      <c r="J1190" s="9">
        <f t="shared" si="91"/>
        <v>172.4463</v>
      </c>
      <c r="K1190" s="9">
        <f t="shared" si="92"/>
        <v>189.69093</v>
      </c>
      <c r="L1190" s="9">
        <f t="shared" si="93"/>
        <v>241.42482</v>
      </c>
      <c r="M1190" s="9">
        <f t="shared" si="94"/>
        <v>293.15871</v>
      </c>
    </row>
    <row r="1191" ht="27" spans="2:13">
      <c r="B1191" t="s">
        <v>2369</v>
      </c>
      <c r="C1191" s="4" t="s">
        <v>2370</v>
      </c>
      <c r="D1191" s="4" t="s">
        <v>2370</v>
      </c>
      <c r="E1191" s="4" t="s">
        <v>2370</v>
      </c>
      <c r="F1191" s="4" t="s">
        <v>2370</v>
      </c>
      <c r="G1191" s="5">
        <v>204.64668</v>
      </c>
      <c r="H1191" s="9"/>
      <c r="I1191" s="9">
        <f t="shared" si="90"/>
        <v>96.1839396</v>
      </c>
      <c r="J1191" s="9">
        <f t="shared" si="91"/>
        <v>102.32334</v>
      </c>
      <c r="K1191" s="9">
        <f t="shared" si="92"/>
        <v>112.555674</v>
      </c>
      <c r="L1191" s="9">
        <f t="shared" si="93"/>
        <v>143.252676</v>
      </c>
      <c r="M1191" s="9">
        <f t="shared" si="94"/>
        <v>173.949678</v>
      </c>
    </row>
    <row r="1192" ht="27" spans="2:13">
      <c r="B1192" t="s">
        <v>2371</v>
      </c>
      <c r="C1192" s="4" t="s">
        <v>2372</v>
      </c>
      <c r="D1192" s="4" t="s">
        <v>2372</v>
      </c>
      <c r="E1192" s="4" t="s">
        <v>2372</v>
      </c>
      <c r="F1192" s="4" t="s">
        <v>2372</v>
      </c>
      <c r="G1192" s="5">
        <v>235.75464</v>
      </c>
      <c r="H1192" s="9"/>
      <c r="I1192" s="9">
        <f t="shared" si="90"/>
        <v>110.8046808</v>
      </c>
      <c r="J1192" s="9">
        <f t="shared" si="91"/>
        <v>117.87732</v>
      </c>
      <c r="K1192" s="9">
        <f t="shared" si="92"/>
        <v>129.665052</v>
      </c>
      <c r="L1192" s="9">
        <f t="shared" si="93"/>
        <v>165.028248</v>
      </c>
      <c r="M1192" s="9">
        <f t="shared" si="94"/>
        <v>200.391444</v>
      </c>
    </row>
    <row r="1193" ht="27" spans="2:13">
      <c r="B1193" t="s">
        <v>2373</v>
      </c>
      <c r="C1193" s="4" t="s">
        <v>2374</v>
      </c>
      <c r="D1193" s="4" t="s">
        <v>2374</v>
      </c>
      <c r="E1193" s="4" t="s">
        <v>2374</v>
      </c>
      <c r="F1193" s="4" t="s">
        <v>2374</v>
      </c>
      <c r="G1193" s="5">
        <v>446.53968</v>
      </c>
      <c r="H1193" s="9"/>
      <c r="I1193" s="9">
        <f t="shared" si="90"/>
        <v>209.8736496</v>
      </c>
      <c r="J1193" s="9">
        <f t="shared" si="91"/>
        <v>223.26984</v>
      </c>
      <c r="K1193" s="9">
        <f t="shared" si="92"/>
        <v>245.596824</v>
      </c>
      <c r="L1193" s="9">
        <f t="shared" si="93"/>
        <v>312.577776</v>
      </c>
      <c r="M1193" s="9">
        <f t="shared" si="94"/>
        <v>379.558728</v>
      </c>
    </row>
    <row r="1194" ht="27" spans="2:13">
      <c r="B1194" t="s">
        <v>2375</v>
      </c>
      <c r="C1194" s="4" t="s">
        <v>2376</v>
      </c>
      <c r="D1194" s="4" t="s">
        <v>2376</v>
      </c>
      <c r="E1194" s="4" t="s">
        <v>2376</v>
      </c>
      <c r="F1194" s="4" t="s">
        <v>2376</v>
      </c>
      <c r="G1194" s="5">
        <v>485.03448</v>
      </c>
      <c r="H1194" s="9"/>
      <c r="I1194" s="9">
        <f t="shared" si="90"/>
        <v>227.9662056</v>
      </c>
      <c r="J1194" s="9">
        <f t="shared" si="91"/>
        <v>242.51724</v>
      </c>
      <c r="K1194" s="9">
        <f t="shared" si="92"/>
        <v>266.768964</v>
      </c>
      <c r="L1194" s="9">
        <f t="shared" si="93"/>
        <v>339.524136</v>
      </c>
      <c r="M1194" s="9">
        <f t="shared" si="94"/>
        <v>412.279308</v>
      </c>
    </row>
    <row r="1195" ht="27" spans="2:13">
      <c r="B1195" t="s">
        <v>2377</v>
      </c>
      <c r="C1195" s="4" t="s">
        <v>2378</v>
      </c>
      <c r="D1195" s="4" t="s">
        <v>2378</v>
      </c>
      <c r="E1195" s="4" t="s">
        <v>2378</v>
      </c>
      <c r="F1195" s="4" t="s">
        <v>2378</v>
      </c>
      <c r="G1195" s="5">
        <v>731.9214</v>
      </c>
      <c r="H1195" s="9"/>
      <c r="I1195" s="9">
        <f t="shared" si="90"/>
        <v>344.003058</v>
      </c>
      <c r="J1195" s="9">
        <f t="shared" si="91"/>
        <v>365.9607</v>
      </c>
      <c r="K1195" s="9">
        <f t="shared" si="92"/>
        <v>402.55677</v>
      </c>
      <c r="L1195" s="9">
        <f t="shared" si="93"/>
        <v>512.34498</v>
      </c>
      <c r="M1195" s="9">
        <f t="shared" si="94"/>
        <v>622.13319</v>
      </c>
    </row>
    <row r="1196" ht="27" spans="2:13">
      <c r="B1196" t="s">
        <v>2379</v>
      </c>
      <c r="C1196" s="4" t="s">
        <v>2380</v>
      </c>
      <c r="D1196" s="4" t="s">
        <v>2380</v>
      </c>
      <c r="E1196" s="4" t="s">
        <v>2380</v>
      </c>
      <c r="F1196" s="4" t="s">
        <v>2380</v>
      </c>
      <c r="G1196" s="5">
        <v>790.28784</v>
      </c>
      <c r="H1196" s="9"/>
      <c r="I1196" s="9">
        <f t="shared" si="90"/>
        <v>371.4352848</v>
      </c>
      <c r="J1196" s="9">
        <f t="shared" si="91"/>
        <v>395.14392</v>
      </c>
      <c r="K1196" s="9">
        <f t="shared" si="92"/>
        <v>434.658312</v>
      </c>
      <c r="L1196" s="9">
        <f t="shared" si="93"/>
        <v>553.201488</v>
      </c>
      <c r="M1196" s="9">
        <f t="shared" si="94"/>
        <v>671.744664</v>
      </c>
    </row>
    <row r="1197" ht="27" spans="2:13">
      <c r="B1197" t="s">
        <v>2381</v>
      </c>
      <c r="C1197" s="4" t="s">
        <v>2382</v>
      </c>
      <c r="D1197" s="4" t="s">
        <v>2382</v>
      </c>
      <c r="E1197" s="4" t="s">
        <v>2382</v>
      </c>
      <c r="F1197" s="4" t="s">
        <v>2382</v>
      </c>
      <c r="G1197" s="5">
        <v>279.13932</v>
      </c>
      <c r="H1197" s="9"/>
      <c r="I1197" s="9">
        <f t="shared" si="90"/>
        <v>131.1954804</v>
      </c>
      <c r="J1197" s="9">
        <f t="shared" si="91"/>
        <v>139.56966</v>
      </c>
      <c r="K1197" s="9">
        <f t="shared" si="92"/>
        <v>153.526626</v>
      </c>
      <c r="L1197" s="9">
        <f t="shared" si="93"/>
        <v>195.397524</v>
      </c>
      <c r="M1197" s="9">
        <f t="shared" si="94"/>
        <v>237.268422</v>
      </c>
    </row>
    <row r="1198" ht="27" spans="2:13">
      <c r="B1198" t="s">
        <v>2383</v>
      </c>
      <c r="C1198" s="4" t="s">
        <v>2384</v>
      </c>
      <c r="D1198" s="4" t="s">
        <v>2384</v>
      </c>
      <c r="E1198" s="4" t="s">
        <v>2384</v>
      </c>
      <c r="F1198" s="4" t="s">
        <v>2384</v>
      </c>
      <c r="G1198" s="5">
        <v>415.53576</v>
      </c>
      <c r="H1198" s="9"/>
      <c r="I1198" s="9">
        <f t="shared" si="90"/>
        <v>195.3018072</v>
      </c>
      <c r="J1198" s="9">
        <f t="shared" si="91"/>
        <v>207.76788</v>
      </c>
      <c r="K1198" s="9">
        <f t="shared" si="92"/>
        <v>228.544668</v>
      </c>
      <c r="L1198" s="9">
        <f t="shared" si="93"/>
        <v>290.875032</v>
      </c>
      <c r="M1198" s="9">
        <f t="shared" si="94"/>
        <v>353.205396</v>
      </c>
    </row>
    <row r="1199" ht="27" spans="2:13">
      <c r="B1199" t="s">
        <v>2385</v>
      </c>
      <c r="C1199" s="4" t="s">
        <v>2386</v>
      </c>
      <c r="D1199" s="4" t="s">
        <v>2386</v>
      </c>
      <c r="E1199" s="4" t="s">
        <v>2386</v>
      </c>
      <c r="F1199" s="4" t="s">
        <v>2386</v>
      </c>
      <c r="G1199" s="5">
        <v>114.5508</v>
      </c>
      <c r="H1199" s="9"/>
      <c r="I1199" s="9">
        <f t="shared" si="90"/>
        <v>53.838876</v>
      </c>
      <c r="J1199" s="9">
        <f t="shared" si="91"/>
        <v>57.2754</v>
      </c>
      <c r="K1199" s="9">
        <f t="shared" si="92"/>
        <v>63.00294</v>
      </c>
      <c r="L1199" s="9">
        <f t="shared" si="93"/>
        <v>80.18556</v>
      </c>
      <c r="M1199" s="9">
        <f t="shared" si="94"/>
        <v>97.36818</v>
      </c>
    </row>
    <row r="1200" ht="40.5" spans="2:13">
      <c r="B1200" t="s">
        <v>2387</v>
      </c>
      <c r="C1200" s="4" t="s">
        <v>2388</v>
      </c>
      <c r="D1200" s="4" t="s">
        <v>2388</v>
      </c>
      <c r="E1200" s="4" t="s">
        <v>2388</v>
      </c>
      <c r="F1200" s="4" t="s">
        <v>2388</v>
      </c>
      <c r="G1200" s="5">
        <v>133.6192</v>
      </c>
      <c r="H1200" s="9"/>
      <c r="I1200" s="9">
        <f t="shared" si="90"/>
        <v>62.801024</v>
      </c>
      <c r="J1200" s="9">
        <f t="shared" si="91"/>
        <v>66.8096</v>
      </c>
      <c r="K1200" s="9">
        <f t="shared" si="92"/>
        <v>73.49056</v>
      </c>
      <c r="L1200" s="9">
        <f t="shared" si="93"/>
        <v>93.53344</v>
      </c>
      <c r="M1200" s="9">
        <f t="shared" si="94"/>
        <v>113.57632</v>
      </c>
    </row>
    <row r="1201" ht="27" spans="2:13">
      <c r="B1201" t="s">
        <v>2389</v>
      </c>
      <c r="C1201" s="4" t="s">
        <v>2390</v>
      </c>
      <c r="D1201" s="4" t="s">
        <v>2390</v>
      </c>
      <c r="E1201" s="4" t="s">
        <v>2390</v>
      </c>
      <c r="F1201" s="4" t="s">
        <v>2390</v>
      </c>
      <c r="G1201" s="5">
        <v>181.13364</v>
      </c>
      <c r="H1201" s="9"/>
      <c r="I1201" s="9">
        <f t="shared" si="90"/>
        <v>85.1328108</v>
      </c>
      <c r="J1201" s="9">
        <f t="shared" si="91"/>
        <v>90.56682</v>
      </c>
      <c r="K1201" s="9">
        <f t="shared" si="92"/>
        <v>99.623502</v>
      </c>
      <c r="L1201" s="9">
        <f t="shared" si="93"/>
        <v>126.793548</v>
      </c>
      <c r="M1201" s="9">
        <f t="shared" si="94"/>
        <v>153.963594</v>
      </c>
    </row>
    <row r="1202" ht="40.5" spans="2:13">
      <c r="B1202" t="s">
        <v>2391</v>
      </c>
      <c r="C1202" s="4" t="s">
        <v>2392</v>
      </c>
      <c r="D1202" s="4" t="s">
        <v>2392</v>
      </c>
      <c r="E1202" s="4" t="s">
        <v>2392</v>
      </c>
      <c r="F1202" s="4" t="s">
        <v>2392</v>
      </c>
      <c r="G1202" s="5">
        <v>197.20272</v>
      </c>
      <c r="H1202" s="9"/>
      <c r="I1202" s="9">
        <f t="shared" si="90"/>
        <v>92.6852784</v>
      </c>
      <c r="J1202" s="9">
        <f t="shared" si="91"/>
        <v>98.60136</v>
      </c>
      <c r="K1202" s="9">
        <f t="shared" si="92"/>
        <v>108.461496</v>
      </c>
      <c r="L1202" s="9">
        <f t="shared" si="93"/>
        <v>138.041904</v>
      </c>
      <c r="M1202" s="9">
        <f t="shared" si="94"/>
        <v>167.622312</v>
      </c>
    </row>
    <row r="1203" ht="27" spans="2:13">
      <c r="B1203" t="s">
        <v>2393</v>
      </c>
      <c r="C1203" s="4" t="s">
        <v>2394</v>
      </c>
      <c r="D1203" s="4" t="s">
        <v>2394</v>
      </c>
      <c r="E1203" s="4" t="s">
        <v>2394</v>
      </c>
      <c r="F1203" s="4" t="s">
        <v>2394</v>
      </c>
      <c r="G1203" s="5">
        <v>156.89232</v>
      </c>
      <c r="H1203" s="9"/>
      <c r="I1203" s="9">
        <f t="shared" si="90"/>
        <v>73.7393904</v>
      </c>
      <c r="J1203" s="9">
        <f t="shared" si="91"/>
        <v>78.44616</v>
      </c>
      <c r="K1203" s="9">
        <f t="shared" si="92"/>
        <v>86.290776</v>
      </c>
      <c r="L1203" s="9">
        <f t="shared" si="93"/>
        <v>109.824624</v>
      </c>
      <c r="M1203" s="9">
        <f t="shared" si="94"/>
        <v>133.358472</v>
      </c>
    </row>
    <row r="1204" ht="40.5" spans="2:13">
      <c r="B1204" t="s">
        <v>2395</v>
      </c>
      <c r="C1204" s="4" t="s">
        <v>2396</v>
      </c>
      <c r="D1204" s="4" t="s">
        <v>2396</v>
      </c>
      <c r="E1204" s="4" t="s">
        <v>2396</v>
      </c>
      <c r="F1204" s="4" t="s">
        <v>2396</v>
      </c>
      <c r="G1204" s="5">
        <v>186.8152</v>
      </c>
      <c r="H1204" s="9"/>
      <c r="I1204" s="9">
        <f t="shared" si="90"/>
        <v>87.803144</v>
      </c>
      <c r="J1204" s="9">
        <f t="shared" si="91"/>
        <v>93.4076</v>
      </c>
      <c r="K1204" s="9">
        <f t="shared" si="92"/>
        <v>102.74836</v>
      </c>
      <c r="L1204" s="9">
        <f t="shared" si="93"/>
        <v>130.77064</v>
      </c>
      <c r="M1204" s="9">
        <f t="shared" si="94"/>
        <v>158.79292</v>
      </c>
    </row>
    <row r="1205" ht="27" spans="2:13">
      <c r="B1205" t="s">
        <v>2397</v>
      </c>
      <c r="C1205" s="4" t="s">
        <v>2398</v>
      </c>
      <c r="D1205" s="4" t="s">
        <v>2398</v>
      </c>
      <c r="E1205" s="4" t="s">
        <v>2398</v>
      </c>
      <c r="F1205" s="4" t="s">
        <v>2398</v>
      </c>
      <c r="G1205" s="5">
        <v>245.63844</v>
      </c>
      <c r="H1205" s="9"/>
      <c r="I1205" s="9">
        <f t="shared" si="90"/>
        <v>115.4500668</v>
      </c>
      <c r="J1205" s="9">
        <f t="shared" si="91"/>
        <v>122.81922</v>
      </c>
      <c r="K1205" s="9">
        <f t="shared" si="92"/>
        <v>135.101142</v>
      </c>
      <c r="L1205" s="9">
        <f t="shared" si="93"/>
        <v>171.946908</v>
      </c>
      <c r="M1205" s="9">
        <f t="shared" si="94"/>
        <v>208.792674</v>
      </c>
    </row>
    <row r="1206" ht="40.5" spans="2:13">
      <c r="B1206" t="s">
        <v>2399</v>
      </c>
      <c r="C1206" s="4" t="s">
        <v>2400</v>
      </c>
      <c r="D1206" s="4" t="s">
        <v>2400</v>
      </c>
      <c r="E1206" s="4" t="s">
        <v>2400</v>
      </c>
      <c r="F1206" s="4" t="s">
        <v>2400</v>
      </c>
      <c r="G1206" s="5">
        <v>261.6606</v>
      </c>
      <c r="H1206" s="9"/>
      <c r="I1206" s="9">
        <f t="shared" si="90"/>
        <v>122.980482</v>
      </c>
      <c r="J1206" s="9">
        <f t="shared" si="91"/>
        <v>130.8303</v>
      </c>
      <c r="K1206" s="9">
        <f t="shared" si="92"/>
        <v>143.91333</v>
      </c>
      <c r="L1206" s="9">
        <f t="shared" si="93"/>
        <v>183.16242</v>
      </c>
      <c r="M1206" s="9">
        <f t="shared" si="94"/>
        <v>222.41151</v>
      </c>
    </row>
    <row r="1207" ht="27" spans="2:13">
      <c r="B1207" t="s">
        <v>2401</v>
      </c>
      <c r="C1207" s="4" t="s">
        <v>2402</v>
      </c>
      <c r="D1207" s="4" t="s">
        <v>2402</v>
      </c>
      <c r="E1207" s="4" t="s">
        <v>2402</v>
      </c>
      <c r="F1207" s="4" t="s">
        <v>2402</v>
      </c>
      <c r="G1207" s="5">
        <v>204.84048</v>
      </c>
      <c r="H1207" s="9"/>
      <c r="I1207" s="9">
        <f t="shared" si="90"/>
        <v>96.2750256</v>
      </c>
      <c r="J1207" s="9">
        <f t="shared" si="91"/>
        <v>102.42024</v>
      </c>
      <c r="K1207" s="9">
        <f t="shared" si="92"/>
        <v>112.662264</v>
      </c>
      <c r="L1207" s="9">
        <f t="shared" si="93"/>
        <v>143.388336</v>
      </c>
      <c r="M1207" s="9">
        <f t="shared" si="94"/>
        <v>174.114408</v>
      </c>
    </row>
    <row r="1208" ht="40.5" spans="2:13">
      <c r="B1208" t="s">
        <v>2403</v>
      </c>
      <c r="C1208" s="4" t="s">
        <v>2404</v>
      </c>
      <c r="D1208" s="4" t="s">
        <v>2404</v>
      </c>
      <c r="E1208" s="4" t="s">
        <v>2404</v>
      </c>
      <c r="F1208" s="4" t="s">
        <v>2404</v>
      </c>
      <c r="G1208" s="5">
        <v>225.10176</v>
      </c>
      <c r="H1208" s="9"/>
      <c r="I1208" s="9">
        <f t="shared" si="90"/>
        <v>105.7978272</v>
      </c>
      <c r="J1208" s="9">
        <f t="shared" si="91"/>
        <v>112.55088</v>
      </c>
      <c r="K1208" s="9">
        <f t="shared" si="92"/>
        <v>123.805968</v>
      </c>
      <c r="L1208" s="9">
        <f t="shared" si="93"/>
        <v>157.571232</v>
      </c>
      <c r="M1208" s="9">
        <f t="shared" si="94"/>
        <v>191.336496</v>
      </c>
    </row>
    <row r="1209" ht="27" spans="2:13">
      <c r="B1209" t="s">
        <v>2405</v>
      </c>
      <c r="C1209" s="4" t="s">
        <v>2406</v>
      </c>
      <c r="D1209" s="4" t="s">
        <v>2406</v>
      </c>
      <c r="E1209" s="4" t="s">
        <v>2406</v>
      </c>
      <c r="F1209" s="4" t="s">
        <v>2406</v>
      </c>
      <c r="G1209" s="5">
        <v>377.04096</v>
      </c>
      <c r="H1209" s="9"/>
      <c r="I1209" s="9">
        <f t="shared" si="90"/>
        <v>177.2092512</v>
      </c>
      <c r="J1209" s="9">
        <f t="shared" si="91"/>
        <v>188.52048</v>
      </c>
      <c r="K1209" s="9">
        <f t="shared" si="92"/>
        <v>207.372528</v>
      </c>
      <c r="L1209" s="9">
        <f t="shared" si="93"/>
        <v>263.928672</v>
      </c>
      <c r="M1209" s="9">
        <f t="shared" si="94"/>
        <v>320.484816</v>
      </c>
    </row>
    <row r="1210" ht="40.5" spans="2:13">
      <c r="B1210" t="s">
        <v>2407</v>
      </c>
      <c r="C1210" s="4" t="s">
        <v>2408</v>
      </c>
      <c r="D1210" s="4" t="s">
        <v>2408</v>
      </c>
      <c r="E1210" s="4" t="s">
        <v>2408</v>
      </c>
      <c r="F1210" s="4" t="s">
        <v>2408</v>
      </c>
      <c r="G1210" s="5">
        <v>397.01664</v>
      </c>
      <c r="H1210" s="9"/>
      <c r="I1210" s="9">
        <f t="shared" si="90"/>
        <v>186.5978208</v>
      </c>
      <c r="J1210" s="9">
        <f t="shared" si="91"/>
        <v>198.50832</v>
      </c>
      <c r="K1210" s="9">
        <f t="shared" si="92"/>
        <v>218.359152</v>
      </c>
      <c r="L1210" s="9">
        <f t="shared" si="93"/>
        <v>277.911648</v>
      </c>
      <c r="M1210" s="9">
        <f t="shared" si="94"/>
        <v>337.464144</v>
      </c>
    </row>
    <row r="1211" ht="27" spans="2:13">
      <c r="B1211" t="s">
        <v>2409</v>
      </c>
      <c r="C1211" s="4" t="s">
        <v>2410</v>
      </c>
      <c r="D1211" s="4" t="s">
        <v>2410</v>
      </c>
      <c r="E1211" s="4" t="s">
        <v>2410</v>
      </c>
      <c r="F1211" s="4" t="s">
        <v>2410</v>
      </c>
      <c r="G1211" s="5">
        <v>274.1454</v>
      </c>
      <c r="H1211" s="9"/>
      <c r="I1211" s="9">
        <f t="shared" si="90"/>
        <v>128.848338</v>
      </c>
      <c r="J1211" s="9">
        <f t="shared" si="91"/>
        <v>137.0727</v>
      </c>
      <c r="K1211" s="9">
        <f t="shared" si="92"/>
        <v>150.77997</v>
      </c>
      <c r="L1211" s="9">
        <f t="shared" si="93"/>
        <v>191.90178</v>
      </c>
      <c r="M1211" s="9">
        <f t="shared" si="94"/>
        <v>233.02359</v>
      </c>
    </row>
    <row r="1212" ht="40.5" spans="2:13">
      <c r="B1212" t="s">
        <v>2411</v>
      </c>
      <c r="C1212" s="4" t="s">
        <v>2412</v>
      </c>
      <c r="D1212" s="4" t="s">
        <v>2412</v>
      </c>
      <c r="E1212" s="4" t="s">
        <v>2412</v>
      </c>
      <c r="F1212" s="4" t="s">
        <v>2412</v>
      </c>
      <c r="G1212" s="5">
        <v>305.14932</v>
      </c>
      <c r="H1212" s="9"/>
      <c r="I1212" s="9">
        <f t="shared" si="90"/>
        <v>143.4201804</v>
      </c>
      <c r="J1212" s="9">
        <f t="shared" si="91"/>
        <v>152.57466</v>
      </c>
      <c r="K1212" s="9">
        <f t="shared" si="92"/>
        <v>167.832126</v>
      </c>
      <c r="L1212" s="9">
        <f t="shared" si="93"/>
        <v>213.604524</v>
      </c>
      <c r="M1212" s="9">
        <f t="shared" si="94"/>
        <v>259.376922</v>
      </c>
    </row>
    <row r="1213" ht="27" spans="2:13">
      <c r="B1213" t="s">
        <v>2413</v>
      </c>
      <c r="C1213" s="4" t="s">
        <v>2414</v>
      </c>
      <c r="D1213" s="4" t="s">
        <v>2414</v>
      </c>
      <c r="E1213" s="4" t="s">
        <v>2414</v>
      </c>
      <c r="F1213" s="4" t="s">
        <v>2414</v>
      </c>
      <c r="G1213" s="5">
        <v>533.41308</v>
      </c>
      <c r="H1213" s="9"/>
      <c r="I1213" s="9">
        <f t="shared" si="90"/>
        <v>250.7041476</v>
      </c>
      <c r="J1213" s="9">
        <f t="shared" si="91"/>
        <v>266.70654</v>
      </c>
      <c r="K1213" s="9">
        <f t="shared" si="92"/>
        <v>293.377194</v>
      </c>
      <c r="L1213" s="9">
        <f t="shared" si="93"/>
        <v>373.389156</v>
      </c>
      <c r="M1213" s="9">
        <f t="shared" si="94"/>
        <v>453.401118</v>
      </c>
    </row>
    <row r="1214" ht="40.5" spans="2:13">
      <c r="B1214" t="s">
        <v>2415</v>
      </c>
      <c r="C1214" s="4" t="s">
        <v>2416</v>
      </c>
      <c r="D1214" s="4" t="s">
        <v>2416</v>
      </c>
      <c r="E1214" s="4" t="s">
        <v>2416</v>
      </c>
      <c r="F1214" s="4" t="s">
        <v>2416</v>
      </c>
      <c r="G1214" s="5">
        <v>571.90788</v>
      </c>
      <c r="H1214" s="9"/>
      <c r="I1214" s="9">
        <f t="shared" si="90"/>
        <v>268.7967036</v>
      </c>
      <c r="J1214" s="9">
        <f t="shared" si="91"/>
        <v>285.95394</v>
      </c>
      <c r="K1214" s="9">
        <f t="shared" si="92"/>
        <v>314.549334</v>
      </c>
      <c r="L1214" s="9">
        <f t="shared" si="93"/>
        <v>400.335516</v>
      </c>
      <c r="M1214" s="9">
        <f t="shared" si="94"/>
        <v>486.121698</v>
      </c>
    </row>
    <row r="1215" ht="27" spans="2:13">
      <c r="B1215" t="s">
        <v>2417</v>
      </c>
      <c r="C1215" s="4" t="s">
        <v>2418</v>
      </c>
      <c r="D1215" s="4" t="s">
        <v>2418</v>
      </c>
      <c r="E1215" s="4" t="s">
        <v>2418</v>
      </c>
      <c r="F1215" s="4" t="s">
        <v>2418</v>
      </c>
      <c r="G1215" s="5">
        <v>848.65428</v>
      </c>
      <c r="H1215" s="9"/>
      <c r="I1215" s="9">
        <f t="shared" si="90"/>
        <v>398.8675116</v>
      </c>
      <c r="J1215" s="9">
        <f t="shared" si="91"/>
        <v>424.32714</v>
      </c>
      <c r="K1215" s="9">
        <f t="shared" si="92"/>
        <v>466.759854</v>
      </c>
      <c r="L1215" s="9">
        <f t="shared" si="93"/>
        <v>594.057996</v>
      </c>
      <c r="M1215" s="9">
        <f t="shared" si="94"/>
        <v>721.356138</v>
      </c>
    </row>
    <row r="1216" ht="40.5" spans="2:13">
      <c r="B1216" t="s">
        <v>2419</v>
      </c>
      <c r="C1216" s="4" t="s">
        <v>2420</v>
      </c>
      <c r="D1216" s="4" t="s">
        <v>2420</v>
      </c>
      <c r="E1216" s="4" t="s">
        <v>2420</v>
      </c>
      <c r="F1216" s="4" t="s">
        <v>2420</v>
      </c>
      <c r="G1216" s="5">
        <v>906.7086</v>
      </c>
      <c r="H1216" s="9"/>
      <c r="I1216" s="9">
        <f t="shared" si="90"/>
        <v>426.153042</v>
      </c>
      <c r="J1216" s="9">
        <f t="shared" si="91"/>
        <v>453.3543</v>
      </c>
      <c r="K1216" s="9">
        <f t="shared" si="92"/>
        <v>498.68973</v>
      </c>
      <c r="L1216" s="9">
        <f t="shared" si="93"/>
        <v>634.69602</v>
      </c>
      <c r="M1216" s="9">
        <f t="shared" si="94"/>
        <v>770.70231</v>
      </c>
    </row>
    <row r="1217" ht="27" spans="2:13">
      <c r="B1217" t="s">
        <v>2421</v>
      </c>
      <c r="C1217" s="4" t="s">
        <v>2422</v>
      </c>
      <c r="D1217" s="4" t="s">
        <v>2422</v>
      </c>
      <c r="E1217" s="4" t="s">
        <v>2422</v>
      </c>
      <c r="F1217" s="4" t="s">
        <v>2422</v>
      </c>
      <c r="G1217" s="5">
        <v>31.3404</v>
      </c>
      <c r="H1217" s="9"/>
      <c r="I1217" s="9">
        <f t="shared" si="90"/>
        <v>14.729988</v>
      </c>
      <c r="J1217" s="9">
        <f t="shared" si="91"/>
        <v>15.6702</v>
      </c>
      <c r="K1217" s="9">
        <f t="shared" si="92"/>
        <v>17.23722</v>
      </c>
      <c r="L1217" s="9">
        <f t="shared" si="93"/>
        <v>21.93828</v>
      </c>
      <c r="M1217" s="9">
        <f t="shared" si="94"/>
        <v>26.63934</v>
      </c>
    </row>
    <row r="1218" ht="27" spans="2:13">
      <c r="B1218" t="s">
        <v>2423</v>
      </c>
      <c r="C1218" s="4" t="s">
        <v>2424</v>
      </c>
      <c r="D1218" s="4" t="s">
        <v>2424</v>
      </c>
      <c r="E1218" s="4" t="s">
        <v>2424</v>
      </c>
      <c r="F1218" s="4" t="s">
        <v>2424</v>
      </c>
      <c r="G1218" s="5">
        <v>36.5976</v>
      </c>
      <c r="H1218" s="9"/>
      <c r="I1218" s="9">
        <f t="shared" si="90"/>
        <v>17.200872</v>
      </c>
      <c r="J1218" s="9">
        <f t="shared" si="91"/>
        <v>18.2988</v>
      </c>
      <c r="K1218" s="9">
        <f t="shared" si="92"/>
        <v>20.12868</v>
      </c>
      <c r="L1218" s="9">
        <f t="shared" si="93"/>
        <v>25.61832</v>
      </c>
      <c r="M1218" s="9">
        <f t="shared" si="94"/>
        <v>31.10796</v>
      </c>
    </row>
    <row r="1219" spans="2:13">
      <c r="B1219" t="s">
        <v>2425</v>
      </c>
      <c r="C1219" s="4" t="s">
        <v>2426</v>
      </c>
      <c r="D1219" s="4" t="s">
        <v>2426</v>
      </c>
      <c r="E1219" s="4" t="s">
        <v>2426</v>
      </c>
      <c r="F1219" s="4" t="s">
        <v>2426</v>
      </c>
      <c r="G1219" s="5">
        <v>11.23632</v>
      </c>
      <c r="H1219" s="9"/>
      <c r="I1219" s="9">
        <f t="shared" si="90"/>
        <v>5.2810704</v>
      </c>
      <c r="J1219" s="9">
        <f t="shared" si="91"/>
        <v>5.61816</v>
      </c>
      <c r="K1219" s="9">
        <f t="shared" si="92"/>
        <v>6.179976</v>
      </c>
      <c r="L1219" s="9">
        <f t="shared" si="93"/>
        <v>7.865424</v>
      </c>
      <c r="M1219" s="9">
        <f t="shared" si="94"/>
        <v>9.550872</v>
      </c>
    </row>
    <row r="1220" ht="27" spans="2:13">
      <c r="B1220" t="s">
        <v>2427</v>
      </c>
      <c r="C1220" s="4" t="s">
        <v>2428</v>
      </c>
      <c r="D1220" s="4" t="s">
        <v>2428</v>
      </c>
      <c r="E1220" s="4" t="s">
        <v>2428</v>
      </c>
      <c r="F1220" s="4" t="s">
        <v>2428</v>
      </c>
      <c r="G1220" s="5">
        <v>30.1392</v>
      </c>
      <c r="H1220" s="9"/>
      <c r="I1220" s="9">
        <f t="shared" ref="I1220:I1283" si="95">G1220*0.47</f>
        <v>14.165424</v>
      </c>
      <c r="J1220" s="9">
        <f t="shared" ref="J1220:J1283" si="96">G1220*0.5</f>
        <v>15.0696</v>
      </c>
      <c r="K1220" s="9">
        <f t="shared" ref="K1220:K1283" si="97">G1220*0.55</f>
        <v>16.57656</v>
      </c>
      <c r="L1220" s="9">
        <f t="shared" ref="L1220:L1283" si="98">G1220*0.7</f>
        <v>21.09744</v>
      </c>
      <c r="M1220" s="9">
        <f t="shared" ref="M1220:M1283" si="99">G1220*0.85</f>
        <v>25.61832</v>
      </c>
    </row>
    <row r="1221" ht="27" spans="2:13">
      <c r="B1221" t="s">
        <v>2429</v>
      </c>
      <c r="C1221" s="4" t="s">
        <v>2430</v>
      </c>
      <c r="D1221" s="4" t="s">
        <v>2430</v>
      </c>
      <c r="E1221" s="4" t="s">
        <v>2430</v>
      </c>
      <c r="F1221" s="4" t="s">
        <v>2430</v>
      </c>
      <c r="G1221" s="5">
        <v>40.62864</v>
      </c>
      <c r="H1221" s="9"/>
      <c r="I1221" s="9">
        <f t="shared" si="95"/>
        <v>19.0954608</v>
      </c>
      <c r="J1221" s="9">
        <f t="shared" si="96"/>
        <v>20.31432</v>
      </c>
      <c r="K1221" s="9">
        <f t="shared" si="97"/>
        <v>22.345752</v>
      </c>
      <c r="L1221" s="9">
        <f t="shared" si="98"/>
        <v>28.440048</v>
      </c>
      <c r="M1221" s="9">
        <f t="shared" si="99"/>
        <v>34.534344</v>
      </c>
    </row>
    <row r="1222" ht="27" spans="2:13">
      <c r="B1222" t="s">
        <v>2431</v>
      </c>
      <c r="C1222" s="4" t="s">
        <v>2432</v>
      </c>
      <c r="D1222" s="4" t="s">
        <v>2432</v>
      </c>
      <c r="E1222" s="4" t="s">
        <v>2432</v>
      </c>
      <c r="F1222" s="4" t="s">
        <v>2432</v>
      </c>
      <c r="G1222" s="5">
        <v>47.75436</v>
      </c>
      <c r="H1222" s="9"/>
      <c r="I1222" s="9">
        <f t="shared" si="95"/>
        <v>22.4445492</v>
      </c>
      <c r="J1222" s="9">
        <f t="shared" si="96"/>
        <v>23.87718</v>
      </c>
      <c r="K1222" s="9">
        <f t="shared" si="97"/>
        <v>26.264898</v>
      </c>
      <c r="L1222" s="9">
        <f t="shared" si="98"/>
        <v>33.428052</v>
      </c>
      <c r="M1222" s="9">
        <f t="shared" si="99"/>
        <v>40.591206</v>
      </c>
    </row>
    <row r="1223" spans="2:13">
      <c r="B1223" t="s">
        <v>2433</v>
      </c>
      <c r="C1223" s="4" t="s">
        <v>2434</v>
      </c>
      <c r="D1223" s="4" t="s">
        <v>2434</v>
      </c>
      <c r="E1223" s="4" t="s">
        <v>2434</v>
      </c>
      <c r="F1223" s="4" t="s">
        <v>2434</v>
      </c>
      <c r="G1223" s="5">
        <v>12.4848</v>
      </c>
      <c r="H1223" s="9"/>
      <c r="I1223" s="9">
        <f t="shared" si="95"/>
        <v>5.867856</v>
      </c>
      <c r="J1223" s="9">
        <f t="shared" si="96"/>
        <v>6.2424</v>
      </c>
      <c r="K1223" s="9">
        <f t="shared" si="97"/>
        <v>6.86664</v>
      </c>
      <c r="L1223" s="9">
        <f t="shared" si="98"/>
        <v>8.73936</v>
      </c>
      <c r="M1223" s="9">
        <f t="shared" si="99"/>
        <v>10.61208</v>
      </c>
    </row>
    <row r="1224" ht="27" spans="2:13">
      <c r="B1224" t="s">
        <v>2435</v>
      </c>
      <c r="C1224" s="4" t="s">
        <v>2436</v>
      </c>
      <c r="D1224" s="4" t="s">
        <v>2436</v>
      </c>
      <c r="E1224" s="4" t="s">
        <v>2436</v>
      </c>
      <c r="F1224" s="4" t="s">
        <v>2436</v>
      </c>
      <c r="G1224" s="5">
        <v>47.75436</v>
      </c>
      <c r="H1224" s="9"/>
      <c r="I1224" s="9">
        <f t="shared" si="95"/>
        <v>22.4445492</v>
      </c>
      <c r="J1224" s="9">
        <f t="shared" si="96"/>
        <v>23.87718</v>
      </c>
      <c r="K1224" s="9">
        <f t="shared" si="97"/>
        <v>26.264898</v>
      </c>
      <c r="L1224" s="9">
        <f t="shared" si="98"/>
        <v>33.428052</v>
      </c>
      <c r="M1224" s="9">
        <f t="shared" si="99"/>
        <v>40.591206</v>
      </c>
    </row>
    <row r="1225" ht="27" spans="2:13">
      <c r="B1225" t="s">
        <v>2437</v>
      </c>
      <c r="C1225" s="4" t="s">
        <v>2438</v>
      </c>
      <c r="D1225" s="4" t="s">
        <v>2438</v>
      </c>
      <c r="E1225" s="4" t="s">
        <v>2438</v>
      </c>
      <c r="F1225" s="4" t="s">
        <v>2438</v>
      </c>
      <c r="G1225" s="5">
        <v>38.93136</v>
      </c>
      <c r="H1225" s="9"/>
      <c r="I1225" s="9">
        <f t="shared" si="95"/>
        <v>18.2977392</v>
      </c>
      <c r="J1225" s="9">
        <f t="shared" si="96"/>
        <v>19.46568</v>
      </c>
      <c r="K1225" s="9">
        <f t="shared" si="97"/>
        <v>21.412248</v>
      </c>
      <c r="L1225" s="9">
        <f t="shared" si="98"/>
        <v>27.251952</v>
      </c>
      <c r="M1225" s="9">
        <f t="shared" si="99"/>
        <v>33.091656</v>
      </c>
    </row>
    <row r="1226" ht="27" spans="2:13">
      <c r="B1226" t="s">
        <v>2439</v>
      </c>
      <c r="C1226" s="4" t="s">
        <v>2440</v>
      </c>
      <c r="D1226" s="4" t="s">
        <v>2440</v>
      </c>
      <c r="E1226" s="4" t="s">
        <v>2440</v>
      </c>
      <c r="F1226" s="4" t="s">
        <v>2440</v>
      </c>
      <c r="G1226" s="5">
        <v>52.12404</v>
      </c>
      <c r="H1226" s="9"/>
      <c r="I1226" s="9">
        <f t="shared" si="95"/>
        <v>24.4982988</v>
      </c>
      <c r="J1226" s="9">
        <f t="shared" si="96"/>
        <v>26.06202</v>
      </c>
      <c r="K1226" s="9">
        <f t="shared" si="97"/>
        <v>28.668222</v>
      </c>
      <c r="L1226" s="9">
        <f t="shared" si="98"/>
        <v>36.486828</v>
      </c>
      <c r="M1226" s="9">
        <f t="shared" si="99"/>
        <v>44.305434</v>
      </c>
    </row>
    <row r="1227" ht="27" spans="2:13">
      <c r="B1227" t="s">
        <v>2441</v>
      </c>
      <c r="C1227" s="4" t="s">
        <v>2442</v>
      </c>
      <c r="D1227" s="4" t="s">
        <v>2442</v>
      </c>
      <c r="E1227" s="4" t="s">
        <v>2442</v>
      </c>
      <c r="F1227" s="4" t="s">
        <v>2442</v>
      </c>
      <c r="G1227" s="5">
        <v>62.424</v>
      </c>
      <c r="H1227" s="9"/>
      <c r="I1227" s="9">
        <f t="shared" si="95"/>
        <v>29.33928</v>
      </c>
      <c r="J1227" s="9">
        <f t="shared" si="96"/>
        <v>31.212</v>
      </c>
      <c r="K1227" s="9">
        <f t="shared" si="97"/>
        <v>34.3332</v>
      </c>
      <c r="L1227" s="9">
        <f t="shared" si="98"/>
        <v>43.6968</v>
      </c>
      <c r="M1227" s="9">
        <f t="shared" si="99"/>
        <v>53.0604</v>
      </c>
    </row>
    <row r="1228" spans="2:13">
      <c r="B1228" t="s">
        <v>2443</v>
      </c>
      <c r="C1228" s="4" t="s">
        <v>2444</v>
      </c>
      <c r="D1228" s="4" t="s">
        <v>2444</v>
      </c>
      <c r="E1228" s="4" t="s">
        <v>2444</v>
      </c>
      <c r="F1228" s="4" t="s">
        <v>2444</v>
      </c>
      <c r="G1228" s="5">
        <v>14.77368</v>
      </c>
      <c r="H1228" s="9"/>
      <c r="I1228" s="9">
        <f t="shared" si="95"/>
        <v>6.9436296</v>
      </c>
      <c r="J1228" s="9">
        <f t="shared" si="96"/>
        <v>7.38684</v>
      </c>
      <c r="K1228" s="9">
        <f t="shared" si="97"/>
        <v>8.125524</v>
      </c>
      <c r="L1228" s="9">
        <f t="shared" si="98"/>
        <v>10.341576</v>
      </c>
      <c r="M1228" s="9">
        <f t="shared" si="99"/>
        <v>12.557628</v>
      </c>
    </row>
    <row r="1229" ht="27" spans="2:13">
      <c r="B1229" t="s">
        <v>2445</v>
      </c>
      <c r="C1229" s="4" t="s">
        <v>2446</v>
      </c>
      <c r="D1229" s="4" t="s">
        <v>2446</v>
      </c>
      <c r="E1229" s="4" t="s">
        <v>2446</v>
      </c>
      <c r="F1229" s="4" t="s">
        <v>2446</v>
      </c>
      <c r="G1229" s="5">
        <v>62.424</v>
      </c>
      <c r="H1229" s="9"/>
      <c r="I1229" s="9">
        <f t="shared" si="95"/>
        <v>29.33928</v>
      </c>
      <c r="J1229" s="9">
        <f t="shared" si="96"/>
        <v>31.212</v>
      </c>
      <c r="K1229" s="9">
        <f t="shared" si="97"/>
        <v>34.3332</v>
      </c>
      <c r="L1229" s="9">
        <f t="shared" si="98"/>
        <v>43.6968</v>
      </c>
      <c r="M1229" s="9">
        <f t="shared" si="99"/>
        <v>53.0604</v>
      </c>
    </row>
    <row r="1230" ht="27" spans="2:13">
      <c r="B1230" t="s">
        <v>2447</v>
      </c>
      <c r="C1230" s="4" t="s">
        <v>2448</v>
      </c>
      <c r="D1230" s="4" t="s">
        <v>2448</v>
      </c>
      <c r="E1230" s="4" t="s">
        <v>2448</v>
      </c>
      <c r="F1230" s="4" t="s">
        <v>2448</v>
      </c>
      <c r="G1230" s="5">
        <v>60.13512</v>
      </c>
      <c r="H1230" s="9"/>
      <c r="I1230" s="9">
        <f t="shared" si="95"/>
        <v>28.2635064</v>
      </c>
      <c r="J1230" s="9">
        <f t="shared" si="96"/>
        <v>30.06756</v>
      </c>
      <c r="K1230" s="9">
        <f t="shared" si="97"/>
        <v>33.074316</v>
      </c>
      <c r="L1230" s="9">
        <f t="shared" si="98"/>
        <v>42.094584</v>
      </c>
      <c r="M1230" s="9">
        <f t="shared" si="99"/>
        <v>51.114852</v>
      </c>
    </row>
    <row r="1231" ht="27" spans="2:13">
      <c r="B1231" t="s">
        <v>2449</v>
      </c>
      <c r="C1231" s="4" t="s">
        <v>2450</v>
      </c>
      <c r="D1231" s="4" t="s">
        <v>2450</v>
      </c>
      <c r="E1231" s="4" t="s">
        <v>2450</v>
      </c>
      <c r="F1231" s="4" t="s">
        <v>2450</v>
      </c>
      <c r="G1231" s="5">
        <v>50.04324</v>
      </c>
      <c r="H1231" s="9"/>
      <c r="I1231" s="9">
        <f t="shared" si="95"/>
        <v>23.5203228</v>
      </c>
      <c r="J1231" s="9">
        <f t="shared" si="96"/>
        <v>25.02162</v>
      </c>
      <c r="K1231" s="9">
        <f t="shared" si="97"/>
        <v>27.523782</v>
      </c>
      <c r="L1231" s="9">
        <f t="shared" si="98"/>
        <v>35.030268</v>
      </c>
      <c r="M1231" s="9">
        <f t="shared" si="99"/>
        <v>42.536754</v>
      </c>
    </row>
    <row r="1232" ht="27" spans="2:13">
      <c r="B1232" t="s">
        <v>2451</v>
      </c>
      <c r="C1232" s="4" t="s">
        <v>2452</v>
      </c>
      <c r="D1232" s="4" t="s">
        <v>2452</v>
      </c>
      <c r="E1232" s="4" t="s">
        <v>2452</v>
      </c>
      <c r="F1232" s="4" t="s">
        <v>2452</v>
      </c>
      <c r="G1232" s="5">
        <v>52.02</v>
      </c>
      <c r="H1232" s="9"/>
      <c r="I1232" s="9">
        <f t="shared" si="95"/>
        <v>24.4494</v>
      </c>
      <c r="J1232" s="9">
        <f t="shared" si="96"/>
        <v>26.01</v>
      </c>
      <c r="K1232" s="9">
        <f t="shared" si="97"/>
        <v>28.611</v>
      </c>
      <c r="L1232" s="9">
        <f t="shared" si="98"/>
        <v>36.414</v>
      </c>
      <c r="M1232" s="9">
        <f t="shared" si="99"/>
        <v>44.217</v>
      </c>
    </row>
    <row r="1233" ht="27" spans="2:13">
      <c r="B1233" t="s">
        <v>2453</v>
      </c>
      <c r="C1233" s="4" t="s">
        <v>2454</v>
      </c>
      <c r="D1233" s="4" t="s">
        <v>2454</v>
      </c>
      <c r="E1233" s="4" t="s">
        <v>2454</v>
      </c>
      <c r="F1233" s="4" t="s">
        <v>2454</v>
      </c>
      <c r="G1233" s="5">
        <v>69.49872</v>
      </c>
      <c r="H1233" s="9"/>
      <c r="I1233" s="9">
        <f t="shared" si="95"/>
        <v>32.6643984</v>
      </c>
      <c r="J1233" s="9">
        <f t="shared" si="96"/>
        <v>34.74936</v>
      </c>
      <c r="K1233" s="9">
        <f t="shared" si="97"/>
        <v>38.224296</v>
      </c>
      <c r="L1233" s="9">
        <f t="shared" si="98"/>
        <v>48.649104</v>
      </c>
      <c r="M1233" s="9">
        <f t="shared" si="99"/>
        <v>59.073912</v>
      </c>
    </row>
    <row r="1234" ht="27" spans="2:13">
      <c r="B1234" t="s">
        <v>2455</v>
      </c>
      <c r="C1234" s="4" t="s">
        <v>2456</v>
      </c>
      <c r="D1234" s="4" t="s">
        <v>2456</v>
      </c>
      <c r="E1234" s="4" t="s">
        <v>2456</v>
      </c>
      <c r="F1234" s="4" t="s">
        <v>2456</v>
      </c>
      <c r="G1234" s="5">
        <v>84.48048</v>
      </c>
      <c r="H1234" s="9"/>
      <c r="I1234" s="9">
        <f t="shared" si="95"/>
        <v>39.7058256</v>
      </c>
      <c r="J1234" s="9">
        <f t="shared" si="96"/>
        <v>42.24024</v>
      </c>
      <c r="K1234" s="9">
        <f t="shared" si="97"/>
        <v>46.464264</v>
      </c>
      <c r="L1234" s="9">
        <f t="shared" si="98"/>
        <v>59.136336</v>
      </c>
      <c r="M1234" s="9">
        <f t="shared" si="99"/>
        <v>71.808408</v>
      </c>
    </row>
    <row r="1235" spans="2:13">
      <c r="B1235" t="s">
        <v>2457</v>
      </c>
      <c r="C1235" s="4" t="s">
        <v>2458</v>
      </c>
      <c r="D1235" s="4" t="s">
        <v>2458</v>
      </c>
      <c r="E1235" s="4" t="s">
        <v>2458</v>
      </c>
      <c r="F1235" s="4" t="s">
        <v>2458</v>
      </c>
      <c r="G1235" s="5">
        <v>18.62316</v>
      </c>
      <c r="H1235" s="9"/>
      <c r="I1235" s="9">
        <f t="shared" si="95"/>
        <v>8.7528852</v>
      </c>
      <c r="J1235" s="9">
        <f t="shared" si="96"/>
        <v>9.31158</v>
      </c>
      <c r="K1235" s="9">
        <f t="shared" si="97"/>
        <v>10.242738</v>
      </c>
      <c r="L1235" s="9">
        <f t="shared" si="98"/>
        <v>13.036212</v>
      </c>
      <c r="M1235" s="9">
        <f t="shared" si="99"/>
        <v>15.829686</v>
      </c>
    </row>
    <row r="1236" ht="27" spans="2:13">
      <c r="B1236" t="s">
        <v>2459</v>
      </c>
      <c r="C1236" s="4" t="s">
        <v>2460</v>
      </c>
      <c r="D1236" s="4" t="s">
        <v>2460</v>
      </c>
      <c r="E1236" s="4" t="s">
        <v>2460</v>
      </c>
      <c r="F1236" s="4" t="s">
        <v>2460</v>
      </c>
      <c r="G1236" s="5">
        <v>80.73504</v>
      </c>
      <c r="H1236" s="9"/>
      <c r="I1236" s="9">
        <f t="shared" si="95"/>
        <v>37.9454688</v>
      </c>
      <c r="J1236" s="9">
        <f t="shared" si="96"/>
        <v>40.36752</v>
      </c>
      <c r="K1236" s="9">
        <f t="shared" si="97"/>
        <v>44.404272</v>
      </c>
      <c r="L1236" s="9">
        <f t="shared" si="98"/>
        <v>56.514528</v>
      </c>
      <c r="M1236" s="9">
        <f t="shared" si="99"/>
        <v>68.624784</v>
      </c>
    </row>
    <row r="1237" ht="27" spans="2:13">
      <c r="B1237" t="s">
        <v>2461</v>
      </c>
      <c r="C1237" s="4" t="s">
        <v>2462</v>
      </c>
      <c r="D1237" s="4" t="s">
        <v>2462</v>
      </c>
      <c r="E1237" s="4" t="s">
        <v>2462</v>
      </c>
      <c r="F1237" s="4" t="s">
        <v>2462</v>
      </c>
      <c r="G1237" s="5">
        <v>66.79368</v>
      </c>
      <c r="H1237" s="9"/>
      <c r="I1237" s="9">
        <f t="shared" si="95"/>
        <v>31.3930296</v>
      </c>
      <c r="J1237" s="9">
        <f t="shared" si="96"/>
        <v>33.39684</v>
      </c>
      <c r="K1237" s="9">
        <f t="shared" si="97"/>
        <v>36.736524</v>
      </c>
      <c r="L1237" s="9">
        <f t="shared" si="98"/>
        <v>46.755576</v>
      </c>
      <c r="M1237" s="9">
        <f t="shared" si="99"/>
        <v>56.774628</v>
      </c>
    </row>
    <row r="1238" ht="27" spans="2:13">
      <c r="B1238" t="s">
        <v>2463</v>
      </c>
      <c r="C1238" s="4" t="s">
        <v>2464</v>
      </c>
      <c r="D1238" s="4" t="s">
        <v>2464</v>
      </c>
      <c r="E1238" s="4" t="s">
        <v>2464</v>
      </c>
      <c r="F1238" s="4" t="s">
        <v>2464</v>
      </c>
      <c r="G1238" s="5">
        <v>0</v>
      </c>
      <c r="H1238" s="9"/>
      <c r="I1238" s="9">
        <f t="shared" si="95"/>
        <v>0</v>
      </c>
      <c r="J1238" s="9">
        <f t="shared" si="96"/>
        <v>0</v>
      </c>
      <c r="K1238" s="9">
        <f t="shared" si="97"/>
        <v>0</v>
      </c>
      <c r="L1238" s="9">
        <f t="shared" si="98"/>
        <v>0</v>
      </c>
      <c r="M1238" s="9">
        <f t="shared" si="99"/>
        <v>0</v>
      </c>
    </row>
    <row r="1239" ht="27" spans="2:13">
      <c r="B1239" t="s">
        <v>2465</v>
      </c>
      <c r="C1239" s="4" t="s">
        <v>2466</v>
      </c>
      <c r="D1239" s="4" t="s">
        <v>2466</v>
      </c>
      <c r="E1239" s="4" t="s">
        <v>2466</v>
      </c>
      <c r="F1239" s="4" t="s">
        <v>2466</v>
      </c>
      <c r="G1239" s="5">
        <v>88.5768</v>
      </c>
      <c r="H1239" s="9"/>
      <c r="I1239" s="9">
        <f t="shared" si="95"/>
        <v>41.631096</v>
      </c>
      <c r="J1239" s="9">
        <f t="shared" si="96"/>
        <v>44.2884</v>
      </c>
      <c r="K1239" s="9">
        <f t="shared" si="97"/>
        <v>48.71724</v>
      </c>
      <c r="L1239" s="9">
        <f t="shared" si="98"/>
        <v>62.00376</v>
      </c>
      <c r="M1239" s="9">
        <f t="shared" si="99"/>
        <v>75.29028</v>
      </c>
    </row>
    <row r="1240" ht="27" spans="2:13">
      <c r="B1240" t="s">
        <v>2467</v>
      </c>
      <c r="C1240" s="4" t="s">
        <v>2468</v>
      </c>
      <c r="D1240" s="4" t="s">
        <v>2468</v>
      </c>
      <c r="E1240" s="4" t="s">
        <v>2468</v>
      </c>
      <c r="F1240" s="4" t="s">
        <v>2468</v>
      </c>
      <c r="G1240" s="5">
        <v>23.72112</v>
      </c>
      <c r="H1240" s="9"/>
      <c r="I1240" s="9">
        <f t="shared" si="95"/>
        <v>11.1489264</v>
      </c>
      <c r="J1240" s="9">
        <f t="shared" si="96"/>
        <v>11.86056</v>
      </c>
      <c r="K1240" s="9">
        <f t="shared" si="97"/>
        <v>13.046616</v>
      </c>
      <c r="L1240" s="9">
        <f t="shared" si="98"/>
        <v>16.604784</v>
      </c>
      <c r="M1240" s="9">
        <f t="shared" si="99"/>
        <v>20.162952</v>
      </c>
    </row>
    <row r="1241" ht="27" spans="2:13">
      <c r="B1241" t="s">
        <v>2469</v>
      </c>
      <c r="C1241" s="4" t="s">
        <v>2470</v>
      </c>
      <c r="D1241" s="4" t="s">
        <v>2470</v>
      </c>
      <c r="E1241" s="4" t="s">
        <v>2470</v>
      </c>
      <c r="F1241" s="4" t="s">
        <v>2470</v>
      </c>
      <c r="G1241" s="5">
        <v>161.36604</v>
      </c>
      <c r="H1241" s="9"/>
      <c r="I1241" s="9">
        <f t="shared" si="95"/>
        <v>75.8420388</v>
      </c>
      <c r="J1241" s="9">
        <f t="shared" si="96"/>
        <v>80.68302</v>
      </c>
      <c r="K1241" s="9">
        <f t="shared" si="97"/>
        <v>88.751322</v>
      </c>
      <c r="L1241" s="9">
        <f t="shared" si="98"/>
        <v>112.956228</v>
      </c>
      <c r="M1241" s="9">
        <f t="shared" si="99"/>
        <v>137.161134</v>
      </c>
    </row>
    <row r="1242" spans="2:13">
      <c r="B1242" t="s">
        <v>2471</v>
      </c>
      <c r="C1242" s="4" t="s">
        <v>2472</v>
      </c>
      <c r="D1242" s="4" t="s">
        <v>2472</v>
      </c>
      <c r="E1242" s="4" t="s">
        <v>2472</v>
      </c>
      <c r="F1242" s="4" t="s">
        <v>2472</v>
      </c>
      <c r="G1242" s="5">
        <v>28.71504</v>
      </c>
      <c r="H1242" s="9"/>
      <c r="I1242" s="9">
        <f t="shared" si="95"/>
        <v>13.4960688</v>
      </c>
      <c r="J1242" s="9">
        <f t="shared" si="96"/>
        <v>14.35752</v>
      </c>
      <c r="K1242" s="9">
        <f t="shared" si="97"/>
        <v>15.793272</v>
      </c>
      <c r="L1242" s="9">
        <f t="shared" si="98"/>
        <v>20.100528</v>
      </c>
      <c r="M1242" s="9">
        <f t="shared" si="99"/>
        <v>24.407784</v>
      </c>
    </row>
    <row r="1243" ht="27" spans="2:13">
      <c r="B1243" t="s">
        <v>2473</v>
      </c>
      <c r="C1243" s="4" t="s">
        <v>2474</v>
      </c>
      <c r="D1243" s="4" t="s">
        <v>2474</v>
      </c>
      <c r="E1243" s="4" t="s">
        <v>2474</v>
      </c>
      <c r="F1243" s="4" t="s">
        <v>2474</v>
      </c>
      <c r="G1243" s="5">
        <v>0</v>
      </c>
      <c r="H1243" s="9"/>
      <c r="I1243" s="9">
        <f t="shared" si="95"/>
        <v>0</v>
      </c>
      <c r="J1243" s="9">
        <f t="shared" si="96"/>
        <v>0</v>
      </c>
      <c r="K1243" s="9">
        <f t="shared" si="97"/>
        <v>0</v>
      </c>
      <c r="L1243" s="9">
        <f t="shared" si="98"/>
        <v>0</v>
      </c>
      <c r="M1243" s="9">
        <f t="shared" si="99"/>
        <v>0</v>
      </c>
    </row>
    <row r="1244" ht="27" spans="2:13">
      <c r="B1244" t="s">
        <v>2475</v>
      </c>
      <c r="C1244" s="4" t="s">
        <v>2354</v>
      </c>
      <c r="D1244" s="4" t="s">
        <v>2354</v>
      </c>
      <c r="E1244" s="4" t="s">
        <v>2354</v>
      </c>
      <c r="F1244" s="4" t="s">
        <v>2354</v>
      </c>
      <c r="G1244" s="5">
        <v>280.908</v>
      </c>
      <c r="H1244" s="9"/>
      <c r="I1244" s="9">
        <f t="shared" si="95"/>
        <v>132.02676</v>
      </c>
      <c r="J1244" s="9">
        <f t="shared" si="96"/>
        <v>140.454</v>
      </c>
      <c r="K1244" s="9">
        <f t="shared" si="97"/>
        <v>154.4994</v>
      </c>
      <c r="L1244" s="9">
        <f t="shared" si="98"/>
        <v>196.6356</v>
      </c>
      <c r="M1244" s="9">
        <f t="shared" si="99"/>
        <v>238.7718</v>
      </c>
    </row>
    <row r="1245" ht="27" spans="2:13">
      <c r="B1245" t="s">
        <v>2476</v>
      </c>
      <c r="C1245" s="4" t="s">
        <v>2477</v>
      </c>
      <c r="D1245" s="4" t="s">
        <v>2477</v>
      </c>
      <c r="E1245" s="4" t="s">
        <v>2477</v>
      </c>
      <c r="F1245" s="4" t="s">
        <v>2477</v>
      </c>
      <c r="G1245" s="5">
        <v>423.963</v>
      </c>
      <c r="H1245" s="9"/>
      <c r="I1245" s="9">
        <f t="shared" si="95"/>
        <v>199.26261</v>
      </c>
      <c r="J1245" s="9">
        <f t="shared" si="96"/>
        <v>211.9815</v>
      </c>
      <c r="K1245" s="9">
        <f t="shared" si="97"/>
        <v>233.17965</v>
      </c>
      <c r="L1245" s="9">
        <f t="shared" si="98"/>
        <v>296.7741</v>
      </c>
      <c r="M1245" s="9">
        <f t="shared" si="99"/>
        <v>360.36855</v>
      </c>
    </row>
    <row r="1246" ht="27" spans="2:13">
      <c r="B1246" t="s">
        <v>2478</v>
      </c>
      <c r="C1246" s="4" t="s">
        <v>2479</v>
      </c>
      <c r="D1246" s="4" t="s">
        <v>2479</v>
      </c>
      <c r="E1246" s="4" t="s">
        <v>2479</v>
      </c>
      <c r="F1246" s="4" t="s">
        <v>2479</v>
      </c>
      <c r="G1246" s="5">
        <v>151.674</v>
      </c>
      <c r="H1246" s="9"/>
      <c r="I1246" s="9">
        <f t="shared" si="95"/>
        <v>71.28678</v>
      </c>
      <c r="J1246" s="9">
        <f t="shared" si="96"/>
        <v>75.837</v>
      </c>
      <c r="K1246" s="9">
        <f t="shared" si="97"/>
        <v>83.4207</v>
      </c>
      <c r="L1246" s="9">
        <f t="shared" si="98"/>
        <v>106.1718</v>
      </c>
      <c r="M1246" s="9">
        <f t="shared" si="99"/>
        <v>128.9229</v>
      </c>
    </row>
    <row r="1247" ht="27" spans="2:13">
      <c r="B1247" t="s">
        <v>2480</v>
      </c>
      <c r="C1247" s="4" t="s">
        <v>2481</v>
      </c>
      <c r="D1247" s="4" t="s">
        <v>2481</v>
      </c>
      <c r="E1247" s="4" t="s">
        <v>2481</v>
      </c>
      <c r="F1247" s="4" t="s">
        <v>2481</v>
      </c>
      <c r="G1247" s="5">
        <v>151.674</v>
      </c>
      <c r="H1247" s="9"/>
      <c r="I1247" s="9">
        <f t="shared" si="95"/>
        <v>71.28678</v>
      </c>
      <c r="J1247" s="9">
        <f t="shared" si="96"/>
        <v>75.837</v>
      </c>
      <c r="K1247" s="9">
        <f t="shared" si="97"/>
        <v>83.4207</v>
      </c>
      <c r="L1247" s="9">
        <f t="shared" si="98"/>
        <v>106.1718</v>
      </c>
      <c r="M1247" s="9">
        <f t="shared" si="99"/>
        <v>128.9229</v>
      </c>
    </row>
    <row r="1248" spans="2:13">
      <c r="B1248" t="s">
        <v>2482</v>
      </c>
      <c r="C1248" s="4" t="s">
        <v>466</v>
      </c>
      <c r="D1248" s="4" t="s">
        <v>466</v>
      </c>
      <c r="E1248" s="4" t="s">
        <v>466</v>
      </c>
      <c r="F1248" s="4" t="s">
        <v>466</v>
      </c>
      <c r="G1248" s="5">
        <v>377.4</v>
      </c>
      <c r="H1248" s="9"/>
      <c r="I1248" s="9">
        <f t="shared" si="95"/>
        <v>177.378</v>
      </c>
      <c r="J1248" s="9">
        <f t="shared" si="96"/>
        <v>188.7</v>
      </c>
      <c r="K1248" s="9">
        <f t="shared" si="97"/>
        <v>207.57</v>
      </c>
      <c r="L1248" s="9">
        <f t="shared" si="98"/>
        <v>264.18</v>
      </c>
      <c r="M1248" s="9">
        <f t="shared" si="99"/>
        <v>320.79</v>
      </c>
    </row>
    <row r="1249" spans="2:13">
      <c r="B1249" t="s">
        <v>2483</v>
      </c>
      <c r="C1249" s="4" t="s">
        <v>2484</v>
      </c>
      <c r="D1249" s="4" t="s">
        <v>2484</v>
      </c>
      <c r="E1249" s="4" t="s">
        <v>2484</v>
      </c>
      <c r="F1249" s="4" t="s">
        <v>2484</v>
      </c>
      <c r="G1249" s="5">
        <v>53.89272</v>
      </c>
      <c r="H1249" s="9"/>
      <c r="I1249" s="9">
        <f t="shared" si="95"/>
        <v>25.3295784</v>
      </c>
      <c r="J1249" s="9">
        <f t="shared" si="96"/>
        <v>26.94636</v>
      </c>
      <c r="K1249" s="9">
        <f t="shared" si="97"/>
        <v>29.640996</v>
      </c>
      <c r="L1249" s="9">
        <f t="shared" si="98"/>
        <v>37.724904</v>
      </c>
      <c r="M1249" s="9">
        <f t="shared" si="99"/>
        <v>45.808812</v>
      </c>
    </row>
    <row r="1250" spans="2:13">
      <c r="B1250" t="s">
        <v>2485</v>
      </c>
      <c r="C1250" s="4" t="s">
        <v>2486</v>
      </c>
      <c r="D1250" s="4" t="s">
        <v>2486</v>
      </c>
      <c r="E1250" s="4" t="s">
        <v>2486</v>
      </c>
      <c r="F1250" s="4" t="s">
        <v>2486</v>
      </c>
      <c r="G1250" s="5">
        <v>63.25632</v>
      </c>
      <c r="H1250" s="9"/>
      <c r="I1250" s="9">
        <f t="shared" si="95"/>
        <v>29.7304704</v>
      </c>
      <c r="J1250" s="9">
        <f t="shared" si="96"/>
        <v>31.62816</v>
      </c>
      <c r="K1250" s="9">
        <f t="shared" si="97"/>
        <v>34.790976</v>
      </c>
      <c r="L1250" s="9">
        <f t="shared" si="98"/>
        <v>44.279424</v>
      </c>
      <c r="M1250" s="9">
        <f t="shared" si="99"/>
        <v>53.767872</v>
      </c>
    </row>
    <row r="1251" spans="2:13">
      <c r="B1251" t="s">
        <v>2487</v>
      </c>
      <c r="C1251" s="4" t="s">
        <v>2488</v>
      </c>
      <c r="D1251" s="4" t="s">
        <v>2488</v>
      </c>
      <c r="E1251" s="4" t="s">
        <v>2488</v>
      </c>
      <c r="F1251" s="4" t="s">
        <v>2488</v>
      </c>
      <c r="G1251" s="5">
        <v>69.60276</v>
      </c>
      <c r="H1251" s="9"/>
      <c r="I1251" s="9">
        <f t="shared" si="95"/>
        <v>32.7132972</v>
      </c>
      <c r="J1251" s="9">
        <f t="shared" si="96"/>
        <v>34.80138</v>
      </c>
      <c r="K1251" s="9">
        <f t="shared" si="97"/>
        <v>38.281518</v>
      </c>
      <c r="L1251" s="9">
        <f t="shared" si="98"/>
        <v>48.721932</v>
      </c>
      <c r="M1251" s="9">
        <f t="shared" si="99"/>
        <v>59.162346</v>
      </c>
    </row>
    <row r="1252" spans="2:13">
      <c r="B1252" t="s">
        <v>2489</v>
      </c>
      <c r="C1252" s="4" t="s">
        <v>2490</v>
      </c>
      <c r="D1252" s="4" t="s">
        <v>2490</v>
      </c>
      <c r="E1252" s="4" t="s">
        <v>2490</v>
      </c>
      <c r="F1252" s="4" t="s">
        <v>2490</v>
      </c>
      <c r="G1252" s="5">
        <v>124.0524</v>
      </c>
      <c r="H1252" s="9"/>
      <c r="I1252" s="9">
        <f t="shared" si="95"/>
        <v>58.304628</v>
      </c>
      <c r="J1252" s="9">
        <f t="shared" si="96"/>
        <v>62.0262</v>
      </c>
      <c r="K1252" s="9">
        <f t="shared" si="97"/>
        <v>68.22882</v>
      </c>
      <c r="L1252" s="9">
        <f t="shared" si="98"/>
        <v>86.83668</v>
      </c>
      <c r="M1252" s="9">
        <f t="shared" si="99"/>
        <v>105.44454</v>
      </c>
    </row>
    <row r="1253" ht="27" spans="2:13">
      <c r="B1253" t="s">
        <v>2491</v>
      </c>
      <c r="C1253" s="4" t="s">
        <v>2492</v>
      </c>
      <c r="D1253" s="4" t="s">
        <v>2492</v>
      </c>
      <c r="E1253" s="4" t="s">
        <v>2492</v>
      </c>
      <c r="F1253" s="4" t="s">
        <v>2492</v>
      </c>
      <c r="G1253" s="5">
        <v>266.75856</v>
      </c>
      <c r="H1253" s="9"/>
      <c r="I1253" s="9">
        <f t="shared" si="95"/>
        <v>125.3765232</v>
      </c>
      <c r="J1253" s="9">
        <f t="shared" si="96"/>
        <v>133.37928</v>
      </c>
      <c r="K1253" s="9">
        <f t="shared" si="97"/>
        <v>146.717208</v>
      </c>
      <c r="L1253" s="9">
        <f t="shared" si="98"/>
        <v>186.730992</v>
      </c>
      <c r="M1253" s="9">
        <f t="shared" si="99"/>
        <v>226.744776</v>
      </c>
    </row>
    <row r="1254" ht="27" spans="2:13">
      <c r="B1254" t="s">
        <v>2493</v>
      </c>
      <c r="C1254" s="4" t="s">
        <v>2494</v>
      </c>
      <c r="D1254" s="4" t="s">
        <v>2494</v>
      </c>
      <c r="E1254" s="4" t="s">
        <v>2494</v>
      </c>
      <c r="F1254" s="4" t="s">
        <v>2494</v>
      </c>
      <c r="G1254" s="5">
        <v>586.5</v>
      </c>
      <c r="H1254" s="9"/>
      <c r="I1254" s="9">
        <f t="shared" si="95"/>
        <v>275.655</v>
      </c>
      <c r="J1254" s="9">
        <f t="shared" si="96"/>
        <v>293.25</v>
      </c>
      <c r="K1254" s="9">
        <f t="shared" si="97"/>
        <v>322.575</v>
      </c>
      <c r="L1254" s="9">
        <f t="shared" si="98"/>
        <v>410.55</v>
      </c>
      <c r="M1254" s="9">
        <f t="shared" si="99"/>
        <v>498.525</v>
      </c>
    </row>
    <row r="1255" spans="2:13">
      <c r="B1255" t="s">
        <v>2495</v>
      </c>
      <c r="C1255" s="4" t="s">
        <v>2496</v>
      </c>
      <c r="D1255" s="4" t="s">
        <v>2496</v>
      </c>
      <c r="E1255" s="4" t="s">
        <v>2496</v>
      </c>
      <c r="F1255" s="4" t="s">
        <v>2496</v>
      </c>
      <c r="G1255" s="5">
        <v>14.0454</v>
      </c>
      <c r="H1255" s="9"/>
      <c r="I1255" s="9">
        <f t="shared" si="95"/>
        <v>6.601338</v>
      </c>
      <c r="J1255" s="9">
        <f t="shared" si="96"/>
        <v>7.0227</v>
      </c>
      <c r="K1255" s="9">
        <f t="shared" si="97"/>
        <v>7.72497</v>
      </c>
      <c r="L1255" s="9">
        <f t="shared" si="98"/>
        <v>9.83178</v>
      </c>
      <c r="M1255" s="9">
        <f t="shared" si="99"/>
        <v>11.93859</v>
      </c>
    </row>
    <row r="1256" spans="2:13">
      <c r="B1256" t="s">
        <v>2497</v>
      </c>
      <c r="C1256" s="4" t="s">
        <v>2498</v>
      </c>
      <c r="D1256" s="4" t="s">
        <v>2498</v>
      </c>
      <c r="E1256" s="4" t="s">
        <v>2498</v>
      </c>
      <c r="F1256" s="4" t="s">
        <v>2498</v>
      </c>
      <c r="G1256" s="5">
        <v>16.23024</v>
      </c>
      <c r="H1256" s="9"/>
      <c r="I1256" s="9">
        <f t="shared" si="95"/>
        <v>7.6282128</v>
      </c>
      <c r="J1256" s="9">
        <f t="shared" si="96"/>
        <v>8.11512</v>
      </c>
      <c r="K1256" s="9">
        <f t="shared" si="97"/>
        <v>8.926632</v>
      </c>
      <c r="L1256" s="9">
        <f t="shared" si="98"/>
        <v>11.361168</v>
      </c>
      <c r="M1256" s="9">
        <f t="shared" si="99"/>
        <v>13.795704</v>
      </c>
    </row>
    <row r="1257" spans="2:13">
      <c r="B1257" t="s">
        <v>2499</v>
      </c>
      <c r="C1257" s="4" t="s">
        <v>2500</v>
      </c>
      <c r="D1257" s="4" t="s">
        <v>2500</v>
      </c>
      <c r="E1257" s="4" t="s">
        <v>2500</v>
      </c>
      <c r="F1257" s="4" t="s">
        <v>2500</v>
      </c>
      <c r="G1257" s="5">
        <v>36.70368</v>
      </c>
      <c r="H1257" s="9"/>
      <c r="I1257" s="9">
        <f t="shared" si="95"/>
        <v>17.2507296</v>
      </c>
      <c r="J1257" s="9">
        <f t="shared" si="96"/>
        <v>18.35184</v>
      </c>
      <c r="K1257" s="9">
        <f t="shared" si="97"/>
        <v>20.187024</v>
      </c>
      <c r="L1257" s="9">
        <f t="shared" si="98"/>
        <v>25.692576</v>
      </c>
      <c r="M1257" s="9">
        <f t="shared" si="99"/>
        <v>31.198128</v>
      </c>
    </row>
    <row r="1258" spans="2:13">
      <c r="B1258" t="s">
        <v>2501</v>
      </c>
      <c r="C1258" s="4" t="s">
        <v>2502</v>
      </c>
      <c r="D1258" s="4" t="s">
        <v>2502</v>
      </c>
      <c r="E1258" s="4" t="s">
        <v>2502</v>
      </c>
      <c r="F1258" s="4" t="s">
        <v>2502</v>
      </c>
      <c r="G1258" s="5">
        <v>18.93528</v>
      </c>
      <c r="H1258" s="9"/>
      <c r="I1258" s="9">
        <f t="shared" si="95"/>
        <v>8.8995816</v>
      </c>
      <c r="J1258" s="9">
        <f t="shared" si="96"/>
        <v>9.46764</v>
      </c>
      <c r="K1258" s="9">
        <f t="shared" si="97"/>
        <v>10.414404</v>
      </c>
      <c r="L1258" s="9">
        <f t="shared" si="98"/>
        <v>13.254696</v>
      </c>
      <c r="M1258" s="9">
        <f t="shared" si="99"/>
        <v>16.094988</v>
      </c>
    </row>
    <row r="1259" spans="2:13">
      <c r="B1259" t="s">
        <v>2503</v>
      </c>
      <c r="C1259" s="4" t="s">
        <v>2504</v>
      </c>
      <c r="D1259" s="4" t="s">
        <v>2504</v>
      </c>
      <c r="E1259" s="4" t="s">
        <v>2504</v>
      </c>
      <c r="F1259" s="4" t="s">
        <v>2504</v>
      </c>
      <c r="G1259" s="5">
        <v>30.02064</v>
      </c>
      <c r="H1259" s="9"/>
      <c r="I1259" s="9">
        <f t="shared" si="95"/>
        <v>14.1097008</v>
      </c>
      <c r="J1259" s="9">
        <f t="shared" si="96"/>
        <v>15.01032</v>
      </c>
      <c r="K1259" s="9">
        <f t="shared" si="97"/>
        <v>16.511352</v>
      </c>
      <c r="L1259" s="9">
        <f t="shared" si="98"/>
        <v>21.014448</v>
      </c>
      <c r="M1259" s="9">
        <f t="shared" si="99"/>
        <v>25.517544</v>
      </c>
    </row>
    <row r="1260" spans="2:13">
      <c r="B1260" t="s">
        <v>2505</v>
      </c>
      <c r="C1260" s="4" t="s">
        <v>2506</v>
      </c>
      <c r="D1260" s="4" t="s">
        <v>2506</v>
      </c>
      <c r="E1260" s="4" t="s">
        <v>2506</v>
      </c>
      <c r="F1260" s="4" t="s">
        <v>2506</v>
      </c>
      <c r="G1260" s="5">
        <v>80.223</v>
      </c>
      <c r="H1260" s="9"/>
      <c r="I1260" s="9">
        <f t="shared" si="95"/>
        <v>37.70481</v>
      </c>
      <c r="J1260" s="9">
        <f t="shared" si="96"/>
        <v>40.1115</v>
      </c>
      <c r="K1260" s="9">
        <f t="shared" si="97"/>
        <v>44.12265</v>
      </c>
      <c r="L1260" s="9">
        <f t="shared" si="98"/>
        <v>56.1561</v>
      </c>
      <c r="M1260" s="9">
        <f t="shared" si="99"/>
        <v>68.18955</v>
      </c>
    </row>
    <row r="1261" spans="2:13">
      <c r="B1261" t="s">
        <v>2507</v>
      </c>
      <c r="C1261" s="4" t="s">
        <v>2508</v>
      </c>
      <c r="D1261" s="4" t="s">
        <v>2508</v>
      </c>
      <c r="E1261" s="4" t="s">
        <v>2508</v>
      </c>
      <c r="F1261" s="4" t="s">
        <v>2508</v>
      </c>
      <c r="G1261" s="5">
        <v>39.015</v>
      </c>
      <c r="H1261" s="9"/>
      <c r="I1261" s="9">
        <f t="shared" si="95"/>
        <v>18.33705</v>
      </c>
      <c r="J1261" s="9">
        <f t="shared" si="96"/>
        <v>19.5075</v>
      </c>
      <c r="K1261" s="9">
        <f t="shared" si="97"/>
        <v>21.45825</v>
      </c>
      <c r="L1261" s="9">
        <f t="shared" si="98"/>
        <v>27.3105</v>
      </c>
      <c r="M1261" s="9">
        <f t="shared" si="99"/>
        <v>33.16275</v>
      </c>
    </row>
    <row r="1262" spans="2:13">
      <c r="B1262" t="s">
        <v>2509</v>
      </c>
      <c r="C1262" s="4" t="s">
        <v>2510</v>
      </c>
      <c r="D1262" s="4" t="s">
        <v>2510</v>
      </c>
      <c r="E1262" s="4" t="s">
        <v>2510</v>
      </c>
      <c r="F1262" s="4" t="s">
        <v>2510</v>
      </c>
      <c r="G1262" s="5">
        <v>48.58668</v>
      </c>
      <c r="H1262" s="9"/>
      <c r="I1262" s="9">
        <f t="shared" si="95"/>
        <v>22.8357396</v>
      </c>
      <c r="J1262" s="9">
        <f t="shared" si="96"/>
        <v>24.29334</v>
      </c>
      <c r="K1262" s="9">
        <f t="shared" si="97"/>
        <v>26.722674</v>
      </c>
      <c r="L1262" s="9">
        <f t="shared" si="98"/>
        <v>34.010676</v>
      </c>
      <c r="M1262" s="9">
        <f t="shared" si="99"/>
        <v>41.298678</v>
      </c>
    </row>
    <row r="1263" ht="27" spans="2:13">
      <c r="B1263" t="s">
        <v>2511</v>
      </c>
      <c r="C1263" s="4" t="s">
        <v>2512</v>
      </c>
      <c r="D1263" s="4" t="s">
        <v>2512</v>
      </c>
      <c r="E1263" s="4" t="s">
        <v>2512</v>
      </c>
      <c r="F1263" s="4" t="s">
        <v>2512</v>
      </c>
      <c r="G1263" s="5">
        <v>103.275</v>
      </c>
      <c r="H1263" s="9"/>
      <c r="I1263" s="9">
        <f t="shared" si="95"/>
        <v>48.53925</v>
      </c>
      <c r="J1263" s="9">
        <f t="shared" si="96"/>
        <v>51.6375</v>
      </c>
      <c r="K1263" s="9">
        <f t="shared" si="97"/>
        <v>56.80125</v>
      </c>
      <c r="L1263" s="9">
        <f t="shared" si="98"/>
        <v>72.2925</v>
      </c>
      <c r="M1263" s="9">
        <f t="shared" si="99"/>
        <v>87.78375</v>
      </c>
    </row>
    <row r="1264" spans="2:13">
      <c r="B1264" t="s">
        <v>2513</v>
      </c>
      <c r="C1264" s="4" t="s">
        <v>2514</v>
      </c>
      <c r="D1264" s="4" t="s">
        <v>2514</v>
      </c>
      <c r="E1264" s="4" t="s">
        <v>2514</v>
      </c>
      <c r="F1264" s="4" t="s">
        <v>2514</v>
      </c>
      <c r="G1264" s="5">
        <v>24.86556</v>
      </c>
      <c r="H1264" s="9"/>
      <c r="I1264" s="9">
        <f t="shared" si="95"/>
        <v>11.6868132</v>
      </c>
      <c r="J1264" s="9">
        <f t="shared" si="96"/>
        <v>12.43278</v>
      </c>
      <c r="K1264" s="9">
        <f t="shared" si="97"/>
        <v>13.676058</v>
      </c>
      <c r="L1264" s="9">
        <f t="shared" si="98"/>
        <v>17.405892</v>
      </c>
      <c r="M1264" s="9">
        <f t="shared" si="99"/>
        <v>21.135726</v>
      </c>
    </row>
    <row r="1265" spans="2:13">
      <c r="B1265" t="s">
        <v>2515</v>
      </c>
      <c r="C1265" s="4" t="s">
        <v>2516</v>
      </c>
      <c r="D1265" s="4" t="s">
        <v>2516</v>
      </c>
      <c r="E1265" s="4" t="s">
        <v>2516</v>
      </c>
      <c r="F1265" s="4" t="s">
        <v>2516</v>
      </c>
      <c r="G1265" s="5">
        <v>37.4348</v>
      </c>
      <c r="H1265" s="9"/>
      <c r="I1265" s="9">
        <f t="shared" si="95"/>
        <v>17.594356</v>
      </c>
      <c r="J1265" s="9">
        <f t="shared" si="96"/>
        <v>18.7174</v>
      </c>
      <c r="K1265" s="9">
        <f t="shared" si="97"/>
        <v>20.58914</v>
      </c>
      <c r="L1265" s="9">
        <f t="shared" si="98"/>
        <v>26.20436</v>
      </c>
      <c r="M1265" s="9">
        <f t="shared" si="99"/>
        <v>31.81958</v>
      </c>
    </row>
    <row r="1266" spans="2:13">
      <c r="B1266" t="s">
        <v>2517</v>
      </c>
      <c r="C1266" s="4" t="s">
        <v>2506</v>
      </c>
      <c r="D1266" s="4" t="s">
        <v>2506</v>
      </c>
      <c r="E1266" s="4" t="s">
        <v>2506</v>
      </c>
      <c r="F1266" s="4" t="s">
        <v>2506</v>
      </c>
      <c r="G1266" s="5">
        <v>78.65424</v>
      </c>
      <c r="H1266" s="9"/>
      <c r="I1266" s="9">
        <f t="shared" si="95"/>
        <v>36.9674928</v>
      </c>
      <c r="J1266" s="9">
        <f t="shared" si="96"/>
        <v>39.32712</v>
      </c>
      <c r="K1266" s="9">
        <f t="shared" si="97"/>
        <v>43.259832</v>
      </c>
      <c r="L1266" s="9">
        <f t="shared" si="98"/>
        <v>55.057968</v>
      </c>
      <c r="M1266" s="9">
        <f t="shared" si="99"/>
        <v>66.856104</v>
      </c>
    </row>
    <row r="1267" spans="2:13">
      <c r="B1267" t="s">
        <v>2518</v>
      </c>
      <c r="C1267" s="4" t="s">
        <v>2519</v>
      </c>
      <c r="D1267" s="4" t="s">
        <v>2519</v>
      </c>
      <c r="E1267" s="4" t="s">
        <v>2519</v>
      </c>
      <c r="F1267" s="4" t="s">
        <v>2519</v>
      </c>
      <c r="G1267" s="5">
        <v>26.91</v>
      </c>
      <c r="H1267" s="9"/>
      <c r="I1267" s="9">
        <f t="shared" si="95"/>
        <v>12.6477</v>
      </c>
      <c r="J1267" s="9">
        <f t="shared" si="96"/>
        <v>13.455</v>
      </c>
      <c r="K1267" s="9">
        <f t="shared" si="97"/>
        <v>14.8005</v>
      </c>
      <c r="L1267" s="9">
        <f t="shared" si="98"/>
        <v>18.837</v>
      </c>
      <c r="M1267" s="9">
        <f t="shared" si="99"/>
        <v>22.8735</v>
      </c>
    </row>
    <row r="1268" spans="2:13">
      <c r="B1268" t="s">
        <v>2520</v>
      </c>
      <c r="C1268" s="4" t="s">
        <v>2521</v>
      </c>
      <c r="D1268" s="4" t="s">
        <v>2521</v>
      </c>
      <c r="E1268" s="4" t="s">
        <v>2521</v>
      </c>
      <c r="F1268" s="4" t="s">
        <v>2521</v>
      </c>
      <c r="G1268" s="5">
        <v>36.83016</v>
      </c>
      <c r="H1268" s="9"/>
      <c r="I1268" s="9">
        <f t="shared" si="95"/>
        <v>17.3101752</v>
      </c>
      <c r="J1268" s="9">
        <f t="shared" si="96"/>
        <v>18.41508</v>
      </c>
      <c r="K1268" s="9">
        <f t="shared" si="97"/>
        <v>20.256588</v>
      </c>
      <c r="L1268" s="9">
        <f t="shared" si="98"/>
        <v>25.781112</v>
      </c>
      <c r="M1268" s="9">
        <f t="shared" si="99"/>
        <v>31.305636</v>
      </c>
    </row>
    <row r="1269" spans="2:13">
      <c r="B1269" t="s">
        <v>2522</v>
      </c>
      <c r="C1269" s="4" t="s">
        <v>2523</v>
      </c>
      <c r="D1269" s="4" t="s">
        <v>2523</v>
      </c>
      <c r="E1269" s="4" t="s">
        <v>2523</v>
      </c>
      <c r="F1269" s="4" t="s">
        <v>2523</v>
      </c>
      <c r="G1269" s="5">
        <v>73.03608</v>
      </c>
      <c r="H1269" s="9"/>
      <c r="I1269" s="9">
        <f t="shared" si="95"/>
        <v>34.3269576</v>
      </c>
      <c r="J1269" s="9">
        <f t="shared" si="96"/>
        <v>36.51804</v>
      </c>
      <c r="K1269" s="9">
        <f t="shared" si="97"/>
        <v>40.169844</v>
      </c>
      <c r="L1269" s="9">
        <f t="shared" si="98"/>
        <v>51.125256</v>
      </c>
      <c r="M1269" s="9">
        <f t="shared" si="99"/>
        <v>62.080668</v>
      </c>
    </row>
    <row r="1270" ht="27" spans="2:13">
      <c r="B1270" t="s">
        <v>2524</v>
      </c>
      <c r="C1270" s="4" t="s">
        <v>2525</v>
      </c>
      <c r="D1270" s="4" t="s">
        <v>2525</v>
      </c>
      <c r="E1270" s="4" t="s">
        <v>2525</v>
      </c>
      <c r="F1270" s="4" t="s">
        <v>2525</v>
      </c>
      <c r="G1270" s="5">
        <v>146.064</v>
      </c>
      <c r="H1270" s="9"/>
      <c r="I1270" s="9">
        <f t="shared" si="95"/>
        <v>68.65008</v>
      </c>
      <c r="J1270" s="9">
        <f t="shared" si="96"/>
        <v>73.032</v>
      </c>
      <c r="K1270" s="9">
        <f t="shared" si="97"/>
        <v>80.3352</v>
      </c>
      <c r="L1270" s="9">
        <f t="shared" si="98"/>
        <v>102.2448</v>
      </c>
      <c r="M1270" s="9">
        <f t="shared" si="99"/>
        <v>124.1544</v>
      </c>
    </row>
    <row r="1271" spans="2:13">
      <c r="B1271" t="s">
        <v>2526</v>
      </c>
      <c r="C1271" s="4" t="s">
        <v>2527</v>
      </c>
      <c r="D1271" s="4" t="s">
        <v>2527</v>
      </c>
      <c r="E1271" s="4" t="s">
        <v>2527</v>
      </c>
      <c r="F1271" s="4" t="s">
        <v>2527</v>
      </c>
      <c r="G1271" s="5">
        <v>26.01</v>
      </c>
      <c r="H1271" s="9"/>
      <c r="I1271" s="9">
        <f t="shared" si="95"/>
        <v>12.2247</v>
      </c>
      <c r="J1271" s="9">
        <f t="shared" si="96"/>
        <v>13.005</v>
      </c>
      <c r="K1271" s="9">
        <f t="shared" si="97"/>
        <v>14.3055</v>
      </c>
      <c r="L1271" s="9">
        <f t="shared" si="98"/>
        <v>18.207</v>
      </c>
      <c r="M1271" s="9">
        <f t="shared" si="99"/>
        <v>22.1085</v>
      </c>
    </row>
    <row r="1272" spans="2:13">
      <c r="B1272" t="s">
        <v>2528</v>
      </c>
      <c r="C1272" s="4" t="s">
        <v>2529</v>
      </c>
      <c r="D1272" s="4" t="s">
        <v>2529</v>
      </c>
      <c r="E1272" s="4" t="s">
        <v>2529</v>
      </c>
      <c r="F1272" s="4" t="s">
        <v>2529</v>
      </c>
      <c r="G1272" s="5">
        <v>32.56452</v>
      </c>
      <c r="H1272" s="9"/>
      <c r="I1272" s="9">
        <f t="shared" si="95"/>
        <v>15.3053244</v>
      </c>
      <c r="J1272" s="9">
        <f t="shared" si="96"/>
        <v>16.28226</v>
      </c>
      <c r="K1272" s="9">
        <f t="shared" si="97"/>
        <v>17.910486</v>
      </c>
      <c r="L1272" s="9">
        <f t="shared" si="98"/>
        <v>22.795164</v>
      </c>
      <c r="M1272" s="9">
        <f t="shared" si="99"/>
        <v>27.679842</v>
      </c>
    </row>
    <row r="1273" spans="2:13">
      <c r="B1273" t="s">
        <v>2530</v>
      </c>
      <c r="C1273" s="4" t="s">
        <v>2531</v>
      </c>
      <c r="D1273" s="4" t="s">
        <v>2531</v>
      </c>
      <c r="E1273" s="4" t="s">
        <v>2531</v>
      </c>
      <c r="F1273" s="4" t="s">
        <v>2531</v>
      </c>
      <c r="G1273" s="5">
        <v>64.5048</v>
      </c>
      <c r="H1273" s="9"/>
      <c r="I1273" s="9">
        <f t="shared" si="95"/>
        <v>30.317256</v>
      </c>
      <c r="J1273" s="9">
        <f t="shared" si="96"/>
        <v>32.2524</v>
      </c>
      <c r="K1273" s="9">
        <f t="shared" si="97"/>
        <v>35.47764</v>
      </c>
      <c r="L1273" s="9">
        <f t="shared" si="98"/>
        <v>45.15336</v>
      </c>
      <c r="M1273" s="9">
        <f t="shared" si="99"/>
        <v>54.82908</v>
      </c>
    </row>
    <row r="1274" spans="2:13">
      <c r="B1274" t="s">
        <v>2532</v>
      </c>
      <c r="C1274" s="4" t="s">
        <v>2533</v>
      </c>
      <c r="D1274" s="4" t="s">
        <v>2533</v>
      </c>
      <c r="E1274" s="4" t="s">
        <v>2533</v>
      </c>
      <c r="F1274" s="4" t="s">
        <v>2533</v>
      </c>
      <c r="G1274" s="5">
        <v>96.54912</v>
      </c>
      <c r="H1274" s="9"/>
      <c r="I1274" s="9">
        <f t="shared" si="95"/>
        <v>45.3780864</v>
      </c>
      <c r="J1274" s="9">
        <f t="shared" si="96"/>
        <v>48.27456</v>
      </c>
      <c r="K1274" s="9">
        <f t="shared" si="97"/>
        <v>53.102016</v>
      </c>
      <c r="L1274" s="9">
        <f t="shared" si="98"/>
        <v>67.584384</v>
      </c>
      <c r="M1274" s="9">
        <f t="shared" si="99"/>
        <v>82.066752</v>
      </c>
    </row>
    <row r="1275" ht="27" spans="2:13">
      <c r="B1275" t="s">
        <v>2534</v>
      </c>
      <c r="C1275" s="4" t="s">
        <v>2535</v>
      </c>
      <c r="D1275" s="4" t="s">
        <v>2535</v>
      </c>
      <c r="E1275" s="4" t="s">
        <v>2535</v>
      </c>
      <c r="F1275" s="4" t="s">
        <v>2535</v>
      </c>
      <c r="G1275" s="5">
        <v>193.086</v>
      </c>
      <c r="H1275" s="9"/>
      <c r="I1275" s="9">
        <f t="shared" si="95"/>
        <v>90.75042</v>
      </c>
      <c r="J1275" s="9">
        <f t="shared" si="96"/>
        <v>96.543</v>
      </c>
      <c r="K1275" s="9">
        <f t="shared" si="97"/>
        <v>106.1973</v>
      </c>
      <c r="L1275" s="9">
        <f t="shared" si="98"/>
        <v>135.1602</v>
      </c>
      <c r="M1275" s="9">
        <f t="shared" si="99"/>
        <v>164.1231</v>
      </c>
    </row>
    <row r="1276" spans="2:13">
      <c r="B1276" t="s">
        <v>2536</v>
      </c>
      <c r="C1276" s="4" t="s">
        <v>2537</v>
      </c>
      <c r="D1276" s="4" t="s">
        <v>2537</v>
      </c>
      <c r="E1276" s="4" t="s">
        <v>2537</v>
      </c>
      <c r="F1276" s="4" t="s">
        <v>2537</v>
      </c>
      <c r="G1276" s="5">
        <v>42.34428</v>
      </c>
      <c r="H1276" s="9"/>
      <c r="I1276" s="9">
        <f t="shared" si="95"/>
        <v>19.9018116</v>
      </c>
      <c r="J1276" s="9">
        <f t="shared" si="96"/>
        <v>21.17214</v>
      </c>
      <c r="K1276" s="9">
        <f t="shared" si="97"/>
        <v>23.289354</v>
      </c>
      <c r="L1276" s="9">
        <f t="shared" si="98"/>
        <v>29.640996</v>
      </c>
      <c r="M1276" s="9">
        <f t="shared" si="99"/>
        <v>35.992638</v>
      </c>
    </row>
    <row r="1277" spans="2:13">
      <c r="B1277" t="s">
        <v>2538</v>
      </c>
      <c r="C1277" s="4" t="s">
        <v>2539</v>
      </c>
      <c r="D1277" s="4" t="s">
        <v>2539</v>
      </c>
      <c r="E1277" s="4" t="s">
        <v>2539</v>
      </c>
      <c r="F1277" s="4" t="s">
        <v>2539</v>
      </c>
      <c r="G1277" s="5">
        <v>119.85408</v>
      </c>
      <c r="H1277" s="9"/>
      <c r="I1277" s="9">
        <f t="shared" si="95"/>
        <v>56.3314176</v>
      </c>
      <c r="J1277" s="9">
        <f t="shared" si="96"/>
        <v>59.92704</v>
      </c>
      <c r="K1277" s="9">
        <f t="shared" si="97"/>
        <v>65.919744</v>
      </c>
      <c r="L1277" s="9">
        <f t="shared" si="98"/>
        <v>83.897856</v>
      </c>
      <c r="M1277" s="9">
        <f t="shared" si="99"/>
        <v>101.875968</v>
      </c>
    </row>
    <row r="1278" ht="27" spans="2:13">
      <c r="B1278" t="s">
        <v>2540</v>
      </c>
      <c r="C1278" s="4" t="s">
        <v>2541</v>
      </c>
      <c r="D1278" s="4" t="s">
        <v>2541</v>
      </c>
      <c r="E1278" s="4" t="s">
        <v>2541</v>
      </c>
      <c r="F1278" s="4" t="s">
        <v>2541</v>
      </c>
      <c r="G1278" s="5">
        <v>239.7</v>
      </c>
      <c r="H1278" s="9"/>
      <c r="I1278" s="9">
        <f t="shared" si="95"/>
        <v>112.659</v>
      </c>
      <c r="J1278" s="9">
        <f t="shared" si="96"/>
        <v>119.85</v>
      </c>
      <c r="K1278" s="9">
        <f t="shared" si="97"/>
        <v>131.835</v>
      </c>
      <c r="L1278" s="9">
        <f t="shared" si="98"/>
        <v>167.79</v>
      </c>
      <c r="M1278" s="9">
        <f t="shared" si="99"/>
        <v>203.745</v>
      </c>
    </row>
    <row r="1279" spans="2:13">
      <c r="B1279" t="s">
        <v>2542</v>
      </c>
      <c r="C1279" s="4" t="s">
        <v>2543</v>
      </c>
      <c r="D1279" s="4" t="s">
        <v>2543</v>
      </c>
      <c r="E1279" s="4" t="s">
        <v>2543</v>
      </c>
      <c r="F1279" s="4" t="s">
        <v>2543</v>
      </c>
      <c r="G1279" s="5">
        <v>176.868</v>
      </c>
      <c r="H1279" s="9"/>
      <c r="I1279" s="9">
        <f t="shared" si="95"/>
        <v>83.12796</v>
      </c>
      <c r="J1279" s="9">
        <f t="shared" si="96"/>
        <v>88.434</v>
      </c>
      <c r="K1279" s="9">
        <f t="shared" si="97"/>
        <v>97.2774</v>
      </c>
      <c r="L1279" s="9">
        <f t="shared" si="98"/>
        <v>123.8076</v>
      </c>
      <c r="M1279" s="9">
        <f t="shared" si="99"/>
        <v>150.3378</v>
      </c>
    </row>
    <row r="1280" spans="2:13">
      <c r="B1280" t="s">
        <v>2544</v>
      </c>
      <c r="C1280" s="4" t="s">
        <v>2545</v>
      </c>
      <c r="D1280" s="4" t="s">
        <v>2545</v>
      </c>
      <c r="E1280" s="4" t="s">
        <v>2545</v>
      </c>
      <c r="F1280" s="4" t="s">
        <v>2545</v>
      </c>
      <c r="G1280" s="5">
        <v>58.7826</v>
      </c>
      <c r="H1280" s="9"/>
      <c r="I1280" s="9">
        <f t="shared" si="95"/>
        <v>27.627822</v>
      </c>
      <c r="J1280" s="9">
        <f t="shared" si="96"/>
        <v>29.3913</v>
      </c>
      <c r="K1280" s="9">
        <f t="shared" si="97"/>
        <v>32.33043</v>
      </c>
      <c r="L1280" s="9">
        <f t="shared" si="98"/>
        <v>41.14782</v>
      </c>
      <c r="M1280" s="9">
        <f t="shared" si="99"/>
        <v>49.96521</v>
      </c>
    </row>
    <row r="1281" spans="2:13">
      <c r="B1281" t="s">
        <v>2546</v>
      </c>
      <c r="C1281" s="4" t="s">
        <v>2547</v>
      </c>
      <c r="D1281" s="4" t="s">
        <v>2547</v>
      </c>
      <c r="E1281" s="4" t="s">
        <v>2547</v>
      </c>
      <c r="F1281" s="4" t="s">
        <v>2547</v>
      </c>
      <c r="G1281" s="5">
        <v>204</v>
      </c>
      <c r="H1281" s="9"/>
      <c r="I1281" s="9">
        <f t="shared" si="95"/>
        <v>95.88</v>
      </c>
      <c r="J1281" s="9">
        <f t="shared" si="96"/>
        <v>102</v>
      </c>
      <c r="K1281" s="9">
        <f t="shared" si="97"/>
        <v>112.2</v>
      </c>
      <c r="L1281" s="9">
        <f t="shared" si="98"/>
        <v>142.8</v>
      </c>
      <c r="M1281" s="9">
        <f t="shared" si="99"/>
        <v>173.4</v>
      </c>
    </row>
    <row r="1282" spans="2:13">
      <c r="B1282" t="s">
        <v>2548</v>
      </c>
      <c r="C1282" s="4" t="s">
        <v>2549</v>
      </c>
      <c r="D1282" s="4" t="s">
        <v>2549</v>
      </c>
      <c r="E1282" s="4" t="s">
        <v>2549</v>
      </c>
      <c r="F1282" s="4" t="s">
        <v>2549</v>
      </c>
      <c r="G1282" s="5">
        <v>143.36712</v>
      </c>
      <c r="H1282" s="9"/>
      <c r="I1282" s="9">
        <f t="shared" si="95"/>
        <v>67.3825464</v>
      </c>
      <c r="J1282" s="9">
        <f t="shared" si="96"/>
        <v>71.68356</v>
      </c>
      <c r="K1282" s="9">
        <f t="shared" si="97"/>
        <v>78.851916</v>
      </c>
      <c r="L1282" s="9">
        <f t="shared" si="98"/>
        <v>100.356984</v>
      </c>
      <c r="M1282" s="9">
        <f t="shared" si="99"/>
        <v>121.862052</v>
      </c>
    </row>
    <row r="1283" ht="27" spans="2:13">
      <c r="B1283" t="s">
        <v>2550</v>
      </c>
      <c r="C1283" s="4" t="s">
        <v>2551</v>
      </c>
      <c r="D1283" s="4" t="s">
        <v>2551</v>
      </c>
      <c r="E1283" s="4" t="s">
        <v>2551</v>
      </c>
      <c r="F1283" s="4" t="s">
        <v>2551</v>
      </c>
      <c r="G1283" s="5">
        <v>286.722</v>
      </c>
      <c r="H1283" s="9"/>
      <c r="I1283" s="9">
        <f t="shared" si="95"/>
        <v>134.75934</v>
      </c>
      <c r="J1283" s="9">
        <f t="shared" si="96"/>
        <v>143.361</v>
      </c>
      <c r="K1283" s="9">
        <f t="shared" si="97"/>
        <v>157.6971</v>
      </c>
      <c r="L1283" s="9">
        <f t="shared" si="98"/>
        <v>200.7054</v>
      </c>
      <c r="M1283" s="9">
        <f t="shared" si="99"/>
        <v>243.7137</v>
      </c>
    </row>
    <row r="1284" spans="2:13">
      <c r="B1284" t="s">
        <v>2552</v>
      </c>
      <c r="C1284" s="4" t="s">
        <v>2553</v>
      </c>
      <c r="D1284" s="4" t="s">
        <v>2553</v>
      </c>
      <c r="E1284" s="4" t="s">
        <v>2553</v>
      </c>
      <c r="F1284" s="4" t="s">
        <v>2553</v>
      </c>
      <c r="G1284" s="5">
        <v>168.75288</v>
      </c>
      <c r="H1284" s="9"/>
      <c r="I1284" s="9">
        <f t="shared" ref="I1284:I1347" si="100">G1284*0.47</f>
        <v>79.3138536</v>
      </c>
      <c r="J1284" s="9">
        <f t="shared" ref="J1284:J1347" si="101">G1284*0.5</f>
        <v>84.37644</v>
      </c>
      <c r="K1284" s="9">
        <f t="shared" ref="K1284:K1347" si="102">G1284*0.55</f>
        <v>92.814084</v>
      </c>
      <c r="L1284" s="9">
        <f t="shared" ref="L1284:L1347" si="103">G1284*0.7</f>
        <v>118.127016</v>
      </c>
      <c r="M1284" s="9">
        <f t="shared" ref="M1284:M1347" si="104">G1284*0.85</f>
        <v>143.439948</v>
      </c>
    </row>
    <row r="1285" ht="27" spans="2:13">
      <c r="B1285" t="s">
        <v>2554</v>
      </c>
      <c r="C1285" s="4" t="s">
        <v>2555</v>
      </c>
      <c r="D1285" s="4" t="s">
        <v>2555</v>
      </c>
      <c r="E1285" s="4" t="s">
        <v>2555</v>
      </c>
      <c r="F1285" s="4" t="s">
        <v>2555</v>
      </c>
      <c r="G1285" s="5">
        <v>337.518</v>
      </c>
      <c r="H1285" s="9"/>
      <c r="I1285" s="9">
        <f t="shared" si="100"/>
        <v>158.63346</v>
      </c>
      <c r="J1285" s="9">
        <f t="shared" si="101"/>
        <v>168.759</v>
      </c>
      <c r="K1285" s="9">
        <f t="shared" si="102"/>
        <v>185.6349</v>
      </c>
      <c r="L1285" s="9">
        <f t="shared" si="103"/>
        <v>236.2626</v>
      </c>
      <c r="M1285" s="9">
        <f t="shared" si="104"/>
        <v>286.8903</v>
      </c>
    </row>
    <row r="1286" spans="2:13">
      <c r="B1286" t="s">
        <v>2556</v>
      </c>
      <c r="C1286" s="4" t="s">
        <v>2557</v>
      </c>
      <c r="D1286" s="4" t="s">
        <v>2557</v>
      </c>
      <c r="E1286" s="4" t="s">
        <v>2557</v>
      </c>
      <c r="F1286" s="4" t="s">
        <v>2557</v>
      </c>
      <c r="G1286" s="5">
        <v>192.474</v>
      </c>
      <c r="H1286" s="9"/>
      <c r="I1286" s="9">
        <f t="shared" si="100"/>
        <v>90.46278</v>
      </c>
      <c r="J1286" s="9">
        <f t="shared" si="101"/>
        <v>96.237</v>
      </c>
      <c r="K1286" s="9">
        <f t="shared" si="102"/>
        <v>105.8607</v>
      </c>
      <c r="L1286" s="9">
        <f t="shared" si="103"/>
        <v>134.7318</v>
      </c>
      <c r="M1286" s="9">
        <f t="shared" si="104"/>
        <v>163.6029</v>
      </c>
    </row>
    <row r="1287" ht="27" spans="2:13">
      <c r="B1287" t="s">
        <v>2558</v>
      </c>
      <c r="C1287" s="4" t="s">
        <v>2559</v>
      </c>
      <c r="D1287" s="4" t="s">
        <v>2559</v>
      </c>
      <c r="E1287" s="4" t="s">
        <v>2559</v>
      </c>
      <c r="F1287" s="4" t="s">
        <v>2559</v>
      </c>
      <c r="G1287" s="5">
        <v>384.948</v>
      </c>
      <c r="H1287" s="9"/>
      <c r="I1287" s="9">
        <f t="shared" si="100"/>
        <v>180.92556</v>
      </c>
      <c r="J1287" s="9">
        <f t="shared" si="101"/>
        <v>192.474</v>
      </c>
      <c r="K1287" s="9">
        <f t="shared" si="102"/>
        <v>211.7214</v>
      </c>
      <c r="L1287" s="9">
        <f t="shared" si="103"/>
        <v>269.4636</v>
      </c>
      <c r="M1287" s="9">
        <f t="shared" si="104"/>
        <v>327.2058</v>
      </c>
    </row>
    <row r="1288" spans="2:13">
      <c r="B1288" t="s">
        <v>2560</v>
      </c>
      <c r="C1288" s="4" t="s">
        <v>2561</v>
      </c>
      <c r="D1288" s="4" t="s">
        <v>2561</v>
      </c>
      <c r="E1288" s="4" t="s">
        <v>2561</v>
      </c>
      <c r="F1288" s="4" t="s">
        <v>2561</v>
      </c>
      <c r="G1288" s="5">
        <v>341.0264</v>
      </c>
      <c r="H1288" s="9"/>
      <c r="I1288" s="9">
        <f t="shared" si="100"/>
        <v>160.282408</v>
      </c>
      <c r="J1288" s="9">
        <f t="shared" si="101"/>
        <v>170.5132</v>
      </c>
      <c r="K1288" s="9">
        <f t="shared" si="102"/>
        <v>187.56452</v>
      </c>
      <c r="L1288" s="9">
        <f t="shared" si="103"/>
        <v>238.71848</v>
      </c>
      <c r="M1288" s="9">
        <f t="shared" si="104"/>
        <v>289.87244</v>
      </c>
    </row>
    <row r="1289" spans="2:13">
      <c r="B1289" t="s">
        <v>2562</v>
      </c>
      <c r="C1289" s="4" t="s">
        <v>2563</v>
      </c>
      <c r="D1289" s="4" t="s">
        <v>2563</v>
      </c>
      <c r="E1289" s="4" t="s">
        <v>2563</v>
      </c>
      <c r="F1289" s="4" t="s">
        <v>2563</v>
      </c>
      <c r="G1289" s="5">
        <v>372.0288</v>
      </c>
      <c r="H1289" s="9"/>
      <c r="I1289" s="9">
        <f t="shared" si="100"/>
        <v>174.853536</v>
      </c>
      <c r="J1289" s="9">
        <f t="shared" si="101"/>
        <v>186.0144</v>
      </c>
      <c r="K1289" s="9">
        <f t="shared" si="102"/>
        <v>204.61584</v>
      </c>
      <c r="L1289" s="9">
        <f t="shared" si="103"/>
        <v>260.42016</v>
      </c>
      <c r="M1289" s="9">
        <f t="shared" si="104"/>
        <v>316.22448</v>
      </c>
    </row>
    <row r="1290" spans="2:13">
      <c r="B1290" t="s">
        <v>2564</v>
      </c>
      <c r="C1290" s="4" t="s">
        <v>2565</v>
      </c>
      <c r="D1290" s="4" t="s">
        <v>2565</v>
      </c>
      <c r="E1290" s="4" t="s">
        <v>2565</v>
      </c>
      <c r="F1290" s="4" t="s">
        <v>2565</v>
      </c>
      <c r="G1290" s="5">
        <v>477.3912</v>
      </c>
      <c r="H1290" s="9"/>
      <c r="I1290" s="9">
        <f t="shared" si="100"/>
        <v>224.373864</v>
      </c>
      <c r="J1290" s="9">
        <f t="shared" si="101"/>
        <v>238.6956</v>
      </c>
      <c r="K1290" s="9">
        <f t="shared" si="102"/>
        <v>262.56516</v>
      </c>
      <c r="L1290" s="9">
        <f t="shared" si="103"/>
        <v>334.17384</v>
      </c>
      <c r="M1290" s="9">
        <f t="shared" si="104"/>
        <v>405.78252</v>
      </c>
    </row>
    <row r="1291" spans="2:13">
      <c r="B1291" t="s">
        <v>2566</v>
      </c>
      <c r="C1291" s="4" t="s">
        <v>2567</v>
      </c>
      <c r="D1291" s="4" t="s">
        <v>2567</v>
      </c>
      <c r="E1291" s="4" t="s">
        <v>2567</v>
      </c>
      <c r="F1291" s="4" t="s">
        <v>2567</v>
      </c>
      <c r="G1291" s="5">
        <v>520.7904</v>
      </c>
      <c r="H1291" s="9"/>
      <c r="I1291" s="9">
        <f t="shared" si="100"/>
        <v>244.771488</v>
      </c>
      <c r="J1291" s="9">
        <f t="shared" si="101"/>
        <v>260.3952</v>
      </c>
      <c r="K1291" s="9">
        <f t="shared" si="102"/>
        <v>286.43472</v>
      </c>
      <c r="L1291" s="9">
        <f t="shared" si="103"/>
        <v>364.55328</v>
      </c>
      <c r="M1291" s="9">
        <f t="shared" si="104"/>
        <v>442.67184</v>
      </c>
    </row>
    <row r="1292" spans="2:13">
      <c r="B1292" t="s">
        <v>2568</v>
      </c>
      <c r="C1292" s="4" t="s">
        <v>2569</v>
      </c>
      <c r="D1292" s="4" t="s">
        <v>2569</v>
      </c>
      <c r="E1292" s="4" t="s">
        <v>2569</v>
      </c>
      <c r="F1292" s="4" t="s">
        <v>2569</v>
      </c>
      <c r="G1292" s="5">
        <v>602.1774</v>
      </c>
      <c r="H1292" s="9"/>
      <c r="I1292" s="9">
        <f t="shared" si="100"/>
        <v>283.023378</v>
      </c>
      <c r="J1292" s="9">
        <f t="shared" si="101"/>
        <v>301.0887</v>
      </c>
      <c r="K1292" s="9">
        <f t="shared" si="102"/>
        <v>331.19757</v>
      </c>
      <c r="L1292" s="9">
        <f t="shared" si="103"/>
        <v>421.52418</v>
      </c>
      <c r="M1292" s="9">
        <f t="shared" si="104"/>
        <v>511.85079</v>
      </c>
    </row>
    <row r="1293" spans="2:13">
      <c r="B1293" t="s">
        <v>2570</v>
      </c>
      <c r="C1293" s="4" t="s">
        <v>2571</v>
      </c>
      <c r="D1293" s="4" t="s">
        <v>2571</v>
      </c>
      <c r="E1293" s="4" t="s">
        <v>2571</v>
      </c>
      <c r="F1293" s="4" t="s">
        <v>2571</v>
      </c>
      <c r="G1293" s="5">
        <v>656.9208</v>
      </c>
      <c r="H1293" s="9"/>
      <c r="I1293" s="9">
        <f t="shared" si="100"/>
        <v>308.752776</v>
      </c>
      <c r="J1293" s="9">
        <f t="shared" si="101"/>
        <v>328.4604</v>
      </c>
      <c r="K1293" s="9">
        <f t="shared" si="102"/>
        <v>361.30644</v>
      </c>
      <c r="L1293" s="9">
        <f t="shared" si="103"/>
        <v>459.84456</v>
      </c>
      <c r="M1293" s="9">
        <f t="shared" si="104"/>
        <v>558.38268</v>
      </c>
    </row>
    <row r="1294" spans="2:13">
      <c r="B1294" t="s">
        <v>2572</v>
      </c>
      <c r="C1294" s="4" t="s">
        <v>2573</v>
      </c>
      <c r="D1294" s="4" t="s">
        <v>2573</v>
      </c>
      <c r="E1294" s="4" t="s">
        <v>2573</v>
      </c>
      <c r="F1294" s="4" t="s">
        <v>2573</v>
      </c>
      <c r="G1294" s="5">
        <v>936.6456</v>
      </c>
      <c r="H1294" s="9"/>
      <c r="I1294" s="9">
        <f t="shared" si="100"/>
        <v>440.223432</v>
      </c>
      <c r="J1294" s="9">
        <f t="shared" si="101"/>
        <v>468.3228</v>
      </c>
      <c r="K1294" s="9">
        <f t="shared" si="102"/>
        <v>515.15508</v>
      </c>
      <c r="L1294" s="9">
        <f t="shared" si="103"/>
        <v>655.65192</v>
      </c>
      <c r="M1294" s="9">
        <f t="shared" si="104"/>
        <v>796.14876</v>
      </c>
    </row>
    <row r="1295" spans="2:13">
      <c r="B1295" t="s">
        <v>2574</v>
      </c>
      <c r="C1295" s="4" t="s">
        <v>2575</v>
      </c>
      <c r="D1295" s="4" t="s">
        <v>2575</v>
      </c>
      <c r="E1295" s="4" t="s">
        <v>2575</v>
      </c>
      <c r="F1295" s="4" t="s">
        <v>2575</v>
      </c>
      <c r="G1295" s="5">
        <v>1021.7952</v>
      </c>
      <c r="H1295" s="9"/>
      <c r="I1295" s="9">
        <f t="shared" si="100"/>
        <v>480.243744</v>
      </c>
      <c r="J1295" s="9">
        <f t="shared" si="101"/>
        <v>510.8976</v>
      </c>
      <c r="K1295" s="9">
        <f t="shared" si="102"/>
        <v>561.98736</v>
      </c>
      <c r="L1295" s="9">
        <f t="shared" si="103"/>
        <v>715.25664</v>
      </c>
      <c r="M1295" s="9">
        <f t="shared" si="104"/>
        <v>868.52592</v>
      </c>
    </row>
    <row r="1296" spans="2:13">
      <c r="B1296" t="s">
        <v>2576</v>
      </c>
      <c r="C1296" s="4" t="s">
        <v>2577</v>
      </c>
      <c r="D1296" s="4" t="s">
        <v>2577</v>
      </c>
      <c r="E1296" s="4" t="s">
        <v>2577</v>
      </c>
      <c r="F1296" s="4" t="s">
        <v>2577</v>
      </c>
      <c r="G1296" s="5">
        <v>36.51804</v>
      </c>
      <c r="H1296" s="9"/>
      <c r="I1296" s="9">
        <f t="shared" si="100"/>
        <v>17.1634788</v>
      </c>
      <c r="J1296" s="9">
        <f t="shared" si="101"/>
        <v>18.25902</v>
      </c>
      <c r="K1296" s="9">
        <f t="shared" si="102"/>
        <v>20.084922</v>
      </c>
      <c r="L1296" s="9">
        <f t="shared" si="103"/>
        <v>25.562628</v>
      </c>
      <c r="M1296" s="9">
        <f t="shared" si="104"/>
        <v>31.040334</v>
      </c>
    </row>
    <row r="1297" spans="2:13">
      <c r="B1297" t="s">
        <v>2578</v>
      </c>
      <c r="C1297" s="4" t="s">
        <v>2579</v>
      </c>
      <c r="D1297" s="4" t="s">
        <v>2579</v>
      </c>
      <c r="E1297" s="4" t="s">
        <v>2579</v>
      </c>
      <c r="F1297" s="4" t="s">
        <v>2579</v>
      </c>
      <c r="G1297" s="5">
        <v>45.6456</v>
      </c>
      <c r="H1297" s="9"/>
      <c r="I1297" s="9">
        <f t="shared" si="100"/>
        <v>21.453432</v>
      </c>
      <c r="J1297" s="9">
        <f t="shared" si="101"/>
        <v>22.8228</v>
      </c>
      <c r="K1297" s="9">
        <f t="shared" si="102"/>
        <v>25.10508</v>
      </c>
      <c r="L1297" s="9">
        <f t="shared" si="103"/>
        <v>31.95192</v>
      </c>
      <c r="M1297" s="9">
        <f t="shared" si="104"/>
        <v>38.79876</v>
      </c>
    </row>
    <row r="1298" spans="2:13">
      <c r="B1298" t="s">
        <v>2580</v>
      </c>
      <c r="C1298" s="4" t="s">
        <v>2581</v>
      </c>
      <c r="D1298" s="4" t="s">
        <v>2581</v>
      </c>
      <c r="E1298" s="4" t="s">
        <v>2581</v>
      </c>
      <c r="F1298" s="4" t="s">
        <v>2581</v>
      </c>
      <c r="G1298" s="5">
        <v>52.19136</v>
      </c>
      <c r="H1298" s="9"/>
      <c r="I1298" s="9">
        <f t="shared" si="100"/>
        <v>24.5299392</v>
      </c>
      <c r="J1298" s="9">
        <f t="shared" si="101"/>
        <v>26.09568</v>
      </c>
      <c r="K1298" s="9">
        <f t="shared" si="102"/>
        <v>28.705248</v>
      </c>
      <c r="L1298" s="9">
        <f t="shared" si="103"/>
        <v>36.533952</v>
      </c>
      <c r="M1298" s="9">
        <f t="shared" si="104"/>
        <v>44.362656</v>
      </c>
    </row>
    <row r="1299" spans="2:13">
      <c r="B1299" t="s">
        <v>2582</v>
      </c>
      <c r="C1299" s="4" t="s">
        <v>2583</v>
      </c>
      <c r="D1299" s="4" t="s">
        <v>2583</v>
      </c>
      <c r="E1299" s="4" t="s">
        <v>2583</v>
      </c>
      <c r="F1299" s="4" t="s">
        <v>2583</v>
      </c>
      <c r="G1299" s="5">
        <v>37.3626</v>
      </c>
      <c r="H1299" s="9"/>
      <c r="I1299" s="9">
        <f t="shared" si="100"/>
        <v>17.560422</v>
      </c>
      <c r="J1299" s="9">
        <f t="shared" si="101"/>
        <v>18.6813</v>
      </c>
      <c r="K1299" s="9">
        <f t="shared" si="102"/>
        <v>20.54943</v>
      </c>
      <c r="L1299" s="9">
        <f t="shared" si="103"/>
        <v>26.15382</v>
      </c>
      <c r="M1299" s="9">
        <f t="shared" si="104"/>
        <v>31.75821</v>
      </c>
    </row>
    <row r="1300" spans="2:13">
      <c r="B1300" t="s">
        <v>2584</v>
      </c>
      <c r="C1300" s="4" t="s">
        <v>2585</v>
      </c>
      <c r="D1300" s="4" t="s">
        <v>2585</v>
      </c>
      <c r="E1300" s="4" t="s">
        <v>2585</v>
      </c>
      <c r="F1300" s="4" t="s">
        <v>2585</v>
      </c>
      <c r="G1300" s="5">
        <v>41.514</v>
      </c>
      <c r="H1300" s="9"/>
      <c r="I1300" s="9">
        <f t="shared" si="100"/>
        <v>19.51158</v>
      </c>
      <c r="J1300" s="9">
        <f t="shared" si="101"/>
        <v>20.757</v>
      </c>
      <c r="K1300" s="9">
        <f t="shared" si="102"/>
        <v>22.8327</v>
      </c>
      <c r="L1300" s="9">
        <f t="shared" si="103"/>
        <v>29.0598</v>
      </c>
      <c r="M1300" s="9">
        <f t="shared" si="104"/>
        <v>35.2869</v>
      </c>
    </row>
    <row r="1301" spans="2:13">
      <c r="B1301" t="s">
        <v>2586</v>
      </c>
      <c r="C1301" s="4" t="s">
        <v>2587</v>
      </c>
      <c r="D1301" s="4" t="s">
        <v>2587</v>
      </c>
      <c r="E1301" s="4" t="s">
        <v>2587</v>
      </c>
      <c r="F1301" s="4" t="s">
        <v>2587</v>
      </c>
      <c r="G1301" s="5">
        <v>44.6556</v>
      </c>
      <c r="H1301" s="9"/>
      <c r="I1301" s="9">
        <f t="shared" si="100"/>
        <v>20.988132</v>
      </c>
      <c r="J1301" s="9">
        <f t="shared" si="101"/>
        <v>22.3278</v>
      </c>
      <c r="K1301" s="9">
        <f t="shared" si="102"/>
        <v>24.56058</v>
      </c>
      <c r="L1301" s="9">
        <f t="shared" si="103"/>
        <v>31.25892</v>
      </c>
      <c r="M1301" s="9">
        <f t="shared" si="104"/>
        <v>37.95726</v>
      </c>
    </row>
    <row r="1302" spans="2:13">
      <c r="B1302" t="s">
        <v>2588</v>
      </c>
      <c r="C1302" s="4" t="s">
        <v>2589</v>
      </c>
      <c r="D1302" s="4" t="s">
        <v>2589</v>
      </c>
      <c r="E1302" s="4" t="s">
        <v>2589</v>
      </c>
      <c r="F1302" s="4" t="s">
        <v>2589</v>
      </c>
      <c r="G1302" s="5">
        <v>45.7776</v>
      </c>
      <c r="H1302" s="9"/>
      <c r="I1302" s="9">
        <f t="shared" si="100"/>
        <v>21.515472</v>
      </c>
      <c r="J1302" s="9">
        <f t="shared" si="101"/>
        <v>22.8888</v>
      </c>
      <c r="K1302" s="9">
        <f t="shared" si="102"/>
        <v>25.17768</v>
      </c>
      <c r="L1302" s="9">
        <f t="shared" si="103"/>
        <v>32.04432</v>
      </c>
      <c r="M1302" s="9">
        <f t="shared" si="104"/>
        <v>38.91096</v>
      </c>
    </row>
    <row r="1303" spans="2:13">
      <c r="B1303" t="s">
        <v>2590</v>
      </c>
      <c r="C1303" s="4" t="s">
        <v>2591</v>
      </c>
      <c r="D1303" s="4" t="s">
        <v>2591</v>
      </c>
      <c r="E1303" s="4" t="s">
        <v>2591</v>
      </c>
      <c r="F1303" s="4" t="s">
        <v>2591</v>
      </c>
      <c r="G1303" s="5">
        <v>51.612</v>
      </c>
      <c r="H1303" s="9"/>
      <c r="I1303" s="9">
        <f t="shared" si="100"/>
        <v>24.25764</v>
      </c>
      <c r="J1303" s="9">
        <f t="shared" si="101"/>
        <v>25.806</v>
      </c>
      <c r="K1303" s="9">
        <f t="shared" si="102"/>
        <v>28.3866</v>
      </c>
      <c r="L1303" s="9">
        <f t="shared" si="103"/>
        <v>36.1284</v>
      </c>
      <c r="M1303" s="9">
        <f t="shared" si="104"/>
        <v>43.8702</v>
      </c>
    </row>
    <row r="1304" spans="2:13">
      <c r="B1304" s="13" t="s">
        <v>2592</v>
      </c>
      <c r="C1304" s="4" t="s">
        <v>2593</v>
      </c>
      <c r="D1304" s="4" t="s">
        <v>2593</v>
      </c>
      <c r="E1304" s="4" t="s">
        <v>2593</v>
      </c>
      <c r="F1304" s="4" t="s">
        <v>2593</v>
      </c>
      <c r="G1304" s="5">
        <v>57.86715</v>
      </c>
      <c r="H1304" s="9"/>
      <c r="I1304" s="9">
        <f t="shared" si="100"/>
        <v>27.1975605</v>
      </c>
      <c r="J1304" s="9">
        <f t="shared" si="101"/>
        <v>28.933575</v>
      </c>
      <c r="K1304" s="9">
        <f t="shared" si="102"/>
        <v>31.8269325</v>
      </c>
      <c r="L1304" s="9">
        <f t="shared" si="103"/>
        <v>40.507005</v>
      </c>
      <c r="M1304" s="9">
        <f t="shared" si="104"/>
        <v>49.1870775</v>
      </c>
    </row>
    <row r="1305" spans="2:13">
      <c r="B1305" t="s">
        <v>2594</v>
      </c>
      <c r="C1305" s="4" t="s">
        <v>2595</v>
      </c>
      <c r="D1305" s="4" t="s">
        <v>2595</v>
      </c>
      <c r="E1305" s="4" t="s">
        <v>2595</v>
      </c>
      <c r="F1305" s="4" t="s">
        <v>2595</v>
      </c>
      <c r="G1305" s="5">
        <v>55.484</v>
      </c>
      <c r="H1305" s="9"/>
      <c r="I1305" s="9">
        <f t="shared" si="100"/>
        <v>26.07748</v>
      </c>
      <c r="J1305" s="9">
        <f t="shared" si="101"/>
        <v>27.742</v>
      </c>
      <c r="K1305" s="9">
        <f t="shared" si="102"/>
        <v>30.5162</v>
      </c>
      <c r="L1305" s="9">
        <f t="shared" si="103"/>
        <v>38.8388</v>
      </c>
      <c r="M1305" s="9">
        <f t="shared" si="104"/>
        <v>47.1614</v>
      </c>
    </row>
    <row r="1306" ht="40.5" spans="2:13">
      <c r="B1306" t="s">
        <v>2596</v>
      </c>
      <c r="C1306" s="4" t="s">
        <v>2597</v>
      </c>
      <c r="D1306" s="4" t="s">
        <v>2597</v>
      </c>
      <c r="E1306" s="4" t="s">
        <v>2597</v>
      </c>
      <c r="F1306" s="4" t="s">
        <v>2597</v>
      </c>
      <c r="G1306" s="5">
        <v>217.36</v>
      </c>
      <c r="H1306" s="9"/>
      <c r="I1306" s="9">
        <f t="shared" si="100"/>
        <v>102.1592</v>
      </c>
      <c r="J1306" s="9">
        <f t="shared" si="101"/>
        <v>108.68</v>
      </c>
      <c r="K1306" s="9">
        <f t="shared" si="102"/>
        <v>119.548</v>
      </c>
      <c r="L1306" s="9">
        <f t="shared" si="103"/>
        <v>152.152</v>
      </c>
      <c r="M1306" s="9">
        <f t="shared" si="104"/>
        <v>184.756</v>
      </c>
    </row>
    <row r="1307" ht="40.5" spans="2:13">
      <c r="B1307" t="s">
        <v>2598</v>
      </c>
      <c r="C1307" s="4" t="s">
        <v>2599</v>
      </c>
      <c r="D1307" s="4" t="s">
        <v>2599</v>
      </c>
      <c r="E1307" s="4" t="s">
        <v>2599</v>
      </c>
      <c r="F1307" s="4" t="s">
        <v>2599</v>
      </c>
      <c r="G1307" s="5">
        <v>228.8</v>
      </c>
      <c r="H1307" s="9"/>
      <c r="I1307" s="9">
        <f t="shared" si="100"/>
        <v>107.536</v>
      </c>
      <c r="J1307" s="9">
        <f t="shared" si="101"/>
        <v>114.4</v>
      </c>
      <c r="K1307" s="9">
        <f t="shared" si="102"/>
        <v>125.84</v>
      </c>
      <c r="L1307" s="9">
        <f t="shared" si="103"/>
        <v>160.16</v>
      </c>
      <c r="M1307" s="9">
        <f t="shared" si="104"/>
        <v>194.48</v>
      </c>
    </row>
    <row r="1308" ht="40.5" spans="2:13">
      <c r="B1308" t="s">
        <v>2600</v>
      </c>
      <c r="C1308" s="4" t="s">
        <v>2601</v>
      </c>
      <c r="D1308" s="4" t="s">
        <v>2601</v>
      </c>
      <c r="E1308" s="4" t="s">
        <v>2601</v>
      </c>
      <c r="F1308" s="4" t="s">
        <v>2601</v>
      </c>
      <c r="G1308" s="5">
        <v>267.28</v>
      </c>
      <c r="H1308" s="9"/>
      <c r="I1308" s="9">
        <f t="shared" si="100"/>
        <v>125.6216</v>
      </c>
      <c r="J1308" s="9">
        <f t="shared" si="101"/>
        <v>133.64</v>
      </c>
      <c r="K1308" s="9">
        <f t="shared" si="102"/>
        <v>147.004</v>
      </c>
      <c r="L1308" s="9">
        <f t="shared" si="103"/>
        <v>187.096</v>
      </c>
      <c r="M1308" s="9">
        <f t="shared" si="104"/>
        <v>227.188</v>
      </c>
    </row>
    <row r="1309" ht="40.5" spans="2:13">
      <c r="B1309" t="s">
        <v>2602</v>
      </c>
      <c r="C1309" s="4" t="s">
        <v>2603</v>
      </c>
      <c r="D1309" s="4" t="s">
        <v>2603</v>
      </c>
      <c r="E1309" s="4" t="s">
        <v>2603</v>
      </c>
      <c r="F1309" s="4" t="s">
        <v>2603</v>
      </c>
      <c r="G1309" s="5">
        <v>351.747</v>
      </c>
      <c r="H1309" s="9"/>
      <c r="I1309" s="9">
        <f t="shared" si="100"/>
        <v>165.32109</v>
      </c>
      <c r="J1309" s="9">
        <f t="shared" si="101"/>
        <v>175.8735</v>
      </c>
      <c r="K1309" s="9">
        <f t="shared" si="102"/>
        <v>193.46085</v>
      </c>
      <c r="L1309" s="9">
        <f t="shared" si="103"/>
        <v>246.2229</v>
      </c>
      <c r="M1309" s="9">
        <f t="shared" si="104"/>
        <v>298.98495</v>
      </c>
    </row>
    <row r="1310" ht="27" spans="2:13">
      <c r="B1310" t="s">
        <v>2604</v>
      </c>
      <c r="C1310" s="4" t="s">
        <v>2605</v>
      </c>
      <c r="D1310" s="4" t="s">
        <v>2605</v>
      </c>
      <c r="E1310" s="4" t="s">
        <v>2605</v>
      </c>
      <c r="F1310" s="4" t="s">
        <v>2605</v>
      </c>
      <c r="G1310" s="5">
        <v>41.9848</v>
      </c>
      <c r="H1310" s="9"/>
      <c r="I1310" s="9">
        <f t="shared" si="100"/>
        <v>19.732856</v>
      </c>
      <c r="J1310" s="9">
        <f t="shared" si="101"/>
        <v>20.9924</v>
      </c>
      <c r="K1310" s="9">
        <f t="shared" si="102"/>
        <v>23.09164</v>
      </c>
      <c r="L1310" s="9">
        <f t="shared" si="103"/>
        <v>29.38936</v>
      </c>
      <c r="M1310" s="9">
        <f t="shared" si="104"/>
        <v>35.68708</v>
      </c>
    </row>
    <row r="1311" ht="27" spans="2:13">
      <c r="B1311" t="s">
        <v>2606</v>
      </c>
      <c r="C1311" s="4" t="s">
        <v>2607</v>
      </c>
      <c r="D1311" s="4" t="s">
        <v>2607</v>
      </c>
      <c r="E1311" s="4" t="s">
        <v>2607</v>
      </c>
      <c r="F1311" s="4" t="s">
        <v>2607</v>
      </c>
      <c r="G1311" s="5">
        <v>47.75436</v>
      </c>
      <c r="H1311" s="9"/>
      <c r="I1311" s="9">
        <f t="shared" si="100"/>
        <v>22.4445492</v>
      </c>
      <c r="J1311" s="9">
        <f t="shared" si="101"/>
        <v>23.87718</v>
      </c>
      <c r="K1311" s="9">
        <f t="shared" si="102"/>
        <v>26.264898</v>
      </c>
      <c r="L1311" s="9">
        <f t="shared" si="103"/>
        <v>33.428052</v>
      </c>
      <c r="M1311" s="9">
        <f t="shared" si="104"/>
        <v>40.591206</v>
      </c>
    </row>
    <row r="1312" ht="27" spans="2:13">
      <c r="B1312" t="s">
        <v>2608</v>
      </c>
      <c r="C1312" s="4" t="s">
        <v>2609</v>
      </c>
      <c r="D1312" s="4" t="s">
        <v>2609</v>
      </c>
      <c r="E1312" s="4" t="s">
        <v>2609</v>
      </c>
      <c r="F1312" s="4" t="s">
        <v>2609</v>
      </c>
      <c r="G1312" s="5">
        <v>62.00784</v>
      </c>
      <c r="H1312" s="9"/>
      <c r="I1312" s="9">
        <f t="shared" si="100"/>
        <v>29.1436848</v>
      </c>
      <c r="J1312" s="9">
        <f t="shared" si="101"/>
        <v>31.00392</v>
      </c>
      <c r="K1312" s="9">
        <f t="shared" si="102"/>
        <v>34.104312</v>
      </c>
      <c r="L1312" s="9">
        <f t="shared" si="103"/>
        <v>43.405488</v>
      </c>
      <c r="M1312" s="9">
        <f t="shared" si="104"/>
        <v>52.706664</v>
      </c>
    </row>
    <row r="1313" ht="27" spans="2:13">
      <c r="B1313" t="s">
        <v>2610</v>
      </c>
      <c r="C1313" s="4" t="s">
        <v>2611</v>
      </c>
      <c r="D1313" s="4" t="s">
        <v>2611</v>
      </c>
      <c r="E1313" s="4" t="s">
        <v>2611</v>
      </c>
      <c r="F1313" s="4" t="s">
        <v>2611</v>
      </c>
      <c r="G1313" s="5">
        <v>99.45</v>
      </c>
      <c r="H1313" s="9"/>
      <c r="I1313" s="9">
        <f t="shared" si="100"/>
        <v>46.7415</v>
      </c>
      <c r="J1313" s="9">
        <f t="shared" si="101"/>
        <v>49.725</v>
      </c>
      <c r="K1313" s="9">
        <f t="shared" si="102"/>
        <v>54.6975</v>
      </c>
      <c r="L1313" s="9">
        <f t="shared" si="103"/>
        <v>69.615</v>
      </c>
      <c r="M1313" s="9">
        <f t="shared" si="104"/>
        <v>84.5325</v>
      </c>
    </row>
    <row r="1314" ht="27" spans="2:13">
      <c r="B1314" t="s">
        <v>2612</v>
      </c>
      <c r="C1314" s="4" t="s">
        <v>2613</v>
      </c>
      <c r="D1314" s="4" t="s">
        <v>2613</v>
      </c>
      <c r="E1314" s="4" t="s">
        <v>2613</v>
      </c>
      <c r="F1314" s="4" t="s">
        <v>2613</v>
      </c>
      <c r="G1314" s="5">
        <v>85.833</v>
      </c>
      <c r="H1314" s="9"/>
      <c r="I1314" s="9">
        <f t="shared" si="100"/>
        <v>40.34151</v>
      </c>
      <c r="J1314" s="9">
        <f t="shared" si="101"/>
        <v>42.9165</v>
      </c>
      <c r="K1314" s="9">
        <f t="shared" si="102"/>
        <v>47.20815</v>
      </c>
      <c r="L1314" s="9">
        <f t="shared" si="103"/>
        <v>60.0831</v>
      </c>
      <c r="M1314" s="9">
        <f t="shared" si="104"/>
        <v>72.95805</v>
      </c>
    </row>
    <row r="1315" ht="27" spans="2:13">
      <c r="B1315" t="s">
        <v>2614</v>
      </c>
      <c r="C1315" s="4" t="s">
        <v>2615</v>
      </c>
      <c r="D1315" s="4" t="s">
        <v>2615</v>
      </c>
      <c r="E1315" s="4" t="s">
        <v>2615</v>
      </c>
      <c r="F1315" s="4" t="s">
        <v>2615</v>
      </c>
      <c r="G1315" s="5">
        <v>300.9</v>
      </c>
      <c r="H1315" s="9"/>
      <c r="I1315" s="9">
        <f t="shared" si="100"/>
        <v>141.423</v>
      </c>
      <c r="J1315" s="9">
        <f t="shared" si="101"/>
        <v>150.45</v>
      </c>
      <c r="K1315" s="9">
        <f t="shared" si="102"/>
        <v>165.495</v>
      </c>
      <c r="L1315" s="9">
        <f t="shared" si="103"/>
        <v>210.63</v>
      </c>
      <c r="M1315" s="9">
        <f t="shared" si="104"/>
        <v>255.765</v>
      </c>
    </row>
    <row r="1316" ht="27" spans="2:13">
      <c r="B1316" t="s">
        <v>2614</v>
      </c>
      <c r="C1316" s="4" t="s">
        <v>2615</v>
      </c>
      <c r="D1316" s="4" t="s">
        <v>2615</v>
      </c>
      <c r="E1316" s="4" t="s">
        <v>2615</v>
      </c>
      <c r="F1316" s="4" t="s">
        <v>2615</v>
      </c>
      <c r="G1316" s="5">
        <v>300.9</v>
      </c>
      <c r="H1316" s="9"/>
      <c r="I1316" s="9">
        <f t="shared" si="100"/>
        <v>141.423</v>
      </c>
      <c r="J1316" s="9">
        <f t="shared" si="101"/>
        <v>150.45</v>
      </c>
      <c r="K1316" s="9">
        <f t="shared" si="102"/>
        <v>165.495</v>
      </c>
      <c r="L1316" s="9">
        <f t="shared" si="103"/>
        <v>210.63</v>
      </c>
      <c r="M1316" s="9">
        <f t="shared" si="104"/>
        <v>255.765</v>
      </c>
    </row>
    <row r="1317" ht="27" spans="2:13">
      <c r="B1317" t="s">
        <v>2616</v>
      </c>
      <c r="C1317" s="4" t="s">
        <v>2617</v>
      </c>
      <c r="D1317" s="4" t="s">
        <v>2617</v>
      </c>
      <c r="E1317" s="4" t="s">
        <v>2617</v>
      </c>
      <c r="F1317" s="4" t="s">
        <v>2617</v>
      </c>
      <c r="G1317" s="5">
        <v>65.7696</v>
      </c>
      <c r="H1317" s="9"/>
      <c r="I1317" s="9">
        <f t="shared" si="100"/>
        <v>30.911712</v>
      </c>
      <c r="J1317" s="9">
        <f t="shared" si="101"/>
        <v>32.8848</v>
      </c>
      <c r="K1317" s="9">
        <f t="shared" si="102"/>
        <v>36.17328</v>
      </c>
      <c r="L1317" s="9">
        <f t="shared" si="103"/>
        <v>46.03872</v>
      </c>
      <c r="M1317" s="9">
        <f t="shared" si="104"/>
        <v>55.90416</v>
      </c>
    </row>
    <row r="1318" ht="27" spans="2:13">
      <c r="B1318" t="s">
        <v>2618</v>
      </c>
      <c r="C1318" s="4" t="s">
        <v>2619</v>
      </c>
      <c r="D1318" s="4" t="s">
        <v>2619</v>
      </c>
      <c r="E1318" s="4" t="s">
        <v>2619</v>
      </c>
      <c r="F1318" s="4" t="s">
        <v>2619</v>
      </c>
      <c r="G1318" s="5">
        <v>84.01536</v>
      </c>
      <c r="H1318" s="9"/>
      <c r="I1318" s="9">
        <f t="shared" si="100"/>
        <v>39.4872192</v>
      </c>
      <c r="J1318" s="9">
        <f t="shared" si="101"/>
        <v>42.00768</v>
      </c>
      <c r="K1318" s="9">
        <f t="shared" si="102"/>
        <v>46.208448</v>
      </c>
      <c r="L1318" s="9">
        <f t="shared" si="103"/>
        <v>58.810752</v>
      </c>
      <c r="M1318" s="9">
        <f t="shared" si="104"/>
        <v>71.413056</v>
      </c>
    </row>
    <row r="1319" ht="27" spans="2:13">
      <c r="B1319" t="s">
        <v>2620</v>
      </c>
      <c r="C1319" s="4" t="s">
        <v>2621</v>
      </c>
      <c r="D1319" s="4" t="s">
        <v>2621</v>
      </c>
      <c r="E1319" s="4" t="s">
        <v>2621</v>
      </c>
      <c r="F1319" s="4" t="s">
        <v>2621</v>
      </c>
      <c r="G1319" s="5">
        <v>121.38</v>
      </c>
      <c r="H1319" s="9"/>
      <c r="I1319" s="9">
        <f t="shared" si="100"/>
        <v>57.0486</v>
      </c>
      <c r="J1319" s="9">
        <f t="shared" si="101"/>
        <v>60.69</v>
      </c>
      <c r="K1319" s="9">
        <f t="shared" si="102"/>
        <v>66.759</v>
      </c>
      <c r="L1319" s="9">
        <f t="shared" si="103"/>
        <v>84.966</v>
      </c>
      <c r="M1319" s="9">
        <f t="shared" si="104"/>
        <v>103.173</v>
      </c>
    </row>
    <row r="1320" ht="27" spans="2:13">
      <c r="B1320" t="s">
        <v>2622</v>
      </c>
      <c r="C1320" s="4" t="s">
        <v>2623</v>
      </c>
      <c r="D1320" s="4" t="s">
        <v>2623</v>
      </c>
      <c r="E1320" s="4" t="s">
        <v>2623</v>
      </c>
      <c r="F1320" s="4" t="s">
        <v>2623</v>
      </c>
      <c r="G1320" s="5">
        <v>155.55</v>
      </c>
      <c r="H1320" s="9"/>
      <c r="I1320" s="9">
        <f t="shared" si="100"/>
        <v>73.1085</v>
      </c>
      <c r="J1320" s="9">
        <f t="shared" si="101"/>
        <v>77.775</v>
      </c>
      <c r="K1320" s="9">
        <f t="shared" si="102"/>
        <v>85.5525</v>
      </c>
      <c r="L1320" s="9">
        <f t="shared" si="103"/>
        <v>108.885</v>
      </c>
      <c r="M1320" s="9">
        <f t="shared" si="104"/>
        <v>132.2175</v>
      </c>
    </row>
    <row r="1321" ht="27" spans="2:13">
      <c r="B1321" t="s">
        <v>2624</v>
      </c>
      <c r="C1321" s="4" t="s">
        <v>2625</v>
      </c>
      <c r="D1321" s="4" t="s">
        <v>2625</v>
      </c>
      <c r="E1321" s="4" t="s">
        <v>2625</v>
      </c>
      <c r="F1321" s="4" t="s">
        <v>2625</v>
      </c>
      <c r="G1321" s="5">
        <v>143.055</v>
      </c>
      <c r="H1321" s="9"/>
      <c r="I1321" s="9">
        <f t="shared" si="100"/>
        <v>67.23585</v>
      </c>
      <c r="J1321" s="9">
        <f t="shared" si="101"/>
        <v>71.5275</v>
      </c>
      <c r="K1321" s="9">
        <f t="shared" si="102"/>
        <v>78.68025</v>
      </c>
      <c r="L1321" s="9">
        <f t="shared" si="103"/>
        <v>100.1385</v>
      </c>
      <c r="M1321" s="9">
        <f t="shared" si="104"/>
        <v>121.59675</v>
      </c>
    </row>
    <row r="1322" ht="27" spans="2:13">
      <c r="B1322" t="s">
        <v>2626</v>
      </c>
      <c r="C1322" s="4" t="s">
        <v>2627</v>
      </c>
      <c r="D1322" s="4" t="s">
        <v>2627</v>
      </c>
      <c r="E1322" s="4" t="s">
        <v>2627</v>
      </c>
      <c r="F1322" s="4" t="s">
        <v>2627</v>
      </c>
      <c r="G1322" s="5">
        <v>202.878</v>
      </c>
      <c r="H1322" s="9"/>
      <c r="I1322" s="9">
        <f t="shared" si="100"/>
        <v>95.35266</v>
      </c>
      <c r="J1322" s="9">
        <f t="shared" si="101"/>
        <v>101.439</v>
      </c>
      <c r="K1322" s="9">
        <f t="shared" si="102"/>
        <v>111.5829</v>
      </c>
      <c r="L1322" s="9">
        <f t="shared" si="103"/>
        <v>142.0146</v>
      </c>
      <c r="M1322" s="9">
        <f t="shared" si="104"/>
        <v>172.4463</v>
      </c>
    </row>
    <row r="1323" spans="2:13">
      <c r="B1323" t="s">
        <v>2628</v>
      </c>
      <c r="C1323" s="4" t="s">
        <v>2629</v>
      </c>
      <c r="D1323" s="4" t="s">
        <v>2629</v>
      </c>
      <c r="E1323" s="4" t="s">
        <v>2629</v>
      </c>
      <c r="F1323" s="4" t="s">
        <v>2629</v>
      </c>
      <c r="G1323" s="5" t="s">
        <v>1169</v>
      </c>
      <c r="H1323" s="9"/>
      <c r="I1323" s="9" t="e">
        <f t="shared" si="100"/>
        <v>#VALUE!</v>
      </c>
      <c r="J1323" s="9" t="e">
        <f t="shared" si="101"/>
        <v>#VALUE!</v>
      </c>
      <c r="K1323" s="9" t="e">
        <f t="shared" si="102"/>
        <v>#VALUE!</v>
      </c>
      <c r="L1323" s="9" t="e">
        <f t="shared" si="103"/>
        <v>#VALUE!</v>
      </c>
      <c r="M1323" s="9" t="e">
        <f t="shared" si="104"/>
        <v>#VALUE!</v>
      </c>
    </row>
    <row r="1324" ht="27" spans="2:13">
      <c r="B1324" t="s">
        <v>2630</v>
      </c>
      <c r="C1324" s="4" t="s">
        <v>2631</v>
      </c>
      <c r="D1324" s="4" t="s">
        <v>2631</v>
      </c>
      <c r="E1324" s="4" t="s">
        <v>2631</v>
      </c>
      <c r="F1324" s="4" t="s">
        <v>2631</v>
      </c>
      <c r="G1324" s="5" t="s">
        <v>1169</v>
      </c>
      <c r="H1324" s="9"/>
      <c r="I1324" s="9" t="e">
        <f t="shared" si="100"/>
        <v>#VALUE!</v>
      </c>
      <c r="J1324" s="9" t="e">
        <f t="shared" si="101"/>
        <v>#VALUE!</v>
      </c>
      <c r="K1324" s="9" t="e">
        <f t="shared" si="102"/>
        <v>#VALUE!</v>
      </c>
      <c r="L1324" s="9" t="e">
        <f t="shared" si="103"/>
        <v>#VALUE!</v>
      </c>
      <c r="M1324" s="9" t="e">
        <f t="shared" si="104"/>
        <v>#VALUE!</v>
      </c>
    </row>
    <row r="1325" ht="27" spans="2:13">
      <c r="B1325" t="s">
        <v>2632</v>
      </c>
      <c r="C1325" s="4" t="s">
        <v>2633</v>
      </c>
      <c r="D1325" s="4" t="s">
        <v>2633</v>
      </c>
      <c r="E1325" s="4" t="s">
        <v>2633</v>
      </c>
      <c r="F1325" s="4" t="s">
        <v>2633</v>
      </c>
      <c r="G1325" s="5" t="s">
        <v>1169</v>
      </c>
      <c r="H1325" s="9"/>
      <c r="I1325" s="9" t="e">
        <f t="shared" si="100"/>
        <v>#VALUE!</v>
      </c>
      <c r="J1325" s="9" t="e">
        <f t="shared" si="101"/>
        <v>#VALUE!</v>
      </c>
      <c r="K1325" s="9" t="e">
        <f t="shared" si="102"/>
        <v>#VALUE!</v>
      </c>
      <c r="L1325" s="9" t="e">
        <f t="shared" si="103"/>
        <v>#VALUE!</v>
      </c>
      <c r="M1325" s="9" t="e">
        <f t="shared" si="104"/>
        <v>#VALUE!</v>
      </c>
    </row>
    <row r="1326" spans="2:13">
      <c r="B1326" t="s">
        <v>2634</v>
      </c>
      <c r="C1326" s="4" t="s">
        <v>2635</v>
      </c>
      <c r="D1326" s="4" t="s">
        <v>2635</v>
      </c>
      <c r="E1326" s="4" t="s">
        <v>2635</v>
      </c>
      <c r="F1326" s="4" t="s">
        <v>2635</v>
      </c>
      <c r="G1326" s="5" t="s">
        <v>1169</v>
      </c>
      <c r="H1326" s="9"/>
      <c r="I1326" s="9" t="e">
        <f t="shared" si="100"/>
        <v>#VALUE!</v>
      </c>
      <c r="J1326" s="9" t="e">
        <f t="shared" si="101"/>
        <v>#VALUE!</v>
      </c>
      <c r="K1326" s="9" t="e">
        <f t="shared" si="102"/>
        <v>#VALUE!</v>
      </c>
      <c r="L1326" s="9" t="e">
        <f t="shared" si="103"/>
        <v>#VALUE!</v>
      </c>
      <c r="M1326" s="9" t="e">
        <f t="shared" si="104"/>
        <v>#VALUE!</v>
      </c>
    </row>
    <row r="1327" ht="27" spans="2:13">
      <c r="B1327" t="s">
        <v>2636</v>
      </c>
      <c r="C1327" s="4" t="s">
        <v>2637</v>
      </c>
      <c r="D1327" s="4" t="s">
        <v>2637</v>
      </c>
      <c r="E1327" s="4" t="s">
        <v>2637</v>
      </c>
      <c r="F1327" s="4" t="s">
        <v>2637</v>
      </c>
      <c r="G1327" s="5" t="s">
        <v>1169</v>
      </c>
      <c r="H1327" s="9"/>
      <c r="I1327" s="9" t="e">
        <f t="shared" si="100"/>
        <v>#VALUE!</v>
      </c>
      <c r="J1327" s="9" t="e">
        <f t="shared" si="101"/>
        <v>#VALUE!</v>
      </c>
      <c r="K1327" s="9" t="e">
        <f t="shared" si="102"/>
        <v>#VALUE!</v>
      </c>
      <c r="L1327" s="9" t="e">
        <f t="shared" si="103"/>
        <v>#VALUE!</v>
      </c>
      <c r="M1327" s="9" t="e">
        <f t="shared" si="104"/>
        <v>#VALUE!</v>
      </c>
    </row>
    <row r="1328" spans="2:13">
      <c r="B1328" t="s">
        <v>2638</v>
      </c>
      <c r="C1328" s="4" t="s">
        <v>2639</v>
      </c>
      <c r="D1328" s="4" t="s">
        <v>2639</v>
      </c>
      <c r="E1328" s="4" t="s">
        <v>2639</v>
      </c>
      <c r="F1328" s="4" t="s">
        <v>2639</v>
      </c>
      <c r="G1328" s="5" t="s">
        <v>1169</v>
      </c>
      <c r="H1328" s="9"/>
      <c r="I1328" s="9" t="e">
        <f t="shared" si="100"/>
        <v>#VALUE!</v>
      </c>
      <c r="J1328" s="9" t="e">
        <f t="shared" si="101"/>
        <v>#VALUE!</v>
      </c>
      <c r="K1328" s="9" t="e">
        <f t="shared" si="102"/>
        <v>#VALUE!</v>
      </c>
      <c r="L1328" s="9" t="e">
        <f t="shared" si="103"/>
        <v>#VALUE!</v>
      </c>
      <c r="M1328" s="9" t="e">
        <f t="shared" si="104"/>
        <v>#VALUE!</v>
      </c>
    </row>
    <row r="1329" ht="27" spans="2:13">
      <c r="B1329" t="s">
        <v>2640</v>
      </c>
      <c r="C1329" s="4" t="s">
        <v>2641</v>
      </c>
      <c r="D1329" s="4" t="s">
        <v>2641</v>
      </c>
      <c r="E1329" s="4" t="s">
        <v>2641</v>
      </c>
      <c r="F1329" s="4" t="s">
        <v>2641</v>
      </c>
      <c r="G1329" s="5" t="s">
        <v>1169</v>
      </c>
      <c r="H1329" s="9"/>
      <c r="I1329" s="9" t="e">
        <f t="shared" si="100"/>
        <v>#VALUE!</v>
      </c>
      <c r="J1329" s="9" t="e">
        <f t="shared" si="101"/>
        <v>#VALUE!</v>
      </c>
      <c r="K1329" s="9" t="e">
        <f t="shared" si="102"/>
        <v>#VALUE!</v>
      </c>
      <c r="L1329" s="9" t="e">
        <f t="shared" si="103"/>
        <v>#VALUE!</v>
      </c>
      <c r="M1329" s="9" t="e">
        <f t="shared" si="104"/>
        <v>#VALUE!</v>
      </c>
    </row>
    <row r="1330" ht="27" spans="2:13">
      <c r="B1330" t="s">
        <v>2642</v>
      </c>
      <c r="C1330" s="4" t="s">
        <v>2643</v>
      </c>
      <c r="D1330" s="4" t="s">
        <v>2643</v>
      </c>
      <c r="E1330" s="4" t="s">
        <v>2643</v>
      </c>
      <c r="F1330" s="4" t="s">
        <v>2643</v>
      </c>
      <c r="G1330" s="5" t="s">
        <v>1169</v>
      </c>
      <c r="H1330" s="9"/>
      <c r="I1330" s="9" t="e">
        <f t="shared" si="100"/>
        <v>#VALUE!</v>
      </c>
      <c r="J1330" s="9" t="e">
        <f t="shared" si="101"/>
        <v>#VALUE!</v>
      </c>
      <c r="K1330" s="9" t="e">
        <f t="shared" si="102"/>
        <v>#VALUE!</v>
      </c>
      <c r="L1330" s="9" t="e">
        <f t="shared" si="103"/>
        <v>#VALUE!</v>
      </c>
      <c r="M1330" s="9" t="e">
        <f t="shared" si="104"/>
        <v>#VALUE!</v>
      </c>
    </row>
    <row r="1331" spans="2:13">
      <c r="B1331" t="s">
        <v>2644</v>
      </c>
      <c r="C1331" s="4" t="s">
        <v>2645</v>
      </c>
      <c r="D1331" s="4" t="s">
        <v>2645</v>
      </c>
      <c r="E1331" s="4" t="s">
        <v>2645</v>
      </c>
      <c r="F1331" s="4" t="s">
        <v>2645</v>
      </c>
      <c r="G1331" s="5" t="s">
        <v>1169</v>
      </c>
      <c r="H1331" s="9"/>
      <c r="I1331" s="9" t="e">
        <f t="shared" si="100"/>
        <v>#VALUE!</v>
      </c>
      <c r="J1331" s="9" t="e">
        <f t="shared" si="101"/>
        <v>#VALUE!</v>
      </c>
      <c r="K1331" s="9" t="e">
        <f t="shared" si="102"/>
        <v>#VALUE!</v>
      </c>
      <c r="L1331" s="9" t="e">
        <f t="shared" si="103"/>
        <v>#VALUE!</v>
      </c>
      <c r="M1331" s="9" t="e">
        <f t="shared" si="104"/>
        <v>#VALUE!</v>
      </c>
    </row>
    <row r="1332" spans="2:13">
      <c r="B1332" t="s">
        <v>2646</v>
      </c>
      <c r="C1332" s="4" t="s">
        <v>2647</v>
      </c>
      <c r="D1332" s="4" t="s">
        <v>2647</v>
      </c>
      <c r="E1332" s="4" t="s">
        <v>2647</v>
      </c>
      <c r="F1332" s="4" t="s">
        <v>2647</v>
      </c>
      <c r="G1332" s="5" t="s">
        <v>1169</v>
      </c>
      <c r="H1332" s="9"/>
      <c r="I1332" s="9" t="e">
        <f t="shared" si="100"/>
        <v>#VALUE!</v>
      </c>
      <c r="J1332" s="9" t="e">
        <f t="shared" si="101"/>
        <v>#VALUE!</v>
      </c>
      <c r="K1332" s="9" t="e">
        <f t="shared" si="102"/>
        <v>#VALUE!</v>
      </c>
      <c r="L1332" s="9" t="e">
        <f t="shared" si="103"/>
        <v>#VALUE!</v>
      </c>
      <c r="M1332" s="9" t="e">
        <f t="shared" si="104"/>
        <v>#VALUE!</v>
      </c>
    </row>
    <row r="1333" spans="2:13">
      <c r="B1333" t="s">
        <v>2648</v>
      </c>
      <c r="C1333" s="4" t="s">
        <v>2649</v>
      </c>
      <c r="D1333" s="4" t="s">
        <v>2649</v>
      </c>
      <c r="E1333" s="4" t="s">
        <v>2649</v>
      </c>
      <c r="F1333" s="4" t="s">
        <v>2649</v>
      </c>
      <c r="G1333" s="5" t="s">
        <v>1169</v>
      </c>
      <c r="H1333" s="9"/>
      <c r="I1333" s="9" t="e">
        <f t="shared" si="100"/>
        <v>#VALUE!</v>
      </c>
      <c r="J1333" s="9" t="e">
        <f t="shared" si="101"/>
        <v>#VALUE!</v>
      </c>
      <c r="K1333" s="9" t="e">
        <f t="shared" si="102"/>
        <v>#VALUE!</v>
      </c>
      <c r="L1333" s="9" t="e">
        <f t="shared" si="103"/>
        <v>#VALUE!</v>
      </c>
      <c r="M1333" s="9" t="e">
        <f t="shared" si="104"/>
        <v>#VALUE!</v>
      </c>
    </row>
    <row r="1334" spans="2:13">
      <c r="B1334" t="s">
        <v>2650</v>
      </c>
      <c r="C1334" s="4" t="s">
        <v>2651</v>
      </c>
      <c r="D1334" s="4" t="s">
        <v>2651</v>
      </c>
      <c r="E1334" s="4" t="s">
        <v>2651</v>
      </c>
      <c r="F1334" s="4" t="s">
        <v>2651</v>
      </c>
      <c r="G1334" s="5" t="s">
        <v>1169</v>
      </c>
      <c r="H1334" s="9"/>
      <c r="I1334" s="9" t="e">
        <f t="shared" si="100"/>
        <v>#VALUE!</v>
      </c>
      <c r="J1334" s="9" t="e">
        <f t="shared" si="101"/>
        <v>#VALUE!</v>
      </c>
      <c r="K1334" s="9" t="e">
        <f t="shared" si="102"/>
        <v>#VALUE!</v>
      </c>
      <c r="L1334" s="9" t="e">
        <f t="shared" si="103"/>
        <v>#VALUE!</v>
      </c>
      <c r="M1334" s="9" t="e">
        <f t="shared" si="104"/>
        <v>#VALUE!</v>
      </c>
    </row>
    <row r="1335" spans="2:13">
      <c r="B1335" t="s">
        <v>2652</v>
      </c>
      <c r="C1335" s="4" t="s">
        <v>2653</v>
      </c>
      <c r="D1335" s="4" t="s">
        <v>2653</v>
      </c>
      <c r="E1335" s="4" t="s">
        <v>2653</v>
      </c>
      <c r="F1335" s="4" t="s">
        <v>2653</v>
      </c>
      <c r="G1335" s="5" t="s">
        <v>1169</v>
      </c>
      <c r="H1335" s="9"/>
      <c r="I1335" s="9" t="e">
        <f t="shared" si="100"/>
        <v>#VALUE!</v>
      </c>
      <c r="J1335" s="9" t="e">
        <f t="shared" si="101"/>
        <v>#VALUE!</v>
      </c>
      <c r="K1335" s="9" t="e">
        <f t="shared" si="102"/>
        <v>#VALUE!</v>
      </c>
      <c r="L1335" s="9" t="e">
        <f t="shared" si="103"/>
        <v>#VALUE!</v>
      </c>
      <c r="M1335" s="9" t="e">
        <f t="shared" si="104"/>
        <v>#VALUE!</v>
      </c>
    </row>
    <row r="1336" ht="27" spans="2:13">
      <c r="B1336" t="s">
        <v>2654</v>
      </c>
      <c r="C1336" s="4" t="s">
        <v>2655</v>
      </c>
      <c r="D1336" s="4" t="s">
        <v>2655</v>
      </c>
      <c r="E1336" s="4" t="s">
        <v>2655</v>
      </c>
      <c r="F1336" s="4" t="s">
        <v>2655</v>
      </c>
      <c r="G1336" s="5" t="s">
        <v>1169</v>
      </c>
      <c r="H1336" s="9"/>
      <c r="I1336" s="9" t="e">
        <f t="shared" si="100"/>
        <v>#VALUE!</v>
      </c>
      <c r="J1336" s="9" t="e">
        <f t="shared" si="101"/>
        <v>#VALUE!</v>
      </c>
      <c r="K1336" s="9" t="e">
        <f t="shared" si="102"/>
        <v>#VALUE!</v>
      </c>
      <c r="L1336" s="9" t="e">
        <f t="shared" si="103"/>
        <v>#VALUE!</v>
      </c>
      <c r="M1336" s="9" t="e">
        <f t="shared" si="104"/>
        <v>#VALUE!</v>
      </c>
    </row>
    <row r="1337" ht="27" spans="2:13">
      <c r="B1337" t="s">
        <v>2656</v>
      </c>
      <c r="C1337" s="4" t="s">
        <v>2657</v>
      </c>
      <c r="D1337" s="4" t="s">
        <v>2657</v>
      </c>
      <c r="E1337" s="4" t="s">
        <v>2657</v>
      </c>
      <c r="F1337" s="4" t="s">
        <v>2657</v>
      </c>
      <c r="G1337" s="5" t="s">
        <v>1169</v>
      </c>
      <c r="H1337" s="9"/>
      <c r="I1337" s="9" t="e">
        <f t="shared" si="100"/>
        <v>#VALUE!</v>
      </c>
      <c r="J1337" s="9" t="e">
        <f t="shared" si="101"/>
        <v>#VALUE!</v>
      </c>
      <c r="K1337" s="9" t="e">
        <f t="shared" si="102"/>
        <v>#VALUE!</v>
      </c>
      <c r="L1337" s="9" t="e">
        <f t="shared" si="103"/>
        <v>#VALUE!</v>
      </c>
      <c r="M1337" s="9" t="e">
        <f t="shared" si="104"/>
        <v>#VALUE!</v>
      </c>
    </row>
    <row r="1338" ht="27" spans="2:13">
      <c r="B1338" t="s">
        <v>2658</v>
      </c>
      <c r="C1338" s="4" t="s">
        <v>2659</v>
      </c>
      <c r="D1338" s="4" t="s">
        <v>2659</v>
      </c>
      <c r="E1338" s="4" t="s">
        <v>2659</v>
      </c>
      <c r="F1338" s="4" t="s">
        <v>2659</v>
      </c>
      <c r="G1338" s="5" t="s">
        <v>1169</v>
      </c>
      <c r="H1338" s="9"/>
      <c r="I1338" s="9" t="e">
        <f t="shared" si="100"/>
        <v>#VALUE!</v>
      </c>
      <c r="J1338" s="9" t="e">
        <f t="shared" si="101"/>
        <v>#VALUE!</v>
      </c>
      <c r="K1338" s="9" t="e">
        <f t="shared" si="102"/>
        <v>#VALUE!</v>
      </c>
      <c r="L1338" s="9" t="e">
        <f t="shared" si="103"/>
        <v>#VALUE!</v>
      </c>
      <c r="M1338" s="9" t="e">
        <f t="shared" si="104"/>
        <v>#VALUE!</v>
      </c>
    </row>
    <row r="1339" ht="27" spans="2:13">
      <c r="B1339" t="s">
        <v>2660</v>
      </c>
      <c r="C1339" s="4" t="s">
        <v>2661</v>
      </c>
      <c r="D1339" s="4" t="s">
        <v>2661</v>
      </c>
      <c r="E1339" s="4" t="s">
        <v>2661</v>
      </c>
      <c r="F1339" s="4" t="s">
        <v>2661</v>
      </c>
      <c r="G1339" s="5" t="s">
        <v>1169</v>
      </c>
      <c r="H1339" s="9"/>
      <c r="I1339" s="9" t="e">
        <f t="shared" si="100"/>
        <v>#VALUE!</v>
      </c>
      <c r="J1339" s="9" t="e">
        <f t="shared" si="101"/>
        <v>#VALUE!</v>
      </c>
      <c r="K1339" s="9" t="e">
        <f t="shared" si="102"/>
        <v>#VALUE!</v>
      </c>
      <c r="L1339" s="9" t="e">
        <f t="shared" si="103"/>
        <v>#VALUE!</v>
      </c>
      <c r="M1339" s="9" t="e">
        <f t="shared" si="104"/>
        <v>#VALUE!</v>
      </c>
    </row>
    <row r="1340" spans="2:13">
      <c r="B1340" t="s">
        <v>2662</v>
      </c>
      <c r="C1340" s="4" t="s">
        <v>2663</v>
      </c>
      <c r="D1340" s="4" t="s">
        <v>2663</v>
      </c>
      <c r="E1340" s="4" t="s">
        <v>2663</v>
      </c>
      <c r="F1340" s="4" t="s">
        <v>2663</v>
      </c>
      <c r="G1340" s="5" t="s">
        <v>1169</v>
      </c>
      <c r="H1340" s="9"/>
      <c r="I1340" s="9" t="e">
        <f t="shared" si="100"/>
        <v>#VALUE!</v>
      </c>
      <c r="J1340" s="9" t="e">
        <f t="shared" si="101"/>
        <v>#VALUE!</v>
      </c>
      <c r="K1340" s="9" t="e">
        <f t="shared" si="102"/>
        <v>#VALUE!</v>
      </c>
      <c r="L1340" s="9" t="e">
        <f t="shared" si="103"/>
        <v>#VALUE!</v>
      </c>
      <c r="M1340" s="9" t="e">
        <f t="shared" si="104"/>
        <v>#VALUE!</v>
      </c>
    </row>
    <row r="1341" ht="27" spans="2:13">
      <c r="B1341" t="s">
        <v>2664</v>
      </c>
      <c r="C1341" s="4" t="s">
        <v>2665</v>
      </c>
      <c r="D1341" s="4" t="s">
        <v>2665</v>
      </c>
      <c r="E1341" s="4" t="s">
        <v>2665</v>
      </c>
      <c r="F1341" s="4" t="s">
        <v>2665</v>
      </c>
      <c r="G1341" s="5" t="s">
        <v>1169</v>
      </c>
      <c r="H1341" s="9"/>
      <c r="I1341" s="9" t="e">
        <f t="shared" si="100"/>
        <v>#VALUE!</v>
      </c>
      <c r="J1341" s="9" t="e">
        <f t="shared" si="101"/>
        <v>#VALUE!</v>
      </c>
      <c r="K1341" s="9" t="e">
        <f t="shared" si="102"/>
        <v>#VALUE!</v>
      </c>
      <c r="L1341" s="9" t="e">
        <f t="shared" si="103"/>
        <v>#VALUE!</v>
      </c>
      <c r="M1341" s="9" t="e">
        <f t="shared" si="104"/>
        <v>#VALUE!</v>
      </c>
    </row>
    <row r="1342" ht="27" spans="2:13">
      <c r="B1342" t="s">
        <v>2666</v>
      </c>
      <c r="C1342" s="4" t="s">
        <v>2667</v>
      </c>
      <c r="D1342" s="4" t="s">
        <v>2667</v>
      </c>
      <c r="E1342" s="4" t="s">
        <v>2667</v>
      </c>
      <c r="F1342" s="4" t="s">
        <v>2667</v>
      </c>
      <c r="G1342" s="5" t="s">
        <v>1169</v>
      </c>
      <c r="H1342" s="9"/>
      <c r="I1342" s="9" t="e">
        <f t="shared" si="100"/>
        <v>#VALUE!</v>
      </c>
      <c r="J1342" s="9" t="e">
        <f t="shared" si="101"/>
        <v>#VALUE!</v>
      </c>
      <c r="K1342" s="9" t="e">
        <f t="shared" si="102"/>
        <v>#VALUE!</v>
      </c>
      <c r="L1342" s="9" t="e">
        <f t="shared" si="103"/>
        <v>#VALUE!</v>
      </c>
      <c r="M1342" s="9" t="e">
        <f t="shared" si="104"/>
        <v>#VALUE!</v>
      </c>
    </row>
    <row r="1343" ht="27" spans="2:13">
      <c r="B1343" t="s">
        <v>2668</v>
      </c>
      <c r="C1343" s="4" t="s">
        <v>2669</v>
      </c>
      <c r="D1343" s="4" t="s">
        <v>2669</v>
      </c>
      <c r="E1343" s="4" t="s">
        <v>2669</v>
      </c>
      <c r="F1343" s="4" t="s">
        <v>2669</v>
      </c>
      <c r="G1343" s="5" t="s">
        <v>1169</v>
      </c>
      <c r="H1343" s="9"/>
      <c r="I1343" s="9" t="e">
        <f t="shared" si="100"/>
        <v>#VALUE!</v>
      </c>
      <c r="J1343" s="9" t="e">
        <f t="shared" si="101"/>
        <v>#VALUE!</v>
      </c>
      <c r="K1343" s="9" t="e">
        <f t="shared" si="102"/>
        <v>#VALUE!</v>
      </c>
      <c r="L1343" s="9" t="e">
        <f t="shared" si="103"/>
        <v>#VALUE!</v>
      </c>
      <c r="M1343" s="9" t="e">
        <f t="shared" si="104"/>
        <v>#VALUE!</v>
      </c>
    </row>
    <row r="1344" spans="2:13">
      <c r="B1344" t="s">
        <v>2670</v>
      </c>
      <c r="C1344" s="4" t="s">
        <v>2671</v>
      </c>
      <c r="D1344" s="4" t="s">
        <v>2671</v>
      </c>
      <c r="E1344" s="4" t="s">
        <v>2671</v>
      </c>
      <c r="F1344" s="4" t="s">
        <v>2671</v>
      </c>
      <c r="G1344" s="5" t="s">
        <v>1169</v>
      </c>
      <c r="H1344" s="9"/>
      <c r="I1344" s="9" t="e">
        <f t="shared" si="100"/>
        <v>#VALUE!</v>
      </c>
      <c r="J1344" s="9" t="e">
        <f t="shared" si="101"/>
        <v>#VALUE!</v>
      </c>
      <c r="K1344" s="9" t="e">
        <f t="shared" si="102"/>
        <v>#VALUE!</v>
      </c>
      <c r="L1344" s="9" t="e">
        <f t="shared" si="103"/>
        <v>#VALUE!</v>
      </c>
      <c r="M1344" s="9" t="e">
        <f t="shared" si="104"/>
        <v>#VALUE!</v>
      </c>
    </row>
    <row r="1345" ht="27" spans="2:13">
      <c r="B1345" t="s">
        <v>2672</v>
      </c>
      <c r="C1345" s="4" t="s">
        <v>2673</v>
      </c>
      <c r="D1345" s="4" t="s">
        <v>2673</v>
      </c>
      <c r="E1345" s="4" t="s">
        <v>2673</v>
      </c>
      <c r="F1345" s="4" t="s">
        <v>2673</v>
      </c>
      <c r="G1345" s="5" t="s">
        <v>1169</v>
      </c>
      <c r="H1345" s="9"/>
      <c r="I1345" s="9" t="e">
        <f t="shared" si="100"/>
        <v>#VALUE!</v>
      </c>
      <c r="J1345" s="9" t="e">
        <f t="shared" si="101"/>
        <v>#VALUE!</v>
      </c>
      <c r="K1345" s="9" t="e">
        <f t="shared" si="102"/>
        <v>#VALUE!</v>
      </c>
      <c r="L1345" s="9" t="e">
        <f t="shared" si="103"/>
        <v>#VALUE!</v>
      </c>
      <c r="M1345" s="9" t="e">
        <f t="shared" si="104"/>
        <v>#VALUE!</v>
      </c>
    </row>
    <row r="1346" ht="27" spans="2:13">
      <c r="B1346" t="s">
        <v>2674</v>
      </c>
      <c r="C1346" s="4" t="s">
        <v>2675</v>
      </c>
      <c r="D1346" s="4" t="s">
        <v>2675</v>
      </c>
      <c r="E1346" s="4" t="s">
        <v>2675</v>
      </c>
      <c r="F1346" s="4" t="s">
        <v>2675</v>
      </c>
      <c r="G1346" s="5" t="s">
        <v>1169</v>
      </c>
      <c r="H1346" s="9"/>
      <c r="I1346" s="9" t="e">
        <f t="shared" si="100"/>
        <v>#VALUE!</v>
      </c>
      <c r="J1346" s="9" t="e">
        <f t="shared" si="101"/>
        <v>#VALUE!</v>
      </c>
      <c r="K1346" s="9" t="e">
        <f t="shared" si="102"/>
        <v>#VALUE!</v>
      </c>
      <c r="L1346" s="9" t="e">
        <f t="shared" si="103"/>
        <v>#VALUE!</v>
      </c>
      <c r="M1346" s="9" t="e">
        <f t="shared" si="104"/>
        <v>#VALUE!</v>
      </c>
    </row>
    <row r="1347" spans="2:13">
      <c r="B1347" t="s">
        <v>2676</v>
      </c>
      <c r="C1347" s="4" t="s">
        <v>2677</v>
      </c>
      <c r="D1347" s="4" t="s">
        <v>2677</v>
      </c>
      <c r="E1347" s="4" t="s">
        <v>2677</v>
      </c>
      <c r="F1347" s="4" t="s">
        <v>2677</v>
      </c>
      <c r="G1347" s="5" t="s">
        <v>1169</v>
      </c>
      <c r="H1347" s="9"/>
      <c r="I1347" s="9" t="e">
        <f t="shared" si="100"/>
        <v>#VALUE!</v>
      </c>
      <c r="J1347" s="9" t="e">
        <f t="shared" si="101"/>
        <v>#VALUE!</v>
      </c>
      <c r="K1347" s="9" t="e">
        <f t="shared" si="102"/>
        <v>#VALUE!</v>
      </c>
      <c r="L1347" s="9" t="e">
        <f t="shared" si="103"/>
        <v>#VALUE!</v>
      </c>
      <c r="M1347" s="9" t="e">
        <f t="shared" si="104"/>
        <v>#VALUE!</v>
      </c>
    </row>
    <row r="1348" spans="2:13">
      <c r="B1348" t="s">
        <v>2678</v>
      </c>
      <c r="C1348" s="4" t="s">
        <v>2679</v>
      </c>
      <c r="D1348" s="4" t="s">
        <v>2679</v>
      </c>
      <c r="E1348" s="4" t="s">
        <v>2679</v>
      </c>
      <c r="F1348" s="4" t="s">
        <v>2679</v>
      </c>
      <c r="G1348" s="5" t="s">
        <v>1169</v>
      </c>
      <c r="H1348" s="9"/>
      <c r="I1348" s="9" t="e">
        <f t="shared" ref="I1348:I1411" si="105">G1348*0.47</f>
        <v>#VALUE!</v>
      </c>
      <c r="J1348" s="9" t="e">
        <f t="shared" ref="J1348:J1411" si="106">G1348*0.5</f>
        <v>#VALUE!</v>
      </c>
      <c r="K1348" s="9" t="e">
        <f t="shared" ref="K1348:K1411" si="107">G1348*0.55</f>
        <v>#VALUE!</v>
      </c>
      <c r="L1348" s="9" t="e">
        <f t="shared" ref="L1348:L1411" si="108">G1348*0.7</f>
        <v>#VALUE!</v>
      </c>
      <c r="M1348" s="9" t="e">
        <f t="shared" ref="M1348:M1411" si="109">G1348*0.85</f>
        <v>#VALUE!</v>
      </c>
    </row>
    <row r="1349" spans="2:13">
      <c r="B1349" t="s">
        <v>2680</v>
      </c>
      <c r="C1349" s="4" t="s">
        <v>2681</v>
      </c>
      <c r="D1349" s="4" t="s">
        <v>2681</v>
      </c>
      <c r="E1349" s="4" t="s">
        <v>2681</v>
      </c>
      <c r="F1349" s="4" t="s">
        <v>2681</v>
      </c>
      <c r="G1349" s="5" t="s">
        <v>1169</v>
      </c>
      <c r="H1349" s="9"/>
      <c r="I1349" s="9" t="e">
        <f t="shared" si="105"/>
        <v>#VALUE!</v>
      </c>
      <c r="J1349" s="9" t="e">
        <f t="shared" si="106"/>
        <v>#VALUE!</v>
      </c>
      <c r="K1349" s="9" t="e">
        <f t="shared" si="107"/>
        <v>#VALUE!</v>
      </c>
      <c r="L1349" s="9" t="e">
        <f t="shared" si="108"/>
        <v>#VALUE!</v>
      </c>
      <c r="M1349" s="9" t="e">
        <f t="shared" si="109"/>
        <v>#VALUE!</v>
      </c>
    </row>
    <row r="1350" spans="2:13">
      <c r="B1350" t="s">
        <v>2682</v>
      </c>
      <c r="C1350" s="4" t="s">
        <v>2683</v>
      </c>
      <c r="D1350" s="4" t="s">
        <v>2683</v>
      </c>
      <c r="E1350" s="4" t="s">
        <v>2683</v>
      </c>
      <c r="F1350" s="4" t="s">
        <v>2683</v>
      </c>
      <c r="G1350" s="5" t="s">
        <v>1169</v>
      </c>
      <c r="H1350" s="9"/>
      <c r="I1350" s="9" t="e">
        <f t="shared" si="105"/>
        <v>#VALUE!</v>
      </c>
      <c r="J1350" s="9" t="e">
        <f t="shared" si="106"/>
        <v>#VALUE!</v>
      </c>
      <c r="K1350" s="9" t="e">
        <f t="shared" si="107"/>
        <v>#VALUE!</v>
      </c>
      <c r="L1350" s="9" t="e">
        <f t="shared" si="108"/>
        <v>#VALUE!</v>
      </c>
      <c r="M1350" s="9" t="e">
        <f t="shared" si="109"/>
        <v>#VALUE!</v>
      </c>
    </row>
    <row r="1351" ht="27" spans="2:13">
      <c r="B1351" t="s">
        <v>2684</v>
      </c>
      <c r="C1351" s="4" t="s">
        <v>2685</v>
      </c>
      <c r="D1351" s="4" t="s">
        <v>2685</v>
      </c>
      <c r="E1351" s="4" t="s">
        <v>2685</v>
      </c>
      <c r="F1351" s="4" t="s">
        <v>2685</v>
      </c>
      <c r="G1351" s="5" t="s">
        <v>1169</v>
      </c>
      <c r="H1351" s="9"/>
      <c r="I1351" s="9" t="e">
        <f t="shared" si="105"/>
        <v>#VALUE!</v>
      </c>
      <c r="J1351" s="9" t="e">
        <f t="shared" si="106"/>
        <v>#VALUE!</v>
      </c>
      <c r="K1351" s="9" t="e">
        <f t="shared" si="107"/>
        <v>#VALUE!</v>
      </c>
      <c r="L1351" s="9" t="e">
        <f t="shared" si="108"/>
        <v>#VALUE!</v>
      </c>
      <c r="M1351" s="9" t="e">
        <f t="shared" si="109"/>
        <v>#VALUE!</v>
      </c>
    </row>
    <row r="1352" ht="27" spans="2:13">
      <c r="B1352" t="s">
        <v>2686</v>
      </c>
      <c r="C1352" s="4" t="s">
        <v>2687</v>
      </c>
      <c r="D1352" s="4" t="s">
        <v>2687</v>
      </c>
      <c r="E1352" s="4" t="s">
        <v>2687</v>
      </c>
      <c r="F1352" s="4" t="s">
        <v>2687</v>
      </c>
      <c r="G1352" s="5" t="s">
        <v>1169</v>
      </c>
      <c r="H1352" s="9"/>
      <c r="I1352" s="9" t="e">
        <f t="shared" si="105"/>
        <v>#VALUE!</v>
      </c>
      <c r="J1352" s="9" t="e">
        <f t="shared" si="106"/>
        <v>#VALUE!</v>
      </c>
      <c r="K1352" s="9" t="e">
        <f t="shared" si="107"/>
        <v>#VALUE!</v>
      </c>
      <c r="L1352" s="9" t="e">
        <f t="shared" si="108"/>
        <v>#VALUE!</v>
      </c>
      <c r="M1352" s="9" t="e">
        <f t="shared" si="109"/>
        <v>#VALUE!</v>
      </c>
    </row>
    <row r="1353" ht="27" spans="2:13">
      <c r="B1353" t="s">
        <v>2688</v>
      </c>
      <c r="C1353" s="4" t="s">
        <v>2689</v>
      </c>
      <c r="D1353" s="4" t="s">
        <v>2689</v>
      </c>
      <c r="E1353" s="4" t="s">
        <v>2689</v>
      </c>
      <c r="F1353" s="4" t="s">
        <v>2689</v>
      </c>
      <c r="G1353" s="5" t="s">
        <v>1169</v>
      </c>
      <c r="H1353" s="9"/>
      <c r="I1353" s="9" t="e">
        <f t="shared" si="105"/>
        <v>#VALUE!</v>
      </c>
      <c r="J1353" s="9" t="e">
        <f t="shared" si="106"/>
        <v>#VALUE!</v>
      </c>
      <c r="K1353" s="9" t="e">
        <f t="shared" si="107"/>
        <v>#VALUE!</v>
      </c>
      <c r="L1353" s="9" t="e">
        <f t="shared" si="108"/>
        <v>#VALUE!</v>
      </c>
      <c r="M1353" s="9" t="e">
        <f t="shared" si="109"/>
        <v>#VALUE!</v>
      </c>
    </row>
    <row r="1354" ht="27" spans="2:13">
      <c r="B1354" t="s">
        <v>2690</v>
      </c>
      <c r="C1354" s="4" t="s">
        <v>2691</v>
      </c>
      <c r="D1354" s="4" t="s">
        <v>2691</v>
      </c>
      <c r="E1354" s="4" t="s">
        <v>2691</v>
      </c>
      <c r="F1354" s="4" t="s">
        <v>2691</v>
      </c>
      <c r="G1354" s="5" t="s">
        <v>1169</v>
      </c>
      <c r="H1354" s="9"/>
      <c r="I1354" s="9" t="e">
        <f t="shared" si="105"/>
        <v>#VALUE!</v>
      </c>
      <c r="J1354" s="9" t="e">
        <f t="shared" si="106"/>
        <v>#VALUE!</v>
      </c>
      <c r="K1354" s="9" t="e">
        <f t="shared" si="107"/>
        <v>#VALUE!</v>
      </c>
      <c r="L1354" s="9" t="e">
        <f t="shared" si="108"/>
        <v>#VALUE!</v>
      </c>
      <c r="M1354" s="9" t="e">
        <f t="shared" si="109"/>
        <v>#VALUE!</v>
      </c>
    </row>
    <row r="1355" ht="40.5" spans="2:13">
      <c r="B1355" t="s">
        <v>2692</v>
      </c>
      <c r="C1355" s="4" t="s">
        <v>2693</v>
      </c>
      <c r="D1355" s="4" t="s">
        <v>2693</v>
      </c>
      <c r="E1355" s="4" t="s">
        <v>2693</v>
      </c>
      <c r="F1355" s="4" t="s">
        <v>2693</v>
      </c>
      <c r="G1355" s="5" t="s">
        <v>1169</v>
      </c>
      <c r="H1355" s="9"/>
      <c r="I1355" s="9" t="e">
        <f t="shared" si="105"/>
        <v>#VALUE!</v>
      </c>
      <c r="J1355" s="9" t="e">
        <f t="shared" si="106"/>
        <v>#VALUE!</v>
      </c>
      <c r="K1355" s="9" t="e">
        <f t="shared" si="107"/>
        <v>#VALUE!</v>
      </c>
      <c r="L1355" s="9" t="e">
        <f t="shared" si="108"/>
        <v>#VALUE!</v>
      </c>
      <c r="M1355" s="9" t="e">
        <f t="shared" si="109"/>
        <v>#VALUE!</v>
      </c>
    </row>
    <row r="1356" ht="27" spans="2:13">
      <c r="B1356" t="s">
        <v>2694</v>
      </c>
      <c r="C1356" s="4" t="s">
        <v>2695</v>
      </c>
      <c r="D1356" s="4" t="s">
        <v>2695</v>
      </c>
      <c r="E1356" s="4" t="s">
        <v>2695</v>
      </c>
      <c r="F1356" s="4" t="s">
        <v>2695</v>
      </c>
      <c r="G1356" s="5" t="s">
        <v>1169</v>
      </c>
      <c r="H1356" s="9"/>
      <c r="I1356" s="9" t="e">
        <f t="shared" si="105"/>
        <v>#VALUE!</v>
      </c>
      <c r="J1356" s="9" t="e">
        <f t="shared" si="106"/>
        <v>#VALUE!</v>
      </c>
      <c r="K1356" s="9" t="e">
        <f t="shared" si="107"/>
        <v>#VALUE!</v>
      </c>
      <c r="L1356" s="9" t="e">
        <f t="shared" si="108"/>
        <v>#VALUE!</v>
      </c>
      <c r="M1356" s="9" t="e">
        <f t="shared" si="109"/>
        <v>#VALUE!</v>
      </c>
    </row>
    <row r="1357" ht="27" spans="2:13">
      <c r="B1357" t="s">
        <v>2696</v>
      </c>
      <c r="C1357" s="4" t="s">
        <v>2697</v>
      </c>
      <c r="D1357" s="4" t="s">
        <v>2697</v>
      </c>
      <c r="E1357" s="4" t="s">
        <v>2697</v>
      </c>
      <c r="F1357" s="4" t="s">
        <v>2697</v>
      </c>
      <c r="G1357" s="5" t="s">
        <v>1169</v>
      </c>
      <c r="H1357" s="9"/>
      <c r="I1357" s="9" t="e">
        <f t="shared" si="105"/>
        <v>#VALUE!</v>
      </c>
      <c r="J1357" s="9" t="e">
        <f t="shared" si="106"/>
        <v>#VALUE!</v>
      </c>
      <c r="K1357" s="9" t="e">
        <f t="shared" si="107"/>
        <v>#VALUE!</v>
      </c>
      <c r="L1357" s="9" t="e">
        <f t="shared" si="108"/>
        <v>#VALUE!</v>
      </c>
      <c r="M1357" s="9" t="e">
        <f t="shared" si="109"/>
        <v>#VALUE!</v>
      </c>
    </row>
    <row r="1358" spans="2:13">
      <c r="B1358" t="s">
        <v>2698</v>
      </c>
      <c r="C1358" s="4" t="s">
        <v>2699</v>
      </c>
      <c r="D1358" s="4" t="s">
        <v>2699</v>
      </c>
      <c r="E1358" s="4" t="s">
        <v>2699</v>
      </c>
      <c r="F1358" s="4" t="s">
        <v>2699</v>
      </c>
      <c r="G1358" s="5" t="s">
        <v>1169</v>
      </c>
      <c r="H1358" s="9"/>
      <c r="I1358" s="9" t="e">
        <f t="shared" si="105"/>
        <v>#VALUE!</v>
      </c>
      <c r="J1358" s="9" t="e">
        <f t="shared" si="106"/>
        <v>#VALUE!</v>
      </c>
      <c r="K1358" s="9" t="e">
        <f t="shared" si="107"/>
        <v>#VALUE!</v>
      </c>
      <c r="L1358" s="9" t="e">
        <f t="shared" si="108"/>
        <v>#VALUE!</v>
      </c>
      <c r="M1358" s="9" t="e">
        <f t="shared" si="109"/>
        <v>#VALUE!</v>
      </c>
    </row>
    <row r="1359" ht="27" spans="2:13">
      <c r="B1359" t="s">
        <v>2700</v>
      </c>
      <c r="C1359" s="4" t="s">
        <v>2701</v>
      </c>
      <c r="D1359" s="4" t="s">
        <v>2701</v>
      </c>
      <c r="E1359" s="4" t="s">
        <v>2701</v>
      </c>
      <c r="F1359" s="4" t="s">
        <v>2701</v>
      </c>
      <c r="G1359" s="5" t="s">
        <v>1169</v>
      </c>
      <c r="H1359" s="9"/>
      <c r="I1359" s="9" t="e">
        <f t="shared" si="105"/>
        <v>#VALUE!</v>
      </c>
      <c r="J1359" s="9" t="e">
        <f t="shared" si="106"/>
        <v>#VALUE!</v>
      </c>
      <c r="K1359" s="9" t="e">
        <f t="shared" si="107"/>
        <v>#VALUE!</v>
      </c>
      <c r="L1359" s="9" t="e">
        <f t="shared" si="108"/>
        <v>#VALUE!</v>
      </c>
      <c r="M1359" s="9" t="e">
        <f t="shared" si="109"/>
        <v>#VALUE!</v>
      </c>
    </row>
    <row r="1360" spans="2:13">
      <c r="B1360" t="s">
        <v>2702</v>
      </c>
      <c r="C1360" s="4" t="s">
        <v>2703</v>
      </c>
      <c r="D1360" s="4" t="s">
        <v>2703</v>
      </c>
      <c r="E1360" s="4" t="s">
        <v>2703</v>
      </c>
      <c r="F1360" s="4" t="s">
        <v>2703</v>
      </c>
      <c r="G1360" s="5" t="s">
        <v>1169</v>
      </c>
      <c r="H1360" s="9"/>
      <c r="I1360" s="9" t="e">
        <f t="shared" si="105"/>
        <v>#VALUE!</v>
      </c>
      <c r="J1360" s="9" t="e">
        <f t="shared" si="106"/>
        <v>#VALUE!</v>
      </c>
      <c r="K1360" s="9" t="e">
        <f t="shared" si="107"/>
        <v>#VALUE!</v>
      </c>
      <c r="L1360" s="9" t="e">
        <f t="shared" si="108"/>
        <v>#VALUE!</v>
      </c>
      <c r="M1360" s="9" t="e">
        <f t="shared" si="109"/>
        <v>#VALUE!</v>
      </c>
    </row>
    <row r="1361" ht="27" spans="2:13">
      <c r="B1361" t="s">
        <v>2704</v>
      </c>
      <c r="C1361" s="4" t="s">
        <v>2705</v>
      </c>
      <c r="D1361" s="4" t="s">
        <v>2705</v>
      </c>
      <c r="E1361" s="4" t="s">
        <v>2705</v>
      </c>
      <c r="F1361" s="4" t="s">
        <v>2705</v>
      </c>
      <c r="G1361" s="5" t="s">
        <v>1169</v>
      </c>
      <c r="H1361" s="9"/>
      <c r="I1361" s="9" t="e">
        <f t="shared" si="105"/>
        <v>#VALUE!</v>
      </c>
      <c r="J1361" s="9" t="e">
        <f t="shared" si="106"/>
        <v>#VALUE!</v>
      </c>
      <c r="K1361" s="9" t="e">
        <f t="shared" si="107"/>
        <v>#VALUE!</v>
      </c>
      <c r="L1361" s="9" t="e">
        <f t="shared" si="108"/>
        <v>#VALUE!</v>
      </c>
      <c r="M1361" s="9" t="e">
        <f t="shared" si="109"/>
        <v>#VALUE!</v>
      </c>
    </row>
    <row r="1362" spans="2:13">
      <c r="B1362" t="s">
        <v>2706</v>
      </c>
      <c r="C1362" s="4" t="s">
        <v>2707</v>
      </c>
      <c r="D1362" s="4" t="s">
        <v>2707</v>
      </c>
      <c r="E1362" s="4" t="s">
        <v>2707</v>
      </c>
      <c r="F1362" s="4" t="s">
        <v>2707</v>
      </c>
      <c r="G1362" s="5" t="s">
        <v>1169</v>
      </c>
      <c r="H1362" s="9"/>
      <c r="I1362" s="9" t="e">
        <f t="shared" si="105"/>
        <v>#VALUE!</v>
      </c>
      <c r="J1362" s="9" t="e">
        <f t="shared" si="106"/>
        <v>#VALUE!</v>
      </c>
      <c r="K1362" s="9" t="e">
        <f t="shared" si="107"/>
        <v>#VALUE!</v>
      </c>
      <c r="L1362" s="9" t="e">
        <f t="shared" si="108"/>
        <v>#VALUE!</v>
      </c>
      <c r="M1362" s="9" t="e">
        <f t="shared" si="109"/>
        <v>#VALUE!</v>
      </c>
    </row>
    <row r="1363" spans="2:13">
      <c r="B1363" t="s">
        <v>2708</v>
      </c>
      <c r="C1363" s="4" t="s">
        <v>2709</v>
      </c>
      <c r="D1363" s="4" t="s">
        <v>2709</v>
      </c>
      <c r="E1363" s="4" t="s">
        <v>2709</v>
      </c>
      <c r="F1363" s="4" t="s">
        <v>2709</v>
      </c>
      <c r="G1363" s="5" t="s">
        <v>1169</v>
      </c>
      <c r="H1363" s="9"/>
      <c r="I1363" s="9" t="e">
        <f t="shared" si="105"/>
        <v>#VALUE!</v>
      </c>
      <c r="J1363" s="9" t="e">
        <f t="shared" si="106"/>
        <v>#VALUE!</v>
      </c>
      <c r="K1363" s="9" t="e">
        <f t="shared" si="107"/>
        <v>#VALUE!</v>
      </c>
      <c r="L1363" s="9" t="e">
        <f t="shared" si="108"/>
        <v>#VALUE!</v>
      </c>
      <c r="M1363" s="9" t="e">
        <f t="shared" si="109"/>
        <v>#VALUE!</v>
      </c>
    </row>
    <row r="1364" spans="2:13">
      <c r="B1364" t="s">
        <v>2710</v>
      </c>
      <c r="C1364" s="4" t="s">
        <v>2711</v>
      </c>
      <c r="D1364" s="4" t="s">
        <v>2711</v>
      </c>
      <c r="E1364" s="4" t="s">
        <v>2711</v>
      </c>
      <c r="F1364" s="4" t="s">
        <v>2711</v>
      </c>
      <c r="G1364" s="5" t="s">
        <v>1169</v>
      </c>
      <c r="H1364" s="9"/>
      <c r="I1364" s="9" t="e">
        <f t="shared" si="105"/>
        <v>#VALUE!</v>
      </c>
      <c r="J1364" s="9" t="e">
        <f t="shared" si="106"/>
        <v>#VALUE!</v>
      </c>
      <c r="K1364" s="9" t="e">
        <f t="shared" si="107"/>
        <v>#VALUE!</v>
      </c>
      <c r="L1364" s="9" t="e">
        <f t="shared" si="108"/>
        <v>#VALUE!</v>
      </c>
      <c r="M1364" s="9" t="e">
        <f t="shared" si="109"/>
        <v>#VALUE!</v>
      </c>
    </row>
    <row r="1365" ht="27" spans="2:13">
      <c r="B1365" t="s">
        <v>2712</v>
      </c>
      <c r="C1365" s="4" t="s">
        <v>2713</v>
      </c>
      <c r="D1365" s="4" t="s">
        <v>2713</v>
      </c>
      <c r="E1365" s="4" t="s">
        <v>2713</v>
      </c>
      <c r="F1365" s="4" t="s">
        <v>2713</v>
      </c>
      <c r="G1365" s="5" t="s">
        <v>1169</v>
      </c>
      <c r="H1365" s="9"/>
      <c r="I1365" s="9" t="e">
        <f t="shared" si="105"/>
        <v>#VALUE!</v>
      </c>
      <c r="J1365" s="9" t="e">
        <f t="shared" si="106"/>
        <v>#VALUE!</v>
      </c>
      <c r="K1365" s="9" t="e">
        <f t="shared" si="107"/>
        <v>#VALUE!</v>
      </c>
      <c r="L1365" s="9" t="e">
        <f t="shared" si="108"/>
        <v>#VALUE!</v>
      </c>
      <c r="M1365" s="9" t="e">
        <f t="shared" si="109"/>
        <v>#VALUE!</v>
      </c>
    </row>
    <row r="1366" ht="27" spans="2:13">
      <c r="B1366" t="s">
        <v>2714</v>
      </c>
      <c r="C1366" s="4" t="s">
        <v>2715</v>
      </c>
      <c r="D1366" s="4" t="s">
        <v>2715</v>
      </c>
      <c r="E1366" s="4" t="s">
        <v>2715</v>
      </c>
      <c r="F1366" s="4" t="s">
        <v>2715</v>
      </c>
      <c r="G1366" s="5" t="s">
        <v>1169</v>
      </c>
      <c r="H1366" s="9"/>
      <c r="I1366" s="9" t="e">
        <f t="shared" si="105"/>
        <v>#VALUE!</v>
      </c>
      <c r="J1366" s="9" t="e">
        <f t="shared" si="106"/>
        <v>#VALUE!</v>
      </c>
      <c r="K1366" s="9" t="e">
        <f t="shared" si="107"/>
        <v>#VALUE!</v>
      </c>
      <c r="L1366" s="9" t="e">
        <f t="shared" si="108"/>
        <v>#VALUE!</v>
      </c>
      <c r="M1366" s="9" t="e">
        <f t="shared" si="109"/>
        <v>#VALUE!</v>
      </c>
    </row>
    <row r="1367" ht="27" spans="2:13">
      <c r="B1367" t="s">
        <v>2716</v>
      </c>
      <c r="C1367" s="4" t="s">
        <v>2717</v>
      </c>
      <c r="D1367" s="4" t="s">
        <v>2717</v>
      </c>
      <c r="E1367" s="4" t="s">
        <v>2717</v>
      </c>
      <c r="F1367" s="4" t="s">
        <v>2717</v>
      </c>
      <c r="G1367" s="5" t="s">
        <v>1169</v>
      </c>
      <c r="H1367" s="9"/>
      <c r="I1367" s="9" t="e">
        <f t="shared" si="105"/>
        <v>#VALUE!</v>
      </c>
      <c r="J1367" s="9" t="e">
        <f t="shared" si="106"/>
        <v>#VALUE!</v>
      </c>
      <c r="K1367" s="9" t="e">
        <f t="shared" si="107"/>
        <v>#VALUE!</v>
      </c>
      <c r="L1367" s="9" t="e">
        <f t="shared" si="108"/>
        <v>#VALUE!</v>
      </c>
      <c r="M1367" s="9" t="e">
        <f t="shared" si="109"/>
        <v>#VALUE!</v>
      </c>
    </row>
    <row r="1368" spans="2:13">
      <c r="B1368" t="s">
        <v>2718</v>
      </c>
      <c r="C1368" s="4" t="s">
        <v>2719</v>
      </c>
      <c r="D1368" s="4" t="s">
        <v>2719</v>
      </c>
      <c r="E1368" s="4" t="s">
        <v>2719</v>
      </c>
      <c r="F1368" s="4" t="s">
        <v>2719</v>
      </c>
      <c r="G1368" s="5" t="s">
        <v>1169</v>
      </c>
      <c r="H1368" s="9"/>
      <c r="I1368" s="9" t="e">
        <f t="shared" si="105"/>
        <v>#VALUE!</v>
      </c>
      <c r="J1368" s="9" t="e">
        <f t="shared" si="106"/>
        <v>#VALUE!</v>
      </c>
      <c r="K1368" s="9" t="e">
        <f t="shared" si="107"/>
        <v>#VALUE!</v>
      </c>
      <c r="L1368" s="9" t="e">
        <f t="shared" si="108"/>
        <v>#VALUE!</v>
      </c>
      <c r="M1368" s="9" t="e">
        <f t="shared" si="109"/>
        <v>#VALUE!</v>
      </c>
    </row>
    <row r="1369" ht="27" spans="2:13">
      <c r="B1369" t="s">
        <v>2720</v>
      </c>
      <c r="C1369" s="4" t="s">
        <v>2721</v>
      </c>
      <c r="D1369" s="4" t="s">
        <v>2721</v>
      </c>
      <c r="E1369" s="4" t="s">
        <v>2721</v>
      </c>
      <c r="F1369" s="4" t="s">
        <v>2721</v>
      </c>
      <c r="G1369" s="5" t="s">
        <v>1169</v>
      </c>
      <c r="H1369" s="9"/>
      <c r="I1369" s="9" t="e">
        <f t="shared" si="105"/>
        <v>#VALUE!</v>
      </c>
      <c r="J1369" s="9" t="e">
        <f t="shared" si="106"/>
        <v>#VALUE!</v>
      </c>
      <c r="K1369" s="9" t="e">
        <f t="shared" si="107"/>
        <v>#VALUE!</v>
      </c>
      <c r="L1369" s="9" t="e">
        <f t="shared" si="108"/>
        <v>#VALUE!</v>
      </c>
      <c r="M1369" s="9" t="e">
        <f t="shared" si="109"/>
        <v>#VALUE!</v>
      </c>
    </row>
    <row r="1370" spans="2:13">
      <c r="B1370" t="s">
        <v>2722</v>
      </c>
      <c r="C1370" s="4" t="s">
        <v>2723</v>
      </c>
      <c r="D1370" s="4" t="s">
        <v>2723</v>
      </c>
      <c r="E1370" s="4" t="s">
        <v>2723</v>
      </c>
      <c r="F1370" s="4" t="s">
        <v>2723</v>
      </c>
      <c r="G1370" s="5" t="s">
        <v>1169</v>
      </c>
      <c r="H1370" s="9"/>
      <c r="I1370" s="9" t="e">
        <f t="shared" si="105"/>
        <v>#VALUE!</v>
      </c>
      <c r="J1370" s="9" t="e">
        <f t="shared" si="106"/>
        <v>#VALUE!</v>
      </c>
      <c r="K1370" s="9" t="e">
        <f t="shared" si="107"/>
        <v>#VALUE!</v>
      </c>
      <c r="L1370" s="9" t="e">
        <f t="shared" si="108"/>
        <v>#VALUE!</v>
      </c>
      <c r="M1370" s="9" t="e">
        <f t="shared" si="109"/>
        <v>#VALUE!</v>
      </c>
    </row>
    <row r="1371" ht="27" spans="2:13">
      <c r="B1371" t="s">
        <v>2724</v>
      </c>
      <c r="C1371" s="4" t="s">
        <v>2725</v>
      </c>
      <c r="D1371" s="4" t="s">
        <v>2725</v>
      </c>
      <c r="E1371" s="4" t="s">
        <v>2725</v>
      </c>
      <c r="F1371" s="4" t="s">
        <v>2725</v>
      </c>
      <c r="G1371" s="5" t="s">
        <v>1169</v>
      </c>
      <c r="H1371" s="9"/>
      <c r="I1371" s="9" t="e">
        <f t="shared" si="105"/>
        <v>#VALUE!</v>
      </c>
      <c r="J1371" s="9" t="e">
        <f t="shared" si="106"/>
        <v>#VALUE!</v>
      </c>
      <c r="K1371" s="9" t="e">
        <f t="shared" si="107"/>
        <v>#VALUE!</v>
      </c>
      <c r="L1371" s="9" t="e">
        <f t="shared" si="108"/>
        <v>#VALUE!</v>
      </c>
      <c r="M1371" s="9" t="e">
        <f t="shared" si="109"/>
        <v>#VALUE!</v>
      </c>
    </row>
    <row r="1372" spans="2:13">
      <c r="B1372" t="s">
        <v>2726</v>
      </c>
      <c r="C1372" s="4" t="s">
        <v>2727</v>
      </c>
      <c r="D1372" s="4" t="s">
        <v>2727</v>
      </c>
      <c r="E1372" s="4" t="s">
        <v>2727</v>
      </c>
      <c r="F1372" s="4" t="s">
        <v>2727</v>
      </c>
      <c r="G1372" s="5" t="s">
        <v>1169</v>
      </c>
      <c r="H1372" s="9"/>
      <c r="I1372" s="9" t="e">
        <f t="shared" si="105"/>
        <v>#VALUE!</v>
      </c>
      <c r="J1372" s="9" t="e">
        <f t="shared" si="106"/>
        <v>#VALUE!</v>
      </c>
      <c r="K1372" s="9" t="e">
        <f t="shared" si="107"/>
        <v>#VALUE!</v>
      </c>
      <c r="L1372" s="9" t="e">
        <f t="shared" si="108"/>
        <v>#VALUE!</v>
      </c>
      <c r="M1372" s="9" t="e">
        <f t="shared" si="109"/>
        <v>#VALUE!</v>
      </c>
    </row>
    <row r="1373" ht="27" spans="2:13">
      <c r="B1373" t="s">
        <v>2728</v>
      </c>
      <c r="C1373" s="4" t="s">
        <v>2729</v>
      </c>
      <c r="D1373" s="4" t="s">
        <v>2729</v>
      </c>
      <c r="E1373" s="4" t="s">
        <v>2729</v>
      </c>
      <c r="F1373" s="4" t="s">
        <v>2729</v>
      </c>
      <c r="G1373" s="5" t="s">
        <v>1169</v>
      </c>
      <c r="H1373" s="9"/>
      <c r="I1373" s="9" t="e">
        <f t="shared" si="105"/>
        <v>#VALUE!</v>
      </c>
      <c r="J1373" s="9" t="e">
        <f t="shared" si="106"/>
        <v>#VALUE!</v>
      </c>
      <c r="K1373" s="9" t="e">
        <f t="shared" si="107"/>
        <v>#VALUE!</v>
      </c>
      <c r="L1373" s="9" t="e">
        <f t="shared" si="108"/>
        <v>#VALUE!</v>
      </c>
      <c r="M1373" s="9" t="e">
        <f t="shared" si="109"/>
        <v>#VALUE!</v>
      </c>
    </row>
    <row r="1374" spans="2:13">
      <c r="B1374" t="s">
        <v>2730</v>
      </c>
      <c r="C1374" s="4" t="s">
        <v>2731</v>
      </c>
      <c r="D1374" s="4" t="s">
        <v>2731</v>
      </c>
      <c r="E1374" s="4" t="s">
        <v>2731</v>
      </c>
      <c r="F1374" s="4" t="s">
        <v>2731</v>
      </c>
      <c r="G1374" s="5" t="s">
        <v>1169</v>
      </c>
      <c r="H1374" s="9"/>
      <c r="I1374" s="9" t="e">
        <f t="shared" si="105"/>
        <v>#VALUE!</v>
      </c>
      <c r="J1374" s="9" t="e">
        <f t="shared" si="106"/>
        <v>#VALUE!</v>
      </c>
      <c r="K1374" s="9" t="e">
        <f t="shared" si="107"/>
        <v>#VALUE!</v>
      </c>
      <c r="L1374" s="9" t="e">
        <f t="shared" si="108"/>
        <v>#VALUE!</v>
      </c>
      <c r="M1374" s="9" t="e">
        <f t="shared" si="109"/>
        <v>#VALUE!</v>
      </c>
    </row>
    <row r="1375" ht="27" spans="2:13">
      <c r="B1375" t="s">
        <v>2732</v>
      </c>
      <c r="C1375" s="4" t="s">
        <v>2733</v>
      </c>
      <c r="D1375" s="4" t="s">
        <v>2733</v>
      </c>
      <c r="E1375" s="4" t="s">
        <v>2733</v>
      </c>
      <c r="F1375" s="4" t="s">
        <v>2733</v>
      </c>
      <c r="G1375" s="5" t="s">
        <v>1169</v>
      </c>
      <c r="H1375" s="9"/>
      <c r="I1375" s="9" t="e">
        <f t="shared" si="105"/>
        <v>#VALUE!</v>
      </c>
      <c r="J1375" s="9" t="e">
        <f t="shared" si="106"/>
        <v>#VALUE!</v>
      </c>
      <c r="K1375" s="9" t="e">
        <f t="shared" si="107"/>
        <v>#VALUE!</v>
      </c>
      <c r="L1375" s="9" t="e">
        <f t="shared" si="108"/>
        <v>#VALUE!</v>
      </c>
      <c r="M1375" s="9" t="e">
        <f t="shared" si="109"/>
        <v>#VALUE!</v>
      </c>
    </row>
    <row r="1376" ht="27" spans="2:13">
      <c r="B1376" t="s">
        <v>2734</v>
      </c>
      <c r="C1376" s="4" t="s">
        <v>2735</v>
      </c>
      <c r="D1376" s="4" t="s">
        <v>2735</v>
      </c>
      <c r="E1376" s="4" t="s">
        <v>2735</v>
      </c>
      <c r="F1376" s="4" t="s">
        <v>2735</v>
      </c>
      <c r="G1376" s="5" t="s">
        <v>1169</v>
      </c>
      <c r="H1376" s="9"/>
      <c r="I1376" s="9" t="e">
        <f t="shared" si="105"/>
        <v>#VALUE!</v>
      </c>
      <c r="J1376" s="9" t="e">
        <f t="shared" si="106"/>
        <v>#VALUE!</v>
      </c>
      <c r="K1376" s="9" t="e">
        <f t="shared" si="107"/>
        <v>#VALUE!</v>
      </c>
      <c r="L1376" s="9" t="e">
        <f t="shared" si="108"/>
        <v>#VALUE!</v>
      </c>
      <c r="M1376" s="9" t="e">
        <f t="shared" si="109"/>
        <v>#VALUE!</v>
      </c>
    </row>
    <row r="1377" ht="27" spans="2:13">
      <c r="B1377" t="s">
        <v>2736</v>
      </c>
      <c r="C1377" s="4" t="s">
        <v>2737</v>
      </c>
      <c r="D1377" s="4" t="s">
        <v>2737</v>
      </c>
      <c r="E1377" s="4" t="s">
        <v>2737</v>
      </c>
      <c r="F1377" s="4" t="s">
        <v>2737</v>
      </c>
      <c r="G1377" s="5" t="s">
        <v>1169</v>
      </c>
      <c r="H1377" s="9"/>
      <c r="I1377" s="9" t="e">
        <f t="shared" si="105"/>
        <v>#VALUE!</v>
      </c>
      <c r="J1377" s="9" t="e">
        <f t="shared" si="106"/>
        <v>#VALUE!</v>
      </c>
      <c r="K1377" s="9" t="e">
        <f t="shared" si="107"/>
        <v>#VALUE!</v>
      </c>
      <c r="L1377" s="9" t="e">
        <f t="shared" si="108"/>
        <v>#VALUE!</v>
      </c>
      <c r="M1377" s="9" t="e">
        <f t="shared" si="109"/>
        <v>#VALUE!</v>
      </c>
    </row>
    <row r="1378" spans="2:13">
      <c r="B1378" t="s">
        <v>2738</v>
      </c>
      <c r="C1378" s="4" t="s">
        <v>2739</v>
      </c>
      <c r="D1378" s="4" t="s">
        <v>2739</v>
      </c>
      <c r="E1378" s="4" t="s">
        <v>2739</v>
      </c>
      <c r="F1378" s="4" t="s">
        <v>2739</v>
      </c>
      <c r="G1378" s="5" t="s">
        <v>1169</v>
      </c>
      <c r="H1378" s="9"/>
      <c r="I1378" s="9" t="e">
        <f t="shared" si="105"/>
        <v>#VALUE!</v>
      </c>
      <c r="J1378" s="9" t="e">
        <f t="shared" si="106"/>
        <v>#VALUE!</v>
      </c>
      <c r="K1378" s="9" t="e">
        <f t="shared" si="107"/>
        <v>#VALUE!</v>
      </c>
      <c r="L1378" s="9" t="e">
        <f t="shared" si="108"/>
        <v>#VALUE!</v>
      </c>
      <c r="M1378" s="9" t="e">
        <f t="shared" si="109"/>
        <v>#VALUE!</v>
      </c>
    </row>
    <row r="1379" ht="27" spans="2:13">
      <c r="B1379" t="s">
        <v>2740</v>
      </c>
      <c r="C1379" s="4" t="s">
        <v>2741</v>
      </c>
      <c r="D1379" s="4" t="s">
        <v>2741</v>
      </c>
      <c r="E1379" s="4" t="s">
        <v>2741</v>
      </c>
      <c r="F1379" s="4" t="s">
        <v>2741</v>
      </c>
      <c r="G1379" s="5" t="s">
        <v>1169</v>
      </c>
      <c r="H1379" s="9"/>
      <c r="I1379" s="9" t="e">
        <f t="shared" si="105"/>
        <v>#VALUE!</v>
      </c>
      <c r="J1379" s="9" t="e">
        <f t="shared" si="106"/>
        <v>#VALUE!</v>
      </c>
      <c r="K1379" s="9" t="e">
        <f t="shared" si="107"/>
        <v>#VALUE!</v>
      </c>
      <c r="L1379" s="9" t="e">
        <f t="shared" si="108"/>
        <v>#VALUE!</v>
      </c>
      <c r="M1379" s="9" t="e">
        <f t="shared" si="109"/>
        <v>#VALUE!</v>
      </c>
    </row>
    <row r="1380" spans="2:13">
      <c r="B1380" t="s">
        <v>2742</v>
      </c>
      <c r="C1380" s="4" t="s">
        <v>2743</v>
      </c>
      <c r="D1380" s="4" t="s">
        <v>2743</v>
      </c>
      <c r="E1380" s="4" t="s">
        <v>2743</v>
      </c>
      <c r="F1380" s="4" t="s">
        <v>2743</v>
      </c>
      <c r="G1380" s="5" t="s">
        <v>1169</v>
      </c>
      <c r="H1380" s="9"/>
      <c r="I1380" s="9" t="e">
        <f t="shared" si="105"/>
        <v>#VALUE!</v>
      </c>
      <c r="J1380" s="9" t="e">
        <f t="shared" si="106"/>
        <v>#VALUE!</v>
      </c>
      <c r="K1380" s="9" t="e">
        <f t="shared" si="107"/>
        <v>#VALUE!</v>
      </c>
      <c r="L1380" s="9" t="e">
        <f t="shared" si="108"/>
        <v>#VALUE!</v>
      </c>
      <c r="M1380" s="9" t="e">
        <f t="shared" si="109"/>
        <v>#VALUE!</v>
      </c>
    </row>
    <row r="1381" ht="27" spans="2:13">
      <c r="B1381" t="s">
        <v>2744</v>
      </c>
      <c r="C1381" s="4" t="s">
        <v>2745</v>
      </c>
      <c r="D1381" s="4" t="s">
        <v>2745</v>
      </c>
      <c r="E1381" s="4" t="s">
        <v>2745</v>
      </c>
      <c r="F1381" s="4" t="s">
        <v>2745</v>
      </c>
      <c r="G1381" s="5" t="s">
        <v>1169</v>
      </c>
      <c r="H1381" s="9"/>
      <c r="I1381" s="9" t="e">
        <f t="shared" si="105"/>
        <v>#VALUE!</v>
      </c>
      <c r="J1381" s="9" t="e">
        <f t="shared" si="106"/>
        <v>#VALUE!</v>
      </c>
      <c r="K1381" s="9" t="e">
        <f t="shared" si="107"/>
        <v>#VALUE!</v>
      </c>
      <c r="L1381" s="9" t="e">
        <f t="shared" si="108"/>
        <v>#VALUE!</v>
      </c>
      <c r="M1381" s="9" t="e">
        <f t="shared" si="109"/>
        <v>#VALUE!</v>
      </c>
    </row>
    <row r="1382" spans="2:13">
      <c r="B1382" t="s">
        <v>2746</v>
      </c>
      <c r="C1382" s="4" t="s">
        <v>2747</v>
      </c>
      <c r="D1382" s="4" t="s">
        <v>2747</v>
      </c>
      <c r="E1382" s="4" t="s">
        <v>2747</v>
      </c>
      <c r="F1382" s="4" t="s">
        <v>2747</v>
      </c>
      <c r="G1382" s="5" t="s">
        <v>1169</v>
      </c>
      <c r="H1382" s="9"/>
      <c r="I1382" s="9" t="e">
        <f t="shared" si="105"/>
        <v>#VALUE!</v>
      </c>
      <c r="J1382" s="9" t="e">
        <f t="shared" si="106"/>
        <v>#VALUE!</v>
      </c>
      <c r="K1382" s="9" t="e">
        <f t="shared" si="107"/>
        <v>#VALUE!</v>
      </c>
      <c r="L1382" s="9" t="e">
        <f t="shared" si="108"/>
        <v>#VALUE!</v>
      </c>
      <c r="M1382" s="9" t="e">
        <f t="shared" si="109"/>
        <v>#VALUE!</v>
      </c>
    </row>
    <row r="1383" ht="27" spans="2:13">
      <c r="B1383" t="s">
        <v>2748</v>
      </c>
      <c r="C1383" s="4" t="s">
        <v>2749</v>
      </c>
      <c r="D1383" s="4" t="s">
        <v>2749</v>
      </c>
      <c r="E1383" s="4" t="s">
        <v>2749</v>
      </c>
      <c r="F1383" s="4" t="s">
        <v>2749</v>
      </c>
      <c r="G1383" s="5" t="s">
        <v>1169</v>
      </c>
      <c r="H1383" s="9"/>
      <c r="I1383" s="9" t="e">
        <f t="shared" si="105"/>
        <v>#VALUE!</v>
      </c>
      <c r="J1383" s="9" t="e">
        <f t="shared" si="106"/>
        <v>#VALUE!</v>
      </c>
      <c r="K1383" s="9" t="e">
        <f t="shared" si="107"/>
        <v>#VALUE!</v>
      </c>
      <c r="L1383" s="9" t="e">
        <f t="shared" si="108"/>
        <v>#VALUE!</v>
      </c>
      <c r="M1383" s="9" t="e">
        <f t="shared" si="109"/>
        <v>#VALUE!</v>
      </c>
    </row>
    <row r="1384" ht="27" spans="2:13">
      <c r="B1384" t="s">
        <v>2750</v>
      </c>
      <c r="C1384" s="4" t="s">
        <v>2751</v>
      </c>
      <c r="D1384" s="4" t="s">
        <v>2751</v>
      </c>
      <c r="E1384" s="4" t="s">
        <v>2751</v>
      </c>
      <c r="F1384" s="4" t="s">
        <v>2751</v>
      </c>
      <c r="G1384" s="5" t="s">
        <v>1169</v>
      </c>
      <c r="H1384" s="9"/>
      <c r="I1384" s="9" t="e">
        <f t="shared" si="105"/>
        <v>#VALUE!</v>
      </c>
      <c r="J1384" s="9" t="e">
        <f t="shared" si="106"/>
        <v>#VALUE!</v>
      </c>
      <c r="K1384" s="9" t="e">
        <f t="shared" si="107"/>
        <v>#VALUE!</v>
      </c>
      <c r="L1384" s="9" t="e">
        <f t="shared" si="108"/>
        <v>#VALUE!</v>
      </c>
      <c r="M1384" s="9" t="e">
        <f t="shared" si="109"/>
        <v>#VALUE!</v>
      </c>
    </row>
    <row r="1385" ht="27" spans="2:13">
      <c r="B1385" t="s">
        <v>2752</v>
      </c>
      <c r="C1385" s="4" t="s">
        <v>2753</v>
      </c>
      <c r="D1385" s="4" t="s">
        <v>2753</v>
      </c>
      <c r="E1385" s="4" t="s">
        <v>2753</v>
      </c>
      <c r="F1385" s="4" t="s">
        <v>2753</v>
      </c>
      <c r="G1385" s="5" t="s">
        <v>1169</v>
      </c>
      <c r="H1385" s="9"/>
      <c r="I1385" s="9" t="e">
        <f t="shared" si="105"/>
        <v>#VALUE!</v>
      </c>
      <c r="J1385" s="9" t="e">
        <f t="shared" si="106"/>
        <v>#VALUE!</v>
      </c>
      <c r="K1385" s="9" t="e">
        <f t="shared" si="107"/>
        <v>#VALUE!</v>
      </c>
      <c r="L1385" s="9" t="e">
        <f t="shared" si="108"/>
        <v>#VALUE!</v>
      </c>
      <c r="M1385" s="9" t="e">
        <f t="shared" si="109"/>
        <v>#VALUE!</v>
      </c>
    </row>
    <row r="1386" spans="2:13">
      <c r="B1386" t="s">
        <v>2754</v>
      </c>
      <c r="C1386" s="4" t="s">
        <v>2755</v>
      </c>
      <c r="D1386" s="4" t="s">
        <v>2755</v>
      </c>
      <c r="E1386" s="4" t="s">
        <v>2755</v>
      </c>
      <c r="F1386" s="4" t="s">
        <v>2755</v>
      </c>
      <c r="G1386" s="5" t="s">
        <v>1169</v>
      </c>
      <c r="H1386" s="9"/>
      <c r="I1386" s="9" t="e">
        <f t="shared" si="105"/>
        <v>#VALUE!</v>
      </c>
      <c r="J1386" s="9" t="e">
        <f t="shared" si="106"/>
        <v>#VALUE!</v>
      </c>
      <c r="K1386" s="9" t="e">
        <f t="shared" si="107"/>
        <v>#VALUE!</v>
      </c>
      <c r="L1386" s="9" t="e">
        <f t="shared" si="108"/>
        <v>#VALUE!</v>
      </c>
      <c r="M1386" s="9" t="e">
        <f t="shared" si="109"/>
        <v>#VALUE!</v>
      </c>
    </row>
    <row r="1387" ht="27" spans="2:13">
      <c r="B1387" t="s">
        <v>2756</v>
      </c>
      <c r="C1387" s="4" t="s">
        <v>2757</v>
      </c>
      <c r="D1387" s="4" t="s">
        <v>2757</v>
      </c>
      <c r="E1387" s="4" t="s">
        <v>2757</v>
      </c>
      <c r="F1387" s="4" t="s">
        <v>2757</v>
      </c>
      <c r="G1387" s="5" t="s">
        <v>1169</v>
      </c>
      <c r="H1387" s="9"/>
      <c r="I1387" s="9" t="e">
        <f t="shared" si="105"/>
        <v>#VALUE!</v>
      </c>
      <c r="J1387" s="9" t="e">
        <f t="shared" si="106"/>
        <v>#VALUE!</v>
      </c>
      <c r="K1387" s="9" t="e">
        <f t="shared" si="107"/>
        <v>#VALUE!</v>
      </c>
      <c r="L1387" s="9" t="e">
        <f t="shared" si="108"/>
        <v>#VALUE!</v>
      </c>
      <c r="M1387" s="9" t="e">
        <f t="shared" si="109"/>
        <v>#VALUE!</v>
      </c>
    </row>
    <row r="1388" spans="2:13">
      <c r="B1388" t="s">
        <v>2758</v>
      </c>
      <c r="C1388" s="4" t="s">
        <v>2759</v>
      </c>
      <c r="D1388" s="4" t="s">
        <v>2759</v>
      </c>
      <c r="E1388" s="4" t="s">
        <v>2759</v>
      </c>
      <c r="F1388" s="4" t="s">
        <v>2759</v>
      </c>
      <c r="G1388" s="5" t="s">
        <v>1169</v>
      </c>
      <c r="H1388" s="9"/>
      <c r="I1388" s="9" t="e">
        <f t="shared" si="105"/>
        <v>#VALUE!</v>
      </c>
      <c r="J1388" s="9" t="e">
        <f t="shared" si="106"/>
        <v>#VALUE!</v>
      </c>
      <c r="K1388" s="9" t="e">
        <f t="shared" si="107"/>
        <v>#VALUE!</v>
      </c>
      <c r="L1388" s="9" t="e">
        <f t="shared" si="108"/>
        <v>#VALUE!</v>
      </c>
      <c r="M1388" s="9" t="e">
        <f t="shared" si="109"/>
        <v>#VALUE!</v>
      </c>
    </row>
    <row r="1389" ht="27" spans="2:13">
      <c r="B1389" t="s">
        <v>2760</v>
      </c>
      <c r="C1389" s="4" t="s">
        <v>2761</v>
      </c>
      <c r="D1389" s="4" t="s">
        <v>2761</v>
      </c>
      <c r="E1389" s="4" t="s">
        <v>2761</v>
      </c>
      <c r="F1389" s="4" t="s">
        <v>2761</v>
      </c>
      <c r="G1389" s="5" t="s">
        <v>1169</v>
      </c>
      <c r="H1389" s="9"/>
      <c r="I1389" s="9" t="e">
        <f t="shared" si="105"/>
        <v>#VALUE!</v>
      </c>
      <c r="J1389" s="9" t="e">
        <f t="shared" si="106"/>
        <v>#VALUE!</v>
      </c>
      <c r="K1389" s="9" t="e">
        <f t="shared" si="107"/>
        <v>#VALUE!</v>
      </c>
      <c r="L1389" s="9" t="e">
        <f t="shared" si="108"/>
        <v>#VALUE!</v>
      </c>
      <c r="M1389" s="9" t="e">
        <f t="shared" si="109"/>
        <v>#VALUE!</v>
      </c>
    </row>
    <row r="1390" ht="27" spans="2:13">
      <c r="B1390" t="s">
        <v>2762</v>
      </c>
      <c r="C1390" s="4" t="s">
        <v>2763</v>
      </c>
      <c r="D1390" s="4" t="s">
        <v>2763</v>
      </c>
      <c r="E1390" s="4" t="s">
        <v>2763</v>
      </c>
      <c r="F1390" s="4" t="s">
        <v>2763</v>
      </c>
      <c r="G1390" s="5" t="s">
        <v>1169</v>
      </c>
      <c r="H1390" s="9"/>
      <c r="I1390" s="9" t="e">
        <f t="shared" si="105"/>
        <v>#VALUE!</v>
      </c>
      <c r="J1390" s="9" t="e">
        <f t="shared" si="106"/>
        <v>#VALUE!</v>
      </c>
      <c r="K1390" s="9" t="e">
        <f t="shared" si="107"/>
        <v>#VALUE!</v>
      </c>
      <c r="L1390" s="9" t="e">
        <f t="shared" si="108"/>
        <v>#VALUE!</v>
      </c>
      <c r="M1390" s="9" t="e">
        <f t="shared" si="109"/>
        <v>#VALUE!</v>
      </c>
    </row>
    <row r="1391" ht="27" spans="2:13">
      <c r="B1391" t="s">
        <v>2764</v>
      </c>
      <c r="C1391" s="4" t="s">
        <v>2765</v>
      </c>
      <c r="D1391" s="4" t="s">
        <v>2765</v>
      </c>
      <c r="E1391" s="4" t="s">
        <v>2765</v>
      </c>
      <c r="F1391" s="4" t="s">
        <v>2765</v>
      </c>
      <c r="G1391" s="5" t="s">
        <v>1169</v>
      </c>
      <c r="H1391" s="9"/>
      <c r="I1391" s="9" t="e">
        <f t="shared" si="105"/>
        <v>#VALUE!</v>
      </c>
      <c r="J1391" s="9" t="e">
        <f t="shared" si="106"/>
        <v>#VALUE!</v>
      </c>
      <c r="K1391" s="9" t="e">
        <f t="shared" si="107"/>
        <v>#VALUE!</v>
      </c>
      <c r="L1391" s="9" t="e">
        <f t="shared" si="108"/>
        <v>#VALUE!</v>
      </c>
      <c r="M1391" s="9" t="e">
        <f t="shared" si="109"/>
        <v>#VALUE!</v>
      </c>
    </row>
    <row r="1392" ht="27" spans="2:13">
      <c r="B1392" t="s">
        <v>2766</v>
      </c>
      <c r="C1392" s="4" t="s">
        <v>2767</v>
      </c>
      <c r="D1392" s="4" t="s">
        <v>2767</v>
      </c>
      <c r="E1392" s="4" t="s">
        <v>2767</v>
      </c>
      <c r="F1392" s="4" t="s">
        <v>2767</v>
      </c>
      <c r="G1392" s="5" t="s">
        <v>1169</v>
      </c>
      <c r="H1392" s="9"/>
      <c r="I1392" s="9" t="e">
        <f t="shared" si="105"/>
        <v>#VALUE!</v>
      </c>
      <c r="J1392" s="9" t="e">
        <f t="shared" si="106"/>
        <v>#VALUE!</v>
      </c>
      <c r="K1392" s="9" t="e">
        <f t="shared" si="107"/>
        <v>#VALUE!</v>
      </c>
      <c r="L1392" s="9" t="e">
        <f t="shared" si="108"/>
        <v>#VALUE!</v>
      </c>
      <c r="M1392" s="9" t="e">
        <f t="shared" si="109"/>
        <v>#VALUE!</v>
      </c>
    </row>
    <row r="1393" ht="27" spans="2:13">
      <c r="B1393" t="s">
        <v>2768</v>
      </c>
      <c r="C1393" s="4" t="s">
        <v>2769</v>
      </c>
      <c r="D1393" s="4" t="s">
        <v>2769</v>
      </c>
      <c r="E1393" s="4" t="s">
        <v>2769</v>
      </c>
      <c r="F1393" s="4" t="s">
        <v>2769</v>
      </c>
      <c r="G1393" s="5" t="s">
        <v>1169</v>
      </c>
      <c r="H1393" s="9"/>
      <c r="I1393" s="9" t="e">
        <f t="shared" si="105"/>
        <v>#VALUE!</v>
      </c>
      <c r="J1393" s="9" t="e">
        <f t="shared" si="106"/>
        <v>#VALUE!</v>
      </c>
      <c r="K1393" s="9" t="e">
        <f t="shared" si="107"/>
        <v>#VALUE!</v>
      </c>
      <c r="L1393" s="9" t="e">
        <f t="shared" si="108"/>
        <v>#VALUE!</v>
      </c>
      <c r="M1393" s="9" t="e">
        <f t="shared" si="109"/>
        <v>#VALUE!</v>
      </c>
    </row>
    <row r="1394" spans="2:13">
      <c r="B1394" t="s">
        <v>2770</v>
      </c>
      <c r="C1394" s="4" t="s">
        <v>2771</v>
      </c>
      <c r="D1394" s="4" t="s">
        <v>2771</v>
      </c>
      <c r="E1394" s="4" t="s">
        <v>2771</v>
      </c>
      <c r="F1394" s="4" t="s">
        <v>2771</v>
      </c>
      <c r="G1394" s="5">
        <v>41.9848</v>
      </c>
      <c r="H1394" s="9"/>
      <c r="I1394" s="9">
        <f t="shared" si="105"/>
        <v>19.732856</v>
      </c>
      <c r="J1394" s="9">
        <f t="shared" si="106"/>
        <v>20.9924</v>
      </c>
      <c r="K1394" s="9">
        <f t="shared" si="107"/>
        <v>23.09164</v>
      </c>
      <c r="L1394" s="9">
        <f t="shared" si="108"/>
        <v>29.38936</v>
      </c>
      <c r="M1394" s="9">
        <f t="shared" si="109"/>
        <v>35.68708</v>
      </c>
    </row>
    <row r="1395" spans="2:13">
      <c r="B1395" t="s">
        <v>2772</v>
      </c>
      <c r="C1395" s="4" t="s">
        <v>2773</v>
      </c>
      <c r="D1395" s="4" t="s">
        <v>2773</v>
      </c>
      <c r="E1395" s="4" t="s">
        <v>2773</v>
      </c>
      <c r="F1395" s="4" t="s">
        <v>2773</v>
      </c>
      <c r="G1395" s="5">
        <v>43.70496</v>
      </c>
      <c r="H1395" s="9"/>
      <c r="I1395" s="9">
        <f t="shared" si="105"/>
        <v>20.5413312</v>
      </c>
      <c r="J1395" s="9">
        <f t="shared" si="106"/>
        <v>21.85248</v>
      </c>
      <c r="K1395" s="9">
        <f t="shared" si="107"/>
        <v>24.037728</v>
      </c>
      <c r="L1395" s="9">
        <f t="shared" si="108"/>
        <v>30.593472</v>
      </c>
      <c r="M1395" s="9">
        <f t="shared" si="109"/>
        <v>37.149216</v>
      </c>
    </row>
    <row r="1396" spans="2:13">
      <c r="B1396" t="s">
        <v>2774</v>
      </c>
      <c r="C1396" s="4" t="s">
        <v>2775</v>
      </c>
      <c r="D1396" s="4" t="s">
        <v>2775</v>
      </c>
      <c r="E1396" s="4" t="s">
        <v>2775</v>
      </c>
      <c r="F1396" s="4" t="s">
        <v>2775</v>
      </c>
      <c r="G1396" s="5">
        <v>53.5704</v>
      </c>
      <c r="H1396" s="9"/>
      <c r="I1396" s="9">
        <f t="shared" si="105"/>
        <v>25.178088</v>
      </c>
      <c r="J1396" s="9">
        <f t="shared" si="106"/>
        <v>26.7852</v>
      </c>
      <c r="K1396" s="9">
        <f t="shared" si="107"/>
        <v>29.46372</v>
      </c>
      <c r="L1396" s="9">
        <f t="shared" si="108"/>
        <v>37.49928</v>
      </c>
      <c r="M1396" s="9">
        <f t="shared" si="109"/>
        <v>45.53484</v>
      </c>
    </row>
    <row r="1397" spans="2:13">
      <c r="B1397" t="s">
        <v>2776</v>
      </c>
      <c r="C1397" s="4" t="s">
        <v>2777</v>
      </c>
      <c r="D1397" s="4" t="s">
        <v>2777</v>
      </c>
      <c r="E1397" s="4" t="s">
        <v>2777</v>
      </c>
      <c r="F1397" s="4" t="s">
        <v>2777</v>
      </c>
      <c r="G1397" s="5">
        <v>18.876</v>
      </c>
      <c r="H1397" s="9"/>
      <c r="I1397" s="9">
        <f t="shared" si="105"/>
        <v>8.87172</v>
      </c>
      <c r="J1397" s="9">
        <f t="shared" si="106"/>
        <v>9.438</v>
      </c>
      <c r="K1397" s="9">
        <f t="shared" si="107"/>
        <v>10.3818</v>
      </c>
      <c r="L1397" s="9">
        <f t="shared" si="108"/>
        <v>13.2132</v>
      </c>
      <c r="M1397" s="9">
        <f t="shared" si="109"/>
        <v>16.0446</v>
      </c>
    </row>
    <row r="1398" ht="27" spans="2:13">
      <c r="B1398" t="s">
        <v>2778</v>
      </c>
      <c r="C1398" s="4" t="s">
        <v>2779</v>
      </c>
      <c r="D1398" s="4" t="s">
        <v>2779</v>
      </c>
      <c r="E1398" s="4" t="s">
        <v>2779</v>
      </c>
      <c r="F1398" s="4" t="s">
        <v>2779</v>
      </c>
      <c r="G1398" s="5">
        <v>16.0264</v>
      </c>
      <c r="H1398" s="9"/>
      <c r="I1398" s="9">
        <f t="shared" si="105"/>
        <v>7.532408</v>
      </c>
      <c r="J1398" s="9">
        <f t="shared" si="106"/>
        <v>8.0132</v>
      </c>
      <c r="K1398" s="9">
        <f t="shared" si="107"/>
        <v>8.81452</v>
      </c>
      <c r="L1398" s="9">
        <f t="shared" si="108"/>
        <v>11.21848</v>
      </c>
      <c r="M1398" s="9">
        <f t="shared" si="109"/>
        <v>13.62244</v>
      </c>
    </row>
    <row r="1399" spans="2:13">
      <c r="B1399" t="s">
        <v>2780</v>
      </c>
      <c r="C1399" s="4" t="s">
        <v>2781</v>
      </c>
      <c r="D1399" s="4" t="s">
        <v>2781</v>
      </c>
      <c r="E1399" s="4" t="s">
        <v>2781</v>
      </c>
      <c r="F1399" s="4" t="s">
        <v>2781</v>
      </c>
      <c r="G1399" s="5">
        <v>24.2112</v>
      </c>
      <c r="H1399" s="9"/>
      <c r="I1399" s="9">
        <f t="shared" si="105"/>
        <v>11.379264</v>
      </c>
      <c r="J1399" s="9">
        <f t="shared" si="106"/>
        <v>12.1056</v>
      </c>
      <c r="K1399" s="9">
        <f t="shared" si="107"/>
        <v>13.31616</v>
      </c>
      <c r="L1399" s="9">
        <f t="shared" si="108"/>
        <v>16.94784</v>
      </c>
      <c r="M1399" s="9">
        <f t="shared" si="109"/>
        <v>20.57952</v>
      </c>
    </row>
    <row r="1400" spans="2:13">
      <c r="B1400" t="s">
        <v>2782</v>
      </c>
      <c r="C1400" s="4" t="s">
        <v>2783</v>
      </c>
      <c r="D1400" s="4" t="s">
        <v>2783</v>
      </c>
      <c r="E1400" s="4" t="s">
        <v>2783</v>
      </c>
      <c r="F1400" s="4" t="s">
        <v>2783</v>
      </c>
      <c r="G1400" s="5">
        <v>26.0304</v>
      </c>
      <c r="H1400" s="9"/>
      <c r="I1400" s="9">
        <f t="shared" si="105"/>
        <v>12.234288</v>
      </c>
      <c r="J1400" s="9">
        <f t="shared" si="106"/>
        <v>13.0152</v>
      </c>
      <c r="K1400" s="9">
        <f t="shared" si="107"/>
        <v>14.31672</v>
      </c>
      <c r="L1400" s="9">
        <f t="shared" si="108"/>
        <v>18.22128</v>
      </c>
      <c r="M1400" s="9">
        <f t="shared" si="109"/>
        <v>22.12584</v>
      </c>
    </row>
    <row r="1401" ht="27" spans="2:13">
      <c r="B1401" t="s">
        <v>2784</v>
      </c>
      <c r="C1401" s="4" t="s">
        <v>2785</v>
      </c>
      <c r="D1401" s="4" t="s">
        <v>2785</v>
      </c>
      <c r="E1401" s="4" t="s">
        <v>2785</v>
      </c>
      <c r="F1401" s="4" t="s">
        <v>2785</v>
      </c>
      <c r="G1401" s="5">
        <v>22.1936</v>
      </c>
      <c r="H1401" s="9"/>
      <c r="I1401" s="9">
        <f t="shared" si="105"/>
        <v>10.430992</v>
      </c>
      <c r="J1401" s="9">
        <f t="shared" si="106"/>
        <v>11.0968</v>
      </c>
      <c r="K1401" s="9">
        <f t="shared" si="107"/>
        <v>12.20648</v>
      </c>
      <c r="L1401" s="9">
        <f t="shared" si="108"/>
        <v>15.53552</v>
      </c>
      <c r="M1401" s="9">
        <f t="shared" si="109"/>
        <v>18.86456</v>
      </c>
    </row>
    <row r="1402" spans="2:13">
      <c r="B1402" t="s">
        <v>2786</v>
      </c>
      <c r="C1402" s="4" t="s">
        <v>2787</v>
      </c>
      <c r="D1402" s="4" t="s">
        <v>2787</v>
      </c>
      <c r="E1402" s="4" t="s">
        <v>2787</v>
      </c>
      <c r="F1402" s="4" t="s">
        <v>2787</v>
      </c>
      <c r="G1402" s="5">
        <v>30.0696</v>
      </c>
      <c r="H1402" s="9"/>
      <c r="I1402" s="9">
        <f t="shared" si="105"/>
        <v>14.132712</v>
      </c>
      <c r="J1402" s="9">
        <f t="shared" si="106"/>
        <v>15.0348</v>
      </c>
      <c r="K1402" s="9">
        <f t="shared" si="107"/>
        <v>16.53828</v>
      </c>
      <c r="L1402" s="9">
        <f t="shared" si="108"/>
        <v>21.04872</v>
      </c>
      <c r="M1402" s="9">
        <f t="shared" si="109"/>
        <v>25.55916</v>
      </c>
    </row>
    <row r="1403" ht="27" spans="2:13">
      <c r="B1403" t="s">
        <v>2788</v>
      </c>
      <c r="C1403" s="4" t="s">
        <v>2789</v>
      </c>
      <c r="D1403" s="4" t="s">
        <v>2789</v>
      </c>
      <c r="E1403" s="4" t="s">
        <v>2789</v>
      </c>
      <c r="F1403" s="4" t="s">
        <v>2789</v>
      </c>
      <c r="G1403" s="5">
        <v>379.64196</v>
      </c>
      <c r="H1403" s="9"/>
      <c r="I1403" s="9">
        <f t="shared" si="105"/>
        <v>178.4317212</v>
      </c>
      <c r="J1403" s="9">
        <f t="shared" si="106"/>
        <v>189.82098</v>
      </c>
      <c r="K1403" s="9">
        <f t="shared" si="107"/>
        <v>208.803078</v>
      </c>
      <c r="L1403" s="9">
        <f t="shared" si="108"/>
        <v>265.749372</v>
      </c>
      <c r="M1403" s="9">
        <f t="shared" si="109"/>
        <v>322.695666</v>
      </c>
    </row>
    <row r="1404" ht="27" spans="2:13">
      <c r="B1404" t="s">
        <v>2790</v>
      </c>
      <c r="C1404" s="4" t="s">
        <v>2791</v>
      </c>
      <c r="D1404" s="4" t="s">
        <v>2791</v>
      </c>
      <c r="E1404" s="4" t="s">
        <v>2791</v>
      </c>
      <c r="F1404" s="4" t="s">
        <v>2791</v>
      </c>
      <c r="G1404" s="5">
        <v>172.49832</v>
      </c>
      <c r="H1404" s="9"/>
      <c r="I1404" s="9">
        <f t="shared" si="105"/>
        <v>81.0742104</v>
      </c>
      <c r="J1404" s="9">
        <f t="shared" si="106"/>
        <v>86.24916</v>
      </c>
      <c r="K1404" s="9">
        <f t="shared" si="107"/>
        <v>94.874076</v>
      </c>
      <c r="L1404" s="9">
        <f t="shared" si="108"/>
        <v>120.748824</v>
      </c>
      <c r="M1404" s="9">
        <f t="shared" si="109"/>
        <v>146.623572</v>
      </c>
    </row>
    <row r="1405" ht="27" spans="2:13">
      <c r="B1405" t="s">
        <v>2792</v>
      </c>
      <c r="C1405" s="4" t="s">
        <v>2793</v>
      </c>
      <c r="D1405" s="4" t="s">
        <v>2793</v>
      </c>
      <c r="E1405" s="4" t="s">
        <v>2793</v>
      </c>
      <c r="F1405" s="4" t="s">
        <v>2793</v>
      </c>
      <c r="G1405" s="5">
        <v>260.41212</v>
      </c>
      <c r="H1405" s="9"/>
      <c r="I1405" s="9">
        <f t="shared" si="105"/>
        <v>122.3936964</v>
      </c>
      <c r="J1405" s="9">
        <f t="shared" si="106"/>
        <v>130.20606</v>
      </c>
      <c r="K1405" s="9">
        <f t="shared" si="107"/>
        <v>143.226666</v>
      </c>
      <c r="L1405" s="9">
        <f t="shared" si="108"/>
        <v>182.288484</v>
      </c>
      <c r="M1405" s="9">
        <f t="shared" si="109"/>
        <v>221.350302</v>
      </c>
    </row>
    <row r="1406" ht="27" spans="2:13">
      <c r="B1406" t="s">
        <v>2794</v>
      </c>
      <c r="C1406" s="4" t="s">
        <v>2795</v>
      </c>
      <c r="D1406" s="4" t="s">
        <v>2795</v>
      </c>
      <c r="E1406" s="4" t="s">
        <v>2795</v>
      </c>
      <c r="F1406" s="4" t="s">
        <v>2795</v>
      </c>
      <c r="G1406" s="5">
        <v>343.01988</v>
      </c>
      <c r="H1406" s="9"/>
      <c r="I1406" s="9">
        <f t="shared" si="105"/>
        <v>161.2193436</v>
      </c>
      <c r="J1406" s="9">
        <f t="shared" si="106"/>
        <v>171.50994</v>
      </c>
      <c r="K1406" s="9">
        <f t="shared" si="107"/>
        <v>188.660934</v>
      </c>
      <c r="L1406" s="9">
        <f t="shared" si="108"/>
        <v>240.113916</v>
      </c>
      <c r="M1406" s="9">
        <f t="shared" si="109"/>
        <v>291.566898</v>
      </c>
    </row>
    <row r="1407" ht="27" spans="2:13">
      <c r="B1407" t="s">
        <v>2796</v>
      </c>
      <c r="C1407" s="4" t="s">
        <v>2797</v>
      </c>
      <c r="D1407" s="4" t="s">
        <v>2797</v>
      </c>
      <c r="E1407" s="4" t="s">
        <v>2797</v>
      </c>
      <c r="F1407" s="4" t="s">
        <v>2797</v>
      </c>
      <c r="G1407" s="5">
        <v>427.18824</v>
      </c>
      <c r="H1407" s="9"/>
      <c r="I1407" s="9">
        <f t="shared" si="105"/>
        <v>200.7784728</v>
      </c>
      <c r="J1407" s="9">
        <f t="shared" si="106"/>
        <v>213.59412</v>
      </c>
      <c r="K1407" s="9">
        <f t="shared" si="107"/>
        <v>234.953532</v>
      </c>
      <c r="L1407" s="9">
        <f t="shared" si="108"/>
        <v>299.031768</v>
      </c>
      <c r="M1407" s="9">
        <f t="shared" si="109"/>
        <v>363.110004</v>
      </c>
    </row>
    <row r="1408" ht="27" spans="2:13">
      <c r="B1408" t="s">
        <v>2798</v>
      </c>
      <c r="C1408" s="4" t="s">
        <v>2799</v>
      </c>
      <c r="D1408" s="4" t="s">
        <v>2799</v>
      </c>
      <c r="E1408" s="4" t="s">
        <v>2799</v>
      </c>
      <c r="F1408" s="4" t="s">
        <v>2799</v>
      </c>
      <c r="G1408" s="5">
        <v>515.10204</v>
      </c>
      <c r="H1408" s="9"/>
      <c r="I1408" s="9">
        <f t="shared" si="105"/>
        <v>242.0979588</v>
      </c>
      <c r="J1408" s="9">
        <f t="shared" si="106"/>
        <v>257.55102</v>
      </c>
      <c r="K1408" s="9">
        <f t="shared" si="107"/>
        <v>283.306122</v>
      </c>
      <c r="L1408" s="9">
        <f t="shared" si="108"/>
        <v>360.571428</v>
      </c>
      <c r="M1408" s="9">
        <f t="shared" si="109"/>
        <v>437.836734</v>
      </c>
    </row>
    <row r="1409" ht="27" spans="2:13">
      <c r="B1409" t="s">
        <v>2800</v>
      </c>
      <c r="C1409" s="4" t="s">
        <v>2801</v>
      </c>
      <c r="D1409" s="4" t="s">
        <v>2801</v>
      </c>
      <c r="E1409" s="4" t="s">
        <v>2801</v>
      </c>
      <c r="F1409" s="4" t="s">
        <v>2801</v>
      </c>
      <c r="G1409" s="5">
        <v>284.23728</v>
      </c>
      <c r="H1409" s="3"/>
      <c r="I1409" s="9">
        <f t="shared" si="105"/>
        <v>133.5915216</v>
      </c>
      <c r="J1409" s="9">
        <f t="shared" si="106"/>
        <v>142.11864</v>
      </c>
      <c r="K1409" s="9">
        <f t="shared" si="107"/>
        <v>156.330504</v>
      </c>
      <c r="L1409" s="9">
        <f t="shared" si="108"/>
        <v>198.966096</v>
      </c>
      <c r="M1409" s="9">
        <f t="shared" si="109"/>
        <v>241.601688</v>
      </c>
    </row>
    <row r="1410" ht="27" spans="2:13">
      <c r="B1410" t="s">
        <v>2802</v>
      </c>
      <c r="C1410" s="4" t="s">
        <v>2803</v>
      </c>
      <c r="D1410" s="4" t="s">
        <v>2803</v>
      </c>
      <c r="E1410" s="4" t="s">
        <v>2803</v>
      </c>
      <c r="F1410" s="4" t="s">
        <v>2803</v>
      </c>
      <c r="G1410" s="5">
        <v>424.06704</v>
      </c>
      <c r="H1410" s="3"/>
      <c r="I1410" s="9">
        <f t="shared" si="105"/>
        <v>199.3115088</v>
      </c>
      <c r="J1410" s="9">
        <f t="shared" si="106"/>
        <v>212.03352</v>
      </c>
      <c r="K1410" s="9">
        <f t="shared" si="107"/>
        <v>233.236872</v>
      </c>
      <c r="L1410" s="9">
        <f t="shared" si="108"/>
        <v>296.846928</v>
      </c>
      <c r="M1410" s="9">
        <f t="shared" si="109"/>
        <v>360.456984</v>
      </c>
    </row>
    <row r="1411" ht="27" spans="2:13">
      <c r="B1411" t="s">
        <v>2804</v>
      </c>
      <c r="C1411" s="4" t="s">
        <v>2805</v>
      </c>
      <c r="D1411" s="4" t="s">
        <v>2805</v>
      </c>
      <c r="E1411" s="4" t="s">
        <v>2805</v>
      </c>
      <c r="F1411" s="4" t="s">
        <v>2805</v>
      </c>
      <c r="G1411" s="5">
        <v>568.99476</v>
      </c>
      <c r="I1411" s="9">
        <f t="shared" si="105"/>
        <v>267.4275372</v>
      </c>
      <c r="J1411" s="9">
        <f t="shared" si="106"/>
        <v>284.49738</v>
      </c>
      <c r="K1411" s="9">
        <f t="shared" si="107"/>
        <v>312.947118</v>
      </c>
      <c r="L1411" s="9">
        <f t="shared" si="108"/>
        <v>398.296332</v>
      </c>
      <c r="M1411" s="9">
        <f t="shared" si="109"/>
        <v>483.645546</v>
      </c>
    </row>
    <row r="1412" ht="27" spans="2:13">
      <c r="B1412" t="s">
        <v>2806</v>
      </c>
      <c r="C1412" s="4" t="s">
        <v>2807</v>
      </c>
      <c r="D1412" s="4" t="s">
        <v>2807</v>
      </c>
      <c r="E1412" s="4" t="s">
        <v>2807</v>
      </c>
      <c r="F1412" s="4" t="s">
        <v>2807</v>
      </c>
      <c r="G1412" s="5">
        <v>704.55888</v>
      </c>
      <c r="I1412" s="9">
        <f t="shared" ref="I1412:I1475" si="110">G1412*0.47</f>
        <v>331.1426736</v>
      </c>
      <c r="J1412" s="9">
        <f t="shared" ref="J1412:J1475" si="111">G1412*0.5</f>
        <v>352.27944</v>
      </c>
      <c r="K1412" s="9">
        <f t="shared" ref="K1412:K1475" si="112">G1412*0.55</f>
        <v>387.507384</v>
      </c>
      <c r="L1412" s="9">
        <f t="shared" ref="L1412:L1475" si="113">G1412*0.7</f>
        <v>493.191216</v>
      </c>
      <c r="M1412" s="9">
        <f t="shared" ref="M1412:M1475" si="114">G1412*0.85</f>
        <v>598.875048</v>
      </c>
    </row>
    <row r="1413" ht="27" spans="2:13">
      <c r="B1413" t="s">
        <v>2808</v>
      </c>
      <c r="C1413" s="4" t="s">
        <v>2809</v>
      </c>
      <c r="D1413" s="4" t="s">
        <v>2809</v>
      </c>
      <c r="E1413" s="4" t="s">
        <v>2809</v>
      </c>
      <c r="F1413" s="4" t="s">
        <v>2809</v>
      </c>
      <c r="G1413" s="5">
        <v>841.47552</v>
      </c>
      <c r="I1413" s="9">
        <f t="shared" si="110"/>
        <v>395.4934944</v>
      </c>
      <c r="J1413" s="9">
        <f t="shared" si="111"/>
        <v>420.73776</v>
      </c>
      <c r="K1413" s="9">
        <f t="shared" si="112"/>
        <v>462.811536</v>
      </c>
      <c r="L1413" s="9">
        <f t="shared" si="113"/>
        <v>589.032864</v>
      </c>
      <c r="M1413" s="9">
        <f t="shared" si="114"/>
        <v>715.254192</v>
      </c>
    </row>
    <row r="1414" spans="2:13">
      <c r="B1414" t="s">
        <v>2810</v>
      </c>
      <c r="C1414" s="4" t="s">
        <v>2811</v>
      </c>
      <c r="D1414" s="4" t="s">
        <v>2811</v>
      </c>
      <c r="E1414" s="4" t="s">
        <v>2811</v>
      </c>
      <c r="F1414" s="4" t="s">
        <v>2811</v>
      </c>
      <c r="G1414" s="5">
        <v>340.52292</v>
      </c>
      <c r="I1414" s="9">
        <f t="shared" si="110"/>
        <v>160.0457724</v>
      </c>
      <c r="J1414" s="9">
        <f t="shared" si="111"/>
        <v>170.26146</v>
      </c>
      <c r="K1414" s="9">
        <f t="shared" si="112"/>
        <v>187.287606</v>
      </c>
      <c r="L1414" s="9">
        <f t="shared" si="113"/>
        <v>238.366044</v>
      </c>
      <c r="M1414" s="9">
        <f t="shared" si="114"/>
        <v>289.444482</v>
      </c>
    </row>
    <row r="1415" ht="27" spans="2:13">
      <c r="B1415" t="s">
        <v>2812</v>
      </c>
      <c r="C1415" s="4" t="s">
        <v>2813</v>
      </c>
      <c r="D1415" s="4" t="s">
        <v>2813</v>
      </c>
      <c r="E1415" s="4" t="s">
        <v>2813</v>
      </c>
      <c r="F1415" s="4" t="s">
        <v>2813</v>
      </c>
      <c r="G1415" s="5">
        <v>53.5806</v>
      </c>
      <c r="I1415" s="9">
        <f t="shared" si="110"/>
        <v>25.182882</v>
      </c>
      <c r="J1415" s="9">
        <f t="shared" si="111"/>
        <v>26.7903</v>
      </c>
      <c r="K1415" s="9">
        <f t="shared" si="112"/>
        <v>29.46933</v>
      </c>
      <c r="L1415" s="9">
        <f t="shared" si="113"/>
        <v>37.50642</v>
      </c>
      <c r="M1415" s="9">
        <f t="shared" si="114"/>
        <v>45.54351</v>
      </c>
    </row>
    <row r="1416" spans="2:13">
      <c r="B1416" t="s">
        <v>2814</v>
      </c>
      <c r="C1416" s="4" t="s">
        <v>2815</v>
      </c>
      <c r="D1416" s="4" t="s">
        <v>2815</v>
      </c>
      <c r="E1416" s="4" t="s">
        <v>2815</v>
      </c>
      <c r="F1416" s="4" t="s">
        <v>2815</v>
      </c>
      <c r="G1416" s="5">
        <v>75.97521</v>
      </c>
      <c r="I1416" s="9">
        <f t="shared" si="110"/>
        <v>35.7083487</v>
      </c>
      <c r="J1416" s="9">
        <f t="shared" si="111"/>
        <v>37.987605</v>
      </c>
      <c r="K1416" s="9">
        <f t="shared" si="112"/>
        <v>41.7863655</v>
      </c>
      <c r="L1416" s="9">
        <f t="shared" si="113"/>
        <v>53.182647</v>
      </c>
      <c r="M1416" s="9">
        <f t="shared" si="114"/>
        <v>64.5789285</v>
      </c>
    </row>
    <row r="1417" spans="2:13">
      <c r="B1417" t="s">
        <v>2816</v>
      </c>
      <c r="C1417" s="4" t="s">
        <v>2817</v>
      </c>
      <c r="D1417" s="4" t="s">
        <v>2817</v>
      </c>
      <c r="E1417" s="4" t="s">
        <v>2817</v>
      </c>
      <c r="F1417" s="4" t="s">
        <v>2817</v>
      </c>
      <c r="G1417" s="5">
        <v>148.72416</v>
      </c>
      <c r="I1417" s="9">
        <f t="shared" si="110"/>
        <v>69.9003552</v>
      </c>
      <c r="J1417" s="9">
        <f t="shared" si="111"/>
        <v>74.36208</v>
      </c>
      <c r="K1417" s="9">
        <f t="shared" si="112"/>
        <v>81.798288</v>
      </c>
      <c r="L1417" s="9">
        <f t="shared" si="113"/>
        <v>104.106912</v>
      </c>
      <c r="M1417" s="9">
        <f t="shared" si="114"/>
        <v>126.415536</v>
      </c>
    </row>
    <row r="1418" spans="2:13">
      <c r="B1418" t="s">
        <v>2818</v>
      </c>
      <c r="C1418" s="4" t="s">
        <v>2819</v>
      </c>
      <c r="D1418" s="4" t="s">
        <v>2819</v>
      </c>
      <c r="E1418" s="4" t="s">
        <v>2819</v>
      </c>
      <c r="F1418" s="4" t="s">
        <v>2819</v>
      </c>
      <c r="G1418" s="5">
        <v>206.83152</v>
      </c>
      <c r="I1418" s="9">
        <f t="shared" si="110"/>
        <v>97.2108144</v>
      </c>
      <c r="J1418" s="9">
        <f t="shared" si="111"/>
        <v>103.41576</v>
      </c>
      <c r="K1418" s="9">
        <f t="shared" si="112"/>
        <v>113.757336</v>
      </c>
      <c r="L1418" s="9">
        <f t="shared" si="113"/>
        <v>144.782064</v>
      </c>
      <c r="M1418" s="9">
        <f t="shared" si="114"/>
        <v>175.806792</v>
      </c>
    </row>
    <row r="1419" spans="2:13">
      <c r="B1419" t="s">
        <v>2820</v>
      </c>
      <c r="C1419" s="4" t="s">
        <v>2821</v>
      </c>
      <c r="D1419" s="4" t="s">
        <v>2821</v>
      </c>
      <c r="E1419" s="4" t="s">
        <v>2821</v>
      </c>
      <c r="F1419" s="4" t="s">
        <v>2821</v>
      </c>
      <c r="G1419" s="5">
        <v>159.1812</v>
      </c>
      <c r="I1419" s="9">
        <f t="shared" si="110"/>
        <v>74.815164</v>
      </c>
      <c r="J1419" s="9">
        <f t="shared" si="111"/>
        <v>79.5906</v>
      </c>
      <c r="K1419" s="9">
        <f t="shared" si="112"/>
        <v>87.54966</v>
      </c>
      <c r="L1419" s="9">
        <f t="shared" si="113"/>
        <v>111.42684</v>
      </c>
      <c r="M1419" s="9">
        <f t="shared" si="114"/>
        <v>135.30402</v>
      </c>
    </row>
    <row r="1420" spans="2:13">
      <c r="B1420" t="s">
        <v>2822</v>
      </c>
      <c r="C1420" s="4" t="s">
        <v>2823</v>
      </c>
      <c r="D1420" s="4" t="s">
        <v>2823</v>
      </c>
      <c r="E1420" s="4" t="s">
        <v>2823</v>
      </c>
      <c r="F1420" s="4" t="s">
        <v>2823</v>
      </c>
      <c r="G1420" s="5">
        <v>161.262</v>
      </c>
      <c r="I1420" s="9">
        <f t="shared" si="110"/>
        <v>75.79314</v>
      </c>
      <c r="J1420" s="9">
        <f t="shared" si="111"/>
        <v>80.631</v>
      </c>
      <c r="K1420" s="9">
        <f t="shared" si="112"/>
        <v>88.6941</v>
      </c>
      <c r="L1420" s="9">
        <f t="shared" si="113"/>
        <v>112.8834</v>
      </c>
      <c r="M1420" s="9">
        <f t="shared" si="114"/>
        <v>137.0727</v>
      </c>
    </row>
    <row r="1421" spans="2:13">
      <c r="B1421" t="s">
        <v>2824</v>
      </c>
      <c r="C1421" s="4" t="s">
        <v>2825</v>
      </c>
      <c r="D1421" s="4" t="s">
        <v>2825</v>
      </c>
      <c r="E1421" s="4" t="s">
        <v>2825</v>
      </c>
      <c r="F1421" s="4" t="s">
        <v>2825</v>
      </c>
      <c r="G1421" s="5">
        <v>166.464</v>
      </c>
      <c r="I1421" s="9">
        <f t="shared" si="110"/>
        <v>78.23808</v>
      </c>
      <c r="J1421" s="9">
        <f t="shared" si="111"/>
        <v>83.232</v>
      </c>
      <c r="K1421" s="9">
        <f t="shared" si="112"/>
        <v>91.5552</v>
      </c>
      <c r="L1421" s="9">
        <f t="shared" si="113"/>
        <v>116.5248</v>
      </c>
      <c r="M1421" s="9">
        <f t="shared" si="114"/>
        <v>141.4944</v>
      </c>
    </row>
    <row r="1422" spans="2:13">
      <c r="B1422" t="s">
        <v>2826</v>
      </c>
      <c r="C1422" s="4" t="s">
        <v>2827</v>
      </c>
      <c r="D1422" s="4" t="s">
        <v>2827</v>
      </c>
      <c r="E1422" s="4" t="s">
        <v>2827</v>
      </c>
      <c r="F1422" s="4" t="s">
        <v>2827</v>
      </c>
      <c r="G1422" s="5">
        <v>168.5448</v>
      </c>
      <c r="I1422" s="9">
        <f t="shared" si="110"/>
        <v>79.216056</v>
      </c>
      <c r="J1422" s="9">
        <f t="shared" si="111"/>
        <v>84.2724</v>
      </c>
      <c r="K1422" s="9">
        <f t="shared" si="112"/>
        <v>92.69964</v>
      </c>
      <c r="L1422" s="9">
        <f t="shared" si="113"/>
        <v>117.98136</v>
      </c>
      <c r="M1422" s="9">
        <f t="shared" si="114"/>
        <v>143.26308</v>
      </c>
    </row>
    <row r="1423" ht="27" spans="2:13">
      <c r="B1423" t="s">
        <v>2828</v>
      </c>
      <c r="C1423" s="4" t="s">
        <v>2829</v>
      </c>
      <c r="D1423" s="4" t="s">
        <v>2829</v>
      </c>
      <c r="E1423" s="4" t="s">
        <v>2829</v>
      </c>
      <c r="F1423" s="4" t="s">
        <v>2829</v>
      </c>
      <c r="G1423" s="5">
        <v>27.26256</v>
      </c>
      <c r="I1423" s="9">
        <f t="shared" si="110"/>
        <v>12.8134032</v>
      </c>
      <c r="J1423" s="9">
        <f t="shared" si="111"/>
        <v>13.63128</v>
      </c>
      <c r="K1423" s="9">
        <f t="shared" si="112"/>
        <v>14.994408</v>
      </c>
      <c r="L1423" s="9">
        <f t="shared" si="113"/>
        <v>19.083792</v>
      </c>
      <c r="M1423" s="9">
        <f t="shared" si="114"/>
        <v>23.173176</v>
      </c>
    </row>
    <row r="1424" ht="27" spans="2:13">
      <c r="B1424" t="s">
        <v>2830</v>
      </c>
      <c r="C1424" s="4" t="s">
        <v>2831</v>
      </c>
      <c r="D1424" s="4" t="s">
        <v>2831</v>
      </c>
      <c r="E1424" s="4" t="s">
        <v>2831</v>
      </c>
      <c r="F1424" s="4" t="s">
        <v>2831</v>
      </c>
      <c r="G1424" s="5">
        <v>34.22916</v>
      </c>
      <c r="I1424" s="9">
        <f t="shared" si="110"/>
        <v>16.0877052</v>
      </c>
      <c r="J1424" s="9">
        <f t="shared" si="111"/>
        <v>17.11458</v>
      </c>
      <c r="K1424" s="9">
        <f t="shared" si="112"/>
        <v>18.826038</v>
      </c>
      <c r="L1424" s="9">
        <f t="shared" si="113"/>
        <v>23.960412</v>
      </c>
      <c r="M1424" s="9">
        <f t="shared" si="114"/>
        <v>29.094786</v>
      </c>
    </row>
    <row r="1425" spans="2:13">
      <c r="B1425" t="s">
        <v>2832</v>
      </c>
      <c r="C1425" s="4" t="s">
        <v>2833</v>
      </c>
      <c r="D1425" s="4" t="s">
        <v>2833</v>
      </c>
      <c r="E1425" s="4" t="s">
        <v>2833</v>
      </c>
      <c r="F1425" s="4" t="s">
        <v>2833</v>
      </c>
      <c r="G1425" s="5">
        <v>387.09</v>
      </c>
      <c r="I1425" s="9">
        <f t="shared" si="110"/>
        <v>181.9323</v>
      </c>
      <c r="J1425" s="9">
        <f t="shared" si="111"/>
        <v>193.545</v>
      </c>
      <c r="K1425" s="9">
        <f t="shared" si="112"/>
        <v>212.8995</v>
      </c>
      <c r="L1425" s="9">
        <f t="shared" si="113"/>
        <v>270.963</v>
      </c>
      <c r="M1425" s="9">
        <f t="shared" si="114"/>
        <v>329.0265</v>
      </c>
    </row>
    <row r="1426" ht="27" spans="2:13">
      <c r="B1426" t="s">
        <v>2834</v>
      </c>
      <c r="C1426" s="4" t="s">
        <v>2835</v>
      </c>
      <c r="D1426" s="4" t="s">
        <v>2835</v>
      </c>
      <c r="E1426" s="4" t="s">
        <v>2835</v>
      </c>
      <c r="F1426" s="4" t="s">
        <v>2835</v>
      </c>
      <c r="G1426" s="5">
        <v>423.6672</v>
      </c>
      <c r="I1426" s="9">
        <f t="shared" si="110"/>
        <v>199.123584</v>
      </c>
      <c r="J1426" s="9">
        <f t="shared" si="111"/>
        <v>211.8336</v>
      </c>
      <c r="K1426" s="9">
        <f t="shared" si="112"/>
        <v>233.01696</v>
      </c>
      <c r="L1426" s="9">
        <f t="shared" si="113"/>
        <v>296.56704</v>
      </c>
      <c r="M1426" s="9">
        <f t="shared" si="114"/>
        <v>360.11712</v>
      </c>
    </row>
    <row r="1427" spans="2:13">
      <c r="B1427" t="s">
        <v>2836</v>
      </c>
      <c r="C1427" s="4" t="s">
        <v>2837</v>
      </c>
      <c r="D1427" s="4" t="s">
        <v>2837</v>
      </c>
      <c r="E1427" s="4" t="s">
        <v>2837</v>
      </c>
      <c r="F1427" s="4" t="s">
        <v>2837</v>
      </c>
      <c r="G1427" s="5">
        <v>423.6672</v>
      </c>
      <c r="I1427" s="9">
        <f t="shared" si="110"/>
        <v>199.123584</v>
      </c>
      <c r="J1427" s="9">
        <f t="shared" si="111"/>
        <v>211.8336</v>
      </c>
      <c r="K1427" s="9">
        <f t="shared" si="112"/>
        <v>233.01696</v>
      </c>
      <c r="L1427" s="9">
        <f t="shared" si="113"/>
        <v>296.56704</v>
      </c>
      <c r="M1427" s="9">
        <f t="shared" si="114"/>
        <v>360.11712</v>
      </c>
    </row>
    <row r="1428" ht="27" spans="2:13">
      <c r="B1428" t="s">
        <v>2838</v>
      </c>
      <c r="C1428" s="4" t="s">
        <v>2839</v>
      </c>
      <c r="D1428" s="4" t="s">
        <v>2839</v>
      </c>
      <c r="E1428" s="4" t="s">
        <v>2839</v>
      </c>
      <c r="F1428" s="4" t="s">
        <v>2839</v>
      </c>
      <c r="G1428" s="5">
        <v>510.2856</v>
      </c>
      <c r="I1428" s="9">
        <f t="shared" si="110"/>
        <v>239.834232</v>
      </c>
      <c r="J1428" s="9">
        <f t="shared" si="111"/>
        <v>255.1428</v>
      </c>
      <c r="K1428" s="9">
        <f t="shared" si="112"/>
        <v>280.65708</v>
      </c>
      <c r="L1428" s="9">
        <f t="shared" si="113"/>
        <v>357.19992</v>
      </c>
      <c r="M1428" s="9">
        <f t="shared" si="114"/>
        <v>433.74276</v>
      </c>
    </row>
    <row r="1429" ht="40.5" spans="2:13">
      <c r="B1429" t="s">
        <v>2840</v>
      </c>
      <c r="C1429" s="4" t="s">
        <v>2841</v>
      </c>
      <c r="D1429" s="4" t="s">
        <v>2841</v>
      </c>
      <c r="E1429" s="4" t="s">
        <v>2841</v>
      </c>
      <c r="F1429" s="4" t="s">
        <v>2841</v>
      </c>
      <c r="G1429" s="5">
        <v>559.317</v>
      </c>
      <c r="I1429" s="9">
        <f t="shared" si="110"/>
        <v>262.87899</v>
      </c>
      <c r="J1429" s="9">
        <f t="shared" si="111"/>
        <v>279.6585</v>
      </c>
      <c r="K1429" s="9">
        <f t="shared" si="112"/>
        <v>307.62435</v>
      </c>
      <c r="L1429" s="9">
        <f t="shared" si="113"/>
        <v>391.5219</v>
      </c>
      <c r="M1429" s="9">
        <f t="shared" si="114"/>
        <v>475.41945</v>
      </c>
    </row>
    <row r="1430" ht="27" spans="2:13">
      <c r="B1430" t="s">
        <v>2842</v>
      </c>
      <c r="C1430" s="4" t="s">
        <v>2843</v>
      </c>
      <c r="D1430" s="4" t="s">
        <v>2843</v>
      </c>
      <c r="E1430" s="4" t="s">
        <v>2843</v>
      </c>
      <c r="F1430" s="4" t="s">
        <v>2843</v>
      </c>
      <c r="G1430" s="5">
        <v>559.317</v>
      </c>
      <c r="I1430" s="9">
        <f t="shared" si="110"/>
        <v>262.87899</v>
      </c>
      <c r="J1430" s="9">
        <f t="shared" si="111"/>
        <v>279.6585</v>
      </c>
      <c r="K1430" s="9">
        <f t="shared" si="112"/>
        <v>307.62435</v>
      </c>
      <c r="L1430" s="9">
        <f t="shared" si="113"/>
        <v>391.5219</v>
      </c>
      <c r="M1430" s="9">
        <f t="shared" si="114"/>
        <v>475.41945</v>
      </c>
    </row>
    <row r="1431" spans="2:13">
      <c r="B1431" t="s">
        <v>2844</v>
      </c>
      <c r="C1431" s="4" t="s">
        <v>2845</v>
      </c>
      <c r="D1431" s="4" t="s">
        <v>2845</v>
      </c>
      <c r="E1431" s="4" t="s">
        <v>2845</v>
      </c>
      <c r="F1431" s="4" t="s">
        <v>2845</v>
      </c>
      <c r="G1431" s="5">
        <v>611.0104</v>
      </c>
      <c r="I1431" s="9">
        <f t="shared" si="110"/>
        <v>287.174888</v>
      </c>
      <c r="J1431" s="9">
        <f t="shared" si="111"/>
        <v>305.5052</v>
      </c>
      <c r="K1431" s="9">
        <f t="shared" si="112"/>
        <v>336.05572</v>
      </c>
      <c r="L1431" s="9">
        <f t="shared" si="113"/>
        <v>427.70728</v>
      </c>
      <c r="M1431" s="9">
        <f t="shared" si="114"/>
        <v>519.35884</v>
      </c>
    </row>
    <row r="1432" ht="27" spans="2:13">
      <c r="B1432" t="s">
        <v>2846</v>
      </c>
      <c r="C1432" s="4" t="s">
        <v>2847</v>
      </c>
      <c r="D1432" s="4" t="s">
        <v>2847</v>
      </c>
      <c r="E1432" s="4" t="s">
        <v>2847</v>
      </c>
      <c r="F1432" s="4" t="s">
        <v>2847</v>
      </c>
      <c r="G1432" s="5">
        <v>672.1902</v>
      </c>
      <c r="I1432" s="9">
        <f t="shared" si="110"/>
        <v>315.929394</v>
      </c>
      <c r="J1432" s="9">
        <f t="shared" si="111"/>
        <v>336.0951</v>
      </c>
      <c r="K1432" s="9">
        <f t="shared" si="112"/>
        <v>369.70461</v>
      </c>
      <c r="L1432" s="9">
        <f t="shared" si="113"/>
        <v>470.53314</v>
      </c>
      <c r="M1432" s="9">
        <f t="shared" si="114"/>
        <v>571.36167</v>
      </c>
    </row>
    <row r="1433" spans="2:13">
      <c r="B1433" t="s">
        <v>2848</v>
      </c>
      <c r="C1433" s="4" t="s">
        <v>2849</v>
      </c>
      <c r="D1433" s="4" t="s">
        <v>2849</v>
      </c>
      <c r="E1433" s="4" t="s">
        <v>2849</v>
      </c>
      <c r="F1433" s="4" t="s">
        <v>2849</v>
      </c>
      <c r="G1433" s="5">
        <v>691.9605</v>
      </c>
      <c r="I1433" s="9">
        <f t="shared" si="110"/>
        <v>325.221435</v>
      </c>
      <c r="J1433" s="9">
        <f t="shared" si="111"/>
        <v>345.98025</v>
      </c>
      <c r="K1433" s="9">
        <f t="shared" si="112"/>
        <v>380.578275</v>
      </c>
      <c r="L1433" s="9">
        <f t="shared" si="113"/>
        <v>484.37235</v>
      </c>
      <c r="M1433" s="9">
        <f t="shared" si="114"/>
        <v>588.166425</v>
      </c>
    </row>
    <row r="1434" ht="27" spans="2:13">
      <c r="B1434" t="s">
        <v>2850</v>
      </c>
      <c r="C1434" s="4" t="s">
        <v>2851</v>
      </c>
      <c r="D1434" s="4" t="s">
        <v>2851</v>
      </c>
      <c r="E1434" s="4" t="s">
        <v>2851</v>
      </c>
      <c r="F1434" s="4" t="s">
        <v>2851</v>
      </c>
      <c r="G1434" s="5">
        <v>55.23525</v>
      </c>
      <c r="I1434" s="9">
        <f t="shared" si="110"/>
        <v>25.9605675</v>
      </c>
      <c r="J1434" s="9">
        <f t="shared" si="111"/>
        <v>27.617625</v>
      </c>
      <c r="K1434" s="9">
        <f t="shared" si="112"/>
        <v>30.3793875</v>
      </c>
      <c r="L1434" s="9">
        <f t="shared" si="113"/>
        <v>38.664675</v>
      </c>
      <c r="M1434" s="9">
        <f t="shared" si="114"/>
        <v>46.9499625</v>
      </c>
    </row>
    <row r="1435" spans="2:13">
      <c r="B1435" t="s">
        <v>2852</v>
      </c>
      <c r="C1435" s="4" t="s">
        <v>2853</v>
      </c>
      <c r="D1435" s="4" t="s">
        <v>2853</v>
      </c>
      <c r="E1435" s="4" t="s">
        <v>2853</v>
      </c>
      <c r="F1435" s="4" t="s">
        <v>2853</v>
      </c>
      <c r="G1435" s="5">
        <v>79.85952</v>
      </c>
      <c r="I1435" s="9">
        <f t="shared" si="110"/>
        <v>37.5339744</v>
      </c>
      <c r="J1435" s="9">
        <f t="shared" si="111"/>
        <v>39.92976</v>
      </c>
      <c r="K1435" s="9">
        <f t="shared" si="112"/>
        <v>43.922736</v>
      </c>
      <c r="L1435" s="9">
        <f t="shared" si="113"/>
        <v>55.901664</v>
      </c>
      <c r="M1435" s="9">
        <f t="shared" si="114"/>
        <v>67.880592</v>
      </c>
    </row>
    <row r="1436" spans="2:13">
      <c r="B1436" t="s">
        <v>2854</v>
      </c>
      <c r="C1436" s="4" t="s">
        <v>2855</v>
      </c>
      <c r="D1436" s="4" t="s">
        <v>2855</v>
      </c>
      <c r="E1436" s="4" t="s">
        <v>2855</v>
      </c>
      <c r="F1436" s="4" t="s">
        <v>2855</v>
      </c>
      <c r="G1436" s="5">
        <v>127.0104</v>
      </c>
      <c r="I1436" s="9">
        <f t="shared" si="110"/>
        <v>59.694888</v>
      </c>
      <c r="J1436" s="9">
        <f t="shared" si="111"/>
        <v>63.5052</v>
      </c>
      <c r="K1436" s="9">
        <f t="shared" si="112"/>
        <v>69.85572</v>
      </c>
      <c r="L1436" s="9">
        <f t="shared" si="113"/>
        <v>88.90728</v>
      </c>
      <c r="M1436" s="9">
        <f t="shared" si="114"/>
        <v>107.95884</v>
      </c>
    </row>
    <row r="1437" spans="2:13">
      <c r="B1437" t="s">
        <v>2856</v>
      </c>
      <c r="C1437" s="4" t="s">
        <v>2857</v>
      </c>
      <c r="D1437" s="4" t="s">
        <v>2857</v>
      </c>
      <c r="E1437" s="4" t="s">
        <v>2857</v>
      </c>
      <c r="F1437" s="4" t="s">
        <v>2857</v>
      </c>
      <c r="G1437" s="5">
        <v>185.6712</v>
      </c>
      <c r="I1437" s="9">
        <f t="shared" si="110"/>
        <v>87.265464</v>
      </c>
      <c r="J1437" s="9">
        <f t="shared" si="111"/>
        <v>92.8356</v>
      </c>
      <c r="K1437" s="9">
        <f t="shared" si="112"/>
        <v>102.11916</v>
      </c>
      <c r="L1437" s="9">
        <f t="shared" si="113"/>
        <v>129.96984</v>
      </c>
      <c r="M1437" s="9">
        <f t="shared" si="114"/>
        <v>157.82052</v>
      </c>
    </row>
    <row r="1438" spans="2:13">
      <c r="B1438" t="s">
        <v>2858</v>
      </c>
      <c r="C1438" s="4" t="s">
        <v>2859</v>
      </c>
      <c r="D1438" s="4" t="s">
        <v>2859</v>
      </c>
      <c r="E1438" s="4" t="s">
        <v>2859</v>
      </c>
      <c r="F1438" s="4" t="s">
        <v>2859</v>
      </c>
      <c r="G1438" s="5">
        <v>217.668</v>
      </c>
      <c r="I1438" s="9">
        <f t="shared" si="110"/>
        <v>102.30396</v>
      </c>
      <c r="J1438" s="9">
        <f t="shared" si="111"/>
        <v>108.834</v>
      </c>
      <c r="K1438" s="9">
        <f t="shared" si="112"/>
        <v>119.7174</v>
      </c>
      <c r="L1438" s="9">
        <f t="shared" si="113"/>
        <v>152.3676</v>
      </c>
      <c r="M1438" s="9">
        <f t="shared" si="114"/>
        <v>185.0178</v>
      </c>
    </row>
    <row r="1439" spans="2:13">
      <c r="B1439" t="s">
        <v>2860</v>
      </c>
      <c r="C1439" s="4" t="s">
        <v>2861</v>
      </c>
      <c r="D1439" s="4" t="s">
        <v>2861</v>
      </c>
      <c r="E1439" s="4" t="s">
        <v>2861</v>
      </c>
      <c r="F1439" s="4" t="s">
        <v>2861</v>
      </c>
      <c r="G1439" s="5">
        <v>224.07</v>
      </c>
      <c r="I1439" s="9">
        <f t="shared" si="110"/>
        <v>105.3129</v>
      </c>
      <c r="J1439" s="9">
        <f t="shared" si="111"/>
        <v>112.035</v>
      </c>
      <c r="K1439" s="9">
        <f t="shared" si="112"/>
        <v>123.2385</v>
      </c>
      <c r="L1439" s="9">
        <f t="shared" si="113"/>
        <v>156.849</v>
      </c>
      <c r="M1439" s="9">
        <f t="shared" si="114"/>
        <v>190.4595</v>
      </c>
    </row>
    <row r="1440" spans="2:13">
      <c r="B1440" t="s">
        <v>2862</v>
      </c>
      <c r="C1440" s="4" t="s">
        <v>466</v>
      </c>
      <c r="D1440" s="4" t="s">
        <v>466</v>
      </c>
      <c r="E1440" s="4" t="s">
        <v>466</v>
      </c>
      <c r="F1440" s="4" t="s">
        <v>466</v>
      </c>
      <c r="G1440" s="5" t="s">
        <v>1169</v>
      </c>
      <c r="I1440" s="9" t="e">
        <f t="shared" si="110"/>
        <v>#VALUE!</v>
      </c>
      <c r="J1440" s="9" t="e">
        <f t="shared" si="111"/>
        <v>#VALUE!</v>
      </c>
      <c r="K1440" s="9" t="e">
        <f t="shared" si="112"/>
        <v>#VALUE!</v>
      </c>
      <c r="L1440" s="9" t="e">
        <f t="shared" si="113"/>
        <v>#VALUE!</v>
      </c>
      <c r="M1440" s="9" t="e">
        <f t="shared" si="114"/>
        <v>#VALUE!</v>
      </c>
    </row>
    <row r="1441" spans="2:13">
      <c r="B1441" t="s">
        <v>2863</v>
      </c>
      <c r="C1441" s="4" t="s">
        <v>2864</v>
      </c>
      <c r="D1441" s="4" t="s">
        <v>2864</v>
      </c>
      <c r="E1441" s="4" t="s">
        <v>2864</v>
      </c>
      <c r="F1441" s="4" t="s">
        <v>2864</v>
      </c>
      <c r="G1441" s="5">
        <v>373.1364</v>
      </c>
      <c r="I1441" s="9">
        <f t="shared" si="110"/>
        <v>175.374108</v>
      </c>
      <c r="J1441" s="9">
        <f t="shared" si="111"/>
        <v>186.5682</v>
      </c>
      <c r="K1441" s="9">
        <f t="shared" si="112"/>
        <v>205.22502</v>
      </c>
      <c r="L1441" s="9">
        <f t="shared" si="113"/>
        <v>261.19548</v>
      </c>
      <c r="M1441" s="9">
        <f t="shared" si="114"/>
        <v>317.16594</v>
      </c>
    </row>
    <row r="1442" ht="27" spans="2:13">
      <c r="B1442" t="s">
        <v>2865</v>
      </c>
      <c r="C1442" s="4" t="s">
        <v>2866</v>
      </c>
      <c r="D1442" s="4" t="s">
        <v>2866</v>
      </c>
      <c r="E1442" s="4" t="s">
        <v>2866</v>
      </c>
      <c r="F1442" s="4" t="s">
        <v>2866</v>
      </c>
      <c r="G1442" s="5">
        <v>729.5799</v>
      </c>
      <c r="I1442" s="9">
        <f t="shared" si="110"/>
        <v>342.902553</v>
      </c>
      <c r="J1442" s="9">
        <f t="shared" si="111"/>
        <v>364.78995</v>
      </c>
      <c r="K1442" s="9">
        <f t="shared" si="112"/>
        <v>401.268945</v>
      </c>
      <c r="L1442" s="9">
        <f t="shared" si="113"/>
        <v>510.70593</v>
      </c>
      <c r="M1442" s="9">
        <f t="shared" si="114"/>
        <v>620.142915</v>
      </c>
    </row>
    <row r="1443" ht="27" spans="2:13">
      <c r="B1443" t="s">
        <v>2867</v>
      </c>
      <c r="C1443" s="4" t="s">
        <v>2868</v>
      </c>
      <c r="D1443" s="4" t="s">
        <v>2868</v>
      </c>
      <c r="E1443" s="4" t="s">
        <v>2868</v>
      </c>
      <c r="F1443" s="4" t="s">
        <v>2868</v>
      </c>
      <c r="G1443" s="5" t="s">
        <v>1169</v>
      </c>
      <c r="I1443" s="9" t="e">
        <f t="shared" si="110"/>
        <v>#VALUE!</v>
      </c>
      <c r="J1443" s="9" t="e">
        <f t="shared" si="111"/>
        <v>#VALUE!</v>
      </c>
      <c r="K1443" s="9" t="e">
        <f t="shared" si="112"/>
        <v>#VALUE!</v>
      </c>
      <c r="L1443" s="9" t="e">
        <f t="shared" si="113"/>
        <v>#VALUE!</v>
      </c>
      <c r="M1443" s="9" t="e">
        <f t="shared" si="114"/>
        <v>#VALUE!</v>
      </c>
    </row>
    <row r="1444" ht="27" spans="2:13">
      <c r="B1444" t="s">
        <v>2869</v>
      </c>
      <c r="C1444" s="4" t="s">
        <v>2870</v>
      </c>
      <c r="D1444" s="4" t="s">
        <v>2870</v>
      </c>
      <c r="E1444" s="4" t="s">
        <v>2870</v>
      </c>
      <c r="F1444" s="4" t="s">
        <v>2870</v>
      </c>
      <c r="G1444" s="5" t="s">
        <v>1169</v>
      </c>
      <c r="I1444" s="9" t="e">
        <f t="shared" si="110"/>
        <v>#VALUE!</v>
      </c>
      <c r="J1444" s="9" t="e">
        <f t="shared" si="111"/>
        <v>#VALUE!</v>
      </c>
      <c r="K1444" s="9" t="e">
        <f t="shared" si="112"/>
        <v>#VALUE!</v>
      </c>
      <c r="L1444" s="9" t="e">
        <f t="shared" si="113"/>
        <v>#VALUE!</v>
      </c>
      <c r="M1444" s="9" t="e">
        <f t="shared" si="114"/>
        <v>#VALUE!</v>
      </c>
    </row>
    <row r="1445" ht="27" spans="2:13">
      <c r="B1445" t="s">
        <v>2871</v>
      </c>
      <c r="C1445" s="4" t="s">
        <v>2872</v>
      </c>
      <c r="D1445" s="4" t="s">
        <v>2872</v>
      </c>
      <c r="E1445" s="4" t="s">
        <v>2872</v>
      </c>
      <c r="F1445" s="4" t="s">
        <v>2872</v>
      </c>
      <c r="G1445" s="5">
        <v>846.7368</v>
      </c>
      <c r="I1445" s="9">
        <f t="shared" si="110"/>
        <v>397.966296</v>
      </c>
      <c r="J1445" s="9">
        <f t="shared" si="111"/>
        <v>423.3684</v>
      </c>
      <c r="K1445" s="9">
        <f t="shared" si="112"/>
        <v>465.70524</v>
      </c>
      <c r="L1445" s="9">
        <f t="shared" si="113"/>
        <v>592.71576</v>
      </c>
      <c r="M1445" s="9">
        <f t="shared" si="114"/>
        <v>719.72628</v>
      </c>
    </row>
    <row r="1446" ht="27" spans="2:13">
      <c r="B1446" t="s">
        <v>2873</v>
      </c>
      <c r="C1446" s="4" t="s">
        <v>2874</v>
      </c>
      <c r="D1446" s="4" t="s">
        <v>2874</v>
      </c>
      <c r="E1446" s="4" t="s">
        <v>2874</v>
      </c>
      <c r="F1446" s="4" t="s">
        <v>2874</v>
      </c>
      <c r="G1446" s="5">
        <v>505.1592</v>
      </c>
      <c r="I1446" s="9">
        <f t="shared" si="110"/>
        <v>237.424824</v>
      </c>
      <c r="J1446" s="9">
        <f t="shared" si="111"/>
        <v>252.5796</v>
      </c>
      <c r="K1446" s="9">
        <f t="shared" si="112"/>
        <v>277.83756</v>
      </c>
      <c r="L1446" s="9">
        <f t="shared" si="113"/>
        <v>353.61144</v>
      </c>
      <c r="M1446" s="9">
        <f t="shared" si="114"/>
        <v>429.38532</v>
      </c>
    </row>
    <row r="1447" ht="27" spans="2:13">
      <c r="B1447" t="s">
        <v>2875</v>
      </c>
      <c r="C1447" s="4" t="s">
        <v>2876</v>
      </c>
      <c r="D1447" s="4" t="s">
        <v>2876</v>
      </c>
      <c r="E1447" s="4" t="s">
        <v>2876</v>
      </c>
      <c r="F1447" s="4" t="s">
        <v>2876</v>
      </c>
      <c r="G1447" s="5" t="s">
        <v>1169</v>
      </c>
      <c r="I1447" s="9" t="e">
        <f t="shared" si="110"/>
        <v>#VALUE!</v>
      </c>
      <c r="J1447" s="9" t="e">
        <f t="shared" si="111"/>
        <v>#VALUE!</v>
      </c>
      <c r="K1447" s="9" t="e">
        <f t="shared" si="112"/>
        <v>#VALUE!</v>
      </c>
      <c r="L1447" s="9" t="e">
        <f t="shared" si="113"/>
        <v>#VALUE!</v>
      </c>
      <c r="M1447" s="9" t="e">
        <f t="shared" si="114"/>
        <v>#VALUE!</v>
      </c>
    </row>
    <row r="1448" ht="27" spans="2:13">
      <c r="B1448" t="s">
        <v>2877</v>
      </c>
      <c r="C1448" s="4" t="s">
        <v>2878</v>
      </c>
      <c r="D1448" s="4" t="s">
        <v>2878</v>
      </c>
      <c r="E1448" s="4" t="s">
        <v>2878</v>
      </c>
      <c r="F1448" s="4" t="s">
        <v>2878</v>
      </c>
      <c r="G1448" s="5" t="s">
        <v>1169</v>
      </c>
      <c r="I1448" s="9" t="e">
        <f t="shared" si="110"/>
        <v>#VALUE!</v>
      </c>
      <c r="J1448" s="9" t="e">
        <f t="shared" si="111"/>
        <v>#VALUE!</v>
      </c>
      <c r="K1448" s="9" t="e">
        <f t="shared" si="112"/>
        <v>#VALUE!</v>
      </c>
      <c r="L1448" s="9" t="e">
        <f t="shared" si="113"/>
        <v>#VALUE!</v>
      </c>
      <c r="M1448" s="9" t="e">
        <f t="shared" si="114"/>
        <v>#VALUE!</v>
      </c>
    </row>
    <row r="1449" ht="27" spans="2:13">
      <c r="B1449" t="s">
        <v>2879</v>
      </c>
      <c r="C1449" s="4" t="s">
        <v>2880</v>
      </c>
      <c r="D1449" s="4" t="s">
        <v>2880</v>
      </c>
      <c r="E1449" s="4" t="s">
        <v>2880</v>
      </c>
      <c r="F1449" s="4" t="s">
        <v>2880</v>
      </c>
      <c r="G1449" s="5">
        <v>581.1624</v>
      </c>
      <c r="I1449" s="9">
        <f t="shared" si="110"/>
        <v>273.146328</v>
      </c>
      <c r="J1449" s="9">
        <f t="shared" si="111"/>
        <v>290.5812</v>
      </c>
      <c r="K1449" s="9">
        <f t="shared" si="112"/>
        <v>319.63932</v>
      </c>
      <c r="L1449" s="9">
        <f t="shared" si="113"/>
        <v>406.81368</v>
      </c>
      <c r="M1449" s="9">
        <f t="shared" si="114"/>
        <v>493.98804</v>
      </c>
    </row>
    <row r="1450" ht="27" spans="2:13">
      <c r="B1450" t="s">
        <v>2881</v>
      </c>
      <c r="C1450" s="4" t="s">
        <v>2882</v>
      </c>
      <c r="D1450" s="4" t="s">
        <v>2882</v>
      </c>
      <c r="E1450" s="4" t="s">
        <v>2882</v>
      </c>
      <c r="F1450" s="4" t="s">
        <v>2882</v>
      </c>
      <c r="G1450" s="5">
        <v>819.1092</v>
      </c>
      <c r="I1450" s="9">
        <f t="shared" si="110"/>
        <v>384.981324</v>
      </c>
      <c r="J1450" s="9">
        <f t="shared" si="111"/>
        <v>409.5546</v>
      </c>
      <c r="K1450" s="9">
        <f t="shared" si="112"/>
        <v>450.51006</v>
      </c>
      <c r="L1450" s="9">
        <f t="shared" si="113"/>
        <v>573.37644</v>
      </c>
      <c r="M1450" s="9">
        <f t="shared" si="114"/>
        <v>696.24282</v>
      </c>
    </row>
    <row r="1451" ht="27" spans="2:13">
      <c r="B1451" t="s">
        <v>2883</v>
      </c>
      <c r="C1451" s="4" t="s">
        <v>2884</v>
      </c>
      <c r="D1451" s="4" t="s">
        <v>2884</v>
      </c>
      <c r="E1451" s="4" t="s">
        <v>2884</v>
      </c>
      <c r="F1451" s="4" t="s">
        <v>2884</v>
      </c>
      <c r="G1451" s="5" t="s">
        <v>1169</v>
      </c>
      <c r="I1451" s="9" t="e">
        <f t="shared" si="110"/>
        <v>#VALUE!</v>
      </c>
      <c r="J1451" s="9" t="e">
        <f t="shared" si="111"/>
        <v>#VALUE!</v>
      </c>
      <c r="K1451" s="9" t="e">
        <f t="shared" si="112"/>
        <v>#VALUE!</v>
      </c>
      <c r="L1451" s="9" t="e">
        <f t="shared" si="113"/>
        <v>#VALUE!</v>
      </c>
      <c r="M1451" s="9" t="e">
        <f t="shared" si="114"/>
        <v>#VALUE!</v>
      </c>
    </row>
    <row r="1452" ht="27" spans="2:13">
      <c r="B1452" t="s">
        <v>2885</v>
      </c>
      <c r="C1452" s="4" t="s">
        <v>2886</v>
      </c>
      <c r="D1452" s="4" t="s">
        <v>2886</v>
      </c>
      <c r="E1452" s="4" t="s">
        <v>2886</v>
      </c>
      <c r="F1452" s="4" t="s">
        <v>2886</v>
      </c>
      <c r="G1452" s="5" t="s">
        <v>1169</v>
      </c>
      <c r="I1452" s="9" t="e">
        <f t="shared" si="110"/>
        <v>#VALUE!</v>
      </c>
      <c r="J1452" s="9" t="e">
        <f t="shared" si="111"/>
        <v>#VALUE!</v>
      </c>
      <c r="K1452" s="9" t="e">
        <f t="shared" si="112"/>
        <v>#VALUE!</v>
      </c>
      <c r="L1452" s="9" t="e">
        <f t="shared" si="113"/>
        <v>#VALUE!</v>
      </c>
      <c r="M1452" s="9" t="e">
        <f t="shared" si="114"/>
        <v>#VALUE!</v>
      </c>
    </row>
    <row r="1453" ht="27" spans="2:13">
      <c r="B1453" t="s">
        <v>2887</v>
      </c>
      <c r="C1453" s="4" t="s">
        <v>2888</v>
      </c>
      <c r="D1453" s="4" t="s">
        <v>2888</v>
      </c>
      <c r="E1453" s="4" t="s">
        <v>2888</v>
      </c>
      <c r="F1453" s="4" t="s">
        <v>2888</v>
      </c>
      <c r="G1453" s="5">
        <v>949.6032</v>
      </c>
      <c r="I1453" s="9">
        <f t="shared" si="110"/>
        <v>446.313504</v>
      </c>
      <c r="J1453" s="9">
        <f t="shared" si="111"/>
        <v>474.8016</v>
      </c>
      <c r="K1453" s="9">
        <f t="shared" si="112"/>
        <v>522.28176</v>
      </c>
      <c r="L1453" s="9">
        <f t="shared" si="113"/>
        <v>664.72224</v>
      </c>
      <c r="M1453" s="9">
        <f t="shared" si="114"/>
        <v>807.16272</v>
      </c>
    </row>
    <row r="1454" ht="27" spans="2:13">
      <c r="B1454" t="s">
        <v>2889</v>
      </c>
      <c r="C1454" s="4" t="s">
        <v>2890</v>
      </c>
      <c r="D1454" s="4" t="s">
        <v>2890</v>
      </c>
      <c r="E1454" s="4" t="s">
        <v>2890</v>
      </c>
      <c r="F1454" s="4" t="s">
        <v>2890</v>
      </c>
      <c r="G1454" s="5">
        <v>655.9644</v>
      </c>
      <c r="I1454" s="9">
        <f t="shared" si="110"/>
        <v>308.303268</v>
      </c>
      <c r="J1454" s="9">
        <f t="shared" si="111"/>
        <v>327.9822</v>
      </c>
      <c r="K1454" s="9">
        <f t="shared" si="112"/>
        <v>360.78042</v>
      </c>
      <c r="L1454" s="9">
        <f t="shared" si="113"/>
        <v>459.17508</v>
      </c>
      <c r="M1454" s="9">
        <f t="shared" si="114"/>
        <v>557.56974</v>
      </c>
    </row>
    <row r="1455" ht="27" spans="2:13">
      <c r="B1455" t="s">
        <v>2891</v>
      </c>
      <c r="C1455" s="4" t="s">
        <v>2892</v>
      </c>
      <c r="D1455" s="4" t="s">
        <v>2892</v>
      </c>
      <c r="E1455" s="4" t="s">
        <v>2892</v>
      </c>
      <c r="F1455" s="4" t="s">
        <v>2892</v>
      </c>
      <c r="G1455" s="5" t="s">
        <v>1169</v>
      </c>
      <c r="I1455" s="9" t="e">
        <f t="shared" si="110"/>
        <v>#VALUE!</v>
      </c>
      <c r="J1455" s="9" t="e">
        <f t="shared" si="111"/>
        <v>#VALUE!</v>
      </c>
      <c r="K1455" s="9" t="e">
        <f t="shared" si="112"/>
        <v>#VALUE!</v>
      </c>
      <c r="L1455" s="9" t="e">
        <f t="shared" si="113"/>
        <v>#VALUE!</v>
      </c>
      <c r="M1455" s="9" t="e">
        <f t="shared" si="114"/>
        <v>#VALUE!</v>
      </c>
    </row>
    <row r="1456" ht="27" spans="2:13">
      <c r="B1456" t="s">
        <v>2893</v>
      </c>
      <c r="C1456" s="4" t="s">
        <v>2894</v>
      </c>
      <c r="D1456" s="4" t="s">
        <v>2894</v>
      </c>
      <c r="E1456" s="4" t="s">
        <v>2894</v>
      </c>
      <c r="F1456" s="4" t="s">
        <v>2894</v>
      </c>
      <c r="G1456" s="5" t="s">
        <v>1169</v>
      </c>
      <c r="I1456" s="9" t="e">
        <f t="shared" si="110"/>
        <v>#VALUE!</v>
      </c>
      <c r="J1456" s="9" t="e">
        <f t="shared" si="111"/>
        <v>#VALUE!</v>
      </c>
      <c r="K1456" s="9" t="e">
        <f t="shared" si="112"/>
        <v>#VALUE!</v>
      </c>
      <c r="L1456" s="9" t="e">
        <f t="shared" si="113"/>
        <v>#VALUE!</v>
      </c>
      <c r="M1456" s="9" t="e">
        <f t="shared" si="114"/>
        <v>#VALUE!</v>
      </c>
    </row>
    <row r="1457" ht="27" spans="2:13">
      <c r="B1457" t="s">
        <v>2895</v>
      </c>
      <c r="C1457" s="4" t="s">
        <v>2896</v>
      </c>
      <c r="D1457" s="4" t="s">
        <v>2896</v>
      </c>
      <c r="E1457" s="4" t="s">
        <v>2896</v>
      </c>
      <c r="F1457" s="4" t="s">
        <v>2896</v>
      </c>
      <c r="G1457" s="5">
        <v>749.0028</v>
      </c>
      <c r="I1457" s="9">
        <f t="shared" si="110"/>
        <v>352.031316</v>
      </c>
      <c r="J1457" s="9">
        <f t="shared" si="111"/>
        <v>374.5014</v>
      </c>
      <c r="K1457" s="9">
        <f t="shared" si="112"/>
        <v>411.95154</v>
      </c>
      <c r="L1457" s="9">
        <f t="shared" si="113"/>
        <v>524.30196</v>
      </c>
      <c r="M1457" s="9">
        <f t="shared" si="114"/>
        <v>636.65238</v>
      </c>
    </row>
    <row r="1458" ht="27" spans="2:13">
      <c r="B1458" t="s">
        <v>2897</v>
      </c>
      <c r="C1458" s="4" t="s">
        <v>2898</v>
      </c>
      <c r="D1458" s="4" t="s">
        <v>2898</v>
      </c>
      <c r="E1458" s="4" t="s">
        <v>2898</v>
      </c>
      <c r="F1458" s="4" t="s">
        <v>2898</v>
      </c>
      <c r="G1458" s="5">
        <v>991.9728</v>
      </c>
      <c r="I1458" s="9">
        <f t="shared" si="110"/>
        <v>466.227216</v>
      </c>
      <c r="J1458" s="9">
        <f t="shared" si="111"/>
        <v>495.9864</v>
      </c>
      <c r="K1458" s="9">
        <f t="shared" si="112"/>
        <v>545.58504</v>
      </c>
      <c r="L1458" s="9">
        <f t="shared" si="113"/>
        <v>694.38096</v>
      </c>
      <c r="M1458" s="9">
        <f t="shared" si="114"/>
        <v>843.17688</v>
      </c>
    </row>
    <row r="1459" ht="27" spans="2:13">
      <c r="B1459" t="s">
        <v>2899</v>
      </c>
      <c r="C1459" s="4" t="s">
        <v>2900</v>
      </c>
      <c r="D1459" s="4" t="s">
        <v>2900</v>
      </c>
      <c r="E1459" s="4" t="s">
        <v>2900</v>
      </c>
      <c r="F1459" s="4" t="s">
        <v>2900</v>
      </c>
      <c r="G1459" s="5" t="s">
        <v>1169</v>
      </c>
      <c r="I1459" s="9" t="e">
        <f t="shared" si="110"/>
        <v>#VALUE!</v>
      </c>
      <c r="J1459" s="9" t="e">
        <f t="shared" si="111"/>
        <v>#VALUE!</v>
      </c>
      <c r="K1459" s="9" t="e">
        <f t="shared" si="112"/>
        <v>#VALUE!</v>
      </c>
      <c r="L1459" s="9" t="e">
        <f t="shared" si="113"/>
        <v>#VALUE!</v>
      </c>
      <c r="M1459" s="9" t="e">
        <f t="shared" si="114"/>
        <v>#VALUE!</v>
      </c>
    </row>
    <row r="1460" ht="27" spans="2:13">
      <c r="B1460" t="s">
        <v>2901</v>
      </c>
      <c r="C1460" s="4" t="s">
        <v>2902</v>
      </c>
      <c r="D1460" s="4" t="s">
        <v>2902</v>
      </c>
      <c r="E1460" s="4" t="s">
        <v>2902</v>
      </c>
      <c r="F1460" s="4" t="s">
        <v>2902</v>
      </c>
      <c r="G1460" s="5" t="s">
        <v>1169</v>
      </c>
      <c r="I1460" s="9" t="e">
        <f t="shared" si="110"/>
        <v>#VALUE!</v>
      </c>
      <c r="J1460" s="9" t="e">
        <f t="shared" si="111"/>
        <v>#VALUE!</v>
      </c>
      <c r="K1460" s="9" t="e">
        <f t="shared" si="112"/>
        <v>#VALUE!</v>
      </c>
      <c r="L1460" s="9" t="e">
        <f t="shared" si="113"/>
        <v>#VALUE!</v>
      </c>
      <c r="M1460" s="9" t="e">
        <f t="shared" si="114"/>
        <v>#VALUE!</v>
      </c>
    </row>
    <row r="1461" ht="40.5" spans="2:13">
      <c r="B1461" t="s">
        <v>2903</v>
      </c>
      <c r="C1461" s="4" t="s">
        <v>2904</v>
      </c>
      <c r="D1461" s="4" t="s">
        <v>2904</v>
      </c>
      <c r="E1461" s="4" t="s">
        <v>2904</v>
      </c>
      <c r="F1461" s="4" t="s">
        <v>2904</v>
      </c>
      <c r="G1461" s="5">
        <v>3516.86412</v>
      </c>
      <c r="I1461" s="9">
        <f t="shared" si="110"/>
        <v>1652.9261364</v>
      </c>
      <c r="J1461" s="9">
        <f t="shared" si="111"/>
        <v>1758.43206</v>
      </c>
      <c r="K1461" s="9">
        <f t="shared" si="112"/>
        <v>1934.275266</v>
      </c>
      <c r="L1461" s="9">
        <f t="shared" si="113"/>
        <v>2461.804884</v>
      </c>
      <c r="M1461" s="9">
        <f t="shared" si="114"/>
        <v>2989.334502</v>
      </c>
    </row>
    <row r="1462" ht="40.5" spans="2:13">
      <c r="B1462" t="s">
        <v>2905</v>
      </c>
      <c r="C1462" s="4" t="s">
        <v>2906</v>
      </c>
      <c r="D1462" s="4" t="s">
        <v>2906</v>
      </c>
      <c r="E1462" s="4" t="s">
        <v>2906</v>
      </c>
      <c r="F1462" s="4" t="s">
        <v>2906</v>
      </c>
      <c r="G1462" s="5" t="s">
        <v>1169</v>
      </c>
      <c r="I1462" s="9" t="e">
        <f t="shared" si="110"/>
        <v>#VALUE!</v>
      </c>
      <c r="J1462" s="9" t="e">
        <f t="shared" si="111"/>
        <v>#VALUE!</v>
      </c>
      <c r="K1462" s="9" t="e">
        <f t="shared" si="112"/>
        <v>#VALUE!</v>
      </c>
      <c r="L1462" s="9" t="e">
        <f t="shared" si="113"/>
        <v>#VALUE!</v>
      </c>
      <c r="M1462" s="9" t="e">
        <f t="shared" si="114"/>
        <v>#VALUE!</v>
      </c>
    </row>
    <row r="1463" ht="27" spans="2:13">
      <c r="B1463" t="s">
        <v>2907</v>
      </c>
      <c r="C1463" s="4" t="s">
        <v>2908</v>
      </c>
      <c r="D1463" s="4" t="s">
        <v>2908</v>
      </c>
      <c r="E1463" s="4" t="s">
        <v>2908</v>
      </c>
      <c r="F1463" s="4" t="s">
        <v>2908</v>
      </c>
      <c r="G1463" s="5">
        <v>3516.86412</v>
      </c>
      <c r="I1463" s="9">
        <f t="shared" si="110"/>
        <v>1652.9261364</v>
      </c>
      <c r="J1463" s="9">
        <f t="shared" si="111"/>
        <v>1758.43206</v>
      </c>
      <c r="K1463" s="9">
        <f t="shared" si="112"/>
        <v>1934.275266</v>
      </c>
      <c r="L1463" s="9">
        <f t="shared" si="113"/>
        <v>2461.804884</v>
      </c>
      <c r="M1463" s="9">
        <f t="shared" si="114"/>
        <v>2989.334502</v>
      </c>
    </row>
    <row r="1464" ht="27" spans="2:13">
      <c r="B1464" t="s">
        <v>2909</v>
      </c>
      <c r="C1464" s="4" t="s">
        <v>2910</v>
      </c>
      <c r="D1464" s="4" t="s">
        <v>2910</v>
      </c>
      <c r="E1464" s="4" t="s">
        <v>2910</v>
      </c>
      <c r="F1464" s="4" t="s">
        <v>2910</v>
      </c>
      <c r="G1464" s="5" t="s">
        <v>1169</v>
      </c>
      <c r="I1464" s="9" t="e">
        <f t="shared" si="110"/>
        <v>#VALUE!</v>
      </c>
      <c r="J1464" s="9" t="e">
        <f t="shared" si="111"/>
        <v>#VALUE!</v>
      </c>
      <c r="K1464" s="9" t="e">
        <f t="shared" si="112"/>
        <v>#VALUE!</v>
      </c>
      <c r="L1464" s="9" t="e">
        <f t="shared" si="113"/>
        <v>#VALUE!</v>
      </c>
      <c r="M1464" s="9" t="e">
        <f t="shared" si="114"/>
        <v>#VALUE!</v>
      </c>
    </row>
    <row r="1465" ht="40.5" spans="2:13">
      <c r="B1465" t="s">
        <v>2911</v>
      </c>
      <c r="C1465" s="4" t="s">
        <v>2912</v>
      </c>
      <c r="D1465" s="4" t="s">
        <v>2912</v>
      </c>
      <c r="E1465" s="4" t="s">
        <v>2912</v>
      </c>
      <c r="F1465" s="4" t="s">
        <v>2912</v>
      </c>
      <c r="G1465" s="5">
        <v>3516.8682</v>
      </c>
      <c r="I1465" s="9">
        <f t="shared" si="110"/>
        <v>1652.928054</v>
      </c>
      <c r="J1465" s="9">
        <f t="shared" si="111"/>
        <v>1758.4341</v>
      </c>
      <c r="K1465" s="9">
        <f t="shared" si="112"/>
        <v>1934.27751</v>
      </c>
      <c r="L1465" s="9">
        <f t="shared" si="113"/>
        <v>2461.80774</v>
      </c>
      <c r="M1465" s="9">
        <f t="shared" si="114"/>
        <v>2989.33797</v>
      </c>
    </row>
    <row r="1466" ht="27" spans="2:13">
      <c r="B1466" t="s">
        <v>2913</v>
      </c>
      <c r="C1466" s="4" t="s">
        <v>2914</v>
      </c>
      <c r="D1466" s="4" t="s">
        <v>2914</v>
      </c>
      <c r="E1466" s="4" t="s">
        <v>2914</v>
      </c>
      <c r="F1466" s="4" t="s">
        <v>2914</v>
      </c>
      <c r="G1466" s="5">
        <v>1122.43248</v>
      </c>
      <c r="I1466" s="9">
        <f t="shared" si="110"/>
        <v>527.5432656</v>
      </c>
      <c r="J1466" s="9">
        <f t="shared" si="111"/>
        <v>561.21624</v>
      </c>
      <c r="K1466" s="9">
        <f t="shared" si="112"/>
        <v>617.337864</v>
      </c>
      <c r="L1466" s="9">
        <f t="shared" si="113"/>
        <v>785.702736</v>
      </c>
      <c r="M1466" s="9">
        <f t="shared" si="114"/>
        <v>954.067608</v>
      </c>
    </row>
    <row r="1467" ht="27" spans="2:13">
      <c r="B1467" t="s">
        <v>2915</v>
      </c>
      <c r="C1467" s="4" t="s">
        <v>2916</v>
      </c>
      <c r="D1467" s="4" t="s">
        <v>2916</v>
      </c>
      <c r="E1467" s="4" t="s">
        <v>2916</v>
      </c>
      <c r="F1467" s="4" t="s">
        <v>2916</v>
      </c>
      <c r="G1467" s="5">
        <v>1252.59264</v>
      </c>
      <c r="I1467" s="9">
        <f t="shared" si="110"/>
        <v>588.7185408</v>
      </c>
      <c r="J1467" s="9">
        <f t="shared" si="111"/>
        <v>626.29632</v>
      </c>
      <c r="K1467" s="9">
        <f t="shared" si="112"/>
        <v>688.925952</v>
      </c>
      <c r="L1467" s="9">
        <f t="shared" si="113"/>
        <v>876.814848</v>
      </c>
      <c r="M1467" s="9">
        <f t="shared" si="114"/>
        <v>1064.703744</v>
      </c>
    </row>
    <row r="1468" ht="27" spans="2:13">
      <c r="B1468" t="s">
        <v>2917</v>
      </c>
      <c r="C1468" s="4" t="s">
        <v>2918</v>
      </c>
      <c r="D1468" s="4" t="s">
        <v>2918</v>
      </c>
      <c r="E1468" s="4" t="s">
        <v>2918</v>
      </c>
      <c r="F1468" s="4" t="s">
        <v>2918</v>
      </c>
      <c r="G1468" s="5" t="s">
        <v>1169</v>
      </c>
      <c r="I1468" s="9" t="e">
        <f t="shared" si="110"/>
        <v>#VALUE!</v>
      </c>
      <c r="J1468" s="9" t="e">
        <f t="shared" si="111"/>
        <v>#VALUE!</v>
      </c>
      <c r="K1468" s="9" t="e">
        <f t="shared" si="112"/>
        <v>#VALUE!</v>
      </c>
      <c r="L1468" s="9" t="e">
        <f t="shared" si="113"/>
        <v>#VALUE!</v>
      </c>
      <c r="M1468" s="9" t="e">
        <f t="shared" si="114"/>
        <v>#VALUE!</v>
      </c>
    </row>
    <row r="1469" ht="40.5" spans="2:13">
      <c r="B1469" t="s">
        <v>2919</v>
      </c>
      <c r="C1469" s="4" t="s">
        <v>2920</v>
      </c>
      <c r="D1469" s="4" t="s">
        <v>2920</v>
      </c>
      <c r="E1469" s="4" t="s">
        <v>2920</v>
      </c>
      <c r="F1469" s="4" t="s">
        <v>2920</v>
      </c>
      <c r="G1469" s="5">
        <v>2267.8</v>
      </c>
      <c r="I1469" s="9">
        <f t="shared" si="110"/>
        <v>1065.866</v>
      </c>
      <c r="J1469" s="9">
        <f t="shared" si="111"/>
        <v>1133.9</v>
      </c>
      <c r="K1469" s="9">
        <f t="shared" si="112"/>
        <v>1247.29</v>
      </c>
      <c r="L1469" s="9">
        <f t="shared" si="113"/>
        <v>1587.46</v>
      </c>
      <c r="M1469" s="9">
        <f t="shared" si="114"/>
        <v>1927.63</v>
      </c>
    </row>
    <row r="1470" ht="27" spans="2:13">
      <c r="B1470" t="s">
        <v>2921</v>
      </c>
      <c r="C1470" s="4" t="s">
        <v>2922</v>
      </c>
      <c r="D1470" s="4" t="s">
        <v>2922</v>
      </c>
      <c r="E1470" s="4" t="s">
        <v>2922</v>
      </c>
      <c r="F1470" s="4" t="s">
        <v>2922</v>
      </c>
      <c r="G1470" s="5" t="s">
        <v>1169</v>
      </c>
      <c r="I1470" s="9" t="e">
        <f t="shared" si="110"/>
        <v>#VALUE!</v>
      </c>
      <c r="J1470" s="9" t="e">
        <f t="shared" si="111"/>
        <v>#VALUE!</v>
      </c>
      <c r="K1470" s="9" t="e">
        <f t="shared" si="112"/>
        <v>#VALUE!</v>
      </c>
      <c r="L1470" s="9" t="e">
        <f t="shared" si="113"/>
        <v>#VALUE!</v>
      </c>
      <c r="M1470" s="9" t="e">
        <f t="shared" si="114"/>
        <v>#VALUE!</v>
      </c>
    </row>
    <row r="1471" ht="27" spans="2:13">
      <c r="B1471" t="s">
        <v>2923</v>
      </c>
      <c r="C1471" s="4" t="s">
        <v>2924</v>
      </c>
      <c r="D1471" s="4" t="s">
        <v>2924</v>
      </c>
      <c r="E1471" s="4" t="s">
        <v>2924</v>
      </c>
      <c r="F1471" s="4" t="s">
        <v>2924</v>
      </c>
      <c r="G1471" s="5" t="s">
        <v>1169</v>
      </c>
      <c r="I1471" s="9" t="e">
        <f t="shared" si="110"/>
        <v>#VALUE!</v>
      </c>
      <c r="J1471" s="9" t="e">
        <f t="shared" si="111"/>
        <v>#VALUE!</v>
      </c>
      <c r="K1471" s="9" t="e">
        <f t="shared" si="112"/>
        <v>#VALUE!</v>
      </c>
      <c r="L1471" s="9" t="e">
        <f t="shared" si="113"/>
        <v>#VALUE!</v>
      </c>
      <c r="M1471" s="9" t="e">
        <f t="shared" si="114"/>
        <v>#VALUE!</v>
      </c>
    </row>
    <row r="1472" ht="40.5" spans="2:13">
      <c r="B1472" t="s">
        <v>2925</v>
      </c>
      <c r="C1472" s="4" t="s">
        <v>2926</v>
      </c>
      <c r="D1472" s="4" t="s">
        <v>2926</v>
      </c>
      <c r="E1472" s="4" t="s">
        <v>2926</v>
      </c>
      <c r="F1472" s="4" t="s">
        <v>2926</v>
      </c>
      <c r="G1472" s="5" t="s">
        <v>1169</v>
      </c>
      <c r="I1472" s="9" t="e">
        <f t="shared" si="110"/>
        <v>#VALUE!</v>
      </c>
      <c r="J1472" s="9" t="e">
        <f t="shared" si="111"/>
        <v>#VALUE!</v>
      </c>
      <c r="K1472" s="9" t="e">
        <f t="shared" si="112"/>
        <v>#VALUE!</v>
      </c>
      <c r="L1472" s="9" t="e">
        <f t="shared" si="113"/>
        <v>#VALUE!</v>
      </c>
      <c r="M1472" s="9" t="e">
        <f t="shared" si="114"/>
        <v>#VALUE!</v>
      </c>
    </row>
    <row r="1473" ht="27" spans="2:13">
      <c r="B1473" t="s">
        <v>2927</v>
      </c>
      <c r="C1473" s="4" t="s">
        <v>2928</v>
      </c>
      <c r="D1473" s="4" t="s">
        <v>2928</v>
      </c>
      <c r="E1473" s="4" t="s">
        <v>2928</v>
      </c>
      <c r="F1473" s="4" t="s">
        <v>2928</v>
      </c>
      <c r="G1473" s="5" t="s">
        <v>1169</v>
      </c>
      <c r="I1473" s="9" t="e">
        <f t="shared" si="110"/>
        <v>#VALUE!</v>
      </c>
      <c r="J1473" s="9" t="e">
        <f t="shared" si="111"/>
        <v>#VALUE!</v>
      </c>
      <c r="K1473" s="9" t="e">
        <f t="shared" si="112"/>
        <v>#VALUE!</v>
      </c>
      <c r="L1473" s="9" t="e">
        <f t="shared" si="113"/>
        <v>#VALUE!</v>
      </c>
      <c r="M1473" s="9" t="e">
        <f t="shared" si="114"/>
        <v>#VALUE!</v>
      </c>
    </row>
    <row r="1474" ht="40.5" spans="2:13">
      <c r="B1474" t="s">
        <v>2929</v>
      </c>
      <c r="C1474" s="4" t="s">
        <v>2930</v>
      </c>
      <c r="D1474" s="4" t="s">
        <v>2930</v>
      </c>
      <c r="E1474" s="4" t="s">
        <v>2930</v>
      </c>
      <c r="F1474" s="4" t="s">
        <v>2930</v>
      </c>
      <c r="G1474" s="5" t="s">
        <v>1169</v>
      </c>
      <c r="I1474" s="9" t="e">
        <f t="shared" si="110"/>
        <v>#VALUE!</v>
      </c>
      <c r="J1474" s="9" t="e">
        <f t="shared" si="111"/>
        <v>#VALUE!</v>
      </c>
      <c r="K1474" s="9" t="e">
        <f t="shared" si="112"/>
        <v>#VALUE!</v>
      </c>
      <c r="L1474" s="9" t="e">
        <f t="shared" si="113"/>
        <v>#VALUE!</v>
      </c>
      <c r="M1474" s="9" t="e">
        <f t="shared" si="114"/>
        <v>#VALUE!</v>
      </c>
    </row>
    <row r="1475" ht="27" spans="2:13">
      <c r="B1475" t="s">
        <v>2931</v>
      </c>
      <c r="C1475" s="4" t="s">
        <v>2932</v>
      </c>
      <c r="D1475" s="4" t="s">
        <v>2932</v>
      </c>
      <c r="E1475" s="4" t="s">
        <v>2932</v>
      </c>
      <c r="F1475" s="4" t="s">
        <v>2932</v>
      </c>
      <c r="G1475" s="5">
        <v>1458.38784</v>
      </c>
      <c r="I1475" s="9">
        <f t="shared" si="110"/>
        <v>685.4422848</v>
      </c>
      <c r="J1475" s="9">
        <f t="shared" si="111"/>
        <v>729.19392</v>
      </c>
      <c r="K1475" s="9">
        <f t="shared" si="112"/>
        <v>802.113312</v>
      </c>
      <c r="L1475" s="9">
        <f t="shared" si="113"/>
        <v>1020.871488</v>
      </c>
      <c r="M1475" s="9">
        <f t="shared" si="114"/>
        <v>1239.629664</v>
      </c>
    </row>
    <row r="1476" ht="27" spans="2:13">
      <c r="B1476" t="s">
        <v>2933</v>
      </c>
      <c r="C1476" s="4" t="s">
        <v>2934</v>
      </c>
      <c r="D1476" s="4" t="s">
        <v>2934</v>
      </c>
      <c r="E1476" s="4" t="s">
        <v>2934</v>
      </c>
      <c r="F1476" s="4" t="s">
        <v>2934</v>
      </c>
      <c r="G1476" s="5">
        <v>1595.76552</v>
      </c>
      <c r="I1476" s="9">
        <f t="shared" ref="I1476:I1539" si="115">G1476*0.47</f>
        <v>750.0097944</v>
      </c>
      <c r="J1476" s="9">
        <f t="shared" ref="J1476:J1539" si="116">G1476*0.5</f>
        <v>797.88276</v>
      </c>
      <c r="K1476" s="9">
        <f t="shared" ref="K1476:K1539" si="117">G1476*0.55</f>
        <v>877.671036</v>
      </c>
      <c r="L1476" s="9">
        <f t="shared" ref="L1476:L1539" si="118">G1476*0.7</f>
        <v>1117.035864</v>
      </c>
      <c r="M1476" s="9">
        <f t="shared" ref="M1476:M1539" si="119">G1476*0.85</f>
        <v>1356.400692</v>
      </c>
    </row>
    <row r="1477" ht="27" spans="2:13">
      <c r="B1477" t="s">
        <v>2935</v>
      </c>
      <c r="C1477" s="4" t="s">
        <v>2936</v>
      </c>
      <c r="D1477" s="4" t="s">
        <v>2936</v>
      </c>
      <c r="E1477" s="4" t="s">
        <v>2936</v>
      </c>
      <c r="F1477" s="4" t="s">
        <v>2936</v>
      </c>
      <c r="G1477" s="5" t="s">
        <v>1169</v>
      </c>
      <c r="I1477" s="9" t="e">
        <f t="shared" si="115"/>
        <v>#VALUE!</v>
      </c>
      <c r="J1477" s="9" t="e">
        <f t="shared" si="116"/>
        <v>#VALUE!</v>
      </c>
      <c r="K1477" s="9" t="e">
        <f t="shared" si="117"/>
        <v>#VALUE!</v>
      </c>
      <c r="L1477" s="9" t="e">
        <f t="shared" si="118"/>
        <v>#VALUE!</v>
      </c>
      <c r="M1477" s="9" t="e">
        <f t="shared" si="119"/>
        <v>#VALUE!</v>
      </c>
    </row>
    <row r="1478" ht="40.5" spans="2:13">
      <c r="B1478" t="s">
        <v>2937</v>
      </c>
      <c r="C1478" s="4" t="s">
        <v>2938</v>
      </c>
      <c r="D1478" s="4" t="s">
        <v>2938</v>
      </c>
      <c r="E1478" s="4" t="s">
        <v>2938</v>
      </c>
      <c r="F1478" s="4" t="s">
        <v>2938</v>
      </c>
      <c r="G1478" s="5" t="s">
        <v>1169</v>
      </c>
      <c r="I1478" s="9" t="e">
        <f t="shared" si="115"/>
        <v>#VALUE!</v>
      </c>
      <c r="J1478" s="9" t="e">
        <f t="shared" si="116"/>
        <v>#VALUE!</v>
      </c>
      <c r="K1478" s="9" t="e">
        <f t="shared" si="117"/>
        <v>#VALUE!</v>
      </c>
      <c r="L1478" s="9" t="e">
        <f t="shared" si="118"/>
        <v>#VALUE!</v>
      </c>
      <c r="M1478" s="9" t="e">
        <f t="shared" si="119"/>
        <v>#VALUE!</v>
      </c>
    </row>
    <row r="1479" ht="27" spans="2:13">
      <c r="B1479" t="s">
        <v>2939</v>
      </c>
      <c r="C1479" s="4" t="s">
        <v>2940</v>
      </c>
      <c r="D1479" s="4" t="s">
        <v>2940</v>
      </c>
      <c r="E1479" s="4" t="s">
        <v>2940</v>
      </c>
      <c r="F1479" s="4" t="s">
        <v>2940</v>
      </c>
      <c r="G1479" s="5" t="s">
        <v>1169</v>
      </c>
      <c r="I1479" s="9" t="e">
        <f t="shared" si="115"/>
        <v>#VALUE!</v>
      </c>
      <c r="J1479" s="9" t="e">
        <f t="shared" si="116"/>
        <v>#VALUE!</v>
      </c>
      <c r="K1479" s="9" t="e">
        <f t="shared" si="117"/>
        <v>#VALUE!</v>
      </c>
      <c r="L1479" s="9" t="e">
        <f t="shared" si="118"/>
        <v>#VALUE!</v>
      </c>
      <c r="M1479" s="9" t="e">
        <f t="shared" si="119"/>
        <v>#VALUE!</v>
      </c>
    </row>
    <row r="1480" ht="27" spans="2:13">
      <c r="B1480" t="s">
        <v>2941</v>
      </c>
      <c r="C1480" s="4" t="s">
        <v>2942</v>
      </c>
      <c r="D1480" s="4" t="s">
        <v>2942</v>
      </c>
      <c r="E1480" s="4" t="s">
        <v>2942</v>
      </c>
      <c r="F1480" s="4" t="s">
        <v>2942</v>
      </c>
      <c r="G1480" s="5" t="s">
        <v>1169</v>
      </c>
      <c r="I1480" s="9" t="e">
        <f t="shared" si="115"/>
        <v>#VALUE!</v>
      </c>
      <c r="J1480" s="9" t="e">
        <f t="shared" si="116"/>
        <v>#VALUE!</v>
      </c>
      <c r="K1480" s="9" t="e">
        <f t="shared" si="117"/>
        <v>#VALUE!</v>
      </c>
      <c r="L1480" s="9" t="e">
        <f t="shared" si="118"/>
        <v>#VALUE!</v>
      </c>
      <c r="M1480" s="9" t="e">
        <f t="shared" si="119"/>
        <v>#VALUE!</v>
      </c>
    </row>
    <row r="1481" ht="40.5" spans="2:13">
      <c r="B1481" t="s">
        <v>2943</v>
      </c>
      <c r="C1481" s="4" t="s">
        <v>2944</v>
      </c>
      <c r="D1481" s="4" t="s">
        <v>2944</v>
      </c>
      <c r="E1481" s="4" t="s">
        <v>2944</v>
      </c>
      <c r="F1481" s="4" t="s">
        <v>2944</v>
      </c>
      <c r="G1481" s="5">
        <v>4259.08548</v>
      </c>
      <c r="I1481" s="9">
        <f t="shared" si="115"/>
        <v>2001.7701756</v>
      </c>
      <c r="J1481" s="9">
        <f t="shared" si="116"/>
        <v>2129.54274</v>
      </c>
      <c r="K1481" s="9">
        <f t="shared" si="117"/>
        <v>2342.497014</v>
      </c>
      <c r="L1481" s="9">
        <f t="shared" si="118"/>
        <v>2981.359836</v>
      </c>
      <c r="M1481" s="9">
        <f t="shared" si="119"/>
        <v>3620.222658</v>
      </c>
    </row>
    <row r="1482" ht="40.5" spans="2:13">
      <c r="B1482" t="s">
        <v>2945</v>
      </c>
      <c r="C1482" s="4" t="s">
        <v>2946</v>
      </c>
      <c r="D1482" s="4" t="s">
        <v>2946</v>
      </c>
      <c r="E1482" s="4" t="s">
        <v>2946</v>
      </c>
      <c r="F1482" s="4" t="s">
        <v>2946</v>
      </c>
      <c r="G1482" s="5" t="s">
        <v>1169</v>
      </c>
      <c r="I1482" s="9" t="e">
        <f t="shared" si="115"/>
        <v>#VALUE!</v>
      </c>
      <c r="J1482" s="9" t="e">
        <f t="shared" si="116"/>
        <v>#VALUE!</v>
      </c>
      <c r="K1482" s="9" t="e">
        <f t="shared" si="117"/>
        <v>#VALUE!</v>
      </c>
      <c r="L1482" s="9" t="e">
        <f t="shared" si="118"/>
        <v>#VALUE!</v>
      </c>
      <c r="M1482" s="9" t="e">
        <f t="shared" si="119"/>
        <v>#VALUE!</v>
      </c>
    </row>
    <row r="1483" ht="27" spans="2:13">
      <c r="B1483" t="s">
        <v>2947</v>
      </c>
      <c r="C1483" s="4" t="s">
        <v>2948</v>
      </c>
      <c r="D1483" s="4" t="s">
        <v>2948</v>
      </c>
      <c r="E1483" s="4" t="s">
        <v>2948</v>
      </c>
      <c r="F1483" s="4" t="s">
        <v>2948</v>
      </c>
      <c r="G1483" s="5">
        <v>4259.08548</v>
      </c>
      <c r="I1483" s="9">
        <f t="shared" si="115"/>
        <v>2001.7701756</v>
      </c>
      <c r="J1483" s="9">
        <f t="shared" si="116"/>
        <v>2129.54274</v>
      </c>
      <c r="K1483" s="9">
        <f t="shared" si="117"/>
        <v>2342.497014</v>
      </c>
      <c r="L1483" s="9">
        <f t="shared" si="118"/>
        <v>2981.359836</v>
      </c>
      <c r="M1483" s="9">
        <f t="shared" si="119"/>
        <v>3620.222658</v>
      </c>
    </row>
    <row r="1484" ht="27" spans="2:13">
      <c r="B1484" t="s">
        <v>2949</v>
      </c>
      <c r="C1484" s="4" t="s">
        <v>2950</v>
      </c>
      <c r="D1484" s="4" t="s">
        <v>2950</v>
      </c>
      <c r="E1484" s="4" t="s">
        <v>2950</v>
      </c>
      <c r="F1484" s="4" t="s">
        <v>2950</v>
      </c>
      <c r="G1484" s="5" t="s">
        <v>1169</v>
      </c>
      <c r="I1484" s="9" t="e">
        <f t="shared" si="115"/>
        <v>#VALUE!</v>
      </c>
      <c r="J1484" s="9" t="e">
        <f t="shared" si="116"/>
        <v>#VALUE!</v>
      </c>
      <c r="K1484" s="9" t="e">
        <f t="shared" si="117"/>
        <v>#VALUE!</v>
      </c>
      <c r="L1484" s="9" t="e">
        <f t="shared" si="118"/>
        <v>#VALUE!</v>
      </c>
      <c r="M1484" s="9" t="e">
        <f t="shared" si="119"/>
        <v>#VALUE!</v>
      </c>
    </row>
    <row r="1485" spans="2:13">
      <c r="B1485" t="s">
        <v>2951</v>
      </c>
      <c r="C1485" s="4" t="s">
        <v>466</v>
      </c>
      <c r="D1485" s="4" t="s">
        <v>466</v>
      </c>
      <c r="E1485" s="4" t="s">
        <v>466</v>
      </c>
      <c r="F1485" s="4" t="s">
        <v>466</v>
      </c>
      <c r="G1485" s="5">
        <v>4259.08548</v>
      </c>
      <c r="I1485" s="9">
        <f t="shared" si="115"/>
        <v>2001.7701756</v>
      </c>
      <c r="J1485" s="9">
        <f t="shared" si="116"/>
        <v>2129.54274</v>
      </c>
      <c r="K1485" s="9">
        <f t="shared" si="117"/>
        <v>2342.497014</v>
      </c>
      <c r="L1485" s="9">
        <f t="shared" si="118"/>
        <v>2981.359836</v>
      </c>
      <c r="M1485" s="9">
        <f t="shared" si="119"/>
        <v>3620.222658</v>
      </c>
    </row>
    <row r="1486" ht="40.5" spans="2:13">
      <c r="B1486" t="s">
        <v>2952</v>
      </c>
      <c r="C1486" s="4" t="s">
        <v>2953</v>
      </c>
      <c r="D1486" s="4" t="s">
        <v>2953</v>
      </c>
      <c r="E1486" s="4" t="s">
        <v>2953</v>
      </c>
      <c r="F1486" s="4" t="s">
        <v>2953</v>
      </c>
      <c r="G1486" s="5">
        <v>4167.53028</v>
      </c>
      <c r="I1486" s="9">
        <f t="shared" si="115"/>
        <v>1958.7392316</v>
      </c>
      <c r="J1486" s="9">
        <f t="shared" si="116"/>
        <v>2083.76514</v>
      </c>
      <c r="K1486" s="9">
        <f t="shared" si="117"/>
        <v>2292.141654</v>
      </c>
      <c r="L1486" s="9">
        <f t="shared" si="118"/>
        <v>2917.271196</v>
      </c>
      <c r="M1486" s="9">
        <f t="shared" si="119"/>
        <v>3542.400738</v>
      </c>
    </row>
    <row r="1487" ht="40.5" spans="2:13">
      <c r="B1487" t="s">
        <v>2954</v>
      </c>
      <c r="C1487" s="4" t="s">
        <v>2955</v>
      </c>
      <c r="D1487" s="4" t="s">
        <v>2955</v>
      </c>
      <c r="E1487" s="4" t="s">
        <v>2955</v>
      </c>
      <c r="F1487" s="4" t="s">
        <v>2955</v>
      </c>
      <c r="G1487" s="5" t="s">
        <v>1169</v>
      </c>
      <c r="I1487" s="9" t="e">
        <f t="shared" si="115"/>
        <v>#VALUE!</v>
      </c>
      <c r="J1487" s="9" t="e">
        <f t="shared" si="116"/>
        <v>#VALUE!</v>
      </c>
      <c r="K1487" s="9" t="e">
        <f t="shared" si="117"/>
        <v>#VALUE!</v>
      </c>
      <c r="L1487" s="9" t="e">
        <f t="shared" si="118"/>
        <v>#VALUE!</v>
      </c>
      <c r="M1487" s="9" t="e">
        <f t="shared" si="119"/>
        <v>#VALUE!</v>
      </c>
    </row>
    <row r="1488" ht="27" spans="2:13">
      <c r="B1488" t="s">
        <v>2956</v>
      </c>
      <c r="C1488" s="4" t="s">
        <v>2957</v>
      </c>
      <c r="D1488" s="4" t="s">
        <v>2957</v>
      </c>
      <c r="E1488" s="4" t="s">
        <v>2957</v>
      </c>
      <c r="F1488" s="4" t="s">
        <v>2957</v>
      </c>
      <c r="G1488" s="5">
        <v>1873.65636</v>
      </c>
      <c r="I1488" s="9">
        <f t="shared" si="115"/>
        <v>880.6184892</v>
      </c>
      <c r="J1488" s="9">
        <f t="shared" si="116"/>
        <v>936.82818</v>
      </c>
      <c r="K1488" s="9">
        <f t="shared" si="117"/>
        <v>1030.510998</v>
      </c>
      <c r="L1488" s="9">
        <f t="shared" si="118"/>
        <v>1311.559452</v>
      </c>
      <c r="M1488" s="9">
        <f t="shared" si="119"/>
        <v>1592.607906</v>
      </c>
    </row>
    <row r="1489" ht="27" spans="2:13">
      <c r="B1489" t="s">
        <v>2958</v>
      </c>
      <c r="C1489" s="4" t="s">
        <v>2959</v>
      </c>
      <c r="D1489" s="4" t="s">
        <v>2959</v>
      </c>
      <c r="E1489" s="4" t="s">
        <v>2959</v>
      </c>
      <c r="F1489" s="4" t="s">
        <v>2959</v>
      </c>
      <c r="G1489" s="5">
        <v>2074.45356</v>
      </c>
      <c r="I1489" s="9">
        <f t="shared" si="115"/>
        <v>974.9931732</v>
      </c>
      <c r="J1489" s="9">
        <f t="shared" si="116"/>
        <v>1037.22678</v>
      </c>
      <c r="K1489" s="9">
        <f t="shared" si="117"/>
        <v>1140.949458</v>
      </c>
      <c r="L1489" s="9">
        <f t="shared" si="118"/>
        <v>1452.117492</v>
      </c>
      <c r="M1489" s="9">
        <f t="shared" si="119"/>
        <v>1763.285526</v>
      </c>
    </row>
    <row r="1490" ht="27" spans="2:13">
      <c r="B1490" t="s">
        <v>2960</v>
      </c>
      <c r="C1490" s="4" t="s">
        <v>2961</v>
      </c>
      <c r="D1490" s="4" t="s">
        <v>2961</v>
      </c>
      <c r="E1490" s="4" t="s">
        <v>2961</v>
      </c>
      <c r="F1490" s="4" t="s">
        <v>2961</v>
      </c>
      <c r="G1490" s="5" t="s">
        <v>1169</v>
      </c>
      <c r="I1490" s="9" t="e">
        <f t="shared" si="115"/>
        <v>#VALUE!</v>
      </c>
      <c r="J1490" s="9" t="e">
        <f t="shared" si="116"/>
        <v>#VALUE!</v>
      </c>
      <c r="K1490" s="9" t="e">
        <f t="shared" si="117"/>
        <v>#VALUE!</v>
      </c>
      <c r="L1490" s="9" t="e">
        <f t="shared" si="118"/>
        <v>#VALUE!</v>
      </c>
      <c r="M1490" s="9" t="e">
        <f t="shared" si="119"/>
        <v>#VALUE!</v>
      </c>
    </row>
    <row r="1491" ht="40.5" spans="2:13">
      <c r="B1491" t="s">
        <v>2962</v>
      </c>
      <c r="C1491" s="4" t="s">
        <v>2963</v>
      </c>
      <c r="D1491" s="4" t="s">
        <v>2963</v>
      </c>
      <c r="E1491" s="4" t="s">
        <v>2963</v>
      </c>
      <c r="F1491" s="4" t="s">
        <v>2963</v>
      </c>
      <c r="G1491" s="5">
        <v>3566.42</v>
      </c>
      <c r="I1491" s="9">
        <f t="shared" si="115"/>
        <v>1676.2174</v>
      </c>
      <c r="J1491" s="9">
        <f t="shared" si="116"/>
        <v>1783.21</v>
      </c>
      <c r="K1491" s="9">
        <f t="shared" si="117"/>
        <v>1961.531</v>
      </c>
      <c r="L1491" s="9">
        <f t="shared" si="118"/>
        <v>2496.494</v>
      </c>
      <c r="M1491" s="9">
        <f t="shared" si="119"/>
        <v>3031.457</v>
      </c>
    </row>
    <row r="1492" ht="27" spans="2:13">
      <c r="B1492" t="s">
        <v>2964</v>
      </c>
      <c r="C1492" s="4" t="s">
        <v>2965</v>
      </c>
      <c r="D1492" s="4" t="s">
        <v>2965</v>
      </c>
      <c r="E1492" s="4" t="s">
        <v>2965</v>
      </c>
      <c r="F1492" s="4" t="s">
        <v>2965</v>
      </c>
      <c r="G1492" s="5" t="s">
        <v>1169</v>
      </c>
      <c r="I1492" s="9" t="e">
        <f t="shared" si="115"/>
        <v>#VALUE!</v>
      </c>
      <c r="J1492" s="9" t="e">
        <f t="shared" si="116"/>
        <v>#VALUE!</v>
      </c>
      <c r="K1492" s="9" t="e">
        <f t="shared" si="117"/>
        <v>#VALUE!</v>
      </c>
      <c r="L1492" s="9" t="e">
        <f t="shared" si="118"/>
        <v>#VALUE!</v>
      </c>
      <c r="M1492" s="9" t="e">
        <f t="shared" si="119"/>
        <v>#VALUE!</v>
      </c>
    </row>
    <row r="1493" ht="27" spans="2:13">
      <c r="B1493" t="s">
        <v>2966</v>
      </c>
      <c r="C1493" s="4" t="s">
        <v>2967</v>
      </c>
      <c r="D1493" s="4" t="s">
        <v>2967</v>
      </c>
      <c r="E1493" s="4" t="s">
        <v>2967</v>
      </c>
      <c r="F1493" s="4" t="s">
        <v>2967</v>
      </c>
      <c r="G1493" s="5" t="s">
        <v>1169</v>
      </c>
      <c r="I1493" s="9" t="e">
        <f t="shared" si="115"/>
        <v>#VALUE!</v>
      </c>
      <c r="J1493" s="9" t="e">
        <f t="shared" si="116"/>
        <v>#VALUE!</v>
      </c>
      <c r="K1493" s="9" t="e">
        <f t="shared" si="117"/>
        <v>#VALUE!</v>
      </c>
      <c r="L1493" s="9" t="e">
        <f t="shared" si="118"/>
        <v>#VALUE!</v>
      </c>
      <c r="M1493" s="9" t="e">
        <f t="shared" si="119"/>
        <v>#VALUE!</v>
      </c>
    </row>
    <row r="1494" ht="40.5" spans="2:13">
      <c r="B1494" t="s">
        <v>2968</v>
      </c>
      <c r="C1494" s="4" t="s">
        <v>2969</v>
      </c>
      <c r="D1494" s="4" t="s">
        <v>2969</v>
      </c>
      <c r="E1494" s="4" t="s">
        <v>2969</v>
      </c>
      <c r="F1494" s="4" t="s">
        <v>2969</v>
      </c>
      <c r="G1494" s="5">
        <v>4961.56356</v>
      </c>
      <c r="I1494" s="9">
        <f t="shared" si="115"/>
        <v>2331.9348732</v>
      </c>
      <c r="J1494" s="9">
        <f t="shared" si="116"/>
        <v>2480.78178</v>
      </c>
      <c r="K1494" s="9">
        <f t="shared" si="117"/>
        <v>2728.859958</v>
      </c>
      <c r="L1494" s="9">
        <f t="shared" si="118"/>
        <v>3473.094492</v>
      </c>
      <c r="M1494" s="9">
        <f t="shared" si="119"/>
        <v>4217.329026</v>
      </c>
    </row>
    <row r="1495" ht="40.5" spans="2:13">
      <c r="B1495" t="s">
        <v>2970</v>
      </c>
      <c r="C1495" s="4" t="s">
        <v>2971</v>
      </c>
      <c r="D1495" s="4" t="s">
        <v>2971</v>
      </c>
      <c r="E1495" s="4" t="s">
        <v>2971</v>
      </c>
      <c r="F1495" s="4" t="s">
        <v>2971</v>
      </c>
      <c r="G1495" s="5" t="s">
        <v>1169</v>
      </c>
      <c r="I1495" s="9" t="e">
        <f t="shared" si="115"/>
        <v>#VALUE!</v>
      </c>
      <c r="J1495" s="9" t="e">
        <f t="shared" si="116"/>
        <v>#VALUE!</v>
      </c>
      <c r="K1495" s="9" t="e">
        <f t="shared" si="117"/>
        <v>#VALUE!</v>
      </c>
      <c r="L1495" s="9" t="e">
        <f t="shared" si="118"/>
        <v>#VALUE!</v>
      </c>
      <c r="M1495" s="9" t="e">
        <f t="shared" si="119"/>
        <v>#VALUE!</v>
      </c>
    </row>
    <row r="1496" ht="40.5" spans="2:13">
      <c r="B1496" t="s">
        <v>2972</v>
      </c>
      <c r="C1496" s="4" t="s">
        <v>2973</v>
      </c>
      <c r="D1496" s="4" t="s">
        <v>2973</v>
      </c>
      <c r="E1496" s="4" t="s">
        <v>2973</v>
      </c>
      <c r="F1496" s="4" t="s">
        <v>2973</v>
      </c>
      <c r="G1496" s="5" t="s">
        <v>1169</v>
      </c>
      <c r="I1496" s="9" t="e">
        <f t="shared" si="115"/>
        <v>#VALUE!</v>
      </c>
      <c r="J1496" s="9" t="e">
        <f t="shared" si="116"/>
        <v>#VALUE!</v>
      </c>
      <c r="K1496" s="9" t="e">
        <f t="shared" si="117"/>
        <v>#VALUE!</v>
      </c>
      <c r="L1496" s="9" t="e">
        <f t="shared" si="118"/>
        <v>#VALUE!</v>
      </c>
      <c r="M1496" s="9" t="e">
        <f t="shared" si="119"/>
        <v>#VALUE!</v>
      </c>
    </row>
    <row r="1497" ht="40.5" spans="2:13">
      <c r="B1497" t="s">
        <v>2974</v>
      </c>
      <c r="C1497" s="4" t="s">
        <v>2975</v>
      </c>
      <c r="D1497" s="4" t="s">
        <v>2975</v>
      </c>
      <c r="E1497" s="4" t="s">
        <v>2975</v>
      </c>
      <c r="F1497" s="4" t="s">
        <v>2975</v>
      </c>
      <c r="G1497" s="5">
        <v>4961.56356</v>
      </c>
      <c r="I1497" s="9">
        <f t="shared" si="115"/>
        <v>2331.9348732</v>
      </c>
      <c r="J1497" s="9">
        <f t="shared" si="116"/>
        <v>2480.78178</v>
      </c>
      <c r="K1497" s="9">
        <f t="shared" si="117"/>
        <v>2728.859958</v>
      </c>
      <c r="L1497" s="9">
        <f t="shared" si="118"/>
        <v>3473.094492</v>
      </c>
      <c r="M1497" s="9">
        <f t="shared" si="119"/>
        <v>4217.329026</v>
      </c>
    </row>
    <row r="1498" ht="40.5" spans="2:13">
      <c r="B1498" t="s">
        <v>2976</v>
      </c>
      <c r="C1498" s="4" t="s">
        <v>2977</v>
      </c>
      <c r="D1498" s="4" t="s">
        <v>2977</v>
      </c>
      <c r="E1498" s="4" t="s">
        <v>2977</v>
      </c>
      <c r="F1498" s="4" t="s">
        <v>2977</v>
      </c>
      <c r="G1498" s="5" t="s">
        <v>1169</v>
      </c>
      <c r="I1498" s="9" t="e">
        <f t="shared" si="115"/>
        <v>#VALUE!</v>
      </c>
      <c r="J1498" s="9" t="e">
        <f t="shared" si="116"/>
        <v>#VALUE!</v>
      </c>
      <c r="K1498" s="9" t="e">
        <f t="shared" si="117"/>
        <v>#VALUE!</v>
      </c>
      <c r="L1498" s="9" t="e">
        <f t="shared" si="118"/>
        <v>#VALUE!</v>
      </c>
      <c r="M1498" s="9" t="e">
        <f t="shared" si="119"/>
        <v>#VALUE!</v>
      </c>
    </row>
    <row r="1499" ht="40.5" spans="2:13">
      <c r="B1499" t="s">
        <v>2978</v>
      </c>
      <c r="C1499" s="4" t="s">
        <v>2979</v>
      </c>
      <c r="D1499" s="4" t="s">
        <v>2979</v>
      </c>
      <c r="E1499" s="4" t="s">
        <v>2979</v>
      </c>
      <c r="F1499" s="4" t="s">
        <v>2979</v>
      </c>
      <c r="G1499" s="5">
        <v>4961.56356</v>
      </c>
      <c r="I1499" s="9">
        <f t="shared" si="115"/>
        <v>2331.9348732</v>
      </c>
      <c r="J1499" s="9">
        <f t="shared" si="116"/>
        <v>2480.78178</v>
      </c>
      <c r="K1499" s="9">
        <f t="shared" si="117"/>
        <v>2728.859958</v>
      </c>
      <c r="L1499" s="9">
        <f t="shared" si="118"/>
        <v>3473.094492</v>
      </c>
      <c r="M1499" s="9">
        <f t="shared" si="119"/>
        <v>4217.329026</v>
      </c>
    </row>
    <row r="1500" spans="2:13">
      <c r="B1500" t="s">
        <v>2980</v>
      </c>
      <c r="C1500" s="4" t="s">
        <v>2981</v>
      </c>
      <c r="D1500" s="4" t="s">
        <v>2981</v>
      </c>
      <c r="E1500" s="4" t="s">
        <v>2981</v>
      </c>
      <c r="F1500" s="4" t="s">
        <v>2981</v>
      </c>
      <c r="G1500" s="5" t="s">
        <v>1169</v>
      </c>
      <c r="I1500" s="9" t="e">
        <f t="shared" si="115"/>
        <v>#VALUE!</v>
      </c>
      <c r="J1500" s="9" t="e">
        <f t="shared" si="116"/>
        <v>#VALUE!</v>
      </c>
      <c r="K1500" s="9" t="e">
        <f t="shared" si="117"/>
        <v>#VALUE!</v>
      </c>
      <c r="L1500" s="9" t="e">
        <f t="shared" si="118"/>
        <v>#VALUE!</v>
      </c>
      <c r="M1500" s="9" t="e">
        <f t="shared" si="119"/>
        <v>#VALUE!</v>
      </c>
    </row>
    <row r="1501" ht="27" spans="2:13">
      <c r="B1501" t="s">
        <v>2982</v>
      </c>
      <c r="C1501" s="4" t="s">
        <v>2983</v>
      </c>
      <c r="D1501" s="4" t="s">
        <v>2983</v>
      </c>
      <c r="E1501" s="4" t="s">
        <v>2983</v>
      </c>
      <c r="F1501" s="4" t="s">
        <v>2983</v>
      </c>
      <c r="G1501" s="5">
        <v>2416.329</v>
      </c>
      <c r="I1501" s="9">
        <f t="shared" si="115"/>
        <v>1135.67463</v>
      </c>
      <c r="J1501" s="9">
        <f t="shared" si="116"/>
        <v>1208.1645</v>
      </c>
      <c r="K1501" s="9">
        <f t="shared" si="117"/>
        <v>1328.98095</v>
      </c>
      <c r="L1501" s="9">
        <f t="shared" si="118"/>
        <v>1691.4303</v>
      </c>
      <c r="M1501" s="9">
        <f t="shared" si="119"/>
        <v>2053.87965</v>
      </c>
    </row>
    <row r="1502" spans="2:13">
      <c r="B1502" t="s">
        <v>2984</v>
      </c>
      <c r="C1502" s="4" t="s">
        <v>466</v>
      </c>
      <c r="D1502" s="4" t="s">
        <v>466</v>
      </c>
      <c r="E1502" s="4" t="s">
        <v>466</v>
      </c>
      <c r="F1502" s="4" t="s">
        <v>466</v>
      </c>
      <c r="G1502" s="5" t="s">
        <v>1169</v>
      </c>
      <c r="I1502" s="9" t="e">
        <f t="shared" si="115"/>
        <v>#VALUE!</v>
      </c>
      <c r="J1502" s="9" t="e">
        <f t="shared" si="116"/>
        <v>#VALUE!</v>
      </c>
      <c r="K1502" s="9" t="e">
        <f t="shared" si="117"/>
        <v>#VALUE!</v>
      </c>
      <c r="L1502" s="9" t="e">
        <f t="shared" si="118"/>
        <v>#VALUE!</v>
      </c>
      <c r="M1502" s="9" t="e">
        <f t="shared" si="119"/>
        <v>#VALUE!</v>
      </c>
    </row>
    <row r="1503" ht="27" spans="2:13">
      <c r="B1503" t="s">
        <v>2985</v>
      </c>
      <c r="C1503" s="4" t="s">
        <v>2986</v>
      </c>
      <c r="D1503" s="4" t="s">
        <v>2986</v>
      </c>
      <c r="E1503" s="4" t="s">
        <v>2986</v>
      </c>
      <c r="F1503" s="4" t="s">
        <v>2986</v>
      </c>
      <c r="G1503" s="5">
        <v>5548.8</v>
      </c>
      <c r="I1503" s="9">
        <f t="shared" si="115"/>
        <v>2607.936</v>
      </c>
      <c r="J1503" s="9">
        <f t="shared" si="116"/>
        <v>2774.4</v>
      </c>
      <c r="K1503" s="9">
        <f t="shared" si="117"/>
        <v>3051.84</v>
      </c>
      <c r="L1503" s="9">
        <f t="shared" si="118"/>
        <v>3884.16</v>
      </c>
      <c r="M1503" s="9">
        <f t="shared" si="119"/>
        <v>4716.48</v>
      </c>
    </row>
    <row r="1504" ht="27" spans="2:13">
      <c r="B1504" t="s">
        <v>2987</v>
      </c>
      <c r="C1504" s="4" t="s">
        <v>2988</v>
      </c>
      <c r="D1504" s="4" t="s">
        <v>2988</v>
      </c>
      <c r="E1504" s="4" t="s">
        <v>2988</v>
      </c>
      <c r="F1504" s="4" t="s">
        <v>2988</v>
      </c>
      <c r="G1504" s="5">
        <v>3907.32624</v>
      </c>
      <c r="I1504" s="9">
        <f t="shared" si="115"/>
        <v>1836.4433328</v>
      </c>
      <c r="J1504" s="9">
        <f t="shared" si="116"/>
        <v>1953.66312</v>
      </c>
      <c r="K1504" s="9">
        <f t="shared" si="117"/>
        <v>2149.029432</v>
      </c>
      <c r="L1504" s="9">
        <f t="shared" si="118"/>
        <v>2735.128368</v>
      </c>
      <c r="M1504" s="9">
        <f t="shared" si="119"/>
        <v>3321.227304</v>
      </c>
    </row>
    <row r="1505" ht="27" spans="2:13">
      <c r="B1505" t="s">
        <v>2989</v>
      </c>
      <c r="C1505" s="4" t="s">
        <v>2990</v>
      </c>
      <c r="D1505" s="4" t="s">
        <v>2990</v>
      </c>
      <c r="E1505" s="4" t="s">
        <v>2990</v>
      </c>
      <c r="F1505" s="4" t="s">
        <v>2990</v>
      </c>
      <c r="G1505" s="5" t="s">
        <v>1169</v>
      </c>
      <c r="I1505" s="9" t="e">
        <f t="shared" si="115"/>
        <v>#VALUE!</v>
      </c>
      <c r="J1505" s="9" t="e">
        <f t="shared" si="116"/>
        <v>#VALUE!</v>
      </c>
      <c r="K1505" s="9" t="e">
        <f t="shared" si="117"/>
        <v>#VALUE!</v>
      </c>
      <c r="L1505" s="9" t="e">
        <f t="shared" si="118"/>
        <v>#VALUE!</v>
      </c>
      <c r="M1505" s="9" t="e">
        <f t="shared" si="119"/>
        <v>#VALUE!</v>
      </c>
    </row>
    <row r="1506" ht="40.5" spans="2:13">
      <c r="B1506" t="s">
        <v>2991</v>
      </c>
      <c r="C1506" s="4" t="s">
        <v>2992</v>
      </c>
      <c r="D1506" s="4" t="s">
        <v>2992</v>
      </c>
      <c r="E1506" s="4" t="s">
        <v>2992</v>
      </c>
      <c r="F1506" s="4" t="s">
        <v>2992</v>
      </c>
      <c r="G1506" s="5" t="s">
        <v>1169</v>
      </c>
      <c r="I1506" s="9" t="e">
        <f t="shared" si="115"/>
        <v>#VALUE!</v>
      </c>
      <c r="J1506" s="9" t="e">
        <f t="shared" si="116"/>
        <v>#VALUE!</v>
      </c>
      <c r="K1506" s="9" t="e">
        <f t="shared" si="117"/>
        <v>#VALUE!</v>
      </c>
      <c r="L1506" s="9" t="e">
        <f t="shared" si="118"/>
        <v>#VALUE!</v>
      </c>
      <c r="M1506" s="9" t="e">
        <f t="shared" si="119"/>
        <v>#VALUE!</v>
      </c>
    </row>
    <row r="1507" ht="40.5" spans="2:13">
      <c r="B1507" t="s">
        <v>2993</v>
      </c>
      <c r="C1507" s="4" t="s">
        <v>2994</v>
      </c>
      <c r="D1507" s="4" t="s">
        <v>2994</v>
      </c>
      <c r="E1507" s="4" t="s">
        <v>2994</v>
      </c>
      <c r="F1507" s="4" t="s">
        <v>2994</v>
      </c>
      <c r="G1507" s="5">
        <v>7272.396</v>
      </c>
      <c r="I1507" s="9">
        <f t="shared" si="115"/>
        <v>3418.02612</v>
      </c>
      <c r="J1507" s="9">
        <f t="shared" si="116"/>
        <v>3636.198</v>
      </c>
      <c r="K1507" s="9">
        <f t="shared" si="117"/>
        <v>3999.8178</v>
      </c>
      <c r="L1507" s="9">
        <f t="shared" si="118"/>
        <v>5090.6772</v>
      </c>
      <c r="M1507" s="9">
        <f t="shared" si="119"/>
        <v>6181.5366</v>
      </c>
    </row>
    <row r="1508" ht="27" spans="2:13">
      <c r="B1508" t="s">
        <v>2995</v>
      </c>
      <c r="C1508" s="4" t="s">
        <v>2996</v>
      </c>
      <c r="D1508" s="4" t="s">
        <v>2996</v>
      </c>
      <c r="E1508" s="4" t="s">
        <v>2996</v>
      </c>
      <c r="F1508" s="4" t="s">
        <v>2996</v>
      </c>
      <c r="G1508" s="5" t="s">
        <v>1169</v>
      </c>
      <c r="I1508" s="9" t="e">
        <f t="shared" si="115"/>
        <v>#VALUE!</v>
      </c>
      <c r="J1508" s="9" t="e">
        <f t="shared" si="116"/>
        <v>#VALUE!</v>
      </c>
      <c r="K1508" s="9" t="e">
        <f t="shared" si="117"/>
        <v>#VALUE!</v>
      </c>
      <c r="L1508" s="9" t="e">
        <f t="shared" si="118"/>
        <v>#VALUE!</v>
      </c>
      <c r="M1508" s="9" t="e">
        <f t="shared" si="119"/>
        <v>#VALUE!</v>
      </c>
    </row>
    <row r="1509" ht="27" spans="2:13">
      <c r="B1509" t="s">
        <v>2997</v>
      </c>
      <c r="C1509" s="4" t="s">
        <v>2998</v>
      </c>
      <c r="D1509" s="4" t="s">
        <v>2998</v>
      </c>
      <c r="E1509" s="4" t="s">
        <v>2998</v>
      </c>
      <c r="F1509" s="4" t="s">
        <v>2998</v>
      </c>
      <c r="G1509" s="5">
        <v>7272.396</v>
      </c>
      <c r="I1509" s="9">
        <f t="shared" si="115"/>
        <v>3418.02612</v>
      </c>
      <c r="J1509" s="9">
        <f t="shared" si="116"/>
        <v>3636.198</v>
      </c>
      <c r="K1509" s="9">
        <f t="shared" si="117"/>
        <v>3999.8178</v>
      </c>
      <c r="L1509" s="9">
        <f t="shared" si="118"/>
        <v>5090.6772</v>
      </c>
      <c r="M1509" s="9">
        <f t="shared" si="119"/>
        <v>6181.5366</v>
      </c>
    </row>
    <row r="1510" ht="27" spans="2:13">
      <c r="B1510" t="s">
        <v>2999</v>
      </c>
      <c r="C1510" s="4" t="s">
        <v>3000</v>
      </c>
      <c r="D1510" s="4" t="s">
        <v>3000</v>
      </c>
      <c r="E1510" s="4" t="s">
        <v>3000</v>
      </c>
      <c r="F1510" s="4" t="s">
        <v>3000</v>
      </c>
      <c r="G1510" s="5" t="s">
        <v>1169</v>
      </c>
      <c r="I1510" s="9" t="e">
        <f t="shared" si="115"/>
        <v>#VALUE!</v>
      </c>
      <c r="J1510" s="9" t="e">
        <f t="shared" si="116"/>
        <v>#VALUE!</v>
      </c>
      <c r="K1510" s="9" t="e">
        <f t="shared" si="117"/>
        <v>#VALUE!</v>
      </c>
      <c r="L1510" s="9" t="e">
        <f t="shared" si="118"/>
        <v>#VALUE!</v>
      </c>
      <c r="M1510" s="9" t="e">
        <f t="shared" si="119"/>
        <v>#VALUE!</v>
      </c>
    </row>
    <row r="1511" ht="40.5" spans="2:13">
      <c r="B1511" t="s">
        <v>3001</v>
      </c>
      <c r="C1511" s="4" t="s">
        <v>3002</v>
      </c>
      <c r="D1511" s="4" t="s">
        <v>3002</v>
      </c>
      <c r="E1511" s="4" t="s">
        <v>3002</v>
      </c>
      <c r="F1511" s="4" t="s">
        <v>3002</v>
      </c>
      <c r="G1511" s="5">
        <v>7272.396</v>
      </c>
      <c r="I1511" s="9">
        <f t="shared" si="115"/>
        <v>3418.02612</v>
      </c>
      <c r="J1511" s="9">
        <f t="shared" si="116"/>
        <v>3636.198</v>
      </c>
      <c r="K1511" s="9">
        <f t="shared" si="117"/>
        <v>3999.8178</v>
      </c>
      <c r="L1511" s="9">
        <f t="shared" si="118"/>
        <v>5090.6772</v>
      </c>
      <c r="M1511" s="9">
        <f t="shared" si="119"/>
        <v>6181.5366</v>
      </c>
    </row>
    <row r="1512" ht="27" spans="2:13">
      <c r="B1512" t="s">
        <v>3003</v>
      </c>
      <c r="C1512" s="4" t="s">
        <v>3004</v>
      </c>
      <c r="D1512" s="4" t="s">
        <v>3004</v>
      </c>
      <c r="E1512" s="4" t="s">
        <v>3004</v>
      </c>
      <c r="F1512" s="4" t="s">
        <v>3004</v>
      </c>
      <c r="G1512" s="5">
        <v>4341.79728</v>
      </c>
      <c r="I1512" s="9">
        <f t="shared" si="115"/>
        <v>2040.6447216</v>
      </c>
      <c r="J1512" s="9">
        <f t="shared" si="116"/>
        <v>2170.89864</v>
      </c>
      <c r="K1512" s="9">
        <f t="shared" si="117"/>
        <v>2387.988504</v>
      </c>
      <c r="L1512" s="9">
        <f t="shared" si="118"/>
        <v>3039.258096</v>
      </c>
      <c r="M1512" s="9">
        <f t="shared" si="119"/>
        <v>3690.527688</v>
      </c>
    </row>
    <row r="1513" ht="27" spans="2:13">
      <c r="B1513" t="s">
        <v>3005</v>
      </c>
      <c r="C1513" s="4" t="s">
        <v>3006</v>
      </c>
      <c r="D1513" s="4" t="s">
        <v>3006</v>
      </c>
      <c r="E1513" s="4" t="s">
        <v>3006</v>
      </c>
      <c r="F1513" s="4" t="s">
        <v>3006</v>
      </c>
      <c r="G1513" s="5">
        <v>4807.1682</v>
      </c>
      <c r="I1513" s="9">
        <f t="shared" si="115"/>
        <v>2259.369054</v>
      </c>
      <c r="J1513" s="9">
        <f t="shared" si="116"/>
        <v>2403.5841</v>
      </c>
      <c r="K1513" s="9">
        <f t="shared" si="117"/>
        <v>2643.94251</v>
      </c>
      <c r="L1513" s="9">
        <f t="shared" si="118"/>
        <v>3365.01774</v>
      </c>
      <c r="M1513" s="9">
        <f t="shared" si="119"/>
        <v>4086.09297</v>
      </c>
    </row>
    <row r="1514" ht="27" spans="2:13">
      <c r="B1514" t="s">
        <v>3007</v>
      </c>
      <c r="C1514" s="4" t="s">
        <v>3008</v>
      </c>
      <c r="D1514" s="4" t="s">
        <v>3008</v>
      </c>
      <c r="E1514" s="4" t="s">
        <v>3008</v>
      </c>
      <c r="F1514" s="4" t="s">
        <v>3008</v>
      </c>
      <c r="G1514" s="5">
        <v>2977.6248</v>
      </c>
      <c r="I1514" s="9">
        <f t="shared" si="115"/>
        <v>1399.483656</v>
      </c>
      <c r="J1514" s="9">
        <f t="shared" si="116"/>
        <v>1488.8124</v>
      </c>
      <c r="K1514" s="9">
        <f t="shared" si="117"/>
        <v>1637.69364</v>
      </c>
      <c r="L1514" s="9">
        <f t="shared" si="118"/>
        <v>2084.33736</v>
      </c>
      <c r="M1514" s="9">
        <f t="shared" si="119"/>
        <v>2530.98108</v>
      </c>
    </row>
    <row r="1515" ht="40.5" spans="2:13">
      <c r="B1515" t="s">
        <v>3009</v>
      </c>
      <c r="C1515" s="4" t="s">
        <v>3010</v>
      </c>
      <c r="D1515" s="4" t="s">
        <v>3010</v>
      </c>
      <c r="E1515" s="4" t="s">
        <v>3010</v>
      </c>
      <c r="F1515" s="4" t="s">
        <v>3010</v>
      </c>
      <c r="G1515" s="5" t="s">
        <v>1169</v>
      </c>
      <c r="I1515" s="9" t="e">
        <f t="shared" si="115"/>
        <v>#VALUE!</v>
      </c>
      <c r="J1515" s="9" t="e">
        <f t="shared" si="116"/>
        <v>#VALUE!</v>
      </c>
      <c r="K1515" s="9" t="e">
        <f t="shared" si="117"/>
        <v>#VALUE!</v>
      </c>
      <c r="L1515" s="9" t="e">
        <f t="shared" si="118"/>
        <v>#VALUE!</v>
      </c>
      <c r="M1515" s="9" t="e">
        <f t="shared" si="119"/>
        <v>#VALUE!</v>
      </c>
    </row>
    <row r="1516" ht="27" spans="2:13">
      <c r="B1516" t="s">
        <v>3011</v>
      </c>
      <c r="C1516" s="4" t="s">
        <v>3012</v>
      </c>
      <c r="D1516" s="4" t="s">
        <v>3012</v>
      </c>
      <c r="E1516" s="4" t="s">
        <v>3012</v>
      </c>
      <c r="F1516" s="4" t="s">
        <v>3012</v>
      </c>
      <c r="G1516" s="5" t="s">
        <v>1169</v>
      </c>
      <c r="I1516" s="9" t="e">
        <f t="shared" si="115"/>
        <v>#VALUE!</v>
      </c>
      <c r="J1516" s="9" t="e">
        <f t="shared" si="116"/>
        <v>#VALUE!</v>
      </c>
      <c r="K1516" s="9" t="e">
        <f t="shared" si="117"/>
        <v>#VALUE!</v>
      </c>
      <c r="L1516" s="9" t="e">
        <f t="shared" si="118"/>
        <v>#VALUE!</v>
      </c>
      <c r="M1516" s="9" t="e">
        <f t="shared" si="119"/>
        <v>#VALUE!</v>
      </c>
    </row>
    <row r="1517" ht="27" spans="2:13">
      <c r="B1517" t="s">
        <v>3013</v>
      </c>
      <c r="C1517" s="4" t="s">
        <v>3014</v>
      </c>
      <c r="D1517" s="4" t="s">
        <v>3014</v>
      </c>
      <c r="E1517" s="4" t="s">
        <v>3014</v>
      </c>
      <c r="F1517" s="4" t="s">
        <v>3014</v>
      </c>
      <c r="G1517" s="5" t="s">
        <v>1169</v>
      </c>
      <c r="I1517" s="9" t="e">
        <f t="shared" si="115"/>
        <v>#VALUE!</v>
      </c>
      <c r="J1517" s="9" t="e">
        <f t="shared" si="116"/>
        <v>#VALUE!</v>
      </c>
      <c r="K1517" s="9" t="e">
        <f t="shared" si="117"/>
        <v>#VALUE!</v>
      </c>
      <c r="L1517" s="9" t="e">
        <f t="shared" si="118"/>
        <v>#VALUE!</v>
      </c>
      <c r="M1517" s="9" t="e">
        <f t="shared" si="119"/>
        <v>#VALUE!</v>
      </c>
    </row>
    <row r="1518" ht="40.5" spans="2:13">
      <c r="B1518" t="s">
        <v>3015</v>
      </c>
      <c r="C1518" s="4" t="s">
        <v>3016</v>
      </c>
      <c r="D1518" s="4" t="s">
        <v>3016</v>
      </c>
      <c r="E1518" s="4" t="s">
        <v>3016</v>
      </c>
      <c r="F1518" s="4" t="s">
        <v>3016</v>
      </c>
      <c r="G1518" s="5">
        <v>6341.238</v>
      </c>
      <c r="I1518" s="9">
        <f t="shared" si="115"/>
        <v>2980.38186</v>
      </c>
      <c r="J1518" s="9">
        <f t="shared" si="116"/>
        <v>3170.619</v>
      </c>
      <c r="K1518" s="9">
        <f t="shared" si="117"/>
        <v>3487.6809</v>
      </c>
      <c r="L1518" s="9">
        <f t="shared" si="118"/>
        <v>4438.8666</v>
      </c>
      <c r="M1518" s="9">
        <f t="shared" si="119"/>
        <v>5390.0523</v>
      </c>
    </row>
    <row r="1519" ht="40.5" spans="2:13">
      <c r="B1519" t="s">
        <v>3017</v>
      </c>
      <c r="C1519" s="4" t="s">
        <v>3018</v>
      </c>
      <c r="D1519" s="4" t="s">
        <v>3018</v>
      </c>
      <c r="E1519" s="4" t="s">
        <v>3018</v>
      </c>
      <c r="F1519" s="4" t="s">
        <v>3018</v>
      </c>
      <c r="G1519" s="5" t="s">
        <v>1169</v>
      </c>
      <c r="I1519" s="9" t="e">
        <f t="shared" si="115"/>
        <v>#VALUE!</v>
      </c>
      <c r="J1519" s="9" t="e">
        <f t="shared" si="116"/>
        <v>#VALUE!</v>
      </c>
      <c r="K1519" s="9" t="e">
        <f t="shared" si="117"/>
        <v>#VALUE!</v>
      </c>
      <c r="L1519" s="9" t="e">
        <f t="shared" si="118"/>
        <v>#VALUE!</v>
      </c>
      <c r="M1519" s="9" t="e">
        <f t="shared" si="119"/>
        <v>#VALUE!</v>
      </c>
    </row>
    <row r="1520" ht="27" spans="2:13">
      <c r="B1520" t="s">
        <v>3019</v>
      </c>
      <c r="C1520" s="4" t="s">
        <v>3020</v>
      </c>
      <c r="D1520" s="4" t="s">
        <v>3020</v>
      </c>
      <c r="E1520" s="4" t="s">
        <v>3020</v>
      </c>
      <c r="F1520" s="4" t="s">
        <v>3020</v>
      </c>
      <c r="G1520" s="5">
        <v>6341.238</v>
      </c>
      <c r="I1520" s="9">
        <f t="shared" si="115"/>
        <v>2980.38186</v>
      </c>
      <c r="J1520" s="9">
        <f t="shared" si="116"/>
        <v>3170.619</v>
      </c>
      <c r="K1520" s="9">
        <f t="shared" si="117"/>
        <v>3487.6809</v>
      </c>
      <c r="L1520" s="9">
        <f t="shared" si="118"/>
        <v>4438.8666</v>
      </c>
      <c r="M1520" s="9">
        <f t="shared" si="119"/>
        <v>5390.0523</v>
      </c>
    </row>
    <row r="1521" ht="27" spans="2:13">
      <c r="B1521" t="s">
        <v>3021</v>
      </c>
      <c r="C1521" s="4" t="s">
        <v>3022</v>
      </c>
      <c r="D1521" s="4" t="s">
        <v>3022</v>
      </c>
      <c r="E1521" s="4" t="s">
        <v>3022</v>
      </c>
      <c r="F1521" s="4" t="s">
        <v>3022</v>
      </c>
      <c r="G1521" s="5" t="s">
        <v>1169</v>
      </c>
      <c r="I1521" s="9" t="e">
        <f t="shared" si="115"/>
        <v>#VALUE!</v>
      </c>
      <c r="J1521" s="9" t="e">
        <f t="shared" si="116"/>
        <v>#VALUE!</v>
      </c>
      <c r="K1521" s="9" t="e">
        <f t="shared" si="117"/>
        <v>#VALUE!</v>
      </c>
      <c r="L1521" s="9" t="e">
        <f t="shared" si="118"/>
        <v>#VALUE!</v>
      </c>
      <c r="M1521" s="9" t="e">
        <f t="shared" si="119"/>
        <v>#VALUE!</v>
      </c>
    </row>
    <row r="1522" ht="40.5" spans="2:13">
      <c r="B1522" t="s">
        <v>3023</v>
      </c>
      <c r="C1522" s="4" t="s">
        <v>3024</v>
      </c>
      <c r="D1522" s="4" t="s">
        <v>3024</v>
      </c>
      <c r="E1522" s="4" t="s">
        <v>3024</v>
      </c>
      <c r="F1522" s="4" t="s">
        <v>3024</v>
      </c>
      <c r="G1522" s="5">
        <v>6341.238</v>
      </c>
      <c r="I1522" s="9">
        <f t="shared" si="115"/>
        <v>2980.38186</v>
      </c>
      <c r="J1522" s="9">
        <f t="shared" si="116"/>
        <v>3170.619</v>
      </c>
      <c r="K1522" s="9">
        <f t="shared" si="117"/>
        <v>3487.6809</v>
      </c>
      <c r="L1522" s="9">
        <f t="shared" si="118"/>
        <v>4438.8666</v>
      </c>
      <c r="M1522" s="9">
        <f t="shared" si="119"/>
        <v>5390.0523</v>
      </c>
    </row>
    <row r="1523" ht="40.5" spans="2:13">
      <c r="B1523" t="s">
        <v>3025</v>
      </c>
      <c r="C1523" s="4" t="s">
        <v>3026</v>
      </c>
      <c r="D1523" s="4" t="s">
        <v>3026</v>
      </c>
      <c r="E1523" s="4" t="s">
        <v>3026</v>
      </c>
      <c r="F1523" s="4" t="s">
        <v>3026</v>
      </c>
      <c r="G1523" s="5">
        <v>6022.56348</v>
      </c>
      <c r="I1523" s="9">
        <f t="shared" si="115"/>
        <v>2830.6048356</v>
      </c>
      <c r="J1523" s="9">
        <f t="shared" si="116"/>
        <v>3011.28174</v>
      </c>
      <c r="K1523" s="9">
        <f t="shared" si="117"/>
        <v>3312.409914</v>
      </c>
      <c r="L1523" s="9">
        <f t="shared" si="118"/>
        <v>4215.794436</v>
      </c>
      <c r="M1523" s="9">
        <f t="shared" si="119"/>
        <v>5119.178958</v>
      </c>
    </row>
    <row r="1524" ht="40.5" spans="2:13">
      <c r="B1524" t="s">
        <v>3027</v>
      </c>
      <c r="C1524" s="4" t="s">
        <v>3028</v>
      </c>
      <c r="D1524" s="4" t="s">
        <v>3028</v>
      </c>
      <c r="E1524" s="4" t="s">
        <v>3028</v>
      </c>
      <c r="F1524" s="4" t="s">
        <v>3028</v>
      </c>
      <c r="G1524" s="5" t="s">
        <v>1169</v>
      </c>
      <c r="I1524" s="9" t="e">
        <f t="shared" si="115"/>
        <v>#VALUE!</v>
      </c>
      <c r="J1524" s="9" t="e">
        <f t="shared" si="116"/>
        <v>#VALUE!</v>
      </c>
      <c r="K1524" s="9" t="e">
        <f t="shared" si="117"/>
        <v>#VALUE!</v>
      </c>
      <c r="L1524" s="9" t="e">
        <f t="shared" si="118"/>
        <v>#VALUE!</v>
      </c>
      <c r="M1524" s="9" t="e">
        <f t="shared" si="119"/>
        <v>#VALUE!</v>
      </c>
    </row>
    <row r="1525" ht="27" spans="2:13">
      <c r="B1525" t="s">
        <v>3029</v>
      </c>
      <c r="C1525" s="4" t="s">
        <v>3030</v>
      </c>
      <c r="D1525" s="4" t="s">
        <v>3030</v>
      </c>
      <c r="E1525" s="4" t="s">
        <v>3030</v>
      </c>
      <c r="F1525" s="4" t="s">
        <v>3030</v>
      </c>
      <c r="G1525" s="5">
        <v>3411.05544</v>
      </c>
      <c r="I1525" s="9">
        <f t="shared" si="115"/>
        <v>1603.1960568</v>
      </c>
      <c r="J1525" s="9">
        <f t="shared" si="116"/>
        <v>1705.52772</v>
      </c>
      <c r="K1525" s="9">
        <f t="shared" si="117"/>
        <v>1876.080492</v>
      </c>
      <c r="L1525" s="9">
        <f t="shared" si="118"/>
        <v>2387.738808</v>
      </c>
      <c r="M1525" s="9">
        <f t="shared" si="119"/>
        <v>2899.397124</v>
      </c>
    </row>
    <row r="1526" ht="27" spans="2:13">
      <c r="B1526" t="s">
        <v>3031</v>
      </c>
      <c r="C1526" s="4" t="s">
        <v>3032</v>
      </c>
      <c r="D1526" s="4" t="s">
        <v>3032</v>
      </c>
      <c r="E1526" s="4" t="s">
        <v>3032</v>
      </c>
      <c r="F1526" s="4" t="s">
        <v>3032</v>
      </c>
      <c r="G1526" s="5">
        <v>5623.25796</v>
      </c>
      <c r="I1526" s="9">
        <f t="shared" si="115"/>
        <v>2642.9312412</v>
      </c>
      <c r="J1526" s="9">
        <f t="shared" si="116"/>
        <v>2811.62898</v>
      </c>
      <c r="K1526" s="9">
        <f t="shared" si="117"/>
        <v>3092.791878</v>
      </c>
      <c r="L1526" s="9">
        <f t="shared" si="118"/>
        <v>3936.280572</v>
      </c>
      <c r="M1526" s="9">
        <f t="shared" si="119"/>
        <v>4779.769266</v>
      </c>
    </row>
    <row r="1527" ht="27" spans="2:13">
      <c r="B1527" t="s">
        <v>3033</v>
      </c>
      <c r="C1527" s="4" t="s">
        <v>3034</v>
      </c>
      <c r="D1527" s="4" t="s">
        <v>3034</v>
      </c>
      <c r="E1527" s="4" t="s">
        <v>3034</v>
      </c>
      <c r="F1527" s="4" t="s">
        <v>3034</v>
      </c>
      <c r="G1527" s="5" t="s">
        <v>1169</v>
      </c>
      <c r="I1527" s="9" t="e">
        <f t="shared" si="115"/>
        <v>#VALUE!</v>
      </c>
      <c r="J1527" s="9" t="e">
        <f t="shared" si="116"/>
        <v>#VALUE!</v>
      </c>
      <c r="K1527" s="9" t="e">
        <f t="shared" si="117"/>
        <v>#VALUE!</v>
      </c>
      <c r="L1527" s="9" t="e">
        <f t="shared" si="118"/>
        <v>#VALUE!</v>
      </c>
      <c r="M1527" s="9" t="e">
        <f t="shared" si="119"/>
        <v>#VALUE!</v>
      </c>
    </row>
    <row r="1528" ht="40.5" spans="2:13">
      <c r="B1528" t="s">
        <v>3035</v>
      </c>
      <c r="C1528" s="4" t="s">
        <v>3036</v>
      </c>
      <c r="D1528" s="4" t="s">
        <v>3036</v>
      </c>
      <c r="E1528" s="4" t="s">
        <v>3036</v>
      </c>
      <c r="F1528" s="4" t="s">
        <v>3036</v>
      </c>
      <c r="G1528" s="5">
        <v>9264.86604</v>
      </c>
      <c r="I1528" s="9">
        <f t="shared" si="115"/>
        <v>4354.4870388</v>
      </c>
      <c r="J1528" s="9">
        <f t="shared" si="116"/>
        <v>4632.43302</v>
      </c>
      <c r="K1528" s="9">
        <f t="shared" si="117"/>
        <v>5095.676322</v>
      </c>
      <c r="L1528" s="9">
        <f t="shared" si="118"/>
        <v>6485.406228</v>
      </c>
      <c r="M1528" s="9">
        <f t="shared" si="119"/>
        <v>7875.136134</v>
      </c>
    </row>
    <row r="1529" ht="40.5" spans="2:13">
      <c r="B1529" t="s">
        <v>3037</v>
      </c>
      <c r="C1529" s="4" t="s">
        <v>3038</v>
      </c>
      <c r="D1529" s="4" t="s">
        <v>3038</v>
      </c>
      <c r="E1529" s="4" t="s">
        <v>3038</v>
      </c>
      <c r="F1529" s="4" t="s">
        <v>3038</v>
      </c>
      <c r="G1529" s="5" t="s">
        <v>1169</v>
      </c>
      <c r="I1529" s="9" t="e">
        <f t="shared" si="115"/>
        <v>#VALUE!</v>
      </c>
      <c r="J1529" s="9" t="e">
        <f t="shared" si="116"/>
        <v>#VALUE!</v>
      </c>
      <c r="K1529" s="9" t="e">
        <f t="shared" si="117"/>
        <v>#VALUE!</v>
      </c>
      <c r="L1529" s="9" t="e">
        <f t="shared" si="118"/>
        <v>#VALUE!</v>
      </c>
      <c r="M1529" s="9" t="e">
        <f t="shared" si="119"/>
        <v>#VALUE!</v>
      </c>
    </row>
    <row r="1530" ht="27" spans="2:13">
      <c r="B1530" t="s">
        <v>3039</v>
      </c>
      <c r="C1530" s="4" t="s">
        <v>3040</v>
      </c>
      <c r="D1530" s="4" t="s">
        <v>3040</v>
      </c>
      <c r="E1530" s="4" t="s">
        <v>3040</v>
      </c>
      <c r="F1530" s="4" t="s">
        <v>3040</v>
      </c>
      <c r="G1530" s="5">
        <v>9264.86604</v>
      </c>
      <c r="I1530" s="9">
        <f t="shared" si="115"/>
        <v>4354.4870388</v>
      </c>
      <c r="J1530" s="9">
        <f t="shared" si="116"/>
        <v>4632.43302</v>
      </c>
      <c r="K1530" s="9">
        <f t="shared" si="117"/>
        <v>5095.676322</v>
      </c>
      <c r="L1530" s="9">
        <f t="shared" si="118"/>
        <v>6485.406228</v>
      </c>
      <c r="M1530" s="9">
        <f t="shared" si="119"/>
        <v>7875.136134</v>
      </c>
    </row>
    <row r="1531" ht="27" spans="2:13">
      <c r="B1531" t="s">
        <v>3041</v>
      </c>
      <c r="C1531" s="4" t="s">
        <v>3042</v>
      </c>
      <c r="D1531" s="4" t="s">
        <v>3042</v>
      </c>
      <c r="E1531" s="4" t="s">
        <v>3042</v>
      </c>
      <c r="F1531" s="4" t="s">
        <v>3042</v>
      </c>
      <c r="G1531" s="5" t="s">
        <v>1169</v>
      </c>
      <c r="I1531" s="9" t="e">
        <f t="shared" si="115"/>
        <v>#VALUE!</v>
      </c>
      <c r="J1531" s="9" t="e">
        <f t="shared" si="116"/>
        <v>#VALUE!</v>
      </c>
      <c r="K1531" s="9" t="e">
        <f t="shared" si="117"/>
        <v>#VALUE!</v>
      </c>
      <c r="L1531" s="9" t="e">
        <f t="shared" si="118"/>
        <v>#VALUE!</v>
      </c>
      <c r="M1531" s="9" t="e">
        <f t="shared" si="119"/>
        <v>#VALUE!</v>
      </c>
    </row>
    <row r="1532" ht="40.5" spans="2:13">
      <c r="B1532" t="s">
        <v>3043</v>
      </c>
      <c r="C1532" s="4" t="s">
        <v>3044</v>
      </c>
      <c r="D1532" s="4" t="s">
        <v>3044</v>
      </c>
      <c r="E1532" s="4" t="s">
        <v>3044</v>
      </c>
      <c r="F1532" s="4" t="s">
        <v>3044</v>
      </c>
      <c r="G1532" s="5">
        <v>10420.54236</v>
      </c>
      <c r="I1532" s="9">
        <f t="shared" si="115"/>
        <v>4897.6549092</v>
      </c>
      <c r="J1532" s="9">
        <f t="shared" si="116"/>
        <v>5210.27118</v>
      </c>
      <c r="K1532" s="9">
        <f t="shared" si="117"/>
        <v>5731.298298</v>
      </c>
      <c r="L1532" s="9">
        <f t="shared" si="118"/>
        <v>7294.379652</v>
      </c>
      <c r="M1532" s="9">
        <f t="shared" si="119"/>
        <v>8857.461006</v>
      </c>
    </row>
    <row r="1533" ht="40.5" spans="2:13">
      <c r="B1533" t="s">
        <v>3045</v>
      </c>
      <c r="C1533" s="4" t="s">
        <v>3046</v>
      </c>
      <c r="D1533" s="4" t="s">
        <v>3046</v>
      </c>
      <c r="E1533" s="4" t="s">
        <v>3046</v>
      </c>
      <c r="F1533" s="4" t="s">
        <v>3046</v>
      </c>
      <c r="G1533" s="5">
        <v>8598.69792</v>
      </c>
      <c r="I1533" s="9">
        <f t="shared" si="115"/>
        <v>4041.3880224</v>
      </c>
      <c r="J1533" s="9">
        <f t="shared" si="116"/>
        <v>4299.34896</v>
      </c>
      <c r="K1533" s="9">
        <f t="shared" si="117"/>
        <v>4729.283856</v>
      </c>
      <c r="L1533" s="9">
        <f t="shared" si="118"/>
        <v>6019.088544</v>
      </c>
      <c r="M1533" s="9">
        <f t="shared" si="119"/>
        <v>7308.893232</v>
      </c>
    </row>
    <row r="1534" ht="27" spans="2:13">
      <c r="B1534" t="s">
        <v>3047</v>
      </c>
      <c r="C1534" s="4" t="s">
        <v>3048</v>
      </c>
      <c r="D1534" s="4" t="s">
        <v>3048</v>
      </c>
      <c r="E1534" s="4" t="s">
        <v>3048</v>
      </c>
      <c r="F1534" s="4" t="s">
        <v>3048</v>
      </c>
      <c r="G1534" s="5">
        <v>6516.5454</v>
      </c>
      <c r="I1534" s="9">
        <f t="shared" si="115"/>
        <v>3062.776338</v>
      </c>
      <c r="J1534" s="9">
        <f t="shared" si="116"/>
        <v>3258.2727</v>
      </c>
      <c r="K1534" s="9">
        <f t="shared" si="117"/>
        <v>3584.09997</v>
      </c>
      <c r="L1534" s="9">
        <f t="shared" si="118"/>
        <v>4561.58178</v>
      </c>
      <c r="M1534" s="9">
        <f t="shared" si="119"/>
        <v>5539.06359</v>
      </c>
    </row>
    <row r="1535" ht="27" spans="2:13">
      <c r="B1535" t="s">
        <v>3049</v>
      </c>
      <c r="C1535" s="4" t="s">
        <v>3050</v>
      </c>
      <c r="D1535" s="4" t="s">
        <v>3050</v>
      </c>
      <c r="E1535" s="4" t="s">
        <v>3050</v>
      </c>
      <c r="F1535" s="4" t="s">
        <v>3050</v>
      </c>
      <c r="G1535" s="5">
        <v>3761.77428</v>
      </c>
      <c r="I1535" s="9">
        <f t="shared" si="115"/>
        <v>1768.0339116</v>
      </c>
      <c r="J1535" s="9">
        <f t="shared" si="116"/>
        <v>1880.88714</v>
      </c>
      <c r="K1535" s="9">
        <f t="shared" si="117"/>
        <v>2068.975854</v>
      </c>
      <c r="L1535" s="9">
        <f t="shared" si="118"/>
        <v>2633.241996</v>
      </c>
      <c r="M1535" s="9">
        <f t="shared" si="119"/>
        <v>3197.508138</v>
      </c>
    </row>
    <row r="1536" ht="27" spans="2:13">
      <c r="B1536" t="s">
        <v>3051</v>
      </c>
      <c r="C1536" s="4" t="s">
        <v>3052</v>
      </c>
      <c r="D1536" s="4" t="s">
        <v>3052</v>
      </c>
      <c r="E1536" s="4" t="s">
        <v>3052</v>
      </c>
      <c r="F1536" s="4" t="s">
        <v>3052</v>
      </c>
      <c r="G1536" s="5" t="s">
        <v>1169</v>
      </c>
      <c r="I1536" s="9" t="e">
        <f t="shared" si="115"/>
        <v>#VALUE!</v>
      </c>
      <c r="J1536" s="9" t="e">
        <f t="shared" si="116"/>
        <v>#VALUE!</v>
      </c>
      <c r="K1536" s="9" t="e">
        <f t="shared" si="117"/>
        <v>#VALUE!</v>
      </c>
      <c r="L1536" s="9" t="e">
        <f t="shared" si="118"/>
        <v>#VALUE!</v>
      </c>
      <c r="M1536" s="9" t="e">
        <f t="shared" si="119"/>
        <v>#VALUE!</v>
      </c>
    </row>
    <row r="1537" ht="40.5" spans="2:13">
      <c r="B1537" t="s">
        <v>3053</v>
      </c>
      <c r="C1537" s="4" t="s">
        <v>3054</v>
      </c>
      <c r="D1537" s="4" t="s">
        <v>3054</v>
      </c>
      <c r="E1537" s="4" t="s">
        <v>3054</v>
      </c>
      <c r="F1537" s="4" t="s">
        <v>3054</v>
      </c>
      <c r="G1537" s="5">
        <v>7402.13388</v>
      </c>
      <c r="I1537" s="9">
        <f t="shared" si="115"/>
        <v>3479.0029236</v>
      </c>
      <c r="J1537" s="9">
        <f t="shared" si="116"/>
        <v>3701.06694</v>
      </c>
      <c r="K1537" s="9">
        <f t="shared" si="117"/>
        <v>4071.173634</v>
      </c>
      <c r="L1537" s="9">
        <f t="shared" si="118"/>
        <v>5181.493716</v>
      </c>
      <c r="M1537" s="9">
        <f t="shared" si="119"/>
        <v>6291.813798</v>
      </c>
    </row>
    <row r="1538" ht="40.5" spans="2:13">
      <c r="B1538" t="s">
        <v>3055</v>
      </c>
      <c r="C1538" s="4" t="s">
        <v>3056</v>
      </c>
      <c r="D1538" s="4" t="s">
        <v>3056</v>
      </c>
      <c r="E1538" s="4" t="s">
        <v>3056</v>
      </c>
      <c r="F1538" s="4" t="s">
        <v>3056</v>
      </c>
      <c r="G1538" s="5" t="s">
        <v>1169</v>
      </c>
      <c r="I1538" s="9" t="e">
        <f t="shared" si="115"/>
        <v>#VALUE!</v>
      </c>
      <c r="J1538" s="9" t="e">
        <f t="shared" si="116"/>
        <v>#VALUE!</v>
      </c>
      <c r="K1538" s="9" t="e">
        <f t="shared" si="117"/>
        <v>#VALUE!</v>
      </c>
      <c r="L1538" s="9" t="e">
        <f t="shared" si="118"/>
        <v>#VALUE!</v>
      </c>
      <c r="M1538" s="9" t="e">
        <f t="shared" si="119"/>
        <v>#VALUE!</v>
      </c>
    </row>
    <row r="1539" spans="2:13">
      <c r="B1539" t="s">
        <v>3057</v>
      </c>
      <c r="C1539" s="4" t="s">
        <v>466</v>
      </c>
      <c r="D1539" s="4" t="s">
        <v>466</v>
      </c>
      <c r="E1539" s="4" t="s">
        <v>466</v>
      </c>
      <c r="F1539" s="4" t="s">
        <v>466</v>
      </c>
      <c r="G1539" s="5" t="s">
        <v>1169</v>
      </c>
      <c r="I1539" s="9" t="e">
        <f t="shared" si="115"/>
        <v>#VALUE!</v>
      </c>
      <c r="J1539" s="9" t="e">
        <f t="shared" si="116"/>
        <v>#VALUE!</v>
      </c>
      <c r="K1539" s="9" t="e">
        <f t="shared" si="117"/>
        <v>#VALUE!</v>
      </c>
      <c r="L1539" s="9" t="e">
        <f t="shared" si="118"/>
        <v>#VALUE!</v>
      </c>
      <c r="M1539" s="9" t="e">
        <f t="shared" si="119"/>
        <v>#VALUE!</v>
      </c>
    </row>
    <row r="1540" ht="27" spans="2:13">
      <c r="B1540" t="s">
        <v>3058</v>
      </c>
      <c r="C1540" s="4" t="s">
        <v>3059</v>
      </c>
      <c r="D1540" s="4" t="s">
        <v>3059</v>
      </c>
      <c r="E1540" s="4" t="s">
        <v>3059</v>
      </c>
      <c r="F1540" s="4" t="s">
        <v>3059</v>
      </c>
      <c r="G1540" s="5">
        <v>7402.13388</v>
      </c>
      <c r="I1540" s="9">
        <f t="shared" ref="I1540:I1574" si="120">G1540*0.47</f>
        <v>3479.0029236</v>
      </c>
      <c r="J1540" s="9">
        <f t="shared" ref="J1540:J1574" si="121">G1540*0.5</f>
        <v>3701.06694</v>
      </c>
      <c r="K1540" s="9">
        <f t="shared" ref="K1540:K1574" si="122">G1540*0.55</f>
        <v>4071.173634</v>
      </c>
      <c r="L1540" s="9">
        <f t="shared" ref="L1540:L1574" si="123">G1540*0.7</f>
        <v>5181.493716</v>
      </c>
      <c r="M1540" s="9">
        <f t="shared" ref="M1540:M1574" si="124">G1540*0.85</f>
        <v>6291.813798</v>
      </c>
    </row>
    <row r="1541" ht="27" spans="2:13">
      <c r="B1541" t="s">
        <v>3060</v>
      </c>
      <c r="C1541" s="4" t="s">
        <v>3061</v>
      </c>
      <c r="D1541" s="4" t="s">
        <v>3061</v>
      </c>
      <c r="E1541" s="4" t="s">
        <v>3061</v>
      </c>
      <c r="F1541" s="4" t="s">
        <v>3061</v>
      </c>
      <c r="G1541" s="5" t="s">
        <v>1169</v>
      </c>
      <c r="I1541" s="9" t="e">
        <f t="shared" si="120"/>
        <v>#VALUE!</v>
      </c>
      <c r="J1541" s="9" t="e">
        <f t="shared" si="121"/>
        <v>#VALUE!</v>
      </c>
      <c r="K1541" s="9" t="e">
        <f t="shared" si="122"/>
        <v>#VALUE!</v>
      </c>
      <c r="L1541" s="9" t="e">
        <f t="shared" si="123"/>
        <v>#VALUE!</v>
      </c>
      <c r="M1541" s="9" t="e">
        <f t="shared" si="124"/>
        <v>#VALUE!</v>
      </c>
    </row>
    <row r="1542" ht="40.5" spans="2:13">
      <c r="B1542" t="s">
        <v>3062</v>
      </c>
      <c r="C1542" s="4" t="s">
        <v>3063</v>
      </c>
      <c r="D1542" s="4" t="s">
        <v>3063</v>
      </c>
      <c r="E1542" s="4" t="s">
        <v>3063</v>
      </c>
      <c r="F1542" s="4" t="s">
        <v>3063</v>
      </c>
      <c r="G1542" s="5">
        <v>8556.7698</v>
      </c>
      <c r="I1542" s="9">
        <f t="shared" si="120"/>
        <v>4021.681806</v>
      </c>
      <c r="J1542" s="9">
        <f t="shared" si="121"/>
        <v>4278.3849</v>
      </c>
      <c r="K1542" s="9">
        <f t="shared" si="122"/>
        <v>4706.22339</v>
      </c>
      <c r="L1542" s="9">
        <f t="shared" si="123"/>
        <v>5989.73886</v>
      </c>
      <c r="M1542" s="9">
        <f t="shared" si="124"/>
        <v>7273.25433</v>
      </c>
    </row>
    <row r="1543" ht="40.5" spans="2:13">
      <c r="B1543" t="s">
        <v>3064</v>
      </c>
      <c r="C1543" s="4" t="s">
        <v>3065</v>
      </c>
      <c r="D1543" s="4" t="s">
        <v>3065</v>
      </c>
      <c r="E1543" s="4" t="s">
        <v>3065</v>
      </c>
      <c r="F1543" s="4" t="s">
        <v>3065</v>
      </c>
      <c r="G1543" s="5" t="s">
        <v>1169</v>
      </c>
      <c r="I1543" s="9" t="e">
        <f t="shared" si="120"/>
        <v>#VALUE!</v>
      </c>
      <c r="J1543" s="9" t="e">
        <f t="shared" si="121"/>
        <v>#VALUE!</v>
      </c>
      <c r="K1543" s="9" t="e">
        <f t="shared" si="122"/>
        <v>#VALUE!</v>
      </c>
      <c r="L1543" s="9" t="e">
        <f t="shared" si="123"/>
        <v>#VALUE!</v>
      </c>
      <c r="M1543" s="9" t="e">
        <f t="shared" si="124"/>
        <v>#VALUE!</v>
      </c>
    </row>
    <row r="1544" ht="27" spans="2:13">
      <c r="B1544" t="s">
        <v>3066</v>
      </c>
      <c r="C1544" s="4" t="s">
        <v>3067</v>
      </c>
      <c r="D1544" s="4" t="s">
        <v>3067</v>
      </c>
      <c r="E1544" s="4" t="s">
        <v>3067</v>
      </c>
      <c r="F1544" s="4" t="s">
        <v>3067</v>
      </c>
      <c r="G1544" s="5">
        <v>8556.7698</v>
      </c>
      <c r="I1544" s="9">
        <f t="shared" si="120"/>
        <v>4021.681806</v>
      </c>
      <c r="J1544" s="9">
        <f t="shared" si="121"/>
        <v>4278.3849</v>
      </c>
      <c r="K1544" s="9">
        <f t="shared" si="122"/>
        <v>4706.22339</v>
      </c>
      <c r="L1544" s="9">
        <f t="shared" si="123"/>
        <v>5989.73886</v>
      </c>
      <c r="M1544" s="9">
        <f t="shared" si="124"/>
        <v>7273.25433</v>
      </c>
    </row>
    <row r="1545" ht="27" spans="2:13">
      <c r="B1545" t="s">
        <v>3068</v>
      </c>
      <c r="C1545" s="4" t="s">
        <v>3069</v>
      </c>
      <c r="D1545" s="4" t="s">
        <v>3069</v>
      </c>
      <c r="E1545" s="4" t="s">
        <v>3069</v>
      </c>
      <c r="F1545" s="4" t="s">
        <v>3069</v>
      </c>
      <c r="G1545" s="5" t="s">
        <v>1169</v>
      </c>
      <c r="I1545" s="9" t="e">
        <f t="shared" si="120"/>
        <v>#VALUE!</v>
      </c>
      <c r="J1545" s="9" t="e">
        <f t="shared" si="121"/>
        <v>#VALUE!</v>
      </c>
      <c r="K1545" s="9" t="e">
        <f t="shared" si="122"/>
        <v>#VALUE!</v>
      </c>
      <c r="L1545" s="9" t="e">
        <f t="shared" si="123"/>
        <v>#VALUE!</v>
      </c>
      <c r="M1545" s="9" t="e">
        <f t="shared" si="124"/>
        <v>#VALUE!</v>
      </c>
    </row>
    <row r="1546" ht="40.5" spans="2:13">
      <c r="B1546" t="s">
        <v>3070</v>
      </c>
      <c r="C1546" s="4" t="s">
        <v>3071</v>
      </c>
      <c r="D1546" s="4" t="s">
        <v>3071</v>
      </c>
      <c r="E1546" s="4" t="s">
        <v>3071</v>
      </c>
      <c r="F1546" s="4" t="s">
        <v>3071</v>
      </c>
      <c r="G1546" s="5">
        <v>6738.25464</v>
      </c>
      <c r="I1546" s="9">
        <f t="shared" si="120"/>
        <v>3166.9796808</v>
      </c>
      <c r="J1546" s="9">
        <f t="shared" si="121"/>
        <v>3369.12732</v>
      </c>
      <c r="K1546" s="9">
        <f t="shared" si="122"/>
        <v>3706.040052</v>
      </c>
      <c r="L1546" s="9">
        <f t="shared" si="123"/>
        <v>4716.778248</v>
      </c>
      <c r="M1546" s="9">
        <f t="shared" si="124"/>
        <v>5727.516444</v>
      </c>
    </row>
    <row r="1547" ht="40.5" spans="2:13">
      <c r="B1547" t="s">
        <v>3072</v>
      </c>
      <c r="C1547" s="4" t="s">
        <v>3073</v>
      </c>
      <c r="D1547" s="4" t="s">
        <v>3073</v>
      </c>
      <c r="E1547" s="4" t="s">
        <v>3073</v>
      </c>
      <c r="F1547" s="4" t="s">
        <v>3073</v>
      </c>
      <c r="G1547" s="5" t="s">
        <v>1169</v>
      </c>
      <c r="I1547" s="9" t="e">
        <f t="shared" si="120"/>
        <v>#VALUE!</v>
      </c>
      <c r="J1547" s="9" t="e">
        <f t="shared" si="121"/>
        <v>#VALUE!</v>
      </c>
      <c r="K1547" s="9" t="e">
        <f t="shared" si="122"/>
        <v>#VALUE!</v>
      </c>
      <c r="L1547" s="9" t="e">
        <f t="shared" si="123"/>
        <v>#VALUE!</v>
      </c>
      <c r="M1547" s="9" t="e">
        <f t="shared" si="124"/>
        <v>#VALUE!</v>
      </c>
    </row>
    <row r="1548" ht="27" spans="2:13">
      <c r="B1548" t="s">
        <v>3074</v>
      </c>
      <c r="C1548" s="4" t="s">
        <v>3075</v>
      </c>
      <c r="D1548" s="4" t="s">
        <v>3075</v>
      </c>
      <c r="E1548" s="4" t="s">
        <v>3075</v>
      </c>
      <c r="F1548" s="4" t="s">
        <v>3075</v>
      </c>
      <c r="G1548" s="5">
        <v>4364.9982</v>
      </c>
      <c r="I1548" s="9">
        <f t="shared" si="120"/>
        <v>2051.549154</v>
      </c>
      <c r="J1548" s="9">
        <f t="shared" si="121"/>
        <v>2182.4991</v>
      </c>
      <c r="K1548" s="9">
        <f t="shared" si="122"/>
        <v>2400.74901</v>
      </c>
      <c r="L1548" s="9">
        <f t="shared" si="123"/>
        <v>3055.49874</v>
      </c>
      <c r="M1548" s="9">
        <f t="shared" si="124"/>
        <v>3710.24847</v>
      </c>
    </row>
    <row r="1549" ht="27" spans="2:13">
      <c r="B1549" t="s">
        <v>3076</v>
      </c>
      <c r="C1549" s="4" t="s">
        <v>3077</v>
      </c>
      <c r="D1549" s="4" t="s">
        <v>3077</v>
      </c>
      <c r="E1549" s="4" t="s">
        <v>3077</v>
      </c>
      <c r="F1549" s="4" t="s">
        <v>3077</v>
      </c>
      <c r="G1549" s="5">
        <v>7123.68</v>
      </c>
      <c r="I1549" s="9">
        <f t="shared" si="120"/>
        <v>3348.1296</v>
      </c>
      <c r="J1549" s="9">
        <f t="shared" si="121"/>
        <v>3561.84</v>
      </c>
      <c r="K1549" s="9">
        <f t="shared" si="122"/>
        <v>3918.024</v>
      </c>
      <c r="L1549" s="9">
        <f t="shared" si="123"/>
        <v>4986.576</v>
      </c>
      <c r="M1549" s="9">
        <f t="shared" si="124"/>
        <v>6055.128</v>
      </c>
    </row>
    <row r="1550" ht="27" spans="2:13">
      <c r="B1550" t="s">
        <v>3078</v>
      </c>
      <c r="C1550" s="4" t="s">
        <v>3079</v>
      </c>
      <c r="D1550" s="4" t="s">
        <v>3079</v>
      </c>
      <c r="E1550" s="4" t="s">
        <v>3079</v>
      </c>
      <c r="F1550" s="4" t="s">
        <v>3079</v>
      </c>
      <c r="G1550" s="5" t="s">
        <v>1169</v>
      </c>
      <c r="I1550" s="9" t="e">
        <f t="shared" si="120"/>
        <v>#VALUE!</v>
      </c>
      <c r="J1550" s="9" t="e">
        <f t="shared" si="121"/>
        <v>#VALUE!</v>
      </c>
      <c r="K1550" s="9" t="e">
        <f t="shared" si="122"/>
        <v>#VALUE!</v>
      </c>
      <c r="L1550" s="9" t="e">
        <f t="shared" si="123"/>
        <v>#VALUE!</v>
      </c>
      <c r="M1550" s="9" t="e">
        <f t="shared" si="124"/>
        <v>#VALUE!</v>
      </c>
    </row>
    <row r="1551" ht="27" spans="2:13">
      <c r="B1551" t="s">
        <v>3080</v>
      </c>
      <c r="C1551" s="4" t="s">
        <v>3081</v>
      </c>
      <c r="D1551" s="4" t="s">
        <v>3081</v>
      </c>
      <c r="E1551" s="4" t="s">
        <v>3081</v>
      </c>
      <c r="F1551" s="4" t="s">
        <v>3081</v>
      </c>
      <c r="G1551" s="5">
        <v>11413.8</v>
      </c>
      <c r="I1551" s="9">
        <f t="shared" si="120"/>
        <v>5364.486</v>
      </c>
      <c r="J1551" s="9">
        <f t="shared" si="121"/>
        <v>5706.9</v>
      </c>
      <c r="K1551" s="9">
        <f t="shared" si="122"/>
        <v>6277.59</v>
      </c>
      <c r="L1551" s="9">
        <f t="shared" si="123"/>
        <v>7989.66</v>
      </c>
      <c r="M1551" s="9">
        <f t="shared" si="124"/>
        <v>9701.73</v>
      </c>
    </row>
    <row r="1552" ht="40.5" spans="2:13">
      <c r="B1552" t="s">
        <v>3082</v>
      </c>
      <c r="C1552" s="4" t="s">
        <v>3083</v>
      </c>
      <c r="D1552" s="4" t="s">
        <v>3083</v>
      </c>
      <c r="E1552" s="4" t="s">
        <v>3083</v>
      </c>
      <c r="F1552" s="4" t="s">
        <v>3083</v>
      </c>
      <c r="G1552" s="5" t="s">
        <v>1169</v>
      </c>
      <c r="I1552" s="9" t="e">
        <f t="shared" si="120"/>
        <v>#VALUE!</v>
      </c>
      <c r="J1552" s="9" t="e">
        <f t="shared" si="121"/>
        <v>#VALUE!</v>
      </c>
      <c r="K1552" s="9" t="e">
        <f t="shared" si="122"/>
        <v>#VALUE!</v>
      </c>
      <c r="L1552" s="9" t="e">
        <f t="shared" si="123"/>
        <v>#VALUE!</v>
      </c>
      <c r="M1552" s="9" t="e">
        <f t="shared" si="124"/>
        <v>#VALUE!</v>
      </c>
    </row>
    <row r="1553" ht="27" spans="2:13">
      <c r="B1553" t="s">
        <v>3084</v>
      </c>
      <c r="C1553" s="4" t="s">
        <v>3085</v>
      </c>
      <c r="D1553" s="4" t="s">
        <v>3085</v>
      </c>
      <c r="E1553" s="4" t="s">
        <v>3085</v>
      </c>
      <c r="F1553" s="4" t="s">
        <v>3085</v>
      </c>
      <c r="G1553" s="5">
        <v>8265.06</v>
      </c>
      <c r="I1553" s="9">
        <f t="shared" si="120"/>
        <v>3884.5782</v>
      </c>
      <c r="J1553" s="9">
        <f t="shared" si="121"/>
        <v>4132.53</v>
      </c>
      <c r="K1553" s="9">
        <f t="shared" si="122"/>
        <v>4545.783</v>
      </c>
      <c r="L1553" s="9">
        <f t="shared" si="123"/>
        <v>5785.542</v>
      </c>
      <c r="M1553" s="9">
        <f t="shared" si="124"/>
        <v>7025.301</v>
      </c>
    </row>
    <row r="1554" ht="27" spans="2:13">
      <c r="B1554" t="s">
        <v>3086</v>
      </c>
      <c r="C1554" s="4" t="s">
        <v>3087</v>
      </c>
      <c r="D1554" s="4" t="s">
        <v>3087</v>
      </c>
      <c r="E1554" s="4" t="s">
        <v>3087</v>
      </c>
      <c r="F1554" s="4" t="s">
        <v>3087</v>
      </c>
      <c r="G1554" s="5">
        <v>4738.92</v>
      </c>
      <c r="I1554" s="9">
        <f t="shared" si="120"/>
        <v>2227.2924</v>
      </c>
      <c r="J1554" s="9">
        <f t="shared" si="121"/>
        <v>2369.46</v>
      </c>
      <c r="K1554" s="9">
        <f t="shared" si="122"/>
        <v>2606.406</v>
      </c>
      <c r="L1554" s="9">
        <f t="shared" si="123"/>
        <v>3317.244</v>
      </c>
      <c r="M1554" s="9">
        <f t="shared" si="124"/>
        <v>4028.082</v>
      </c>
    </row>
    <row r="1555" ht="27" spans="2:13">
      <c r="B1555" t="s">
        <v>3088</v>
      </c>
      <c r="C1555" s="4" t="s">
        <v>3089</v>
      </c>
      <c r="D1555" s="4" t="s">
        <v>3089</v>
      </c>
      <c r="E1555" s="4" t="s">
        <v>3089</v>
      </c>
      <c r="F1555" s="4" t="s">
        <v>3089</v>
      </c>
      <c r="G1555" s="5" t="s">
        <v>1169</v>
      </c>
      <c r="I1555" s="9" t="e">
        <f t="shared" si="120"/>
        <v>#VALUE!</v>
      </c>
      <c r="J1555" s="9" t="e">
        <f t="shared" si="121"/>
        <v>#VALUE!</v>
      </c>
      <c r="K1555" s="9" t="e">
        <f t="shared" si="122"/>
        <v>#VALUE!</v>
      </c>
      <c r="L1555" s="9" t="e">
        <f t="shared" si="123"/>
        <v>#VALUE!</v>
      </c>
      <c r="M1555" s="9" t="e">
        <f t="shared" si="124"/>
        <v>#VALUE!</v>
      </c>
    </row>
    <row r="1556" ht="40.5" spans="2:13">
      <c r="B1556" t="s">
        <v>3090</v>
      </c>
      <c r="C1556" s="4" t="s">
        <v>3091</v>
      </c>
      <c r="D1556" s="4" t="s">
        <v>3091</v>
      </c>
      <c r="E1556" s="4" t="s">
        <v>3091</v>
      </c>
      <c r="F1556" s="4" t="s">
        <v>3091</v>
      </c>
      <c r="G1556" s="5">
        <v>9030.06</v>
      </c>
      <c r="I1556" s="9">
        <f t="shared" si="120"/>
        <v>4244.1282</v>
      </c>
      <c r="J1556" s="9">
        <f t="shared" si="121"/>
        <v>4515.03</v>
      </c>
      <c r="K1556" s="9">
        <f t="shared" si="122"/>
        <v>4966.533</v>
      </c>
      <c r="L1556" s="9">
        <f t="shared" si="123"/>
        <v>6321.042</v>
      </c>
      <c r="M1556" s="9">
        <f t="shared" si="124"/>
        <v>7675.551</v>
      </c>
    </row>
    <row r="1557" ht="40.5" spans="2:13">
      <c r="B1557" t="s">
        <v>3092</v>
      </c>
      <c r="C1557" s="4" t="s">
        <v>3093</v>
      </c>
      <c r="D1557" s="4" t="s">
        <v>3093</v>
      </c>
      <c r="E1557" s="4" t="s">
        <v>3093</v>
      </c>
      <c r="F1557" s="4" t="s">
        <v>3093</v>
      </c>
      <c r="G1557" s="5" t="s">
        <v>1169</v>
      </c>
      <c r="I1557" s="9" t="e">
        <f t="shared" si="120"/>
        <v>#VALUE!</v>
      </c>
      <c r="J1557" s="9" t="e">
        <f t="shared" si="121"/>
        <v>#VALUE!</v>
      </c>
      <c r="K1557" s="9" t="e">
        <f t="shared" si="122"/>
        <v>#VALUE!</v>
      </c>
      <c r="L1557" s="9" t="e">
        <f t="shared" si="123"/>
        <v>#VALUE!</v>
      </c>
      <c r="M1557" s="9" t="e">
        <f t="shared" si="124"/>
        <v>#VALUE!</v>
      </c>
    </row>
    <row r="1558" ht="40.5" spans="2:13">
      <c r="B1558" t="s">
        <v>3094</v>
      </c>
      <c r="C1558" s="4" t="s">
        <v>3095</v>
      </c>
      <c r="D1558" s="4" t="s">
        <v>3095</v>
      </c>
      <c r="E1558" s="4" t="s">
        <v>3095</v>
      </c>
      <c r="F1558" s="4" t="s">
        <v>3095</v>
      </c>
      <c r="G1558" s="5">
        <v>9030.06</v>
      </c>
      <c r="I1558" s="9">
        <f t="shared" si="120"/>
        <v>4244.1282</v>
      </c>
      <c r="J1558" s="9">
        <f t="shared" si="121"/>
        <v>4515.03</v>
      </c>
      <c r="K1558" s="9">
        <f t="shared" si="122"/>
        <v>4966.533</v>
      </c>
      <c r="L1558" s="9">
        <f t="shared" si="123"/>
        <v>6321.042</v>
      </c>
      <c r="M1558" s="9">
        <f t="shared" si="124"/>
        <v>7675.551</v>
      </c>
    </row>
    <row r="1559" ht="40.5" spans="2:13">
      <c r="B1559" t="s">
        <v>3096</v>
      </c>
      <c r="C1559" s="4" t="s">
        <v>3097</v>
      </c>
      <c r="D1559" s="4" t="s">
        <v>3097</v>
      </c>
      <c r="E1559" s="4" t="s">
        <v>3097</v>
      </c>
      <c r="F1559" s="4" t="s">
        <v>3097</v>
      </c>
      <c r="G1559" s="5">
        <v>10360.14</v>
      </c>
      <c r="I1559" s="9">
        <f t="shared" si="120"/>
        <v>4869.2658</v>
      </c>
      <c r="J1559" s="9">
        <f t="shared" si="121"/>
        <v>5180.07</v>
      </c>
      <c r="K1559" s="9">
        <f t="shared" si="122"/>
        <v>5698.077</v>
      </c>
      <c r="L1559" s="9">
        <f t="shared" si="123"/>
        <v>7252.098</v>
      </c>
      <c r="M1559" s="9">
        <f t="shared" si="124"/>
        <v>8806.119</v>
      </c>
    </row>
    <row r="1560" ht="40.5" spans="2:13">
      <c r="B1560" t="s">
        <v>3098</v>
      </c>
      <c r="C1560" s="4" t="s">
        <v>3099</v>
      </c>
      <c r="D1560" s="4" t="s">
        <v>3099</v>
      </c>
      <c r="E1560" s="4" t="s">
        <v>3099</v>
      </c>
      <c r="F1560" s="4" t="s">
        <v>3099</v>
      </c>
      <c r="G1560" s="5" t="s">
        <v>1169</v>
      </c>
      <c r="I1560" s="9" t="e">
        <f t="shared" si="120"/>
        <v>#VALUE!</v>
      </c>
      <c r="J1560" s="9" t="e">
        <f t="shared" si="121"/>
        <v>#VALUE!</v>
      </c>
      <c r="K1560" s="9" t="e">
        <f t="shared" si="122"/>
        <v>#VALUE!</v>
      </c>
      <c r="L1560" s="9" t="e">
        <f t="shared" si="123"/>
        <v>#VALUE!</v>
      </c>
      <c r="M1560" s="9" t="e">
        <f t="shared" si="124"/>
        <v>#VALUE!</v>
      </c>
    </row>
    <row r="1561" ht="40.5" spans="2:13">
      <c r="B1561" t="s">
        <v>3100</v>
      </c>
      <c r="C1561" s="4" t="s">
        <v>3101</v>
      </c>
      <c r="D1561" s="4" t="s">
        <v>3101</v>
      </c>
      <c r="E1561" s="4" t="s">
        <v>3101</v>
      </c>
      <c r="F1561" s="4" t="s">
        <v>3101</v>
      </c>
      <c r="G1561" s="5">
        <v>10360.14</v>
      </c>
      <c r="I1561" s="9">
        <f t="shared" si="120"/>
        <v>4869.2658</v>
      </c>
      <c r="J1561" s="9">
        <f t="shared" si="121"/>
        <v>5180.07</v>
      </c>
      <c r="K1561" s="9">
        <f t="shared" si="122"/>
        <v>5698.077</v>
      </c>
      <c r="L1561" s="9">
        <f t="shared" si="123"/>
        <v>7252.098</v>
      </c>
      <c r="M1561" s="9">
        <f t="shared" si="124"/>
        <v>8806.119</v>
      </c>
    </row>
    <row r="1562" ht="27" spans="2:13">
      <c r="B1562" t="s">
        <v>3102</v>
      </c>
      <c r="C1562" s="4" t="s">
        <v>3103</v>
      </c>
      <c r="D1562" s="4" t="s">
        <v>3103</v>
      </c>
      <c r="E1562" s="4" t="s">
        <v>3103</v>
      </c>
      <c r="F1562" s="4" t="s">
        <v>3103</v>
      </c>
      <c r="G1562" s="5">
        <v>5515.2675</v>
      </c>
      <c r="I1562" s="9">
        <f t="shared" si="120"/>
        <v>2592.175725</v>
      </c>
      <c r="J1562" s="9">
        <f t="shared" si="121"/>
        <v>2757.63375</v>
      </c>
      <c r="K1562" s="9">
        <f t="shared" si="122"/>
        <v>3033.397125</v>
      </c>
      <c r="L1562" s="9">
        <f t="shared" si="123"/>
        <v>3860.68725</v>
      </c>
      <c r="M1562" s="9">
        <f t="shared" si="124"/>
        <v>4687.977375</v>
      </c>
    </row>
    <row r="1563" ht="27" spans="2:13">
      <c r="B1563" t="s">
        <v>3104</v>
      </c>
      <c r="C1563" s="4" t="s">
        <v>3105</v>
      </c>
      <c r="D1563" s="4" t="s">
        <v>3105</v>
      </c>
      <c r="E1563" s="4" t="s">
        <v>3105</v>
      </c>
      <c r="F1563" s="4" t="s">
        <v>3105</v>
      </c>
      <c r="G1563" s="5" t="s">
        <v>1169</v>
      </c>
      <c r="I1563" s="9" t="e">
        <f t="shared" si="120"/>
        <v>#VALUE!</v>
      </c>
      <c r="J1563" s="9" t="e">
        <f t="shared" si="121"/>
        <v>#VALUE!</v>
      </c>
      <c r="K1563" s="9" t="e">
        <f t="shared" si="122"/>
        <v>#VALUE!</v>
      </c>
      <c r="L1563" s="9" t="e">
        <f t="shared" si="123"/>
        <v>#VALUE!</v>
      </c>
      <c r="M1563" s="9" t="e">
        <f t="shared" si="124"/>
        <v>#VALUE!</v>
      </c>
    </row>
    <row r="1564" ht="27" spans="2:13">
      <c r="B1564" t="s">
        <v>3106</v>
      </c>
      <c r="C1564" s="4" t="s">
        <v>3107</v>
      </c>
      <c r="D1564" s="4" t="s">
        <v>3107</v>
      </c>
      <c r="E1564" s="4" t="s">
        <v>3107</v>
      </c>
      <c r="F1564" s="4" t="s">
        <v>3107</v>
      </c>
      <c r="G1564" s="5" t="s">
        <v>1169</v>
      </c>
      <c r="I1564" s="9" t="e">
        <f t="shared" si="120"/>
        <v>#VALUE!</v>
      </c>
      <c r="J1564" s="9" t="e">
        <f t="shared" si="121"/>
        <v>#VALUE!</v>
      </c>
      <c r="K1564" s="9" t="e">
        <f t="shared" si="122"/>
        <v>#VALUE!</v>
      </c>
      <c r="L1564" s="9" t="e">
        <f t="shared" si="123"/>
        <v>#VALUE!</v>
      </c>
      <c r="M1564" s="9" t="e">
        <f t="shared" si="124"/>
        <v>#VALUE!</v>
      </c>
    </row>
    <row r="1565" ht="40.5" spans="2:13">
      <c r="B1565" t="s">
        <v>3108</v>
      </c>
      <c r="C1565" s="4" t="s">
        <v>3109</v>
      </c>
      <c r="D1565" s="4" t="s">
        <v>3109</v>
      </c>
      <c r="E1565" s="4" t="s">
        <v>3109</v>
      </c>
      <c r="F1565" s="4" t="s">
        <v>3109</v>
      </c>
      <c r="G1565" s="5" t="s">
        <v>1169</v>
      </c>
      <c r="I1565" s="9" t="e">
        <f t="shared" si="120"/>
        <v>#VALUE!</v>
      </c>
      <c r="J1565" s="9" t="e">
        <f t="shared" si="121"/>
        <v>#VALUE!</v>
      </c>
      <c r="K1565" s="9" t="e">
        <f t="shared" si="122"/>
        <v>#VALUE!</v>
      </c>
      <c r="L1565" s="9" t="e">
        <f t="shared" si="123"/>
        <v>#VALUE!</v>
      </c>
      <c r="M1565" s="9" t="e">
        <f t="shared" si="124"/>
        <v>#VALUE!</v>
      </c>
    </row>
    <row r="1566" ht="27" spans="2:13">
      <c r="B1566" t="s">
        <v>3110</v>
      </c>
      <c r="C1566" s="4" t="s">
        <v>3111</v>
      </c>
      <c r="D1566" s="4" t="s">
        <v>3111</v>
      </c>
      <c r="E1566" s="4" t="s">
        <v>3111</v>
      </c>
      <c r="F1566" s="4" t="s">
        <v>3111</v>
      </c>
      <c r="G1566" s="5" t="s">
        <v>1169</v>
      </c>
      <c r="I1566" s="9" t="e">
        <f t="shared" si="120"/>
        <v>#VALUE!</v>
      </c>
      <c r="J1566" s="9" t="e">
        <f t="shared" si="121"/>
        <v>#VALUE!</v>
      </c>
      <c r="K1566" s="9" t="e">
        <f t="shared" si="122"/>
        <v>#VALUE!</v>
      </c>
      <c r="L1566" s="9" t="e">
        <f t="shared" si="123"/>
        <v>#VALUE!</v>
      </c>
      <c r="M1566" s="9" t="e">
        <f t="shared" si="124"/>
        <v>#VALUE!</v>
      </c>
    </row>
    <row r="1567" ht="27" spans="2:13">
      <c r="B1567" t="s">
        <v>3112</v>
      </c>
      <c r="C1567" s="4" t="s">
        <v>3113</v>
      </c>
      <c r="D1567" s="4" t="s">
        <v>3113</v>
      </c>
      <c r="E1567" s="4" t="s">
        <v>3113</v>
      </c>
      <c r="F1567" s="4" t="s">
        <v>3113</v>
      </c>
      <c r="G1567" s="5" t="s">
        <v>1169</v>
      </c>
      <c r="I1567" s="9" t="e">
        <f t="shared" si="120"/>
        <v>#VALUE!</v>
      </c>
      <c r="J1567" s="9" t="e">
        <f t="shared" si="121"/>
        <v>#VALUE!</v>
      </c>
      <c r="K1567" s="9" t="e">
        <f t="shared" si="122"/>
        <v>#VALUE!</v>
      </c>
      <c r="L1567" s="9" t="e">
        <f t="shared" si="123"/>
        <v>#VALUE!</v>
      </c>
      <c r="M1567" s="9" t="e">
        <f t="shared" si="124"/>
        <v>#VALUE!</v>
      </c>
    </row>
    <row r="1568" spans="2:13">
      <c r="B1568" t="s">
        <v>3114</v>
      </c>
      <c r="C1568" s="4" t="s">
        <v>3115</v>
      </c>
      <c r="D1568" s="4" t="s">
        <v>3115</v>
      </c>
      <c r="E1568" s="4" t="s">
        <v>3115</v>
      </c>
      <c r="F1568" s="4" t="s">
        <v>3115</v>
      </c>
      <c r="G1568" s="5">
        <v>34.7004</v>
      </c>
      <c r="I1568" s="9">
        <f t="shared" si="120"/>
        <v>16.309188</v>
      </c>
      <c r="J1568" s="9">
        <f t="shared" si="121"/>
        <v>17.3502</v>
      </c>
      <c r="K1568" s="9">
        <f t="shared" si="122"/>
        <v>19.08522</v>
      </c>
      <c r="L1568" s="9">
        <f t="shared" si="123"/>
        <v>24.29028</v>
      </c>
      <c r="M1568" s="9">
        <f t="shared" si="124"/>
        <v>29.49534</v>
      </c>
    </row>
    <row r="1569" ht="27" spans="2:13">
      <c r="B1569" t="s">
        <v>3116</v>
      </c>
      <c r="C1569" s="4" t="s">
        <v>3117</v>
      </c>
      <c r="D1569" s="4" t="s">
        <v>3117</v>
      </c>
      <c r="E1569" s="4" t="s">
        <v>3117</v>
      </c>
      <c r="F1569" s="4" t="s">
        <v>3117</v>
      </c>
      <c r="G1569" s="5">
        <f>303.17*1.04</f>
        <v>315.2968</v>
      </c>
      <c r="I1569" s="9">
        <f t="shared" si="120"/>
        <v>148.189496</v>
      </c>
      <c r="J1569" s="9">
        <f t="shared" si="121"/>
        <v>157.6484</v>
      </c>
      <c r="K1569" s="9">
        <f t="shared" si="122"/>
        <v>173.41324</v>
      </c>
      <c r="L1569" s="9">
        <f t="shared" si="123"/>
        <v>220.70776</v>
      </c>
      <c r="M1569" s="9">
        <f t="shared" si="124"/>
        <v>268.00228</v>
      </c>
    </row>
    <row r="1570" ht="27" spans="2:13">
      <c r="B1570" t="s">
        <v>3118</v>
      </c>
      <c r="C1570" s="4" t="s">
        <v>3119</v>
      </c>
      <c r="D1570" s="4" t="s">
        <v>3119</v>
      </c>
      <c r="E1570" s="4" t="s">
        <v>3119</v>
      </c>
      <c r="F1570" s="4" t="s">
        <v>3119</v>
      </c>
      <c r="G1570" s="5">
        <f>297.22*1.04</f>
        <v>309.1088</v>
      </c>
      <c r="I1570" s="9">
        <f t="shared" si="120"/>
        <v>145.281136</v>
      </c>
      <c r="J1570" s="9">
        <f t="shared" si="121"/>
        <v>154.5544</v>
      </c>
      <c r="K1570" s="9">
        <f t="shared" si="122"/>
        <v>170.00984</v>
      </c>
      <c r="L1570" s="9">
        <f t="shared" si="123"/>
        <v>216.37616</v>
      </c>
      <c r="M1570" s="9">
        <f t="shared" si="124"/>
        <v>262.74248</v>
      </c>
    </row>
    <row r="1571" ht="27" spans="2:13">
      <c r="B1571" s="11">
        <v>6320</v>
      </c>
      <c r="C1571" s="4" t="s">
        <v>1371</v>
      </c>
      <c r="D1571" s="4" t="s">
        <v>1371</v>
      </c>
      <c r="E1571" s="4" t="s">
        <v>1371</v>
      </c>
      <c r="F1571" s="4" t="s">
        <v>1371</v>
      </c>
      <c r="G1571" s="5">
        <f>607.9*1.04</f>
        <v>632.216</v>
      </c>
      <c r="I1571" s="9">
        <f t="shared" si="120"/>
        <v>297.14152</v>
      </c>
      <c r="J1571" s="9">
        <f t="shared" si="121"/>
        <v>316.108</v>
      </c>
      <c r="K1571" s="9">
        <f t="shared" si="122"/>
        <v>347.7188</v>
      </c>
      <c r="L1571" s="9">
        <f t="shared" si="123"/>
        <v>442.5512</v>
      </c>
      <c r="M1571" s="9">
        <f t="shared" si="124"/>
        <v>537.3836</v>
      </c>
    </row>
    <row r="1572" ht="27" spans="2:13">
      <c r="B1572" s="11" t="s">
        <v>3120</v>
      </c>
      <c r="C1572" s="4" t="s">
        <v>3121</v>
      </c>
      <c r="D1572" s="4" t="s">
        <v>3121</v>
      </c>
      <c r="E1572" s="4" t="s">
        <v>3121</v>
      </c>
      <c r="F1572" s="4" t="s">
        <v>3121</v>
      </c>
      <c r="G1572" s="5">
        <f>1360.15*1.04</f>
        <v>1414.556</v>
      </c>
      <c r="I1572" s="9">
        <f t="shared" si="120"/>
        <v>664.84132</v>
      </c>
      <c r="J1572" s="9">
        <f t="shared" si="121"/>
        <v>707.278</v>
      </c>
      <c r="K1572" s="9">
        <f t="shared" si="122"/>
        <v>778.0058</v>
      </c>
      <c r="L1572" s="9">
        <f t="shared" si="123"/>
        <v>990.1892</v>
      </c>
      <c r="M1572" s="9">
        <f t="shared" si="124"/>
        <v>1202.3726</v>
      </c>
    </row>
    <row r="1573" ht="27" spans="2:13">
      <c r="B1573" t="s">
        <v>3122</v>
      </c>
      <c r="C1573" s="4" t="s">
        <v>3123</v>
      </c>
      <c r="D1573" s="4" t="s">
        <v>3123</v>
      </c>
      <c r="E1573" s="4" t="s">
        <v>3123</v>
      </c>
      <c r="F1573" s="4" t="s">
        <v>3123</v>
      </c>
      <c r="G1573" s="5">
        <f>833.95*1.04</f>
        <v>867.308</v>
      </c>
      <c r="I1573" s="9">
        <f t="shared" si="120"/>
        <v>407.63476</v>
      </c>
      <c r="J1573" s="9">
        <f t="shared" si="121"/>
        <v>433.654</v>
      </c>
      <c r="K1573" s="9">
        <f t="shared" si="122"/>
        <v>477.0194</v>
      </c>
      <c r="L1573" s="9">
        <f t="shared" si="123"/>
        <v>607.1156</v>
      </c>
      <c r="M1573" s="9">
        <f t="shared" si="124"/>
        <v>737.2118</v>
      </c>
    </row>
    <row r="1574" ht="27" spans="2:13">
      <c r="B1574" s="11" t="s">
        <v>3124</v>
      </c>
      <c r="C1574" s="12" t="s">
        <v>3125</v>
      </c>
      <c r="D1574" s="12" t="s">
        <v>3125</v>
      </c>
      <c r="E1574" s="12" t="s">
        <v>3125</v>
      </c>
      <c r="F1574" s="12" t="s">
        <v>3125</v>
      </c>
      <c r="G1574" s="5">
        <f>5087.4*1.04</f>
        <v>5290.896</v>
      </c>
      <c r="I1574" s="9">
        <f t="shared" si="120"/>
        <v>2486.72112</v>
      </c>
      <c r="J1574" s="9">
        <f t="shared" si="121"/>
        <v>2645.448</v>
      </c>
      <c r="K1574" s="9">
        <f t="shared" si="122"/>
        <v>2909.9928</v>
      </c>
      <c r="L1574" s="9">
        <f t="shared" si="123"/>
        <v>3703.6272</v>
      </c>
      <c r="M1574" s="9">
        <f t="shared" si="124"/>
        <v>4497.2616</v>
      </c>
    </row>
  </sheetData>
  <pageMargins left="0.7" right="0.7" top="0.75" bottom="0.75" header="0.3" footer="0.3"/>
  <pageSetup paperSize="1" fitToWidth="0" fitToHeight="0" orientation="portrait"/>
  <headerFooter>
    <oddHeader>&amp;CListino</oddHeader>
    <evenFooter>&amp;CListino</evenFooter>
    <firstHeader>&amp;CListino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I20" sqref="I20"/>
    </sheetView>
  </sheetViews>
  <sheetFormatPr defaultColWidth="9" defaultRowHeight="13.5"/>
  <sheetData>
    <row r="1" s="1" customFormat="1" ht="3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3126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 spans="1:12">
      <c r="B2" s="2" t="s">
        <v>3110</v>
      </c>
      <c r="G2" s="3" t="s">
        <v>3127</v>
      </c>
      <c r="H2" s="3" t="s">
        <v>3127</v>
      </c>
      <c r="I2" s="3" t="s">
        <v>3127</v>
      </c>
      <c r="J2" s="3" t="s">
        <v>3127</v>
      </c>
      <c r="K2" s="3" t="s">
        <v>3127</v>
      </c>
      <c r="L2" s="3" t="s">
        <v>3127</v>
      </c>
    </row>
    <row r="3" spans="1:12">
      <c r="B3" s="2" t="s">
        <v>3128</v>
      </c>
      <c r="G3" s="3" t="s">
        <v>3127</v>
      </c>
      <c r="H3" s="3" t="s">
        <v>3127</v>
      </c>
      <c r="I3" s="3" t="s">
        <v>3127</v>
      </c>
      <c r="J3" s="3" t="s">
        <v>3127</v>
      </c>
      <c r="K3" s="3" t="s">
        <v>3127</v>
      </c>
      <c r="L3" s="3" t="s">
        <v>3127</v>
      </c>
    </row>
    <row r="4" spans="1:12">
      <c r="B4" s="2" t="s">
        <v>3129</v>
      </c>
      <c r="G4" s="3" t="s">
        <v>3127</v>
      </c>
      <c r="H4" s="3" t="s">
        <v>3127</v>
      </c>
      <c r="I4" s="3" t="s">
        <v>3127</v>
      </c>
      <c r="J4" s="3" t="s">
        <v>3127</v>
      </c>
      <c r="K4" s="3" t="s">
        <v>3127</v>
      </c>
      <c r="L4" s="3" t="s">
        <v>3127</v>
      </c>
    </row>
    <row r="5" spans="1:12">
      <c r="B5" s="2" t="s">
        <v>3130</v>
      </c>
      <c r="G5" s="3" t="s">
        <v>3127</v>
      </c>
      <c r="H5" s="3" t="s">
        <v>3127</v>
      </c>
      <c r="I5" s="3" t="s">
        <v>3127</v>
      </c>
      <c r="J5" s="3" t="s">
        <v>3127</v>
      </c>
      <c r="K5" s="3" t="s">
        <v>3127</v>
      </c>
      <c r="L5" s="3" t="s">
        <v>3127</v>
      </c>
    </row>
    <row r="6" spans="1:12">
      <c r="B6" s="2" t="s">
        <v>3112</v>
      </c>
      <c r="G6" s="3" t="s">
        <v>3127</v>
      </c>
      <c r="H6" s="3" t="s">
        <v>3127</v>
      </c>
      <c r="I6" s="3" t="s">
        <v>3127</v>
      </c>
      <c r="J6" s="3" t="s">
        <v>3127</v>
      </c>
      <c r="K6" s="3" t="s">
        <v>3127</v>
      </c>
      <c r="L6" s="3" t="s">
        <v>3127</v>
      </c>
    </row>
    <row r="7" spans="1:12">
      <c r="B7" s="2" t="s">
        <v>3131</v>
      </c>
      <c r="G7" s="3" t="s">
        <v>3127</v>
      </c>
      <c r="H7" s="3" t="s">
        <v>3127</v>
      </c>
      <c r="I7" s="3" t="s">
        <v>3127</v>
      </c>
      <c r="J7" s="3" t="s">
        <v>3127</v>
      </c>
      <c r="K7" s="3" t="s">
        <v>3127</v>
      </c>
      <c r="L7" s="3" t="s">
        <v>3127</v>
      </c>
    </row>
    <row r="8" spans="1:12">
      <c r="B8" s="2" t="s">
        <v>3132</v>
      </c>
      <c r="G8" s="3" t="s">
        <v>3127</v>
      </c>
      <c r="H8" s="3" t="s">
        <v>3127</v>
      </c>
      <c r="I8" s="3" t="s">
        <v>3127</v>
      </c>
      <c r="J8" s="3" t="s">
        <v>3127</v>
      </c>
      <c r="K8" s="3" t="s">
        <v>3127</v>
      </c>
      <c r="L8" s="3" t="s">
        <v>3127</v>
      </c>
    </row>
    <row r="9" spans="1:12">
      <c r="B9" s="2" t="s">
        <v>3106</v>
      </c>
      <c r="G9" s="3" t="s">
        <v>3127</v>
      </c>
      <c r="H9" s="3" t="s">
        <v>3127</v>
      </c>
      <c r="I9" s="3" t="s">
        <v>3127</v>
      </c>
      <c r="J9" s="3" t="s">
        <v>3127</v>
      </c>
      <c r="K9" s="3" t="s">
        <v>3127</v>
      </c>
      <c r="L9" s="3" t="s">
        <v>3127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RRP 2026</vt:lpstr>
      <vt:lpstr>ON 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WPS_1735901862</cp:lastModifiedBy>
  <dcterms:created xsi:type="dcterms:W3CDTF">2024-11-26T14:37:00Z</dcterms:created>
  <dcterms:modified xsi:type="dcterms:W3CDTF">2026-02-02T06:30:15Z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22.1.4.0</vt:lpwstr>
  </property>
  <property fmtid="{D5CDD505-2E9C-101B-9397-08002B2CF9AE}" pid="3" name="ICV">
    <vt:lpwstr>15C8E64ADBCC48D3AF9B7D47594DF446_12</vt:lpwstr>
  </property>
  <property fmtid="{D5CDD505-2E9C-101B-9397-08002B2CF9AE}" pid="4" name="KSOProductBuildVer">
    <vt:lpwstr>2052-12.1.0.24657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