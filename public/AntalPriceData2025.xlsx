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RRP 2025" sheetId="1" r:id="rId1"/>
    <sheet name="ON REQUEST" sheetId="2" r:id="rId2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<sst xmlns="http://schemas.openxmlformats.org/spreadsheetml/2006/main" count="8540" uniqueCount="2771">
  <si>
    <t>Brand</t>
  </si>
  <si>
    <t>PartNumber</t>
  </si>
  <si>
    <t>ShortDescription</t>
  </si>
  <si>
    <t>chinese_short_descript</t>
  </si>
  <si>
    <t>Description</t>
  </si>
  <si>
    <t>chinese_long_descript</t>
  </si>
  <si>
    <t>RRP</t>
  </si>
  <si>
    <t>RRP113</t>
  </si>
  <si>
    <t>Wholesaler</t>
  </si>
  <si>
    <t>Distributor</t>
  </si>
  <si>
    <t>OEM</t>
  </si>
  <si>
    <t>Dealer</t>
  </si>
  <si>
    <t>Retail</t>
  </si>
  <si>
    <t>PUBBLICO 2025</t>
  </si>
  <si>
    <t>00301</t>
  </si>
  <si>
    <t>MINI S.STEEL BLOCK D034 SINGLE + FLAT SHACKLE</t>
  </si>
  <si>
    <t>00301C</t>
  </si>
  <si>
    <t>MINI S.STEEL BLOCK D034 SINGLE + FLAT SHACKLE + CA</t>
  </si>
  <si>
    <t>00301CSW</t>
  </si>
  <si>
    <t>MINI S.STEEL BLOCK D034 SINGLE + SWIVEL HEAD + CAM</t>
  </si>
  <si>
    <t>00301SW</t>
  </si>
  <si>
    <t>MINI S.STEEL BLOCK D034 SINGLE + SWIVEL HEAD</t>
  </si>
  <si>
    <t>00302</t>
  </si>
  <si>
    <t>MINI S.STEEL BLOCK D034 SINGLE AND BECKET + FLAT S</t>
  </si>
  <si>
    <t>00302C</t>
  </si>
  <si>
    <t>00302CSW</t>
  </si>
  <si>
    <t>SWIVEL BLOCK 34X6 BECKET AND CLEAT</t>
  </si>
  <si>
    <t>00302SW</t>
  </si>
  <si>
    <t>SWIVEL  BLOCK 34X6 W-BECKET</t>
  </si>
  <si>
    <t>00303</t>
  </si>
  <si>
    <t>MINI S.STEEL BLOCK D034 DOUBLE + S.STEEL SHACKLE D</t>
  </si>
  <si>
    <t>00303C</t>
  </si>
  <si>
    <t>00303CSW</t>
  </si>
  <si>
    <t>SWIVEL DOUBLE SHACKLE BLOCK 34X6 W- SHACKEL &amp; C.CL</t>
  </si>
  <si>
    <t>00303SW</t>
  </si>
  <si>
    <t>DOUBLE  BLOCK 34 SWIVEL HEAD</t>
  </si>
  <si>
    <t>00304</t>
  </si>
  <si>
    <t>MINI S.STEEL BLOCK D034 DOUBLE AND BECKET + S.STEE</t>
  </si>
  <si>
    <t>00304C</t>
  </si>
  <si>
    <t>00305</t>
  </si>
  <si>
    <t>MINI S.STEEL BLOCK D034 TRIPLE + S.STEEL SHACKLE D</t>
  </si>
  <si>
    <t>00305C</t>
  </si>
  <si>
    <t>00306</t>
  </si>
  <si>
    <t>MINI S.STEEL BLOCK D034 TRIPLE AND BECKET + S.STEE</t>
  </si>
  <si>
    <t>00306C</t>
  </si>
  <si>
    <t>TRIPLE BLOCK 34X6 W-BECKET, SHACKLE , CLEAT</t>
  </si>
  <si>
    <t>00311</t>
  </si>
  <si>
    <t>MINI S.STEEL DECK-BLOCK D034 FOOT BLOCK</t>
  </si>
  <si>
    <t>00316</t>
  </si>
  <si>
    <t>MINI S.STEEL DECK-BLOCK D034 STAND-UP</t>
  </si>
  <si>
    <t>00318D</t>
  </si>
  <si>
    <t>MAST BLOCK D034 DOUBLE</t>
  </si>
  <si>
    <t>00320</t>
  </si>
  <si>
    <t>MINI S.STEEL BLOCK D034 U-HEAD</t>
  </si>
  <si>
    <t>00321</t>
  </si>
  <si>
    <t>MINI S.STEEL BLOCK D034 U-HEAD AND BECKET</t>
  </si>
  <si>
    <t>00322</t>
  </si>
  <si>
    <t>MINI S.STEEL BLOCK D034 + SIMPLE PAD-EYE</t>
  </si>
  <si>
    <t>00323</t>
  </si>
  <si>
    <t>MINI S.STEEL DECK-BLOCK D034 UPRIGHT</t>
  </si>
  <si>
    <t>00324</t>
  </si>
  <si>
    <t>MINI S.STEEL DECK-BLOCK D034 OVER THE TOP</t>
  </si>
  <si>
    <t>00330</t>
  </si>
  <si>
    <t>MINI S.STEEL BLOCK D034 FIDDLE + FLAT SHACKLE</t>
  </si>
  <si>
    <t>00330C</t>
  </si>
  <si>
    <t>MINI S.STEEL BLOCK D034 FIDDLE + FLAT SHACKLE + CA</t>
  </si>
  <si>
    <t>00330CSW</t>
  </si>
  <si>
    <t>FIDDLE BLOCK 34X6 SWIVEL HEAD, C CLEAT</t>
  </si>
  <si>
    <t>00330SW</t>
  </si>
  <si>
    <t>FIDDLE BLOCK 34X6 SWIVEL HEAD</t>
  </si>
  <si>
    <t>00331</t>
  </si>
  <si>
    <t>MINI S.STEEL BLOCK D034 FIDDLE AND BECKET + FLAT S</t>
  </si>
  <si>
    <t>00331C</t>
  </si>
  <si>
    <t>FIDDLE BLOCK 34X6 BECKET, SHACKLE, C CLEAT</t>
  </si>
  <si>
    <t>00331CSW</t>
  </si>
  <si>
    <t>FIDDLE BLOCK 34X6 BECKET, SWIVEL HEAD, C CLEAT</t>
  </si>
  <si>
    <t>00331SW</t>
  </si>
  <si>
    <t>FIDDLE BLOCK 34X6 W-BECKET, SWIVEL HEAD</t>
  </si>
  <si>
    <t>00401</t>
  </si>
  <si>
    <t>MINI S.STEEL BLOCK D040 SINGLE + FLAT SHACKLE</t>
  </si>
  <si>
    <t>00401B</t>
  </si>
  <si>
    <t>SHACKLE BLOCK D40 SINGLE BUSH HEAD</t>
  </si>
  <si>
    <t>00401C</t>
  </si>
  <si>
    <t>MINI S.STEEL BLOCK D040 SINGLE + FLAT SHACKLE + CA</t>
  </si>
  <si>
    <t>00401CSW</t>
  </si>
  <si>
    <t>SWIVEL  BLOCK D40 W- C CLEAT</t>
  </si>
  <si>
    <t>00401SW</t>
  </si>
  <si>
    <t>SWIVEL BLOCK D40</t>
  </si>
  <si>
    <t>00402</t>
  </si>
  <si>
    <t>MINI S.STEEL BLOCK D040 SINGLE AND BECKET + FLAT S</t>
  </si>
  <si>
    <t>00402B</t>
  </si>
  <si>
    <t>SHACKLE BLOCK D40  W-BECKET BUSH HEAD</t>
  </si>
  <si>
    <t>00402C</t>
  </si>
  <si>
    <t>00402CSW</t>
  </si>
  <si>
    <t>SWIVEL SHACKLE BLOCK D40 W-BECKET, C CLEAT</t>
  </si>
  <si>
    <t>00402SW</t>
  </si>
  <si>
    <t>SWIVEL BLOCK D40 W-BECKET</t>
  </si>
  <si>
    <t>00403</t>
  </si>
  <si>
    <t>MINI S.STEEL BLOCK D040 DOUBLE + S.STEEL SHACKLE D</t>
  </si>
  <si>
    <t>00403C</t>
  </si>
  <si>
    <t>00404</t>
  </si>
  <si>
    <t>MINI S.STEEL BLOCK D040 DOUBLE AND BECKET + S.STEE</t>
  </si>
  <si>
    <t>00404C</t>
  </si>
  <si>
    <t>00405</t>
  </si>
  <si>
    <t>MINI S.STEEL BLOCK D040 TRIPLE + S.STEEL SHACKLE D</t>
  </si>
  <si>
    <t>00405C</t>
  </si>
  <si>
    <t>00406</t>
  </si>
  <si>
    <t>MINI S.STEEL BLOCK D040 TRIPLE AND BECKET + S.STEE</t>
  </si>
  <si>
    <t>00406C</t>
  </si>
  <si>
    <t>00411</t>
  </si>
  <si>
    <t>DECK BLOCK D 40</t>
  </si>
  <si>
    <t>00416</t>
  </si>
  <si>
    <t>MINI S.STEEL DECK-BLOCK D040 STAND-UP</t>
  </si>
  <si>
    <t>00418</t>
  </si>
  <si>
    <t>MAST BLOCK D 40</t>
  </si>
  <si>
    <t>00418D</t>
  </si>
  <si>
    <t>MAST BLOCK D040 DOUBLE</t>
  </si>
  <si>
    <t>00420</t>
  </si>
  <si>
    <t>MINI S.STEEL BLOCK D040 U-HEAD</t>
  </si>
  <si>
    <t>00421</t>
  </si>
  <si>
    <t>MINI S.STEEL BLOCK D040 U-HEAD AND BECKET</t>
  </si>
  <si>
    <t>00422</t>
  </si>
  <si>
    <t>MINI S.STEEL BLOCK D040 + SIMPLE PAD-EYE</t>
  </si>
  <si>
    <t>00423</t>
  </si>
  <si>
    <t>MINI S.STEEL DECK-BLOCK D040 UPRIGHT</t>
  </si>
  <si>
    <t>00424</t>
  </si>
  <si>
    <t>MINI S.STEEL DECK-BLOCK D040 OVER THE TOP</t>
  </si>
  <si>
    <t>00430</t>
  </si>
  <si>
    <t>MINI S.STEEL BLOCK D040 FIDDLE + FLAT SHACKLE</t>
  </si>
  <si>
    <t>00430B</t>
  </si>
  <si>
    <t>FIDDLE BLOCK D40 BUSH HEAD</t>
  </si>
  <si>
    <t>00430C</t>
  </si>
  <si>
    <t>MINI S.STEEL BLOCK D040 FIDDLE + FLAT SHACKLE + CA</t>
  </si>
  <si>
    <t>00430CSW</t>
  </si>
  <si>
    <t>FIDDLE BLOCK D40 SWIVEL HEAD, C CLEAT</t>
  </si>
  <si>
    <t>00430SW</t>
  </si>
  <si>
    <t>FIDDLE BLOCK D40 SWIVEL HEAD</t>
  </si>
  <si>
    <t>00431</t>
  </si>
  <si>
    <t>MINI S.STEEL BLOCK D040 FIDDLE AND BECKET + FLAT S</t>
  </si>
  <si>
    <t>00431B</t>
  </si>
  <si>
    <t>MINI S.STEEL BLOCK D040 FIDDLE AND BECKET + WEB HE</t>
  </si>
  <si>
    <t>00431C</t>
  </si>
  <si>
    <t>00431CSW</t>
  </si>
  <si>
    <t>FIDDLE BLOCK D40 W-BECKET, SWIVEL HEAD, C CLEAT</t>
  </si>
  <si>
    <t>00431SW</t>
  </si>
  <si>
    <t>FIDDLE BLOCK W-BECKET D40 SWIVEL HEAD</t>
  </si>
  <si>
    <t>00501</t>
  </si>
  <si>
    <t>OPF BLOCK D050 SINGLE + S.STEEL SHACKLE D005</t>
  </si>
  <si>
    <t>00501C</t>
  </si>
  <si>
    <t>OPF BLOCK D 50 W-SHACKLE, C CLEAT</t>
  </si>
  <si>
    <t>00501SN</t>
  </si>
  <si>
    <t>OPF BLOCK D 50 W-SNAP SHACKLE</t>
  </si>
  <si>
    <t>00502</t>
  </si>
  <si>
    <t>OPF BLOCK D050 SINGLE WITH BECKET + S.STEEL SHACKL</t>
  </si>
  <si>
    <t>00502C</t>
  </si>
  <si>
    <t>OPF BLOCK  50 W-BECKET, SHACKLE, C CLEAT</t>
  </si>
  <si>
    <t>00503</t>
  </si>
  <si>
    <t>OPF BLOCK D050 DOUBLE + S.STEEL SHACKLE D006</t>
  </si>
  <si>
    <t>00503C</t>
  </si>
  <si>
    <t>OPF BLOCK D050 DOUBLE + S.STEEL SHACKLE D006 + CAM</t>
  </si>
  <si>
    <t>00504</t>
  </si>
  <si>
    <t>OPF BLOCK D050 DOUBLE WITH BECKET + S.STEEL SHACKL</t>
  </si>
  <si>
    <t>00504C</t>
  </si>
  <si>
    <t>DOUBLE OPF BLOCK D 50 W-BECKET, SHACKLE, C CLEAT</t>
  </si>
  <si>
    <t>00505</t>
  </si>
  <si>
    <t>OPF BLOCK D050 TRIPLE + S.STEEL SHACKLE D006</t>
  </si>
  <si>
    <t>00505C</t>
  </si>
  <si>
    <t>TRIPLE OPF BLOCK D 50 W-SHACKLE, C CLEAT</t>
  </si>
  <si>
    <t>00506</t>
  </si>
  <si>
    <t>OPF BLOCK D050 TRIPLE WITH BECKET + S.STEEL SHACKL</t>
  </si>
  <si>
    <t>00506C</t>
  </si>
  <si>
    <t>00507</t>
  </si>
  <si>
    <t>OPF BLOCK D050 FIDDLE + S.STEEL SHACKLE D005</t>
  </si>
  <si>
    <t>00507C</t>
  </si>
  <si>
    <t>OPF FIDDLE BLOCK D 50 W-SHACKLE, C CLEAT</t>
  </si>
  <si>
    <t>00508</t>
  </si>
  <si>
    <t>OPF BLOCK D050 FIDDLE WITH BECKET + S.STEEL SHACKL</t>
  </si>
  <si>
    <t>00508C</t>
  </si>
  <si>
    <t>OPF FIDDLE BLOCK D 50 W-BECKET, SHACKLE, C CLEAT</t>
  </si>
  <si>
    <t>00509</t>
  </si>
  <si>
    <t>OPF WEB BLOCK D 50</t>
  </si>
  <si>
    <t>00510</t>
  </si>
  <si>
    <t>OPF BLOCK D050 WEB WITH BECKET</t>
  </si>
  <si>
    <t>00510C</t>
  </si>
  <si>
    <t>OPF WEB BLOCK  D 50 W-BECKET, C CLEAT</t>
  </si>
  <si>
    <t>00511</t>
  </si>
  <si>
    <t>OPF DECK-BLOCK D050 SINGLE</t>
  </si>
  <si>
    <t>00512</t>
  </si>
  <si>
    <t>OPF DECK-BLOCK D050 DOUBLE</t>
  </si>
  <si>
    <t>00513</t>
  </si>
  <si>
    <t>OPF BLOCK D050 SINGLE + U-BOLT D005</t>
  </si>
  <si>
    <t>00516</t>
  </si>
  <si>
    <t>OPF DECK-BLOCK D050 MAST BASE</t>
  </si>
  <si>
    <t>00517</t>
  </si>
  <si>
    <t>OPF DECK-BLOCK D050 UP-DOWN</t>
  </si>
  <si>
    <t>00518</t>
  </si>
  <si>
    <t>MAST BLOCK D50</t>
  </si>
  <si>
    <t>00518M</t>
  </si>
  <si>
    <t>005SS</t>
  </si>
  <si>
    <t>SHACKLE D05 A4</t>
  </si>
  <si>
    <t>00601</t>
  </si>
  <si>
    <t>OPF BLOCK D060 SINGLE + S.STEEL SHACKLE D006</t>
  </si>
  <si>
    <t>00601C</t>
  </si>
  <si>
    <t>OPF BLOCK D060 SINGLE + S.STEEL SHACKLE D006 + CAM</t>
  </si>
  <si>
    <t>00601J</t>
  </si>
  <si>
    <t>OPF BLOCK D060 SINGLE + LONG HEAD D06 L19,5</t>
  </si>
  <si>
    <t>00601SN</t>
  </si>
  <si>
    <t>OPF BLOCK D060 SINGLE + GLOMA SNAP-SHACKLE</t>
  </si>
  <si>
    <t>00602</t>
  </si>
  <si>
    <t>OPF BLOCK D060 SINGLE WITH BECKET + S.STEEL SHACKL</t>
  </si>
  <si>
    <t>00602C</t>
  </si>
  <si>
    <t>00603</t>
  </si>
  <si>
    <t>OPF BLOCK D060 DOUBLE + S.STEEL SHACKLE D008</t>
  </si>
  <si>
    <t>00603C</t>
  </si>
  <si>
    <t>OPF BLOCK D060 DOUBLE + S.STEEL SHACKLE D008 + CAM</t>
  </si>
  <si>
    <t>00604</t>
  </si>
  <si>
    <t>OPF BLOCK D060 DOUBLE WITH BECKET + S.STEEL SHACKL</t>
  </si>
  <si>
    <t>00604C</t>
  </si>
  <si>
    <t>00605</t>
  </si>
  <si>
    <t>OPF BLOCK D060 TRIPLE + S.STEEL SHACKLE D006</t>
  </si>
  <si>
    <t>00605C</t>
  </si>
  <si>
    <t>OPF BLOCK D060 TRIPLE + S.STEEL SHACKLE D006 + CAM</t>
  </si>
  <si>
    <t>00606</t>
  </si>
  <si>
    <t>OPF BLOCK D060 TRIPLE WITH BECKET + S.STEEL SHACKL</t>
  </si>
  <si>
    <t>00606C</t>
  </si>
  <si>
    <t>00607</t>
  </si>
  <si>
    <t>OPF BLOCK D060 FIDDLE + S.STEEL SHACKLE D006</t>
  </si>
  <si>
    <t>00607C</t>
  </si>
  <si>
    <t>OPF BLOCK D060 FIDDLE + S.STEEL SHACKLE D006 + CAM</t>
  </si>
  <si>
    <t>00608</t>
  </si>
  <si>
    <t>OPF BLOCK D060 FIDDLE WITH BECKET + S.STEEL SHACKL</t>
  </si>
  <si>
    <t>00608C</t>
  </si>
  <si>
    <t>00609</t>
  </si>
  <si>
    <t>OPF BLOCK D060 SIMPLE WEB</t>
  </si>
  <si>
    <t>00610</t>
  </si>
  <si>
    <t>OPF BLOCK D060 WEB WITH BECKET</t>
  </si>
  <si>
    <t>00610C</t>
  </si>
  <si>
    <t>OPF BLOCK D060 WEB WITH BECKET + CAM CLEAT</t>
  </si>
  <si>
    <t>00611</t>
  </si>
  <si>
    <t>OPF DECK-BLOCK D060 SINGLE</t>
  </si>
  <si>
    <t>00612</t>
  </si>
  <si>
    <t>OPF DECK-BLOCK D060 DOUBLE</t>
  </si>
  <si>
    <t>00613</t>
  </si>
  <si>
    <t>OPF BLOCK D060 SINGLE + U-BOLT D006</t>
  </si>
  <si>
    <t>00614</t>
  </si>
  <si>
    <t>OPF BLOCK D060 SINGLE + PAD-EYE D006</t>
  </si>
  <si>
    <t>00615</t>
  </si>
  <si>
    <t>OPF BLOCK D060 SINGLE + SCREWED EYEBOLT D006</t>
  </si>
  <si>
    <t>00616</t>
  </si>
  <si>
    <t>OPF DECK-BLOCK D060 MAST BASE</t>
  </si>
  <si>
    <t>00617</t>
  </si>
  <si>
    <t>OPF DECK-BLOCK D060 UP-DOWN</t>
  </si>
  <si>
    <t>00618</t>
  </si>
  <si>
    <t>MAST BLOCK D 60</t>
  </si>
  <si>
    <t>00619</t>
  </si>
  <si>
    <t>SWIVELLING HALYARD BLOCK D060</t>
  </si>
  <si>
    <t>00621</t>
  </si>
  <si>
    <t>ALU HOLLOW PIN DECK BLOCK D 60</t>
  </si>
  <si>
    <t>00621C</t>
  </si>
  <si>
    <t>ALU HOLLOW PIN DECK BLOCK D 60 , C CLEAT</t>
  </si>
  <si>
    <t>00631C</t>
  </si>
  <si>
    <t>MAIN BLOCK E6-60 WITH C-CLEAT</t>
  </si>
  <si>
    <t>00632C</t>
  </si>
  <si>
    <t>MAIN BLOCK E7-60 WITH C-CLEAT</t>
  </si>
  <si>
    <t>00633C</t>
  </si>
  <si>
    <t>MAIN BLOCK E8-60 WITH C-CLEAT</t>
  </si>
  <si>
    <t>006HR</t>
  </si>
  <si>
    <t>SHACKLE D06 17-4-PH</t>
  </si>
  <si>
    <t>006SS</t>
  </si>
  <si>
    <t>SHACKLE D06 A4</t>
  </si>
  <si>
    <t>00701</t>
  </si>
  <si>
    <t>OPF BLOCK D070 SINGLE + HR SHACKLE D006</t>
  </si>
  <si>
    <t>00701C</t>
  </si>
  <si>
    <t>OPF BLOCK D070 SINGLE + HR SHACKLE D006 + CAM CLEA</t>
  </si>
  <si>
    <t>00701SN</t>
  </si>
  <si>
    <t>OPF BLOCK D 70 WITH WICHARD  HR SNAP SHACKLE</t>
  </si>
  <si>
    <t>00702</t>
  </si>
  <si>
    <t>OPF BLOCK D070 SINGLE WITH BECKET + HR SHACKLE D00</t>
  </si>
  <si>
    <t>00702C</t>
  </si>
  <si>
    <t>00703</t>
  </si>
  <si>
    <t>OPF BLOCK D070 DOUBLE + HR SHACKLE D006</t>
  </si>
  <si>
    <t>00703C</t>
  </si>
  <si>
    <t>OPF BLOCK D070 DOUBLE + HR SHACKLE D006 + CAM CLEA</t>
  </si>
  <si>
    <t>00704</t>
  </si>
  <si>
    <t>OPF BLOCK D070 DOUBLE WITH BECKET + HR SHACKLE D00</t>
  </si>
  <si>
    <t>00704C</t>
  </si>
  <si>
    <t>00705</t>
  </si>
  <si>
    <t>OPF BLOCK D070 TRIPLE + HR SHACKLE D006</t>
  </si>
  <si>
    <t>00705C</t>
  </si>
  <si>
    <t>OPF BLOCK D070 TRIPLE + HR SHACKLE D006 + CAM CLEA</t>
  </si>
  <si>
    <t>00706</t>
  </si>
  <si>
    <t>OPF BLOCK D070 TRIPLE WITH BECKET + HR SHACKLE D00</t>
  </si>
  <si>
    <t>00706C</t>
  </si>
  <si>
    <t>00707</t>
  </si>
  <si>
    <t>OPF BLOCK D070 FIDDLE + HR SHACKLE D006</t>
  </si>
  <si>
    <t>00707C</t>
  </si>
  <si>
    <t>OPF FIDDLE BLOCK D 70 W-SHACKLE, C CLEAT</t>
  </si>
  <si>
    <t>00708</t>
  </si>
  <si>
    <t>OPF BLOCK D070 FIDDLE WITH BECKET + HR SHACKLE D00</t>
  </si>
  <si>
    <t>00708C</t>
  </si>
  <si>
    <t>00709</t>
  </si>
  <si>
    <t>OPF BLOCK D070 SINGLE + WEB HEAD</t>
  </si>
  <si>
    <t>00710</t>
  </si>
  <si>
    <t>OPF BLOCK D070 SINGLE WITH BECKET + WEB HEAD</t>
  </si>
  <si>
    <t>00710C</t>
  </si>
  <si>
    <t>OPF BLOCK D070 SINGLE WITH BECKET + WEB HEAD + CAM</t>
  </si>
  <si>
    <t>00711</t>
  </si>
  <si>
    <t>OPF DECK BLOCK D 70</t>
  </si>
  <si>
    <t>00712</t>
  </si>
  <si>
    <t>DOUBLE OPF DECK BLOCK D 70</t>
  </si>
  <si>
    <t>00713</t>
  </si>
  <si>
    <t>OPF BLOCK D 70 + U-BOLT</t>
  </si>
  <si>
    <t>00714</t>
  </si>
  <si>
    <t>OPF BLOCK D070 SINGLE + PAD-EYE D008</t>
  </si>
  <si>
    <t>00715</t>
  </si>
  <si>
    <t>OPF  BLOCK D 70 + SCREWED PAD-EYE</t>
  </si>
  <si>
    <t>00716</t>
  </si>
  <si>
    <t>OPF BLOCK  D 70 VERTICAL FIX</t>
  </si>
  <si>
    <t>00717</t>
  </si>
  <si>
    <t>OPF BLOCK D 70 UP- DOWN</t>
  </si>
  <si>
    <t>00718</t>
  </si>
  <si>
    <t>MAST BLOCK D 70</t>
  </si>
  <si>
    <t>00718Z</t>
  </si>
  <si>
    <t>MAST BLOCK D 70 REINIFORCED</t>
  </si>
  <si>
    <t>00731C</t>
  </si>
  <si>
    <t>MAIN BLOCK E6-75 WITH C-CLEAT</t>
  </si>
  <si>
    <t>00732C</t>
  </si>
  <si>
    <t>MAIN BLOCK E7-75 WITH C-CLEAT</t>
  </si>
  <si>
    <t>00733C</t>
  </si>
  <si>
    <t>MAIN BLOCK E8-75 WITH C-CLEAT</t>
  </si>
  <si>
    <t>00801</t>
  </si>
  <si>
    <t>OPF BLOCK D080 SINGLE + HR SHACKLE D008</t>
  </si>
  <si>
    <t>00801J1</t>
  </si>
  <si>
    <t>OPF BLOCK D080 SINGLE + LONG HEAD D08 L14</t>
  </si>
  <si>
    <t>00801J2</t>
  </si>
  <si>
    <t>OPF BLOCK D080 SINGLE + LONG HEAD D10 L36</t>
  </si>
  <si>
    <t>5150-00801J</t>
  </si>
  <si>
    <t>DOUBLE MAIN CAR 4R 31X21 2X150 + STAND-UP JOINT +2X BLOCKS 00801J</t>
  </si>
  <si>
    <t>CUS0351</t>
  </si>
  <si>
    <t>31X21 TRACK STOP-PIN HOLES AL L4000 + FIX M8 SP100 + STOP-PIN SP50 + BENT RH15000</t>
  </si>
  <si>
    <t>00801SN</t>
  </si>
  <si>
    <t>SWIVEL OPF BLOCK D60+SNAP</t>
  </si>
  <si>
    <t>00802</t>
  </si>
  <si>
    <t>OPF BLOCK  D 80 W/BECKET, SHACKLE</t>
  </si>
  <si>
    <t>00803</t>
  </si>
  <si>
    <t>DOUBLE OPF BLOCK D 80</t>
  </si>
  <si>
    <t>00803J2</t>
  </si>
  <si>
    <t>DOUBLE BLOCK D80 SPECIAL STAND-UP HEAD X4 R 260</t>
  </si>
  <si>
    <t>00807</t>
  </si>
  <si>
    <t>OPF BLOCK D080 FIDDLE + HR SHACKLE D008</t>
  </si>
  <si>
    <t>00808</t>
  </si>
  <si>
    <t>OPF FIDDLE BLOCK D 80 W/BECKET, SHACKLE</t>
  </si>
  <si>
    <t>00809</t>
  </si>
  <si>
    <t>OPF WEB BLOCK D 80</t>
  </si>
  <si>
    <t>00810</t>
  </si>
  <si>
    <t>OPF WEB BLOCK  W/BECKET</t>
  </si>
  <si>
    <t>00811</t>
  </si>
  <si>
    <t>OPF DECK BLOCK D 80</t>
  </si>
  <si>
    <t>00812</t>
  </si>
  <si>
    <t>DOUBLE OPF DECK BLOCK D 80</t>
  </si>
  <si>
    <t>00813</t>
  </si>
  <si>
    <t>OPF BLOCK D 80 ON U-BOLT</t>
  </si>
  <si>
    <t>00814</t>
  </si>
  <si>
    <t>OPF BLOCK D 80  ON 4 SCREWS  PAD-EYE</t>
  </si>
  <si>
    <t>00815</t>
  </si>
  <si>
    <t>OPF BLOCK D 80 ON SCREWED PAD-EYE</t>
  </si>
  <si>
    <t>00816</t>
  </si>
  <si>
    <t>OPF BLOCK  D 80 VERTICAL FIX</t>
  </si>
  <si>
    <t>00818</t>
  </si>
  <si>
    <t>MAST BLOCK D 80</t>
  </si>
  <si>
    <t>00818Z</t>
  </si>
  <si>
    <t>MAST BLOCK D 80 REINFORCED</t>
  </si>
  <si>
    <t>00819</t>
  </si>
  <si>
    <t>SWIVELING HALYARD BLOCK D 80</t>
  </si>
  <si>
    <t>00821</t>
  </si>
  <si>
    <t>ALU HOLLOW PIN DECK BLOCK D 80</t>
  </si>
  <si>
    <t>008HR</t>
  </si>
  <si>
    <t>SHACKLE D08 A4 17-4-PH</t>
  </si>
  <si>
    <t>008SS</t>
  </si>
  <si>
    <t>SHACKLE D08 A4</t>
  </si>
  <si>
    <t>01001</t>
  </si>
  <si>
    <t>OPF BLOCK D 100 W/SHACKLE</t>
  </si>
  <si>
    <t>01001J2</t>
  </si>
  <si>
    <t>OPF BLOCK D100 SINGLE + LONG HEAD D10 L25</t>
  </si>
  <si>
    <t>01001SN</t>
  </si>
  <si>
    <t>OPF BLOCK D100 SINGLE + WICHARD SNAP-SHACKLE</t>
  </si>
  <si>
    <t>01002</t>
  </si>
  <si>
    <t>OPF BLOCK D 100  W/BECKET W/SHACKLE</t>
  </si>
  <si>
    <t>01003</t>
  </si>
  <si>
    <t>DOUBLE OPF BLOCK D 100</t>
  </si>
  <si>
    <t>01007</t>
  </si>
  <si>
    <t>OPF FIDDLE BLOCK D 100 W/SHACKLE</t>
  </si>
  <si>
    <t>01008</t>
  </si>
  <si>
    <t>OPF BLOCK D100 FIDDLE WITH BECKET + HR SHACKLE D01</t>
  </si>
  <si>
    <t>01009</t>
  </si>
  <si>
    <t>OPF WEB BLOCK D 100</t>
  </si>
  <si>
    <t>01010</t>
  </si>
  <si>
    <t>OPF WEB BLOCK D 100 W/BECKET</t>
  </si>
  <si>
    <t>01011</t>
  </si>
  <si>
    <t>OPF DECK-BLOCK D100 SINGLE</t>
  </si>
  <si>
    <t>01012</t>
  </si>
  <si>
    <t>DOUBLE OPF DECK BLOCK D 100</t>
  </si>
  <si>
    <t>01014</t>
  </si>
  <si>
    <t>OPF BLOCK D 100 ON PAD-EYE</t>
  </si>
  <si>
    <t>01015</t>
  </si>
  <si>
    <t>OPF BLOCK D 100 ON SCREWED PAD-EYE</t>
  </si>
  <si>
    <t>01016</t>
  </si>
  <si>
    <t>OPF 100 VERTICAL FIX</t>
  </si>
  <si>
    <t>01018</t>
  </si>
  <si>
    <t>MAST BLOCK D 100</t>
  </si>
  <si>
    <t>01018Z</t>
  </si>
  <si>
    <t>MAST BLOCK D 100 REINFORCED</t>
  </si>
  <si>
    <t>01019</t>
  </si>
  <si>
    <t>SWIVELING HALYARD BLOCK D100</t>
  </si>
  <si>
    <t>01021</t>
  </si>
  <si>
    <t>ALU HOLLOW PIN DECK BLOCK D 100</t>
  </si>
  <si>
    <t>01021D</t>
  </si>
  <si>
    <t>//excel信息不足，需要完善此项</t>
  </si>
  <si>
    <t>010HR</t>
  </si>
  <si>
    <t>HR SHACKLE D10</t>
  </si>
  <si>
    <t>010SS</t>
  </si>
  <si>
    <t>AISI316 SHACKLE D10</t>
  </si>
  <si>
    <t>01201</t>
  </si>
  <si>
    <t>OPF BLOCK D 120 W/SHACKLE</t>
  </si>
  <si>
    <t>01202</t>
  </si>
  <si>
    <t>OPF BLOCK D 120 W/BECKET, SHACKLE</t>
  </si>
  <si>
    <t>01209</t>
  </si>
  <si>
    <t>OPF WEB BLOCK D 120</t>
  </si>
  <si>
    <t>01210</t>
  </si>
  <si>
    <t>OPF WEB BLOCK D 120 W/BECKET</t>
  </si>
  <si>
    <t>01211</t>
  </si>
  <si>
    <t>OPF DECK BLOCK D 120</t>
  </si>
  <si>
    <t>01212</t>
  </si>
  <si>
    <t>DOUBLE OPF DECK BLOCK D 120</t>
  </si>
  <si>
    <t>01214</t>
  </si>
  <si>
    <t>OPF BLOCK D120 SINGLE + PAD-EYE D014</t>
  </si>
  <si>
    <t>01215</t>
  </si>
  <si>
    <t>OPF BLOCK D 120 ON SCREWED PAD-EYE</t>
  </si>
  <si>
    <t>01216</t>
  </si>
  <si>
    <t>OPF BLOCK  D120 VERTICAL FIX</t>
  </si>
  <si>
    <t>01218</t>
  </si>
  <si>
    <t>MAST BLOCK D120</t>
  </si>
  <si>
    <t>01218Z</t>
  </si>
  <si>
    <t>MAST BLOCK D120 REINFORCED</t>
  </si>
  <si>
    <t>012HR</t>
  </si>
  <si>
    <t>HR SHACKLE D12</t>
  </si>
  <si>
    <t>012SS</t>
  </si>
  <si>
    <t>AISI316 SHACKLE D12</t>
  </si>
  <si>
    <t>01401</t>
  </si>
  <si>
    <t>OPF BLOCK 140 W/SHACKLE</t>
  </si>
  <si>
    <t>01402</t>
  </si>
  <si>
    <t>OPF BLOCK D 140 W/BECKET, SHACKLE</t>
  </si>
  <si>
    <t>01409</t>
  </si>
  <si>
    <t>OPF WEB BLOCK D 140</t>
  </si>
  <si>
    <t>01410</t>
  </si>
  <si>
    <t>OPF WEB BLOCK 140 W/BECKET</t>
  </si>
  <si>
    <t>01411</t>
  </si>
  <si>
    <t>OPF DECK BLOCK D 140</t>
  </si>
  <si>
    <t>01412</t>
  </si>
  <si>
    <t>DOUBLE OPF  DECK BLOCK D 140</t>
  </si>
  <si>
    <t>01414</t>
  </si>
  <si>
    <t>OPF BLOCK D 140 ON PAD-EYE</t>
  </si>
  <si>
    <t>01415</t>
  </si>
  <si>
    <t>OPF BLOCK 140 ON SCREWED PAD-EYE</t>
  </si>
  <si>
    <t>01418Z</t>
  </si>
  <si>
    <t>MAST BLOCK D140 REINFORCED</t>
  </si>
  <si>
    <t>014HR</t>
  </si>
  <si>
    <t>HR SHACKLE D14</t>
  </si>
  <si>
    <t>014SS</t>
  </si>
  <si>
    <t>AISI316 SHACKLE D14</t>
  </si>
  <si>
    <t>02830M</t>
  </si>
  <si>
    <t>MEKTON SHEAVE D 28 H 30 FOR ORGANIZER</t>
  </si>
  <si>
    <t>03411M</t>
  </si>
  <si>
    <t>SHEAVE D034-008 T12 RESIN + S.STEEL HUB (S.STEEL M</t>
  </si>
  <si>
    <t>03413M</t>
  </si>
  <si>
    <t>SHEAVE D034-008 T13,5 RESIN + S.STEEL HUB (S.STEEL</t>
  </si>
  <si>
    <t>04013M</t>
  </si>
  <si>
    <t>SHEAVE D040-008 T12 RESIN + S.STEEL HUB (S.STEEL M</t>
  </si>
  <si>
    <t>04514M</t>
  </si>
  <si>
    <t>SHEAVE D045-008 T14 RESIN + S.STEEL HUB (S.STEEL M</t>
  </si>
  <si>
    <t>04919F</t>
  </si>
  <si>
    <t>SHEAVE D048-016 T18 RESIN + S.STEEL HUB (FIDDLE OP</t>
  </si>
  <si>
    <t>05114M</t>
  </si>
  <si>
    <t>SHEAVE D050-008 T14 RESIN + S.STEEL HUB (OPF)</t>
  </si>
  <si>
    <t>06016F</t>
  </si>
  <si>
    <t>SHEAVE D060-012 T16 RESIN + S.STEEL HUB (OPF)</t>
  </si>
  <si>
    <t>06421F</t>
  </si>
  <si>
    <t>SHEAVE D064-020 T21 RESIN + S.STEEL HUB (FIDDLE OP</t>
  </si>
  <si>
    <t>07016F</t>
  </si>
  <si>
    <t>SHEAVE D070-012 T16 RESIN + S.STEEL HUB (OPF)</t>
  </si>
  <si>
    <t>07016R</t>
  </si>
  <si>
    <t>ROLLER BEARING SHEAVE DE070 X L16 - DI12 (OPF 070)</t>
  </si>
  <si>
    <t>07116R</t>
  </si>
  <si>
    <t>ROLLER BEARING SHEAVE D070-016 T16 ALU + S.STEEL H</t>
  </si>
  <si>
    <t>08019F</t>
  </si>
  <si>
    <t>SHEAVE D080-016 T19 RESIN + S.STEEL HUB (OPF)</t>
  </si>
  <si>
    <t>08019R</t>
  </si>
  <si>
    <t>ROLLER BEARING SHEAVE D080 - 016 L19 AL BLACK + S.</t>
  </si>
  <si>
    <t>08119R</t>
  </si>
  <si>
    <t>LOOPER 80 SHEAVE ROLLER BEARING</t>
  </si>
  <si>
    <t>08822F</t>
  </si>
  <si>
    <t>SHEAVE D088 - 016 T22,3 RESIN + S.STEEL HUB</t>
  </si>
  <si>
    <t>10021A</t>
  </si>
  <si>
    <t>SHEAVE D100-020 T21 ALU + S.STEEL HUB (OPF)</t>
  </si>
  <si>
    <t>10021R</t>
  </si>
  <si>
    <t>OPF 100 SHEAVE ROLLER BEARING</t>
  </si>
  <si>
    <t>10121R</t>
  </si>
  <si>
    <t>LOOPER 100 SHEAVE ROLLER BEARING</t>
  </si>
  <si>
    <t>12025A</t>
  </si>
  <si>
    <t>SHEAVE D120-024 T25 ALU + S.STEEL HUB (OPF)</t>
  </si>
  <si>
    <t>14025A</t>
  </si>
  <si>
    <t>SHEAVE D140-032 T25 ALU + S.STEEL HUB (OPF)</t>
  </si>
  <si>
    <t>15029A</t>
  </si>
  <si>
    <t>SHEAVE D150-034 T29 ALU + S.STEEL HUB (XXL BLOCK)</t>
  </si>
  <si>
    <t>18035A</t>
  </si>
  <si>
    <t>SHEAVE D180 - 040 L35 AL BLACK + S.STEEL HUB</t>
  </si>
  <si>
    <t>2011</t>
  </si>
  <si>
    <t>WINCH HANDLE 200 MM</t>
  </si>
  <si>
    <t>2011NL</t>
  </si>
  <si>
    <t>WINCH HANDLE 200MM WITHOUT LOCK-IN</t>
  </si>
  <si>
    <t>2011W</t>
  </si>
  <si>
    <t>WINCH HANDLE 200MM, WOODEN GRIP</t>
  </si>
  <si>
    <t>2012</t>
  </si>
  <si>
    <t>WINCH HANDLE 200MM BALL GRIP</t>
  </si>
  <si>
    <t>2012NL</t>
  </si>
  <si>
    <t>WINCH HANDLE 200MM BALL GRIP WITHOUT LOCK-IN</t>
  </si>
  <si>
    <t>2014</t>
  </si>
  <si>
    <t>WINCH HANDLE 200 MM MINI  BALL GRIP</t>
  </si>
  <si>
    <t>WINCH HANDLE 250MM</t>
  </si>
  <si>
    <t>2021NL</t>
  </si>
  <si>
    <t>WINCH HANDLE 250MM WITHOUT LOCK-IN</t>
  </si>
  <si>
    <t>2021W</t>
  </si>
  <si>
    <t>WINCH HANDLE 250MM WOODEN GRIP</t>
  </si>
  <si>
    <t>2022</t>
  </si>
  <si>
    <t>WINCH HANDLE 250MM BALL GRIP</t>
  </si>
  <si>
    <t>2022NL</t>
  </si>
  <si>
    <t>2023</t>
  </si>
  <si>
    <t>WINCH HANDLE 250MM DOUBLE GRIP</t>
  </si>
  <si>
    <t>2023NL</t>
  </si>
  <si>
    <t>WINCH HANDLE L250 ALU BLACK + DOUBLE GRIP - NO LOC</t>
  </si>
  <si>
    <t>2031</t>
  </si>
  <si>
    <t>CHROME WINCH HANDLE 250MM</t>
  </si>
  <si>
    <t>2031NL</t>
  </si>
  <si>
    <t>CHROME WINCH HANDLE 250MM WITHOUT LOCK-IN</t>
  </si>
  <si>
    <t>2031W</t>
  </si>
  <si>
    <t>CHROME HANDLE 250MM WOODEN GRIP</t>
  </si>
  <si>
    <t>2031WBN</t>
  </si>
  <si>
    <t>YELLOW BRONZE HANDLE  WOODEN GRIP</t>
  </si>
  <si>
    <t>2032</t>
  </si>
  <si>
    <t>CHROME WINCH HANDLE 250MM BALL GRIP</t>
  </si>
  <si>
    <t>2032NL</t>
  </si>
  <si>
    <t>WINCH CLASSIC HANDLE L250 CHROMED + BALL-GRIP - NO</t>
  </si>
  <si>
    <t>2033</t>
  </si>
  <si>
    <t>DOUBLE  HANDGRIP BRONZE HANDLE</t>
  </si>
  <si>
    <t>2033NL</t>
  </si>
  <si>
    <t xml:space="preserve">WINCH CLASSIC HANDLE L250 CHROMED + DOUBLE GRIP - </t>
  </si>
  <si>
    <t>2033WBN</t>
  </si>
  <si>
    <t>BRONZE WINCH HANDLE 250MM DOUBLE WOODEN GRIP</t>
  </si>
  <si>
    <t>2111</t>
  </si>
  <si>
    <t>SPEEDYLOCK WINCH HANDLE L200 ALU + SINGLE GRIP</t>
  </si>
  <si>
    <t>2112</t>
  </si>
  <si>
    <t>SPEEDYLOCK WINCH HANDLE L200 ALU + BALL-GRIP</t>
  </si>
  <si>
    <t>2114</t>
  </si>
  <si>
    <t>SPEEDYLOCK WINCH HANDLE L200 ALU + MINI BALL-GRIP</t>
  </si>
  <si>
    <t>2121</t>
  </si>
  <si>
    <t>SPEEDYLOCK WINCH HANDLE 250MM</t>
  </si>
  <si>
    <t>2122</t>
  </si>
  <si>
    <t>SPEEDYLOCK WINCH HANDLE 250MM BALL GRIP</t>
  </si>
  <si>
    <t>2123</t>
  </si>
  <si>
    <t>SPEEDYLOCK WINCH HANDLE 250MM DOUBLE GRIP</t>
  </si>
  <si>
    <t>2124</t>
  </si>
  <si>
    <t>SPEEDYLOCK WINCH HANDLE L250 ALU BLACK + MINI BALL</t>
  </si>
  <si>
    <t>21843A</t>
  </si>
  <si>
    <t>SHEAVE D218-034 T43 ALU + S.STEEL HUB (XXL BLOCK)</t>
  </si>
  <si>
    <t>240.010</t>
  </si>
  <si>
    <t>LINE DRIVER</t>
  </si>
  <si>
    <t>24856A</t>
  </si>
  <si>
    <t>SHEAVE D248 - 053 T56 AL + S.STEEL HUB</t>
  </si>
  <si>
    <t>251.035AG</t>
  </si>
  <si>
    <t>GREY SWITCH WITH ALU COVER</t>
  </si>
  <si>
    <t>251.035AR</t>
  </si>
  <si>
    <t>RED SWITCH WITH ALU COVER</t>
  </si>
  <si>
    <t>251.035G</t>
  </si>
  <si>
    <t>GREY SWITCH RUBBER</t>
  </si>
  <si>
    <t>251.035QG</t>
  </si>
  <si>
    <t>GREY SWITCH WITH PLASTIC COVER</t>
  </si>
  <si>
    <t>251.035QR</t>
  </si>
  <si>
    <t>RED SWITCH WITH PLASTIC COVER</t>
  </si>
  <si>
    <t>251.035R</t>
  </si>
  <si>
    <t>RED SWITCH RUBBER</t>
  </si>
  <si>
    <t>251.035S</t>
  </si>
  <si>
    <t>SWITCH BODY S.STEEL</t>
  </si>
  <si>
    <t>251.035SG</t>
  </si>
  <si>
    <t>GREY SWITCH WITH S.STEEL COVER</t>
  </si>
  <si>
    <t>251.035SR</t>
  </si>
  <si>
    <t>RED SWITCH WITH S.STEEL COVER</t>
  </si>
  <si>
    <t>4100</t>
  </si>
  <si>
    <t>MAIN CAR 4R 27X20 SIZE 100 + STAND-UP JOINT</t>
  </si>
  <si>
    <t>4100F</t>
  </si>
  <si>
    <t>FLAT SERIES CAR 4R 27X20 SIZE 100 + 2X M6 HOLES</t>
  </si>
  <si>
    <t>4100SH</t>
  </si>
  <si>
    <t>MAIN CAR 4R 27X20 SIZE 100 + SHACKLE D6</t>
  </si>
  <si>
    <t>4101</t>
  </si>
  <si>
    <t>MAIN CAR 4R 27X20 SIZE 100 + STAND-UP JOINT + 2X B</t>
  </si>
  <si>
    <t>4102</t>
  </si>
  <si>
    <t>MAIN CAR 4R 27X20 SIZE 100 + STAND-UP JOINT + 2X S</t>
  </si>
  <si>
    <t>4102SH</t>
  </si>
  <si>
    <t>MAIN CAR 4R 27X20 SIZE 100 + SHACKLE D6 + 2X SHEAV</t>
  </si>
  <si>
    <t>4103</t>
  </si>
  <si>
    <t>4103SH</t>
  </si>
  <si>
    <t>4110</t>
  </si>
  <si>
    <t>MAIN CAR 4R 31X21 SIZE 110 + STAND-UP JOINT</t>
  </si>
  <si>
    <t>4110D</t>
  </si>
  <si>
    <t>CAR FOR DYNEEMA LINKS 4R 31X21 SIZE 110</t>
  </si>
  <si>
    <t>4110F</t>
  </si>
  <si>
    <t>FLAT SERIES CAR 4R 31X21 SIZE 110</t>
  </si>
  <si>
    <t>4110SH</t>
  </si>
  <si>
    <t>MAIN CAR 4R 31X21 SIZE 110 + SHACKLE D08</t>
  </si>
  <si>
    <t>4112</t>
  </si>
  <si>
    <t>MAIN CAR 4R 31X21 SIZE 110 + STAND-UP JOINT + 2X S</t>
  </si>
  <si>
    <t>4113</t>
  </si>
  <si>
    <t>4114</t>
  </si>
  <si>
    <t>BB CAR SIZE 110, 2+2 SHEAVES</t>
  </si>
  <si>
    <t>4118</t>
  </si>
  <si>
    <t xml:space="preserve">DOUBLE LRS CAR 4R 31X21 2X110 + LONG SHACKLE D8 + </t>
  </si>
  <si>
    <t>4119SP</t>
  </si>
  <si>
    <t>4RACE 31X21 LRS CAR 110 + HR LONG SHACKLE D08 + ST</t>
  </si>
  <si>
    <t>4123</t>
  </si>
  <si>
    <t>BB CAR SIZE 260 1+1 SHEAVE &amp; BECKET</t>
  </si>
  <si>
    <t>4124</t>
  </si>
  <si>
    <t>BB CAR SIZE 260 2+2SHEAVES</t>
  </si>
  <si>
    <t>4127</t>
  </si>
  <si>
    <t>MAIN CAR 4R 31X21 SIZE 260 + DOUBLE JOINT + 2X SHE</t>
  </si>
  <si>
    <t>4150</t>
  </si>
  <si>
    <t>BB CAR SIZE 150 W/JOINT</t>
  </si>
  <si>
    <t>4150C</t>
  </si>
  <si>
    <t>TRANSVERSE GENOA CAR 4R 31X21 SIZE 150 + BECKET</t>
  </si>
  <si>
    <t>4150D</t>
  </si>
  <si>
    <t>CAR FOR DYNEEMA LINKS 4R 31X21 SIZE 150</t>
  </si>
  <si>
    <t>4150F</t>
  </si>
  <si>
    <t>FLAT SERIES CAR 4R 31X21 SIZE 150 + 2X M10 HOLES</t>
  </si>
  <si>
    <t>4150SH</t>
  </si>
  <si>
    <t>MAIN CAR 4R 31X21 SIZE 150 + SHACKLE D8</t>
  </si>
  <si>
    <t>4153</t>
  </si>
  <si>
    <t>MAIN CAR 4R 31X21 SIZE 150 + STAND-UP JOINT + 2X S</t>
  </si>
  <si>
    <t>4154</t>
  </si>
  <si>
    <t>MAIN CAR 4R 31X21 SIZE 150 + STAND-UP JOINT + 2X D</t>
  </si>
  <si>
    <t>4155</t>
  </si>
  <si>
    <t>4RACE 31X21 MAIN CAR 150 + STAND-UP JOINT + 2X DOU</t>
  </si>
  <si>
    <t>4190</t>
  </si>
  <si>
    <t>BB CAR SIZE 190 W/JOINT</t>
  </si>
  <si>
    <t>4190-2DC</t>
  </si>
  <si>
    <t xml:space="preserve">DOUBLE CAR SIZE 190 DYNEEMA LINKS + STEEL JOINT - </t>
  </si>
  <si>
    <t>4190D</t>
  </si>
  <si>
    <t>CAR FOR DYNEEMA LINKS 4R 31X21 SIZE 190</t>
  </si>
  <si>
    <t>4190F</t>
  </si>
  <si>
    <t>BB CAR SIZE 190 FLAT WITH HOLES D10</t>
  </si>
  <si>
    <t>4190H</t>
  </si>
  <si>
    <t>4RACE 31X21 OUTHAUL SLIDER 190</t>
  </si>
  <si>
    <t>4190JP</t>
  </si>
  <si>
    <t>4RACE 31X21 ROUGH CAR 190 + TORLON BALLS</t>
  </si>
  <si>
    <t>4190SH</t>
  </si>
  <si>
    <t>MAIN CAR 4R 31X21 SIZE 190 + SHACKLE D10</t>
  </si>
  <si>
    <t>4194</t>
  </si>
  <si>
    <t>MAIN CAR 4R 31X21 SIZE 190 + STAND-UP JOINT + 2X D</t>
  </si>
  <si>
    <t>4195</t>
  </si>
  <si>
    <t>BB CAR SIZE 190, 2+2 SHEAVES &amp; BECKET</t>
  </si>
  <si>
    <t>4196</t>
  </si>
  <si>
    <t>BB CAR SIZE 190, 3+3 SHEAVES</t>
  </si>
  <si>
    <t>4197</t>
  </si>
  <si>
    <t>4R 31X21 MAIN CAR 190 + DOUBLE STAND-UP JOINT</t>
  </si>
  <si>
    <t>4199</t>
  </si>
  <si>
    <t>BB CAR SIZE 190, DOUBLE JOINT, 2+2 SHEAVES</t>
  </si>
  <si>
    <t>4230D</t>
  </si>
  <si>
    <t>CAR FOR DYNEEMA LINKS 4R 31X21 SIZE 230</t>
  </si>
  <si>
    <t>4260H</t>
  </si>
  <si>
    <t>BB CAR SIZE 260 OUTHAUL</t>
  </si>
  <si>
    <t>4261</t>
  </si>
  <si>
    <t>END FITTING 4R 27X20 SIMPLE RESIN MADE</t>
  </si>
  <si>
    <t>4262</t>
  </si>
  <si>
    <t>END-FITTING 4R 27X20 - ALU + 1 SHEAVE D35 + WHITOU</t>
  </si>
  <si>
    <t>4263</t>
  </si>
  <si>
    <t>END-FITTING 4R 27X20 - ALU + 1 SHEAVE D35 + FRONTA</t>
  </si>
  <si>
    <t>4264</t>
  </si>
  <si>
    <t>END-FITTING 4R 27X20 - ALU + 2 SHEAVES D35</t>
  </si>
  <si>
    <t>4264Z</t>
  </si>
  <si>
    <t>END-FITTING 4R 27X20 - ALU + 2 SHEAVES D35 + REINF</t>
  </si>
  <si>
    <t>4266</t>
  </si>
  <si>
    <t>KIT CAM-CLEAT FOR END FITTINGS SIZES 27X20</t>
  </si>
  <si>
    <t>4271</t>
  </si>
  <si>
    <t>END FITTING 4R 31X21 SIMPLE RESIN MADE</t>
  </si>
  <si>
    <t>4271B</t>
  </si>
  <si>
    <t>END FITTING 4R 31X21 SIMPLE ALU</t>
  </si>
  <si>
    <t>4272</t>
  </si>
  <si>
    <t>END FITTING 4RACE 31X21 ALU + SHEAVE D45</t>
  </si>
  <si>
    <t>4272Z</t>
  </si>
  <si>
    <t>END FITTING 4R 31X21 ALU REINFORCED + SHEAVE D55</t>
  </si>
  <si>
    <t>4273</t>
  </si>
  <si>
    <t>END FITTING 4RACE 31X21 ALU + SHEAVE D45 + UPPER B</t>
  </si>
  <si>
    <t>4273Z</t>
  </si>
  <si>
    <t>END FITTING 4R 31X21 ALU REINFORCED + SHEAVE D55 +</t>
  </si>
  <si>
    <t>4274</t>
  </si>
  <si>
    <t>BB SIZE 110/190 TWO SHEAVES END FITTING</t>
  </si>
  <si>
    <t>4274G</t>
  </si>
  <si>
    <t>BB SIZE 150 TRWO SHEAVES &amp; BECKET GENOA END FITTIN</t>
  </si>
  <si>
    <t>4274Z</t>
  </si>
  <si>
    <t>BB REINFORCED TWO SHEAVES END FITTING</t>
  </si>
  <si>
    <t>4275</t>
  </si>
  <si>
    <t>END FITTING 4RACE 31X21 ALU + DOUBLE SHEAVES D45 +</t>
  </si>
  <si>
    <t>4275Z</t>
  </si>
  <si>
    <t>TWO SHEAVES &amp; BECKET END FITTING -REINFORCED</t>
  </si>
  <si>
    <t>4276</t>
  </si>
  <si>
    <t>BB SIZE 110/190 THREE SHEAVES END FITTING</t>
  </si>
  <si>
    <t>4277Z</t>
  </si>
  <si>
    <t xml:space="preserve">REINFORCED END-FITTING 4R 31X21 - ALU + 3 SHEAVES </t>
  </si>
  <si>
    <t>4283</t>
  </si>
  <si>
    <t>TRACK JOINT LIFE RAIL SYSTEM</t>
  </si>
  <si>
    <t>4291</t>
  </si>
  <si>
    <t>CAR 4R 31X21 - ADJUSTABLE STOP-PIN 1 PIN</t>
  </si>
  <si>
    <t>4410</t>
  </si>
  <si>
    <t>KIT CAM-CLEAT FOR END FITTINGS SIZES 31X21</t>
  </si>
  <si>
    <t>4410Z</t>
  </si>
  <si>
    <t>KIT CAM-CLEAT  FOR CARS L260 SIZES 31X21</t>
  </si>
  <si>
    <t>4420</t>
  </si>
  <si>
    <t>KIT CAM-CLEAT  FOR CARS L110  (REVERSIBILE RIGHT/L</t>
  </si>
  <si>
    <t>4430</t>
  </si>
  <si>
    <t>KIT CAM-CLEAT  FOR CARS L150-190 SIZES 31X21</t>
  </si>
  <si>
    <t>4510-1000</t>
  </si>
  <si>
    <t>BB TRACK 31X21 HOLE 100 L=1000</t>
  </si>
  <si>
    <t>4510-2000</t>
  </si>
  <si>
    <t>4510-4000</t>
  </si>
  <si>
    <t>BB TRACK 31X21 HOLE 100 L=4000</t>
  </si>
  <si>
    <t>4520-1000</t>
  </si>
  <si>
    <t>BB TRACK 31X21 STOP PIN HOLES L=1000</t>
  </si>
  <si>
    <t>4520-4000BHU</t>
  </si>
  <si>
    <t>31X21 TRACK STOP-PIN HOLES AL BLACK L3500+0500 + F</t>
  </si>
  <si>
    <t>4523</t>
  </si>
  <si>
    <t>LRS TRACK 31X21 100MM(3MT) WITH STOP PIN 50MM</t>
  </si>
  <si>
    <t>4530-1000</t>
  </si>
  <si>
    <t>BB TRACK 31X21 LIGHTENING HOLES L=1000</t>
  </si>
  <si>
    <t>4540-1000</t>
  </si>
  <si>
    <t>BB TRACK 31X21 ADJUSTABLE SCREWS L=1000</t>
  </si>
  <si>
    <t>4541</t>
  </si>
  <si>
    <t xml:space="preserve">SLIDING SLUG 31X21 B.B. TRACK ADJUSTABLE FASTENER </t>
  </si>
  <si>
    <t>4543</t>
  </si>
  <si>
    <t>BB TRACK ADJUSTABLE FASTENER</t>
  </si>
  <si>
    <t>4550-1000</t>
  </si>
  <si>
    <t>BB TRACK 48X60 ADJUSTABLE FASTENERS L=1000</t>
  </si>
  <si>
    <t>4551</t>
  </si>
  <si>
    <t>BB TRACK 48X60 END FITTING SIMPLE</t>
  </si>
  <si>
    <t>4601</t>
  </si>
  <si>
    <t>4R 27X20 GENOA CAR 100 + MAIN SHEAVE D045 + 2X BEC</t>
  </si>
  <si>
    <t>4603</t>
  </si>
  <si>
    <t xml:space="preserve">GENOA CAR 4R 27X20 SIZE 100 + GENOA + MAIN SHEAVE </t>
  </si>
  <si>
    <t>4623</t>
  </si>
  <si>
    <t xml:space="preserve">GENOA CAR 4R 31X21 SIZE 260 + GENOA + MAIN SHEAVE </t>
  </si>
  <si>
    <t>4651</t>
  </si>
  <si>
    <t xml:space="preserve">GENOA CAR 4R 31X21 SIZE 160 + GENOA + MAIN SHEAVE </t>
  </si>
  <si>
    <t>4654</t>
  </si>
  <si>
    <t>4691</t>
  </si>
  <si>
    <t xml:space="preserve">GENOA CAR 4R 31X21 SIZE 190 + GENOA + MAIN SHEAVE </t>
  </si>
  <si>
    <t>4694</t>
  </si>
  <si>
    <t>500.110</t>
  </si>
  <si>
    <t>CAM 611/V  CLUTCH - SINGLE 6MM</t>
  </si>
  <si>
    <t>500.120</t>
  </si>
  <si>
    <t>CAM 611/V CLUTCH - DOUBLE 6MM</t>
  </si>
  <si>
    <t>500.130</t>
  </si>
  <si>
    <t>CAM 611/V CLUTCH - TRIPLE 6MM</t>
  </si>
  <si>
    <t>500.210</t>
  </si>
  <si>
    <t>STOPPER CAM 611 SIZE 06 - HORIZONTAL VERSION</t>
  </si>
  <si>
    <t>501.110</t>
  </si>
  <si>
    <t>CAM 611/V  CLUTCH - SINGLE 8MM</t>
  </si>
  <si>
    <t>501.120</t>
  </si>
  <si>
    <t>CAM 611/V CLUTCH - DOUBLE 8MM</t>
  </si>
  <si>
    <t>501.130</t>
  </si>
  <si>
    <t>CAM 611/V CLUTCH - TRIPLE 8MM</t>
  </si>
  <si>
    <t>501.210</t>
  </si>
  <si>
    <t>CAM 611/V CLUTCH - HORIZONTAL 8MM</t>
  </si>
  <si>
    <t>502.011</t>
  </si>
  <si>
    <t>SERVO CLEAT D 3/7</t>
  </si>
  <si>
    <t>502.022</t>
  </si>
  <si>
    <t>SERVO CAM-CLEAT SIZE 22-42</t>
  </si>
  <si>
    <t>502.033</t>
  </si>
  <si>
    <t>SERVO CLEAT  Ø 10/14</t>
  </si>
  <si>
    <t>502.22-37</t>
  </si>
  <si>
    <t>SERVO CLEAT  Ø 6/10</t>
  </si>
  <si>
    <t>505.081</t>
  </si>
  <si>
    <t>DV JAMMER FOR D8MM LINES STANDARD</t>
  </si>
  <si>
    <t>505.082</t>
  </si>
  <si>
    <t>DV JAMMER FOR D8MM LINES REMOTE CONTROL</t>
  </si>
  <si>
    <t>505.083</t>
  </si>
  <si>
    <t>DV JAMMER FOR D8MM LINES SIDE MOUNTING</t>
  </si>
  <si>
    <t>505.085</t>
  </si>
  <si>
    <t>SIZE 08-LATERALE-CONTROLLO A DISTANZA</t>
  </si>
  <si>
    <t>505.086</t>
  </si>
  <si>
    <t>DV JAMMER  D8MM LINES WITH BASE</t>
  </si>
  <si>
    <t>505.087</t>
  </si>
  <si>
    <t>DV JAMMER  D8MM LINES REMOTE C. WITH BASE</t>
  </si>
  <si>
    <t>505.088</t>
  </si>
  <si>
    <t>DV JAMMER 8 MM HORIZONTAL LINE WEDGE</t>
  </si>
  <si>
    <t>505.101</t>
  </si>
  <si>
    <t>DV JAMMER FOR D10MM LINES STANDARD</t>
  </si>
  <si>
    <t>505.102</t>
  </si>
  <si>
    <t>DV JAMMER FOR D10MM REMOTE CONTROL</t>
  </si>
  <si>
    <t>505.103</t>
  </si>
  <si>
    <t>DV JAMMER FOR 10MM LINES SIDE MOUNTING</t>
  </si>
  <si>
    <t>505.105</t>
  </si>
  <si>
    <t>DV JAMMER SIZE 10 HORIZONTAL REMOTE CONTROL</t>
  </si>
  <si>
    <t>505.106</t>
  </si>
  <si>
    <t>DV JAMMER  D10MM LINES WITH BASE</t>
  </si>
  <si>
    <t>505.107</t>
  </si>
  <si>
    <t>DV JAMMER  D10MM LINES REMOTE C. WITH BASE</t>
  </si>
  <si>
    <t>505.108</t>
  </si>
  <si>
    <t>DV JAMMER 10MM HORIZONTAL LINE WEDGE</t>
  </si>
  <si>
    <t>505.121</t>
  </si>
  <si>
    <t>DV JAMMER FOR D12MM LINES STANDARD</t>
  </si>
  <si>
    <t>505.122</t>
  </si>
  <si>
    <t>DV JAMMER FOR D12MM REMOTE CONTROL</t>
  </si>
  <si>
    <t>505.123</t>
  </si>
  <si>
    <t>DV JAMMER FOR 12MM LINES SIDE MOUNTING</t>
  </si>
  <si>
    <t>505.125</t>
  </si>
  <si>
    <t>DV JAMMER  D12MM LINES SIDE MOUNTING REMOTE C.</t>
  </si>
  <si>
    <t>505.126</t>
  </si>
  <si>
    <t>DV JAMMER D12MM LINES WITH BASE</t>
  </si>
  <si>
    <t>505.127</t>
  </si>
  <si>
    <t>DV JAMMER  D12MM LINES REMOTE C. WITH BASE</t>
  </si>
  <si>
    <t>505.128</t>
  </si>
  <si>
    <t>DV JAMMER 12MM HORIZONTAL LINE WEDGE</t>
  </si>
  <si>
    <t>505.141</t>
  </si>
  <si>
    <t>DV JAMMER FOR D14 MM LINES STANDARD</t>
  </si>
  <si>
    <t>505.142</t>
  </si>
  <si>
    <t>DV JAMMER FOR D14MM REMOTE CONTROL</t>
  </si>
  <si>
    <t>505.143</t>
  </si>
  <si>
    <t>DV JAMMER FOR 14MM LINES SIDE MOUNTING</t>
  </si>
  <si>
    <t>505.145</t>
  </si>
  <si>
    <t>DV JAMMER  D14MM LINES SIDE MOUNTING REMOTE C.</t>
  </si>
  <si>
    <t>505.146</t>
  </si>
  <si>
    <t>DV JAMMER D14 MM LINES WITH BASE</t>
  </si>
  <si>
    <t>505.147</t>
  </si>
  <si>
    <t>DV JAMMER  D14MM LINES REMOTE C. WITH BASE</t>
  </si>
  <si>
    <t>505.148</t>
  </si>
  <si>
    <t>DV JAMMER 14MM HORIZONTAL LINE WEDGE</t>
  </si>
  <si>
    <t>DV JAMMER FOR D16 MM LINES STANDARD WITH SCREW</t>
  </si>
  <si>
    <t>505.162</t>
  </si>
  <si>
    <t>DV JAMMER FOR D16 MM LINES STANDARD</t>
  </si>
  <si>
    <t>505.163</t>
  </si>
  <si>
    <t>DV JAMMER FOR 16MM LINES SIDE MOUNTING</t>
  </si>
  <si>
    <t>505.165</t>
  </si>
  <si>
    <t>DV JAMMER  D16MM LINES SIDE MOUNTING REMOTE C.</t>
  </si>
  <si>
    <t>505.166</t>
  </si>
  <si>
    <t>DV JAMMER D16MM LINES WITH BASE</t>
  </si>
  <si>
    <t>505.167</t>
  </si>
  <si>
    <t>DV JAMMER  D16MM LINES REMOTE C. WITH BASE</t>
  </si>
  <si>
    <t>505.181</t>
  </si>
  <si>
    <t>DV JAMMER FOR D18 MM LINES STANDARD</t>
  </si>
  <si>
    <t>505.182</t>
  </si>
  <si>
    <t>DV JAMMER FOR D18 MM REMOTE CONTROL</t>
  </si>
  <si>
    <t>505.183</t>
  </si>
  <si>
    <t>DV JAMMER FOR 18MM LINES SIDE MOUNTING</t>
  </si>
  <si>
    <t>505.185</t>
  </si>
  <si>
    <t>DV JAMMER  D18MM LINES SIDE MOUNTING REMOTE C.</t>
  </si>
  <si>
    <t>505.186</t>
  </si>
  <si>
    <t>DV JAMMER D18MM LINES WITH BASE</t>
  </si>
  <si>
    <t>505.187</t>
  </si>
  <si>
    <t>DV JAMMER  D18MM LINES REMOTE C. WITH BASE</t>
  </si>
  <si>
    <t>506.101</t>
  </si>
  <si>
    <t>CLUTCH QR10 STANDARD</t>
  </si>
  <si>
    <t>506.103</t>
  </si>
  <si>
    <t>CLUTCH QR10 SIDE MOUNTING VERSION</t>
  </si>
  <si>
    <t>506.106</t>
  </si>
  <si>
    <t>QR10 CLUTCH WITH BASE</t>
  </si>
  <si>
    <t>506.121</t>
  </si>
  <si>
    <t>QR CLUTCH 12MM</t>
  </si>
  <si>
    <t>506.123</t>
  </si>
  <si>
    <t>QR CLUTCH D12MM SIDE MOUNTING</t>
  </si>
  <si>
    <t>506.126</t>
  </si>
  <si>
    <t>QR CLUTCH D12MM WITH BASE</t>
  </si>
  <si>
    <t>506.141</t>
  </si>
  <si>
    <t>QR CLUTCH 14MM</t>
  </si>
  <si>
    <t>506.143</t>
  </si>
  <si>
    <t>QR CLUTCH D14MM SIDE MOUNTING</t>
  </si>
  <si>
    <t>506.146</t>
  </si>
  <si>
    <t>QR CLUTCH D14MM WITH BASE</t>
  </si>
  <si>
    <t>507.111</t>
  </si>
  <si>
    <t>V GRIP CLUTCH 10 SINGLE</t>
  </si>
  <si>
    <t>507.112</t>
  </si>
  <si>
    <t>V GRIP CLUTCH 12 SINGLE</t>
  </si>
  <si>
    <t>507.113</t>
  </si>
  <si>
    <t>V GRIP CLUTCH 14 SINGLE</t>
  </si>
  <si>
    <t>507.121</t>
  </si>
  <si>
    <t>V GRIP CLUTCH 10 DOUBLE</t>
  </si>
  <si>
    <t>507.122</t>
  </si>
  <si>
    <t>V GRIP CLUTCH 12 DOUBLE</t>
  </si>
  <si>
    <t>507.131</t>
  </si>
  <si>
    <t>V GRIP CLUTCH 10 TRIPLE</t>
  </si>
  <si>
    <t>507.132</t>
  </si>
  <si>
    <t>V GRIP CLUTCH 12 TRIPLE</t>
  </si>
  <si>
    <t>508.114</t>
  </si>
  <si>
    <t xml:space="preserve">STOPPER V-GRIP MAXI SINGLE SIZE 12/14  </t>
  </si>
  <si>
    <t>508.116</t>
  </si>
  <si>
    <t xml:space="preserve">STOPPER V-GRIP MAXI SINGLE SIZE 14/16  </t>
  </si>
  <si>
    <t>508.118</t>
  </si>
  <si>
    <t>V-GRIP MAXI CLUTCH SINGLE SIZE 16/18</t>
  </si>
  <si>
    <t>508.120</t>
  </si>
  <si>
    <t>V-GRIP MAXI CLUTCH SINGLE SIZE 18/20</t>
  </si>
  <si>
    <t>508.121</t>
  </si>
  <si>
    <t xml:space="preserve">STOPPER V-GRIP PLUS SINGLE SIZE 12 </t>
  </si>
  <si>
    <t>508.122</t>
  </si>
  <si>
    <t>V-GRIP MAXI CLUTCH SINGLE SIZE 20/22</t>
  </si>
  <si>
    <t>508.122P</t>
  </si>
  <si>
    <t xml:space="preserve">CLUCTCH V-GRIP PLUS DOUBLE SIZE 12 </t>
  </si>
  <si>
    <t>508.123</t>
  </si>
  <si>
    <t xml:space="preserve">CLUTCH V-GRIP PLUS TRIPLE SIZE 12 </t>
  </si>
  <si>
    <t>508.141</t>
  </si>
  <si>
    <t>CLUTCH V-GRIP PLUS SIZE 14 SINGLE</t>
  </si>
  <si>
    <t>508.142</t>
  </si>
  <si>
    <t>CLUTCH V-GRIP PLUS SIZE 14 DOUBLE</t>
  </si>
  <si>
    <t>508.143</t>
  </si>
  <si>
    <t>CLUTCH V-GRIP PLUS SIZE 14 TRIPLE</t>
  </si>
  <si>
    <t>508.161</t>
  </si>
  <si>
    <t>CLUTCH V-GRIP PLUS SIZE 16 - SINGLE</t>
  </si>
  <si>
    <t>508.162</t>
  </si>
  <si>
    <t>CLUTCH V-GRIP PLUS SIZE 16 - DOUBLE</t>
  </si>
  <si>
    <t>508.163</t>
  </si>
  <si>
    <t>CLUTCH V-GRIP PLUS SIZE 16 - TRIPLE</t>
  </si>
  <si>
    <t>509.111</t>
  </si>
  <si>
    <t>CAM 814CLUTCH 8/10</t>
  </si>
  <si>
    <t>509.111H</t>
  </si>
  <si>
    <t>CAM 814 CLUTCH 8/10 HORIZONTAL LEFT</t>
  </si>
  <si>
    <t>509.112</t>
  </si>
  <si>
    <t>CAM 814 CLUTCH 10/12</t>
  </si>
  <si>
    <t>509.112H</t>
  </si>
  <si>
    <t>HORIZONTAL LEFT STOPPER CAM 814 10/12 SINGLE</t>
  </si>
  <si>
    <t>509.113</t>
  </si>
  <si>
    <t>CAM 814 CLUTCH 12/14</t>
  </si>
  <si>
    <t>509.113H</t>
  </si>
  <si>
    <t>HORIZONTAL RIGHT CAM 814 CLUTCH 12/14</t>
  </si>
  <si>
    <t>509.121</t>
  </si>
  <si>
    <t>CAM 814 CLUTCH 8/10 DOUBLE</t>
  </si>
  <si>
    <t>509.122</t>
  </si>
  <si>
    <t>CAM 814 CLUTCH 10/12 DOUBLE</t>
  </si>
  <si>
    <t>509.123</t>
  </si>
  <si>
    <t>CAM 814 CLUTCH 12/14 DOUBLE</t>
  </si>
  <si>
    <t>509.131</t>
  </si>
  <si>
    <t>CAM 814 CLUTCH 8/10 TRIPLE</t>
  </si>
  <si>
    <t>509.132</t>
  </si>
  <si>
    <t>CAM 814 CLUTCH 10/12 TRIPLE</t>
  </si>
  <si>
    <t>509.133</t>
  </si>
  <si>
    <t>CAM 814 CLUTCH 12/14 TRIPLE</t>
  </si>
  <si>
    <t>509.141</t>
  </si>
  <si>
    <t>CAM 814 CLUTCH 8/10 QUADRUPLE</t>
  </si>
  <si>
    <t>509.142</t>
  </si>
  <si>
    <t>CAM 814 CLUTCH 10/12 QUADRUPLE</t>
  </si>
  <si>
    <t>509.143</t>
  </si>
  <si>
    <t>CAM 814 CLUTCH 12/14 QUADRUPLE</t>
  </si>
  <si>
    <t>512.111</t>
  </si>
  <si>
    <t>STOPPER V-CAM R814 SIZE 08/10 - SINGLE</t>
  </si>
  <si>
    <t>512.111HL</t>
  </si>
  <si>
    <t>STOPPER V-CAM R814 HORIZONTAL SIZE 08/10 LEFT VERS</t>
  </si>
  <si>
    <t>512.111HR</t>
  </si>
  <si>
    <t>STOPPER V-CAM R814 HORIZONTAL SIZE 08/10 RIGHT VER</t>
  </si>
  <si>
    <t>512.112</t>
  </si>
  <si>
    <t>STOPPER V-CAM R814 SIZE 10/12 - SINGLE</t>
  </si>
  <si>
    <t>512.112HL</t>
  </si>
  <si>
    <t>STOPPER V-CAM R814 HORIZONTAL SIZE 10/12 LEFT VERS</t>
  </si>
  <si>
    <t>512.112HR</t>
  </si>
  <si>
    <t>STOPPER V-CAM R814 HORIZONTAL SIZE 10/12 RIGHT VER</t>
  </si>
  <si>
    <t>512.113</t>
  </si>
  <si>
    <t>STOPPER V-CAM R814 SIZE 12/14 - SINGLE</t>
  </si>
  <si>
    <t>512.113HL</t>
  </si>
  <si>
    <t>STOPPER V-CAM R814 SIZE 12/14 - HORIZONTAL LEFT VE</t>
  </si>
  <si>
    <t>512.113HR</t>
  </si>
  <si>
    <t>STOPPER V-CAM R814 SIZE 12/14 - HORIZONTAL RIGHT V</t>
  </si>
  <si>
    <t>512.121</t>
  </si>
  <si>
    <t>V-CAM R814 CLUTCH 8/10 DOUBLE</t>
  </si>
  <si>
    <t>512.122</t>
  </si>
  <si>
    <t>V-CAM R814 CLUTCH 10/12 DOUBLE</t>
  </si>
  <si>
    <t>512.123</t>
  </si>
  <si>
    <t>V-CAM R814 CLUTCH 12/14 DOUBLE</t>
  </si>
  <si>
    <t>512.131</t>
  </si>
  <si>
    <t>V-CAM R814 CLUTCH 8/10 TRIPLE</t>
  </si>
  <si>
    <t>512.132</t>
  </si>
  <si>
    <t>V-CAM R814 CLUTCH 10/12 TRIPLE</t>
  </si>
  <si>
    <t>512.133</t>
  </si>
  <si>
    <t>V-CAM R814 CLUTCH 12/14 TRIPLE</t>
  </si>
  <si>
    <t>512.141</t>
  </si>
  <si>
    <t>V-CAM R814 CLUTCH 8/10 QUADR.</t>
  </si>
  <si>
    <t>512.142</t>
  </si>
  <si>
    <t>V-CAM R814 CLUTCH 10/12 QUADRUPLE</t>
  </si>
  <si>
    <t>512.143</t>
  </si>
  <si>
    <t>V-CAM R814 CLUTCH 12/14 QUADRUPLE</t>
  </si>
  <si>
    <t>512.152</t>
  </si>
  <si>
    <t>V-CAM R814 CLUTCH 10/12 QUINTUPLE</t>
  </si>
  <si>
    <t>513.032</t>
  </si>
  <si>
    <t>ORGANIZER 3 SHEAVES FOR CAM 814</t>
  </si>
  <si>
    <t>513.110</t>
  </si>
  <si>
    <t>CLUTCH CAM 611 SINGLE RESIN HANDLE</t>
  </si>
  <si>
    <t>513.120</t>
  </si>
  <si>
    <t>CLUTCH CAM 611 DOUBLE RESIN HANDLE</t>
  </si>
  <si>
    <t>513.130</t>
  </si>
  <si>
    <t>CLUTCH CAM 611 TRIPLE RESIN HANDLE</t>
  </si>
  <si>
    <t>513.210</t>
  </si>
  <si>
    <t>CLUTCH CAM 611 HORIZONTAL RESIN HANDLE</t>
  </si>
  <si>
    <t>514.032</t>
  </si>
  <si>
    <t>ORGANIZER 4 SHEAVES FOR CAM 814</t>
  </si>
  <si>
    <t>514E</t>
  </si>
  <si>
    <t>ENGLISH LABEL FOR CAM (3PCS)</t>
  </si>
  <si>
    <t>514F</t>
  </si>
  <si>
    <t>FRENCH LABEL FOR CAM (3PCS)</t>
  </si>
  <si>
    <t>514I</t>
  </si>
  <si>
    <t>ITALIAN LABEL FOR CAM (3PCS)</t>
  </si>
  <si>
    <t>515.032</t>
  </si>
  <si>
    <t>ORGANIZER 5 SHEAVES FOR CAM 814</t>
  </si>
  <si>
    <t>516.032</t>
  </si>
  <si>
    <t>ORGANIZER 6 SHEAVES FOR CAM 814</t>
  </si>
  <si>
    <t>5194</t>
  </si>
  <si>
    <t>BB CAR SIZE 190 DOUBLE WITH 1+1 SHEAVE</t>
  </si>
  <si>
    <t>5197</t>
  </si>
  <si>
    <t xml:space="preserve">4R 31X21 MAIN CAR TRIPLE 2X190 + 1X150 + STAND-UP </t>
  </si>
  <si>
    <t>522.022</t>
  </si>
  <si>
    <t>SWIVELING SERVO CLEAT</t>
  </si>
  <si>
    <t>522.031</t>
  </si>
  <si>
    <t>DOUBLE SHEAVE ORGANIZER FOR CAM 611</t>
  </si>
  <si>
    <t>522.140</t>
  </si>
  <si>
    <t>SWIVELING BLOCK D 60 + SERVO CLEAT</t>
  </si>
  <si>
    <t>523.042</t>
  </si>
  <si>
    <t>ORGANIZER 3 SHEAVES FOR PLUS</t>
  </si>
  <si>
    <t>523.052</t>
  </si>
  <si>
    <t>ORGANIZER 3 SHEAVES FOR MAXI</t>
  </si>
  <si>
    <t>524.042</t>
  </si>
  <si>
    <t>ORGANIZER 4 SHEAVES FOR PLUS</t>
  </si>
  <si>
    <t>524.052</t>
  </si>
  <si>
    <t>ORGANIZER 4 SHEAVES FOR MAXI</t>
  </si>
  <si>
    <t>525.042</t>
  </si>
  <si>
    <t>ORGANIZER 5 SHEAVES FOR PLUS</t>
  </si>
  <si>
    <t>525.052</t>
  </si>
  <si>
    <t>ORGANIZER 5 SHEAVES FOR MAXI</t>
  </si>
  <si>
    <t>526.042</t>
  </si>
  <si>
    <t>ORGANIZER 6 SHEAVES FOR PLUS</t>
  </si>
  <si>
    <t>526.052</t>
  </si>
  <si>
    <t>ORGANIZER 6 SHEAVES FOR MAXI</t>
  </si>
  <si>
    <t>533.032</t>
  </si>
  <si>
    <t>ORGANIZER 3 SHEAVES FOR V GRIP</t>
  </si>
  <si>
    <t>534.032</t>
  </si>
  <si>
    <t>ORGANIZER 4 SHEAVES FOR V GRIP</t>
  </si>
  <si>
    <t>535.032</t>
  </si>
  <si>
    <t>ORGANIZER 5 SHEAVES FOR V GRIP</t>
  </si>
  <si>
    <t>536.032</t>
  </si>
  <si>
    <t>ORGANIZER 6 SHEAVES FOR V GRIP</t>
  </si>
  <si>
    <t>540.110</t>
  </si>
  <si>
    <t>CAM 611/V  CLUTCH - SINGLE 6MM-SILVER</t>
  </si>
  <si>
    <t>540.120</t>
  </si>
  <si>
    <t>CAM 611/V CLUTCH - DOUBLE 6MM-SILVER</t>
  </si>
  <si>
    <t>540.130</t>
  </si>
  <si>
    <t>CAM 611/V CLUTCH - TRIPLE 6MM SILVER</t>
  </si>
  <si>
    <t>540.210</t>
  </si>
  <si>
    <t>CAM 611/V CLUTCH - HORIZONTAL 6MM SILVER</t>
  </si>
  <si>
    <t>541.110</t>
  </si>
  <si>
    <t>CAM 611/V  CLUTCH - SINGLE 8MM-SILVER</t>
  </si>
  <si>
    <t>541.120</t>
  </si>
  <si>
    <t>CAM 611/V CLUTCH - DOUBLE 8MM SILVER</t>
  </si>
  <si>
    <t>541.130</t>
  </si>
  <si>
    <t>CAM 611/V CLUTCH - TRIPLE 8MM SILVER</t>
  </si>
  <si>
    <t>541.210</t>
  </si>
  <si>
    <t>CAM 611 CLUTCH 611/V - HORIZONTAL - SILVER 8</t>
  </si>
  <si>
    <t>543.110</t>
  </si>
  <si>
    <t>CLUTCH CAM 611 SINGLE SILVER HANDLE</t>
  </si>
  <si>
    <t>543.120</t>
  </si>
  <si>
    <t>CLUTCH CAM 611 DOUBLE SILVER HANDLE</t>
  </si>
  <si>
    <t>543.130</t>
  </si>
  <si>
    <t>CLUTCH CAM 611 TRIPLE SILVER HANDLE</t>
  </si>
  <si>
    <t>543.210</t>
  </si>
  <si>
    <t>CLUTCH CAM 611 HORIZONTAL SILVER HANDLE</t>
  </si>
  <si>
    <t>549.111</t>
  </si>
  <si>
    <t>CAM 814 CLUTCH 8/10 SINGLE, SILVER</t>
  </si>
  <si>
    <t>549.111H</t>
  </si>
  <si>
    <t>STOPPER CAM 814 8/10 SINGLE SILVER SERIES HORIZ. R</t>
  </si>
  <si>
    <t>549.112</t>
  </si>
  <si>
    <t>CAM 814 CLUTCH 10/12  SINGLE, SILVER</t>
  </si>
  <si>
    <t>549.112H</t>
  </si>
  <si>
    <t>CAM 814 CLUTCH 10/12 HORIZONTAL, SILVER</t>
  </si>
  <si>
    <t>549.113</t>
  </si>
  <si>
    <t>CAM 814 CLUTCH 12/14 SINGLE, SILVER</t>
  </si>
  <si>
    <t>549.113H</t>
  </si>
  <si>
    <t xml:space="preserve">STOPPER CAM 814 12/14 SINGLE SILVER SERIES HORIZ. </t>
  </si>
  <si>
    <t>549.121</t>
  </si>
  <si>
    <t>CAM 814 CLUTCH 8/10 DOUBLE, SILVER</t>
  </si>
  <si>
    <t>549.122</t>
  </si>
  <si>
    <t>CAM 814 CLUTCH 10/12 DOUBLE, SILVER</t>
  </si>
  <si>
    <t>549.123</t>
  </si>
  <si>
    <t>CAM 814 CLUTCH 12/14 DOUBLE, SILVER</t>
  </si>
  <si>
    <t>549.131</t>
  </si>
  <si>
    <t>CAM 814 CLUTCH 8/10 TRIPLE, SILVER</t>
  </si>
  <si>
    <t>549.132</t>
  </si>
  <si>
    <t>CAM 814 CLUTCH 10/12 TRIPLE, SILVER</t>
  </si>
  <si>
    <t>549.133</t>
  </si>
  <si>
    <t>CAM 814 CLUTCH 12/14 TRIPLE, SILVER</t>
  </si>
  <si>
    <t>549.141</t>
  </si>
  <si>
    <t>CAM 814 CLUTCH 8/10 QUADRUPLE, SILVER</t>
  </si>
  <si>
    <t>549.142</t>
  </si>
  <si>
    <t>CAM 814 CLUTCH 10/12 QUADRUPLE, SILVER</t>
  </si>
  <si>
    <t>549.143</t>
  </si>
  <si>
    <t>CAM 814 CLUTCH 12/14 QUADRUPLE, SILVER</t>
  </si>
  <si>
    <t>601.121-1000</t>
  </si>
  <si>
    <t>BB TRACK 26X20 SCREWS 100, BLACK, L=1000</t>
  </si>
  <si>
    <t>601.123-1000</t>
  </si>
  <si>
    <t>MAXI 47 STANDARD B.B. TRACK AL BLACK L1000 + FIX M</t>
  </si>
  <si>
    <t>601.123R-1000</t>
  </si>
  <si>
    <t>BB TRACK 47X31 RACE, SCREWS 100, BLACK, L=1000</t>
  </si>
  <si>
    <t>601.124-1000</t>
  </si>
  <si>
    <t>BB TRACK 67X31, SCREWS 100, BLACK, L=1000</t>
  </si>
  <si>
    <t>601.221-1000</t>
  </si>
  <si>
    <t>BB TRACK 26X20 STOP PIN HOLES, BLACK L=1000</t>
  </si>
  <si>
    <t>601.223-1000</t>
  </si>
  <si>
    <t>BLACK MAXI MAINSHEET TRACK - 47X31 MM STOP PIN HOL</t>
  </si>
  <si>
    <t>602.112-1000</t>
  </si>
  <si>
    <t>T TRACK 32X6 SCREWS 100, SILVER, L=1000</t>
  </si>
  <si>
    <t>602.112B-1000</t>
  </si>
  <si>
    <t>T TRACK 32X6 SCREWS 1000, BLACK, L=1000</t>
  </si>
  <si>
    <t>602.113-1000</t>
  </si>
  <si>
    <t>T TRACK 40X8 SCREWS 100, SILVER, L=1000</t>
  </si>
  <si>
    <t>602.113B-1000</t>
  </si>
  <si>
    <t>T TRACK 40X8 SCREWS 100, BLACK, L=1000</t>
  </si>
  <si>
    <t>602.211-1000</t>
  </si>
  <si>
    <t>T TRACK 26X4 SCREWS 50, SILVER, L=1000</t>
  </si>
  <si>
    <t>602.211B-1000</t>
  </si>
  <si>
    <t>T TRACK 26X4 SCREWS 50, BLACK, L=1000</t>
  </si>
  <si>
    <t>602.212-1000</t>
  </si>
  <si>
    <t>T TRACK 32X6 SCREW 50, SILVER, L=1000</t>
  </si>
  <si>
    <t>602.212B-1000</t>
  </si>
  <si>
    <t>T TRACK 32X6 SCREWS 50 BLACK L=1000</t>
  </si>
  <si>
    <t>602.212s-2000</t>
  </si>
  <si>
    <t>Cars TRACKS S.Steel T-track, 32x6, holes distance 50 mm</t>
  </si>
  <si>
    <t>602.213-1000</t>
  </si>
  <si>
    <t>T TRACK 40X8 SCREWS 50, SILVER, L=1000</t>
  </si>
  <si>
    <t>602.213B-1000</t>
  </si>
  <si>
    <t>T TRACK 40X8 SCREWS 50, BLACK, L=1000</t>
  </si>
  <si>
    <t>602.213B-2000</t>
  </si>
  <si>
    <t>T TRACK 40X8 SCREWS 50, BLACK, L=2000</t>
  </si>
  <si>
    <t>602.312-1000</t>
  </si>
  <si>
    <t>AUTOM. TRACK 32X6 BLACK  L=1000</t>
  </si>
  <si>
    <t>602.312-1500</t>
  </si>
  <si>
    <t>AUTOM. TRACK 32X6 BLACK  L=1500</t>
  </si>
  <si>
    <t>602.312-2000</t>
  </si>
  <si>
    <t>AUTOMATIC TRACK 32X6   BLACK L=2000</t>
  </si>
  <si>
    <t>602.312SI-1000</t>
  </si>
  <si>
    <t>AUTOM. TRACK 32X6 H 100 SILVER  L=1000</t>
  </si>
  <si>
    <t>602.313-1000</t>
  </si>
  <si>
    <t>AUTOMATIC TRACK 40X8 BLACK L=1000</t>
  </si>
  <si>
    <t>602.313SI-1000</t>
  </si>
  <si>
    <t>602.412</t>
  </si>
  <si>
    <t>32X6 AUTOMATIC T TRACK AL BLACK L0990 + FIX M6 SP1</t>
  </si>
  <si>
    <t>602.413</t>
  </si>
  <si>
    <t>40X8 AUTOMATIC T TRACK AL BLACK L1130 + FIX M8 SP,</t>
  </si>
  <si>
    <t>609.320/10</t>
  </si>
  <si>
    <t>SBR44X90 ROUND BATTEN M10 TOGGLE</t>
  </si>
  <si>
    <t>609.321/10</t>
  </si>
  <si>
    <t>SBR 120X56, 10MA, D16, RESIN ROUND BATTEN</t>
  </si>
  <si>
    <t>609.322/10</t>
  </si>
  <si>
    <t>SBR 120X64, 10MA, 20X10, RESIN FLAT BATTEN</t>
  </si>
  <si>
    <t>609.323/00</t>
  </si>
  <si>
    <t>RECEPTACLE 150X64 - BODY</t>
  </si>
  <si>
    <t>609.323/10</t>
  </si>
  <si>
    <t>SBR RECEPTACLE 150X64 10MA</t>
  </si>
  <si>
    <t>609.323/12</t>
  </si>
  <si>
    <t>SBR RECEPTACLE ALU 150X64 12MA</t>
  </si>
  <si>
    <t>609.323/14</t>
  </si>
  <si>
    <t>SBR RECEPTACLE 150X64 M14</t>
  </si>
  <si>
    <t>609.324/00</t>
  </si>
  <si>
    <t>RECEPTACLES 200X64 - BODY</t>
  </si>
  <si>
    <t>609.324/10</t>
  </si>
  <si>
    <t>SBR RECEPTACLE 200X64 10MA</t>
  </si>
  <si>
    <t>609.324/12</t>
  </si>
  <si>
    <t>SBR RECEPTACLE 200X64  12MA</t>
  </si>
  <si>
    <t>609.324/14</t>
  </si>
  <si>
    <t>SBR RECEPTACLE 200X64  14MA</t>
  </si>
  <si>
    <t>609.325/00</t>
  </si>
  <si>
    <t>200X72I RECEPTACLES - BODY</t>
  </si>
  <si>
    <t>609.325/10</t>
  </si>
  <si>
    <t>SBR RECEPTACLE 200X72  M10</t>
  </si>
  <si>
    <t>609.325/12</t>
  </si>
  <si>
    <t>SBR RECEPTACLE 200X72 12MA</t>
  </si>
  <si>
    <t>609.325/14</t>
  </si>
  <si>
    <t>SBR RECEPTACLE 200X72 14MA</t>
  </si>
  <si>
    <t>609.326/00</t>
  </si>
  <si>
    <t>RECEPTACLE 250X105</t>
  </si>
  <si>
    <t>609.326/14</t>
  </si>
  <si>
    <t>SBR RECEPTACLE 250X105 14MA</t>
  </si>
  <si>
    <t>609.326/16</t>
  </si>
  <si>
    <t>SBR RECEPTACLE 250X105 16MA</t>
  </si>
  <si>
    <t>609.327/10</t>
  </si>
  <si>
    <t>SBR RESIN RECEPTACLE 150X64 10MA S STEEL CAP</t>
  </si>
  <si>
    <t>609.327/12</t>
  </si>
  <si>
    <t>SBR RESIN RECEPTACLE 150X64 12MA S STEEL CAP</t>
  </si>
  <si>
    <t>610.340</t>
  </si>
  <si>
    <t>FLAT BATTEN RECEPTACLE</t>
  </si>
  <si>
    <t>610.341</t>
  </si>
  <si>
    <t>ROUND BATTEN RECEPTACLE HS 40</t>
  </si>
  <si>
    <t>614.210</t>
  </si>
  <si>
    <t xml:space="preserve">4RACE M47 MAIN CAR 230 + 2X PAD-EYE D14  </t>
  </si>
  <si>
    <t>614.210/1024</t>
  </si>
  <si>
    <t>4RACE M47 MAIN CAR 230 + 2X 01024</t>
  </si>
  <si>
    <t>614.212</t>
  </si>
  <si>
    <t>4RACE M47 MAIN CAR 230 +1X PAD-EYE D14 + 2X SHEAVE</t>
  </si>
  <si>
    <t>614.212/1224</t>
  </si>
  <si>
    <t>614.213</t>
  </si>
  <si>
    <t>614.213/1224</t>
  </si>
  <si>
    <t>614.214</t>
  </si>
  <si>
    <t>4RACE M47 MAIN CAR 230 +1X PAD-EYE D14 + 2X DOUBLE</t>
  </si>
  <si>
    <t>614.214/1224</t>
  </si>
  <si>
    <t>614.219</t>
  </si>
  <si>
    <t>4RACE M47 MAIN CAR 230 +1X PAD-EYE D14</t>
  </si>
  <si>
    <t>614.222</t>
  </si>
  <si>
    <t>4RACE M47 MAIN CAR 330 +1X PAD-EYE D14 + 2X SHEAVE</t>
  </si>
  <si>
    <t>614.222/1424</t>
  </si>
  <si>
    <t>4R M47 MAIN CAR 330 +1X PAD-EYE D14 + 2X SHEAVE D7</t>
  </si>
  <si>
    <t>614.223</t>
  </si>
  <si>
    <t>614.223/1424</t>
  </si>
  <si>
    <t>614.224</t>
  </si>
  <si>
    <t>4RACE M47 MAIN CAR 330 + 2X PAD-EYE D14 + 2X SHEAV</t>
  </si>
  <si>
    <t>614.224/1224</t>
  </si>
  <si>
    <t>614.225</t>
  </si>
  <si>
    <t>614.225/1224</t>
  </si>
  <si>
    <t>614.229</t>
  </si>
  <si>
    <t>4RACE M47 MAIN CAR 330 +1X PAD-EYE D14</t>
  </si>
  <si>
    <t>614.232</t>
  </si>
  <si>
    <t>BB CAR 47X4301SIDE CONTR. 2 EYEBOLTS</t>
  </si>
  <si>
    <t>614.232/1224</t>
  </si>
  <si>
    <t>BB CAR 47X430 1 SIDE CONTR. +2 BLOCKS 120</t>
  </si>
  <si>
    <t>614.233</t>
  </si>
  <si>
    <t>BB CAR 47X430  1SIDE CONTR.W/BECK 2 EYEBOLTS</t>
  </si>
  <si>
    <t>614.233/1224</t>
  </si>
  <si>
    <t>BB CAR 47X430 1SIDE CONT.W/BECKET+ 2BLOCKS 120</t>
  </si>
  <si>
    <t>614.235</t>
  </si>
  <si>
    <t>BB CAR 47X430 1 SIDE CONTR. 3 EYEBOLTS</t>
  </si>
  <si>
    <t>614.235/1224</t>
  </si>
  <si>
    <t>BB CAR 47X430 1 SIDE CONTR. + 3 BLOCKS 120</t>
  </si>
  <si>
    <t>614.236</t>
  </si>
  <si>
    <t>BB CAR 47X430 1 SIDE CONTR W/BECK. 3 EYEBOLTS</t>
  </si>
  <si>
    <t>614.236/1224</t>
  </si>
  <si>
    <t>BB CAR 47X430 1 SIDE CONTR. W/BECK.+ 3 BLOCKS 120</t>
  </si>
  <si>
    <t>614.239</t>
  </si>
  <si>
    <t>BB CAR 47X430 WITH 1 EYEBOLT</t>
  </si>
  <si>
    <t>620.492</t>
  </si>
  <si>
    <t>GENOA CAR 32X6  D45 SHEAVE</t>
  </si>
  <si>
    <t>621.452</t>
  </si>
  <si>
    <t>GENOA CAR  26X4  W/ OPF 50  2 BECKETS +STOP PIN</t>
  </si>
  <si>
    <t>621.462</t>
  </si>
  <si>
    <t>GENOA SLIDER 26X4 W/SHACKLE +STOP PIN</t>
  </si>
  <si>
    <t>621.472</t>
  </si>
  <si>
    <t>T-TRACK 26X4 GENOA CAR RACE 096 ALU + 1X SHEAVE D3</t>
  </si>
  <si>
    <t>621.472DBL44</t>
  </si>
  <si>
    <t>GENOA CAR SIZE 26X4 + DBL44 LASHED</t>
  </si>
  <si>
    <t>621.492</t>
  </si>
  <si>
    <t>GENOA CAR 26X4  WITH STOP PIN</t>
  </si>
  <si>
    <t>622.402</t>
  </si>
  <si>
    <t>HALYARD SLIDER 32X6</t>
  </si>
  <si>
    <t>622.462</t>
  </si>
  <si>
    <t>T-TRACK 32X6 SIMPLE SLIDER 133 ALU + S.STEEL SHACK</t>
  </si>
  <si>
    <t>622.462S</t>
  </si>
  <si>
    <t>T-TRACK 32X6 SIMPLE SLIDER 133 S.STEEL + S.STEEL S</t>
  </si>
  <si>
    <t>622.492</t>
  </si>
  <si>
    <t xml:space="preserve">T-TRACK 32X6 GENOA CAR 133 ALU + MAIN SHEAVE D060 </t>
  </si>
  <si>
    <t>622.492B</t>
  </si>
  <si>
    <t>622.492S</t>
  </si>
  <si>
    <t>623.120B</t>
  </si>
  <si>
    <t>T-TRACK 40X8 GENOA CAR DOUBLE 2X160 ALU + MAIN SHE</t>
  </si>
  <si>
    <t>623.120S</t>
  </si>
  <si>
    <t>DOUBLE S STEEL GENOA CAR 40X8 120MM SHEAVE</t>
  </si>
  <si>
    <t>623.150B</t>
  </si>
  <si>
    <t>623.150S</t>
  </si>
  <si>
    <t>DOUBLE S STEEL  GENOA CAR 40X8 150MM SHEAVE</t>
  </si>
  <si>
    <t>623.180B</t>
  </si>
  <si>
    <t>623.180S</t>
  </si>
  <si>
    <t>DOUBLE S STEEL GENOA CAR 40X8 180MM SHEAVE</t>
  </si>
  <si>
    <t>623.402</t>
  </si>
  <si>
    <t>HALYARD SLIDER T TRACK40X8</t>
  </si>
  <si>
    <t>623.462</t>
  </si>
  <si>
    <t>T-TRACK 40X8 SIMPLE SLIDER 160 ALU + S.STEEL SHACK</t>
  </si>
  <si>
    <t>623.462S</t>
  </si>
  <si>
    <t>S STEEL GENOA SLIDER T TRACK 40X8 W/STOP PIN</t>
  </si>
  <si>
    <t>623.492</t>
  </si>
  <si>
    <t xml:space="preserve">T-TRACK 40X8 GENOA CAR 160 ALU + MAIN SHEAVE D075 </t>
  </si>
  <si>
    <t>623.492S</t>
  </si>
  <si>
    <t>T-TRACK 40X8 GENOA CAR 160 S.STEEL + MAIN SHEAVE D</t>
  </si>
  <si>
    <t>624.402</t>
  </si>
  <si>
    <t>HALYARD SLIDER 40X8 DOUBLE PIN</t>
  </si>
  <si>
    <t>625.492</t>
  </si>
  <si>
    <t xml:space="preserve">T-TRACK 32X6 GENOA CAR PLUS 170 ALU + MAIN SHEAVE </t>
  </si>
  <si>
    <t>626.492</t>
  </si>
  <si>
    <t>T-TRACK 40X8 GENOA CAR TRIPLE 172 ALU + MAIN SHEAV</t>
  </si>
  <si>
    <t>6320-12</t>
  </si>
  <si>
    <t>CAR END STOP CONTROL AND SENSORS FOR 12/24V SYSTEM</t>
  </si>
  <si>
    <t>6320-24</t>
  </si>
  <si>
    <t>6320/48</t>
  </si>
  <si>
    <t>CAR END STOP CONTROL AND SENSORS FOR 48V SYSTEM</t>
  </si>
  <si>
    <t>672.002</t>
  </si>
  <si>
    <t>OUTHAUL CAR 32X6</t>
  </si>
  <si>
    <t>672.003</t>
  </si>
  <si>
    <t>T-TRACK 40X8 OUTHAUL SLIDER 160 ALU</t>
  </si>
  <si>
    <t>672.004</t>
  </si>
  <si>
    <t>OUTHAUL CAR 40X8 L=200</t>
  </si>
  <si>
    <t>672.005</t>
  </si>
  <si>
    <t>T-TRACK 40X8 OUTHAUL SLIDER 280 ALU</t>
  </si>
  <si>
    <t>690.151</t>
  </si>
  <si>
    <t>END FITTING T-TRACK 26X4 ALU + SHEAVE D35 + FRONTA</t>
  </si>
  <si>
    <t>690.152</t>
  </si>
  <si>
    <t xml:space="preserve">END FITTING T-TRACK 26X4 ALU + DOUBLE SHEAVES D35 </t>
  </si>
  <si>
    <t>690.251</t>
  </si>
  <si>
    <t>END FITTING 32X6W/SHEAVE+BECKET</t>
  </si>
  <si>
    <t>690.252</t>
  </si>
  <si>
    <t>END FITTING T-TRACK 32X6 ALU + DOUBLE SHEAVES D50</t>
  </si>
  <si>
    <t>690.351</t>
  </si>
  <si>
    <t xml:space="preserve">END FITTING T-TRACK 40X8 ALU + SHEAVE D50 + UPPER </t>
  </si>
  <si>
    <t>690.352</t>
  </si>
  <si>
    <t>END FITTING T-TRACK 40X8 ALU + DOUBLE SHEAVES D50</t>
  </si>
  <si>
    <t>691.141</t>
  </si>
  <si>
    <t>END FITTING T-TRACK 26X4 SIMPLE RESIN MADE</t>
  </si>
  <si>
    <t>691.241</t>
  </si>
  <si>
    <t>SIMPLE END FITTING 32X6-PLASTIC</t>
  </si>
  <si>
    <t>691.241AL</t>
  </si>
  <si>
    <t>SIMPLE END FITTING  32X6 WHITE ALU</t>
  </si>
  <si>
    <t>691.241B</t>
  </si>
  <si>
    <t>SIMPLE END FITTING 32X6 BLACK ALU</t>
  </si>
  <si>
    <t>SIMPLE END FITTING  T TRACK 40X8, RESIN</t>
  </si>
  <si>
    <t>691.341AL</t>
  </si>
  <si>
    <t>SIMPLE END FITTING 40X8 SILVER ALU</t>
  </si>
  <si>
    <t>691.341B</t>
  </si>
  <si>
    <t>END FITTING T-TRACK 40X8 SIMPLE AL 6082</t>
  </si>
  <si>
    <t>691.421</t>
  </si>
  <si>
    <t>4RACE 27X20 ADJUSTABLE STOP-PIN SLIDER (SINGLE SPR</t>
  </si>
  <si>
    <t>691.451</t>
  </si>
  <si>
    <t>END-FITTING TT 40X8 - ALU + 1 SHEAVE D75 + UPPER B</t>
  </si>
  <si>
    <t>691.452</t>
  </si>
  <si>
    <t>END FITTING T-TRACK 40X8 ALU + DOUBLE SHEAVES D75</t>
  </si>
  <si>
    <t>691.560</t>
  </si>
  <si>
    <t>SIMPLE END FITTING MAXI 47</t>
  </si>
  <si>
    <t>691.561</t>
  </si>
  <si>
    <t>END FITTING 4RACE M47 ALU + SHEAVE D75 + FRONTAL B</t>
  </si>
  <si>
    <t>691.561ADX</t>
  </si>
  <si>
    <t>END FITTING 4R M47 ALU ASYMMETRIC + SHEAVE D75 RIG</t>
  </si>
  <si>
    <t>691.561ASX</t>
  </si>
  <si>
    <t>END FITTING 4R M47 ALU ASYMMETRIC + SHEAVE D75 LEF</t>
  </si>
  <si>
    <t>691.563</t>
  </si>
  <si>
    <t>END FITTING MAXI 47 W/ 2 SHEAVES+BECKET</t>
  </si>
  <si>
    <t>691.660</t>
  </si>
  <si>
    <t>SIMPLE END FITTING MAXI 67</t>
  </si>
  <si>
    <t>691.661</t>
  </si>
  <si>
    <t>END FITTING MAXI 67 W/SHEAVE+BECKET</t>
  </si>
  <si>
    <t>691.663</t>
  </si>
  <si>
    <t>MAXI 67 END FITTING 2 SHEAVES + BECKET</t>
  </si>
  <si>
    <t>691.722B</t>
  </si>
  <si>
    <t>T-TRACK 40X8 STOP PIN 050 ALU + 2X STOP-PIN (SCREW</t>
  </si>
  <si>
    <t>DOUBLE STOP PIN BB MAXI 47</t>
  </si>
  <si>
    <t>7105</t>
  </si>
  <si>
    <t>U PAD-EYE SIZE 05</t>
  </si>
  <si>
    <t>7106</t>
  </si>
  <si>
    <t>U PAD-EYE SIZE 06</t>
  </si>
  <si>
    <t>7108</t>
  </si>
  <si>
    <t>U PAD-EYE SIZE 08</t>
  </si>
  <si>
    <t>7110</t>
  </si>
  <si>
    <t>U BOLT D 10</t>
  </si>
  <si>
    <t>7206</t>
  </si>
  <si>
    <t>4 SCREWS PAD-EYE SIZE 06</t>
  </si>
  <si>
    <t>7208</t>
  </si>
  <si>
    <t>4 SCREWS PADEYE D 8</t>
  </si>
  <si>
    <t>7210</t>
  </si>
  <si>
    <t>4 SCREWS PADEYE D 10</t>
  </si>
  <si>
    <t>7212</t>
  </si>
  <si>
    <t>4 SCREWS PADEYE D12</t>
  </si>
  <si>
    <t>7214</t>
  </si>
  <si>
    <t>4 SCREWS PADEYE D14 A4</t>
  </si>
  <si>
    <t>7216</t>
  </si>
  <si>
    <t>SCREWS PAD-EYES SIZE 16</t>
  </si>
  <si>
    <t>6 SCREWS PADEYE D 20</t>
  </si>
  <si>
    <t>7306</t>
  </si>
  <si>
    <t>SCREWED PAD-EYE D06</t>
  </si>
  <si>
    <t>7308</t>
  </si>
  <si>
    <t>SCREWED EYEBOLT D 8</t>
  </si>
  <si>
    <t>7310</t>
  </si>
  <si>
    <t>SCREWED EYEBOLT D10</t>
  </si>
  <si>
    <t>7312</t>
  </si>
  <si>
    <t>SCREWED EYEBOLT D12</t>
  </si>
  <si>
    <t>7314</t>
  </si>
  <si>
    <t>SCREWED PAD-EYE SIZE 14</t>
  </si>
  <si>
    <t>7316</t>
  </si>
  <si>
    <t>SCREWED EYEBOLT D16</t>
  </si>
  <si>
    <t>7505</t>
  </si>
  <si>
    <t>DYNEEMA PAD EYE D5 W/SCREWS</t>
  </si>
  <si>
    <t>7506</t>
  </si>
  <si>
    <t>DYNEEMA PAD EYE D6 W/SCREWS</t>
  </si>
  <si>
    <t>7508</t>
  </si>
  <si>
    <t>DYNEEMA PAD EYE D8 W/SCREWS</t>
  </si>
  <si>
    <t>7510</t>
  </si>
  <si>
    <t>DYNEEMA PAD EYE D10 W/SCREWS</t>
  </si>
  <si>
    <t>7512</t>
  </si>
  <si>
    <t>DYNEEMA PAD EYE D12 W/SCREWS</t>
  </si>
  <si>
    <t>7514</t>
  </si>
  <si>
    <t>DYNEEMA PAD EYE D14 W/SCREWS</t>
  </si>
  <si>
    <t>DYNEEMA PAD-EYE DPE D16 SCREWS M14</t>
  </si>
  <si>
    <t>7605</t>
  </si>
  <si>
    <t>DYNEEMA PAD-EYE D05 WITH STUDS AL BLACK + STUDS M6</t>
  </si>
  <si>
    <t>7606</t>
  </si>
  <si>
    <t>DYNEEMA PAD EYE D6 W/STUDS</t>
  </si>
  <si>
    <t>7608</t>
  </si>
  <si>
    <t>DYNEEMA PAD EYE D8 W/STUDS</t>
  </si>
  <si>
    <t>7610</t>
  </si>
  <si>
    <t>DYNEEMA PAD-EYES D10 AL + STUDS</t>
  </si>
  <si>
    <t>7612</t>
  </si>
  <si>
    <t>DYNEEMA PAD EYE D12 W/STUDS</t>
  </si>
  <si>
    <t>7614</t>
  </si>
  <si>
    <t>DYNEEMA PAD EYE D14 W/STUDS</t>
  </si>
  <si>
    <t>801.045</t>
  </si>
  <si>
    <t>RESIN TULIP SHEAVE 045,5 12,2 T31</t>
  </si>
  <si>
    <t>801.060</t>
  </si>
  <si>
    <t>TULIP SHEAVE D060-015 T38,5 ALU (TURNING SHEAVE 60</t>
  </si>
  <si>
    <t>801.071</t>
  </si>
  <si>
    <t>TULIP SHEAVE</t>
  </si>
  <si>
    <t>801.085</t>
  </si>
  <si>
    <t>SHEAVE ASSY D085 - 012 L34 AL</t>
  </si>
  <si>
    <t>801.090</t>
  </si>
  <si>
    <t>Tulip sheave, sheave Ø90, SWL 5000 kg</t>
  </si>
  <si>
    <t>801.091</t>
  </si>
  <si>
    <t>TULIP SHEAVE - DE090 X L38 - DI24,3 AL</t>
  </si>
  <si>
    <t>801.092</t>
  </si>
  <si>
    <t>TULIP SHEAVE D90X50,5 ALU</t>
  </si>
  <si>
    <t>801.110</t>
  </si>
  <si>
    <t>TULIP SHEAVE D110 ALU</t>
  </si>
  <si>
    <t>812.154</t>
  </si>
  <si>
    <t>C.F. SERIES BLOCK D150 SINGLE + PAD-EYE D016</t>
  </si>
  <si>
    <t>812.184</t>
  </si>
  <si>
    <t>BLOCK D 180 ON PADEYE</t>
  </si>
  <si>
    <t>813.154</t>
  </si>
  <si>
    <t>BLOCK  Ø150 - SCREWED EYEBOLD</t>
  </si>
  <si>
    <t>813.184</t>
  </si>
  <si>
    <t>BLOCK 180 ON SCREWED EYEBOLT</t>
  </si>
  <si>
    <t>815.075</t>
  </si>
  <si>
    <t>S.STEEL DECK-BLOCK D075 MAST BASE</t>
  </si>
  <si>
    <t>815.090</t>
  </si>
  <si>
    <t>SS HALYARD BLOCK D 90</t>
  </si>
  <si>
    <t>815.120</t>
  </si>
  <si>
    <t>SS HALYARD  BLOCK D 120</t>
  </si>
  <si>
    <t>815.150</t>
  </si>
  <si>
    <t>SS HALYARD  BLOCK D 150</t>
  </si>
  <si>
    <t>815.180</t>
  </si>
  <si>
    <t>S.STEEL DECK-BLOCK D180 MAST BASE</t>
  </si>
  <si>
    <t>815.452</t>
  </si>
  <si>
    <t>S.S. HALYARD BLOCK D 45</t>
  </si>
  <si>
    <t>815.552</t>
  </si>
  <si>
    <t>S.STEEL HALYARD BLOCK D 55</t>
  </si>
  <si>
    <t>815.652</t>
  </si>
  <si>
    <t>S.STEEL HALYARD BLOCK D 65</t>
  </si>
  <si>
    <t>816.075</t>
  </si>
  <si>
    <t>S. STEEL HOLLOW PIN DECK BLOCK D 75</t>
  </si>
  <si>
    <t>816.090</t>
  </si>
  <si>
    <t>S.STEEL HOLLOW PIN DECK BLOCK D 90</t>
  </si>
  <si>
    <t>816.120</t>
  </si>
  <si>
    <t>S.STEEL HOLLOW PIN DECK BLOCK D 120</t>
  </si>
  <si>
    <t>816.150</t>
  </si>
  <si>
    <t>S.STEEL HOLLOW PIN DECK BLOCK 150</t>
  </si>
  <si>
    <t>816.180</t>
  </si>
  <si>
    <t>D180 A316 S.STEEL HOLLOWPIN</t>
  </si>
  <si>
    <t>817.050</t>
  </si>
  <si>
    <t>TULIP DECK-BLOCK D050 VERTICAL</t>
  </si>
  <si>
    <t>817.060</t>
  </si>
  <si>
    <t>TULIP DECK-BLOCK D060 VERTICAL</t>
  </si>
  <si>
    <t>817.071</t>
  </si>
  <si>
    <t>TULIP DECK-BLOCK D070 VERTICAL</t>
  </si>
  <si>
    <t>817.090</t>
  </si>
  <si>
    <t>VERTICAL TULIP BLOCK D 90 INOX</t>
  </si>
  <si>
    <t>818.050</t>
  </si>
  <si>
    <t>TULIP DECK-BLOCK D050 OVER THE TOP</t>
  </si>
  <si>
    <t>818.060</t>
  </si>
  <si>
    <t>TULIP DECK-BLOCK D060 OVER THE TOP</t>
  </si>
  <si>
    <t>818.071</t>
  </si>
  <si>
    <t>TULIP DECK-BLOCK D070 OVER THE TOP</t>
  </si>
  <si>
    <t>818.090</t>
  </si>
  <si>
    <t>TULIP DECK-BLOCK D090 OVER THE TOP</t>
  </si>
  <si>
    <t>819.045</t>
  </si>
  <si>
    <t>TULIP FOOTBLOCK D 45</t>
  </si>
  <si>
    <t>819.060</t>
  </si>
  <si>
    <t>TULIP FOOTBLOCK D60 ALU BLACK</t>
  </si>
  <si>
    <t>819.070</t>
  </si>
  <si>
    <t>TULIP DECK-BLOCK D070 FOOTBLOCK</t>
  </si>
  <si>
    <t>819.090</t>
  </si>
  <si>
    <t>TULIP FOOTBLOCK D 90</t>
  </si>
  <si>
    <t>819.110</t>
  </si>
  <si>
    <t>TULIP FOOTBLOCK D110 ALU BLACK</t>
  </si>
  <si>
    <t>821.050</t>
  </si>
  <si>
    <t>TURNING TULIP SHEAVE D 50</t>
  </si>
  <si>
    <t>821.052</t>
  </si>
  <si>
    <t>TURNING SHEAVE D 50</t>
  </si>
  <si>
    <t>821.062</t>
  </si>
  <si>
    <t>TURNING SHEAVE D 60</t>
  </si>
  <si>
    <t>821.070</t>
  </si>
  <si>
    <t>TURNING TULIP SHEAVE D 70</t>
  </si>
  <si>
    <t>821.074</t>
  </si>
  <si>
    <t>TURNING SHEAVE D 70</t>
  </si>
  <si>
    <t>821.100</t>
  </si>
  <si>
    <t>TURNING TULIP SHEAVE D 100</t>
  </si>
  <si>
    <t>831.154</t>
  </si>
  <si>
    <t>DECK BLOCK Ø150</t>
  </si>
  <si>
    <t>831.184</t>
  </si>
  <si>
    <t>DECK BLOCK Ø180</t>
  </si>
  <si>
    <t>832.154</t>
  </si>
  <si>
    <t>DECK BLOCK Ø150 - DOUBLE</t>
  </si>
  <si>
    <t>832.184</t>
  </si>
  <si>
    <t>DECK BLOCK Ø180 - DOUBLE</t>
  </si>
  <si>
    <t>851.065LEFT</t>
  </si>
  <si>
    <t xml:space="preserve">STOPPER DECK BLOCK D 65 LEFT </t>
  </si>
  <si>
    <t>851.065RIGHT</t>
  </si>
  <si>
    <t>STOPPER DECK BLOCK D 65 RIGHT</t>
  </si>
  <si>
    <t>851.080LEFT</t>
  </si>
  <si>
    <t>STOPPER DECK-BLOCK SIZE 80 SINGLE RIGHT VERSION VA</t>
  </si>
  <si>
    <t>851.080RIGHT</t>
  </si>
  <si>
    <t>851.100LEFT</t>
  </si>
  <si>
    <t>STOPPER DECK BLOCK D 100 LEFT</t>
  </si>
  <si>
    <t>851.100RIGHT</t>
  </si>
  <si>
    <t>STOPPER DECK BLOCK D 100 RIGHT</t>
  </si>
  <si>
    <t>851.125LEFT</t>
  </si>
  <si>
    <t>STOPPER DECK BLOCK D 125 LEFT</t>
  </si>
  <si>
    <t>851.125RIGHT</t>
  </si>
  <si>
    <t>STOPPER DECK BLOCK D 125 RIGHT</t>
  </si>
  <si>
    <t>852.065LEFT</t>
  </si>
  <si>
    <t>DOUBLE STOPPER DECK BLOCK  D 65 LEFT</t>
  </si>
  <si>
    <t>852.065RIGHT</t>
  </si>
  <si>
    <t>DOUBLE STOPPER DECK BLOCK  D 65 RIGHT</t>
  </si>
  <si>
    <t>852.080LEFT</t>
  </si>
  <si>
    <t>STOPPER DECK-BLOCK SIZE 80 DOUBLE RIGHT VERSION VA</t>
  </si>
  <si>
    <t>852.080RIGHT</t>
  </si>
  <si>
    <t>852.100LEFT</t>
  </si>
  <si>
    <t>DOUBLE STOPPER DECK BLOCK D  100 DOUBLE</t>
  </si>
  <si>
    <t>852.100RIGHT</t>
  </si>
  <si>
    <t>DOUBLE STOPPER DECK BLOCK D  100 RIGHT</t>
  </si>
  <si>
    <t>852.125LEFT</t>
  </si>
  <si>
    <t>DOUBLE STOPPER  DECK BLOCK D 125 LEFT</t>
  </si>
  <si>
    <t>852.125RIGHT</t>
  </si>
  <si>
    <t>DOUBLE STOPPER  DECK BLOCK D 125 RIGHT</t>
  </si>
  <si>
    <t>9001</t>
  </si>
  <si>
    <t>SNAP RING FOR MINI SNATCH</t>
  </si>
  <si>
    <t>9030B</t>
  </si>
  <si>
    <t>SNATCH BLOCK D032 MINI FOR LINE CONNECTION + BLACK</t>
  </si>
  <si>
    <t>9030Y</t>
  </si>
  <si>
    <t>MINI SNATCH BLOCK -YELLOW</t>
  </si>
  <si>
    <t>9031B</t>
  </si>
  <si>
    <t>MINI SNATCH BLOCK W/SHACKLE -BLACK</t>
  </si>
  <si>
    <t>9031Y</t>
  </si>
  <si>
    <t>MINI SNATCH BLOCK W/SHACKLE YELLOW</t>
  </si>
  <si>
    <t>9040</t>
  </si>
  <si>
    <t>SNATCH BLOCK D040</t>
  </si>
  <si>
    <t>9040SH</t>
  </si>
  <si>
    <t>SNATCH BLOCKS D 40 W/SHACKLE</t>
  </si>
  <si>
    <t>9040SL</t>
  </si>
  <si>
    <t>SNATCH BLOCK D040 + SNAP-LOOP SL4S</t>
  </si>
  <si>
    <t>9040SN</t>
  </si>
  <si>
    <t>SNATCH BLOCK D 40 W/SNAP SHACKLE</t>
  </si>
  <si>
    <t>9060</t>
  </si>
  <si>
    <t>SNATCH BLOCK D060</t>
  </si>
  <si>
    <t>9060SH</t>
  </si>
  <si>
    <t>SNATCH BLOCK D 60 W/SHACKLE</t>
  </si>
  <si>
    <t>9060SL</t>
  </si>
  <si>
    <t>SNATCH BLOCK D060 + SNAP-LOOP SL5S</t>
  </si>
  <si>
    <t>9060SN</t>
  </si>
  <si>
    <t>SNATCH BLOCK D 60 W/ SNAP SHACKLE</t>
  </si>
  <si>
    <t>908.095</t>
  </si>
  <si>
    <t>SNATCH BLOCK D90</t>
  </si>
  <si>
    <t>908.095SH</t>
  </si>
  <si>
    <t>SNATCH BLOCK D 90 MM W/SHACKLE</t>
  </si>
  <si>
    <t>908.095SN</t>
  </si>
  <si>
    <t>SNATCH BLOCK W/ HR WICHARD SNAP SHACKLE</t>
  </si>
  <si>
    <t>908.125</t>
  </si>
  <si>
    <t>SNATCH BLOCK D 120</t>
  </si>
  <si>
    <t>908.125SH</t>
  </si>
  <si>
    <t>SNATCH BLOCK D  120 MM W/SHACKLE</t>
  </si>
  <si>
    <t>908.125SN</t>
  </si>
  <si>
    <t>SNATCH BLOCK D 120 MM W/HR WICHARD SNAP SHACKLE</t>
  </si>
  <si>
    <t>909.502</t>
  </si>
  <si>
    <t>BLOCK D50 FOR GENOA CAR</t>
  </si>
  <si>
    <t>909.552S</t>
  </si>
  <si>
    <t>S STEEL BLOCK D55 FOR GENOA CAR 32X6</t>
  </si>
  <si>
    <t>910.155Z</t>
  </si>
  <si>
    <t>XXL SERIES BLOCK D150 WEB REINFORCED</t>
  </si>
  <si>
    <t>910.185</t>
  </si>
  <si>
    <t>XXL SERIES BLOCK D180 WEB STANDARD</t>
  </si>
  <si>
    <t>910.225</t>
  </si>
  <si>
    <t>XXL SERIES BLOCK D220 WEB STANDARD</t>
  </si>
  <si>
    <t>910.255</t>
  </si>
  <si>
    <t>XXL SERIES BLOCK D250 WEB STANDARD</t>
  </si>
  <si>
    <t>911.154</t>
  </si>
  <si>
    <t>BLOCK Ø150</t>
  </si>
  <si>
    <t>911.184</t>
  </si>
  <si>
    <t>XXL 180 SWIVEL BLOCK</t>
  </si>
  <si>
    <t>911.224</t>
  </si>
  <si>
    <t>XXL SERIES BLOCK D220 SINGLE + SWIVEL HEAD</t>
  </si>
  <si>
    <t>918.095</t>
  </si>
  <si>
    <t>SNATCH BLOCK D 90 ON PADEYE</t>
  </si>
  <si>
    <t>918.125</t>
  </si>
  <si>
    <t>SNATCH BLOCK 120 ON 4 SCREWS PADEYE</t>
  </si>
  <si>
    <t>918.155</t>
  </si>
  <si>
    <t>MAXI SNATCH BLOCK D150 ON PAD-EYE D20</t>
  </si>
  <si>
    <t>922.602</t>
  </si>
  <si>
    <t>MAIN SYSTEM BLOCK SERIES F D060 SCONDARY + LONG HE</t>
  </si>
  <si>
    <t>928.095</t>
  </si>
  <si>
    <t>SNATCH BLOCK 90 ON  SCREWED EYEBOLT</t>
  </si>
  <si>
    <t>928.155</t>
  </si>
  <si>
    <t>SNATCH BLOCK D150 MAXI + SCREWED EYEBOLT D020</t>
  </si>
  <si>
    <t>940.155Z</t>
  </si>
  <si>
    <t>WEB BLOCK D150 W/BECKET STRENGTHENED</t>
  </si>
  <si>
    <t>940.185</t>
  </si>
  <si>
    <t>C.F. SERIES BLOCK D180 SINGLE WITH BECKET + WEB HE</t>
  </si>
  <si>
    <t>940.225</t>
  </si>
  <si>
    <t>XXL SERIES BLOCK D220 WEB WITH BECKET STANDARD</t>
  </si>
  <si>
    <t>940.255</t>
  </si>
  <si>
    <t>XXL SERIES BLOCK D250 WEB WITH BECKET STANDARD</t>
  </si>
  <si>
    <t>941.154</t>
  </si>
  <si>
    <t>BLOCK Ø150 - WITH BECKET</t>
  </si>
  <si>
    <t>941.184</t>
  </si>
  <si>
    <t>BLOCK Ø180 - WITH BECKET</t>
  </si>
  <si>
    <t>941.224</t>
  </si>
  <si>
    <t xml:space="preserve">XXL SERIES BLOCK D220 SINGLE WITH BECKET + SWIVEL </t>
  </si>
  <si>
    <t>941.254</t>
  </si>
  <si>
    <t xml:space="preserve">XXL SERIES BLOCK D250 SINGLE WITH BECKET + SWIVEL </t>
  </si>
  <si>
    <t>949.502</t>
  </si>
  <si>
    <t>BLOCK WITH BECKET  D50 FOR GENOA CAR</t>
  </si>
  <si>
    <t>949.552S</t>
  </si>
  <si>
    <t>S STEEL BLOCK 55  W. BECKET FOR GENOA CAR</t>
  </si>
  <si>
    <t>981.154</t>
  </si>
  <si>
    <t>FIEDDLE BLOCK Ø150 - WITH BECKET</t>
  </si>
  <si>
    <t>991.073AL</t>
  </si>
  <si>
    <t>CLEW BLOCK D070 ALUL + ANGLE = 80°</t>
  </si>
  <si>
    <t>991.073S</t>
  </si>
  <si>
    <t>CLEW BLOCK D070 A316 S.STEEL</t>
  </si>
  <si>
    <t>991.093AL</t>
  </si>
  <si>
    <t>CLEW BLOCK D090 ALU</t>
  </si>
  <si>
    <t>991.093S</t>
  </si>
  <si>
    <t>CLEW BLOCK D090 A316 S.STEEL</t>
  </si>
  <si>
    <t>991.124AL</t>
  </si>
  <si>
    <t>CLEW BLOCK D120 ALU</t>
  </si>
  <si>
    <t>991.124S</t>
  </si>
  <si>
    <t>CLEW BLOCK D120 A316 S.STEEL</t>
  </si>
  <si>
    <t>991.154AL</t>
  </si>
  <si>
    <t>CLEW BLOCKS 150</t>
  </si>
  <si>
    <t>991.154S</t>
  </si>
  <si>
    <t>CLEW BLOCK D150 A316 S.STEEL</t>
  </si>
  <si>
    <t>991.184AL</t>
  </si>
  <si>
    <t>CLEW BLOCK D180 ALU</t>
  </si>
  <si>
    <t>991.184S</t>
  </si>
  <si>
    <t>CLEW BLOCK D180 A316 S.STEEL</t>
  </si>
  <si>
    <t>992.602</t>
  </si>
  <si>
    <t>MAIN SYSTEM BLOCK SERIES F D060 PRIMARY + LONG HEA</t>
  </si>
  <si>
    <t>992.603</t>
  </si>
  <si>
    <t>993.603</t>
  </si>
  <si>
    <t>994.055</t>
  </si>
  <si>
    <t>REEF BLOCK D050</t>
  </si>
  <si>
    <t>994.065</t>
  </si>
  <si>
    <t>REEF BLOCK D060</t>
  </si>
  <si>
    <t>994.075</t>
  </si>
  <si>
    <t>REEF BLOCK D070</t>
  </si>
  <si>
    <t>994.085</t>
  </si>
  <si>
    <t>REEF BLOCK D080</t>
  </si>
  <si>
    <t>994.125</t>
  </si>
  <si>
    <t>REEF BLOCK D120</t>
  </si>
  <si>
    <t>A041</t>
  </si>
  <si>
    <t>BREAKER 40 AMP</t>
  </si>
  <si>
    <t>A051</t>
  </si>
  <si>
    <t>BREAKER 12/24 50 AMP</t>
  </si>
  <si>
    <t>A071</t>
  </si>
  <si>
    <t>BREAKER  70AMP</t>
  </si>
  <si>
    <t>A081</t>
  </si>
  <si>
    <t>BREAKER 80AMP</t>
  </si>
  <si>
    <t>A101</t>
  </si>
  <si>
    <t>BREAKER 100A 48V, 1000W-12V 2000W-24V</t>
  </si>
  <si>
    <t>A121</t>
  </si>
  <si>
    <t>BREAKER 120 AMP</t>
  </si>
  <si>
    <t>A151</t>
  </si>
  <si>
    <t>BREAKER  150A 48V, 1500W-12V 3000W-24V</t>
  </si>
  <si>
    <t>BB4012</t>
  </si>
  <si>
    <t>BARBER BLOCK 40MM</t>
  </si>
  <si>
    <t>BB6014</t>
  </si>
  <si>
    <t>BARBER BLOCK 60MM</t>
  </si>
  <si>
    <t>CH0608.2</t>
  </si>
  <si>
    <t>HOLDER SIZE 06/08 - 2 SLOT</t>
  </si>
  <si>
    <t>CH0608.3</t>
  </si>
  <si>
    <t>HOLDER SIZE 06/08 - 3 SLOT</t>
  </si>
  <si>
    <t>CUS0240</t>
  </si>
  <si>
    <t>4RACE M47 MAIN CAR DOUBLE 1X230 + 1X230 + 2X PAD-E</t>
  </si>
  <si>
    <t>CUS0240FC</t>
  </si>
  <si>
    <t>CUS0241</t>
  </si>
  <si>
    <t xml:space="preserve">MAXI 47 STANDARD TRACK AL L3500 + FIX M10 SP100 + </t>
  </si>
  <si>
    <t>D3008</t>
  </si>
  <si>
    <t>DEFLECTOR D8 ALU BLACK</t>
  </si>
  <si>
    <t>D3610</t>
  </si>
  <si>
    <t>DEFLECTOR D10 ALU BLACK</t>
  </si>
  <si>
    <t>D420</t>
  </si>
  <si>
    <t>ORGANIZER D040 2 SHEAVES SINGLE VERSION</t>
  </si>
  <si>
    <t>D420D</t>
  </si>
  <si>
    <t>ORGANIZER D040 2 SHEAVES DOUBLE VERSION</t>
  </si>
  <si>
    <t>D430</t>
  </si>
  <si>
    <t>ORGANIZER D040 3 SHEAVES SINGLE VERSION</t>
  </si>
  <si>
    <t>D430D</t>
  </si>
  <si>
    <t>ORGANIZER D040 3 SHEAVES DOUBLE VERSION</t>
  </si>
  <si>
    <t>D440</t>
  </si>
  <si>
    <t>ORGANIZER D040 4 SHEAVES SINGLE VERSION</t>
  </si>
  <si>
    <t>D440D</t>
  </si>
  <si>
    <t>ORGANIZER D040 4 SHEAVES DOUBLE VERSION</t>
  </si>
  <si>
    <t>D450</t>
  </si>
  <si>
    <t>ORGANIZER D040 5 SHEAVES SINGLE VERSION</t>
  </si>
  <si>
    <t>D450D</t>
  </si>
  <si>
    <t>ORGANIZER D040 5 SHEAVES DOUBLE VERSION</t>
  </si>
  <si>
    <t>D460</t>
  </si>
  <si>
    <t>ORGANIZER D040 6 SHEAVES SINGLE VERSION</t>
  </si>
  <si>
    <t>D460D</t>
  </si>
  <si>
    <t>ORGANIZER D040 6 SHEAVES DOUBLE VERSION</t>
  </si>
  <si>
    <t>D520</t>
  </si>
  <si>
    <t>ORGANIZER D050 2 SHEAVES SINGLE VERSION</t>
  </si>
  <si>
    <t>D520D</t>
  </si>
  <si>
    <t>ORGANIZER D050 2 SHEAVES DOUBLE VERSION</t>
  </si>
  <si>
    <t>D530</t>
  </si>
  <si>
    <t>ORGANIZER D050 3 SHEAVES SINGLE VERSION</t>
  </si>
  <si>
    <t>D530D</t>
  </si>
  <si>
    <t>ORGANIZER D050 3 SHEAVES DOUBLE VERSION</t>
  </si>
  <si>
    <t>D540</t>
  </si>
  <si>
    <t>ORGANIZER D050 4 SHEAVES SINGLE VERSION</t>
  </si>
  <si>
    <t>D540D</t>
  </si>
  <si>
    <t>ORGANIZER D050 4 SHEAVES DOUBLE VERSION</t>
  </si>
  <si>
    <t>D550</t>
  </si>
  <si>
    <t>ORGANIZER D050 5 SHEAVES SINGLE VERSION</t>
  </si>
  <si>
    <t>D550D</t>
  </si>
  <si>
    <t>ORGANIZER D050 5 SHEAVES DOUBLE VERSION</t>
  </si>
  <si>
    <t>D560</t>
  </si>
  <si>
    <t>ORGANIZER D050 6 SHEAVES SINGLE VERSION</t>
  </si>
  <si>
    <t>D560D</t>
  </si>
  <si>
    <t>ORGANIZER D050 6 SHEAVES DOUBLE VERSION</t>
  </si>
  <si>
    <t>D620</t>
  </si>
  <si>
    <t>ORGANIZER D060 2 SHEAVES SINGLE VERSION</t>
  </si>
  <si>
    <t>D620D</t>
  </si>
  <si>
    <t>ORGANIZER D060 2 SHEAVES DOUBLE VERSION</t>
  </si>
  <si>
    <t>D630</t>
  </si>
  <si>
    <t>ORGANIZER D060 3 SHEAVES SINGLE VERSION</t>
  </si>
  <si>
    <t>D630D</t>
  </si>
  <si>
    <t>ORGANIZER D060 3 SHEAVES DOUBLE VERSION</t>
  </si>
  <si>
    <t>D640</t>
  </si>
  <si>
    <t>ORGANIZER D060 4 SHEAVES SINGLE VERSION</t>
  </si>
  <si>
    <t>D640D</t>
  </si>
  <si>
    <t>ORGANIZER D060 4 SHEAVES DOUBLE VERSION</t>
  </si>
  <si>
    <t>D650</t>
  </si>
  <si>
    <t>ORGANIZER D060 5 SHEAVES SINGLE VERSION</t>
  </si>
  <si>
    <t>D650D</t>
  </si>
  <si>
    <t>ORGANIZER D060 5 SHEAVES DOUBLE VERSION</t>
  </si>
  <si>
    <t>D660</t>
  </si>
  <si>
    <t>ORGANIZER D060 6 SHEAVES SINGLE VERSION</t>
  </si>
  <si>
    <t>D660D</t>
  </si>
  <si>
    <t>ORGANIZER D060 6 SHEAVES DOUBLE VERSION</t>
  </si>
  <si>
    <t>D720</t>
  </si>
  <si>
    <t>ORGANIZER D070 2 SHEAVES SINGLE VERSION</t>
  </si>
  <si>
    <t>D730</t>
  </si>
  <si>
    <t>ORGANIZER D070 3 SHEAVES SINGLE VERSION</t>
  </si>
  <si>
    <t>D740</t>
  </si>
  <si>
    <t>ORGANIZER D070 4 SHEAVES SINGLE VERSION</t>
  </si>
  <si>
    <t>D750</t>
  </si>
  <si>
    <t>ORGANIZER D070 5 SHEAVES SINGLE VERSION</t>
  </si>
  <si>
    <t>D760</t>
  </si>
  <si>
    <t>ORGANIZER D070 6 SHEAVES SINGLE VERSION</t>
  </si>
  <si>
    <t>DBL44</t>
  </si>
  <si>
    <t>DYNABLOCK 44MM</t>
  </si>
  <si>
    <t>DBL56</t>
  </si>
  <si>
    <t>DYNABLOCK 56MM</t>
  </si>
  <si>
    <t>DBS04</t>
  </si>
  <si>
    <t>LOOP FOR DYNABLOCK 44</t>
  </si>
  <si>
    <t>DBS05</t>
  </si>
  <si>
    <t>LOOP FOR DYNABLOCK 56</t>
  </si>
  <si>
    <t>DBS44</t>
  </si>
  <si>
    <t>DYNABLOCK 44MM WITH DYNEEMA LOOP</t>
  </si>
  <si>
    <t>DBS56</t>
  </si>
  <si>
    <t>DYNABLOCK 56MM WITH DYNEEMA LOOP</t>
  </si>
  <si>
    <t>DS06</t>
  </si>
  <si>
    <t>FOLDING DECK SHACKLE DYNEEMA SIZE D06 AL</t>
  </si>
  <si>
    <t>DS08</t>
  </si>
  <si>
    <t>FOLDING DECK SHACKLE DYNEEMA SIZE D08 AL</t>
  </si>
  <si>
    <t>DS10</t>
  </si>
  <si>
    <t>FOLDING DECK SHACKLE DYNEEMA SIZE D10 AL</t>
  </si>
  <si>
    <t>E6/60</t>
  </si>
  <si>
    <t>TACKLE 6:1 - COMPLETE WITH SHEAVES 60 &amp; 50</t>
  </si>
  <si>
    <t>E6/75</t>
  </si>
  <si>
    <t>TACKLE 6:1 - COMPLETE WITH SHEAVES 75 &amp; 60</t>
  </si>
  <si>
    <t>E7/60</t>
  </si>
  <si>
    <t>TACKLE 7:1 - COMPLETE WITH SHEAVES 60 &amp; 50</t>
  </si>
  <si>
    <t>E7/75</t>
  </si>
  <si>
    <t>TACKLE 7:1 - COMPLETE WITH SHEAVES 75 &amp; 60</t>
  </si>
  <si>
    <t>E8/60</t>
  </si>
  <si>
    <t>TACKLE 8:1 - COMPLETE WITH SHEAVES 60 &amp; 50</t>
  </si>
  <si>
    <t>E8/75</t>
  </si>
  <si>
    <t>TACKLE 8:1 - COMPLETE WITH SHEAVES 75 &amp; 60</t>
  </si>
  <si>
    <t>F4/12</t>
  </si>
  <si>
    <t xml:space="preserve">MAIN SYSTEM "F" SERIES - SHEAVES D060 - POWER 4:1 </t>
  </si>
  <si>
    <t>F4/8</t>
  </si>
  <si>
    <t>F6</t>
  </si>
  <si>
    <t xml:space="preserve">MAIN SYSTEM "F" SERIES - SHEAVES D060 - POWER 6:1 </t>
  </si>
  <si>
    <t>FB24.120D</t>
  </si>
  <si>
    <t>HEADBOARD DOUBLE FB24 2X L120 + HEADBOARD BRACKET</t>
  </si>
  <si>
    <t>FB24.120J14</t>
  </si>
  <si>
    <t>SLIDER WITH JOINT FB24 L120 + THREADED PIN M14X24</t>
  </si>
  <si>
    <t>FB24.120JA10</t>
  </si>
  <si>
    <t>FB 24 CAR L120 ASYMMETRIC JOINT M10</t>
  </si>
  <si>
    <t>FB24.121</t>
  </si>
  <si>
    <t>OUTHAUL SLIDER FB24 L120</t>
  </si>
  <si>
    <t>FB24.60D</t>
  </si>
  <si>
    <t>HEADBOARD DOUBLE FB24 2X L060 + HEADBOARD BRACKET</t>
  </si>
  <si>
    <t>FB24.60J10</t>
  </si>
  <si>
    <t>SLIDER WITH JOINT FB24 SERIES SIZE 60 - PERNO M10</t>
  </si>
  <si>
    <t>FB24.60J12</t>
  </si>
  <si>
    <t>SLIDER WITH JOINT FB24 SERIES SIZE 60 - PIN M12</t>
  </si>
  <si>
    <t>FB24.60S</t>
  </si>
  <si>
    <t>SIMPLE SLIDER FB24 L060</t>
  </si>
  <si>
    <t>FB24.90D</t>
  </si>
  <si>
    <t>HEADBOARD SLIDERS FB24 SERIES SIZE 90 VARI</t>
  </si>
  <si>
    <t>FB24.90J12</t>
  </si>
  <si>
    <t>SLIDER WITH JOINT FB24 L090 + THREADED PIN M12X24</t>
  </si>
  <si>
    <t>FB24.90J14</t>
  </si>
  <si>
    <t>FB24 CAR L90 JOINT M14</t>
  </si>
  <si>
    <t>FB24.90S</t>
  </si>
  <si>
    <t>SIMPLE SLIDER FB24 L090</t>
  </si>
  <si>
    <t>FB32.100S</t>
  </si>
  <si>
    <t>SIMPLE SLIDER FB32 L100</t>
  </si>
  <si>
    <t>FB32.11</t>
  </si>
  <si>
    <t>LOADER FB32 TRACK L0300 AL BLACK + SLIDER</t>
  </si>
  <si>
    <t>FB32.12</t>
  </si>
  <si>
    <t>TRACK JOINT FOR FB32 TRACK L051 AL MADE + 2X M8X16</t>
  </si>
  <si>
    <t>FB32.13</t>
  </si>
  <si>
    <t>FULL BATTEN FB32 END FITTING SIMPLE ALU BLACK</t>
  </si>
  <si>
    <t>FB32.16</t>
  </si>
  <si>
    <t>GATE FB32 TRACK L371 AL</t>
  </si>
  <si>
    <t>FB32.160DX</t>
  </si>
  <si>
    <t>HEADBOARD DOUBLE FB32 2X L160 + SOFT-LINK CONNECTI</t>
  </si>
  <si>
    <t>FB32.160J14</t>
  </si>
  <si>
    <t xml:space="preserve">SLIDER WITH JOINT FB32 SERIES L160 PIN M14 X 28 </t>
  </si>
  <si>
    <t>FB32.160J16</t>
  </si>
  <si>
    <t xml:space="preserve">SLIDER WITH JOINT FB32 SERIES L160 PIN M16 X 28 </t>
  </si>
  <si>
    <t>FB32.160JA14</t>
  </si>
  <si>
    <t>SLIDER WITH JOINT FB32 SERIES L160 PIN M14 X 28 AS</t>
  </si>
  <si>
    <t>FB32.160S</t>
  </si>
  <si>
    <t>SIMPLE SLIDER FB32 L160</t>
  </si>
  <si>
    <t>FB32.311</t>
  </si>
  <si>
    <t>FB32 TRACK FOR DIRECT MOUNTING AL BLACK L3000 + FI</t>
  </si>
  <si>
    <t>FB32.321</t>
  </si>
  <si>
    <t xml:space="preserve">FB32 TRACK FOR SLUG MOUNTING AL BLACK L3000 + FIX </t>
  </si>
  <si>
    <t>H020</t>
  </si>
  <si>
    <t>SS HALYARD BLOCK D26</t>
  </si>
  <si>
    <t>H030</t>
  </si>
  <si>
    <t>SS HALYARD BLOCK D 32</t>
  </si>
  <si>
    <t>H040</t>
  </si>
  <si>
    <t>SS HALYARD BLOCK D 39</t>
  </si>
  <si>
    <t>H050</t>
  </si>
  <si>
    <t>SS HALYARD BLOCK D 50</t>
  </si>
  <si>
    <t>H130</t>
  </si>
  <si>
    <t>HIGH LOAD BLOCK D 30</t>
  </si>
  <si>
    <t>H140</t>
  </si>
  <si>
    <t>HIGH LOAD BLOCK D 40</t>
  </si>
  <si>
    <t>H150</t>
  </si>
  <si>
    <t>HIGH LOAD BLOCK D 55</t>
  </si>
  <si>
    <t>H160</t>
  </si>
  <si>
    <t>HIGH LOAD BLOCK D70</t>
  </si>
  <si>
    <t>HDR</t>
  </si>
  <si>
    <t>HYDROLUB SLIDING MATERIAL</t>
  </si>
  <si>
    <t>HK12</t>
  </si>
  <si>
    <t>HOOK 12</t>
  </si>
  <si>
    <t>HK16</t>
  </si>
  <si>
    <t>HOOK 16</t>
  </si>
  <si>
    <t>HS.02</t>
  </si>
  <si>
    <t>TRACK JOINT HS22 / HS24 CARBON TRACK D3X37 S.STEEL</t>
  </si>
  <si>
    <t>HS22.01</t>
  </si>
  <si>
    <t>LOADER HS22 L500 FOR CARBON MAST</t>
  </si>
  <si>
    <t>HS22.02</t>
  </si>
  <si>
    <t xml:space="preserve">TRACK JOINT  USARE CODICE HS.02 </t>
  </si>
  <si>
    <t>HS22.03</t>
  </si>
  <si>
    <t>END FITTING TRACK 22 FOR CARBON MAST</t>
  </si>
  <si>
    <t>HS22.05</t>
  </si>
  <si>
    <t>SIDE PLATE HS22 FOR CARBON MAST</t>
  </si>
  <si>
    <t>HS22.06</t>
  </si>
  <si>
    <t>GATE HS22 L204 FOR CARBON MAST</t>
  </si>
  <si>
    <t>HS22.09</t>
  </si>
  <si>
    <t>FEEDER SLIDERS HS22 SERIES L120</t>
  </si>
  <si>
    <t>HS22.100JAR10</t>
  </si>
  <si>
    <t>SLIDER WITH JOINT HS22 L100 ASIMMETRICO + CF GUIDE</t>
  </si>
  <si>
    <t>HS22.100JAR12</t>
  </si>
  <si>
    <t>HS22.11</t>
  </si>
  <si>
    <t>LOADER HS22 TRACK L0175 AL BLACK + SLIDER</t>
  </si>
  <si>
    <t>HS22.110</t>
  </si>
  <si>
    <t>DOUBLE REEF CAR HS22X11 L110</t>
  </si>
  <si>
    <t>HS22.12</t>
  </si>
  <si>
    <t>TRACK JOINT FOR HS22 TRACK L040 RESIN MADE + 2X M5</t>
  </si>
  <si>
    <t>HS22.13</t>
  </si>
  <si>
    <t>END FITTING HS22X11</t>
  </si>
  <si>
    <t>HS22.15</t>
  </si>
  <si>
    <t>INSTALLATION TOOL HS22 TRACK L1974 AL</t>
  </si>
  <si>
    <t>HS22.16</t>
  </si>
  <si>
    <t>GATE HS22X11 L204</t>
  </si>
  <si>
    <t>HS22.165</t>
  </si>
  <si>
    <t>HS22 HOOK CARRIAGE L165 BLACK</t>
  </si>
  <si>
    <t>HS22.17</t>
  </si>
  <si>
    <t>HS22X11 TRACK L338 WITH INSERT FOR MINI HOOK</t>
  </si>
  <si>
    <t>HS22.185</t>
  </si>
  <si>
    <t>HS22 HEADBOARD SLIDERS MINI BEL L=185 2:1</t>
  </si>
  <si>
    <t>HS22.211</t>
  </si>
  <si>
    <t>HS22 TRACK FOR DIRECT MOUNTING AL BLACK L2000 + FI</t>
  </si>
  <si>
    <t>HS22.212</t>
  </si>
  <si>
    <t>HS22.221</t>
  </si>
  <si>
    <t xml:space="preserve">HS22 TRACK FOR SLUG MOUNTING AL BLACK L2000 + FIX </t>
  </si>
  <si>
    <t>HS22.222</t>
  </si>
  <si>
    <t>HS22.27</t>
  </si>
  <si>
    <t>HS22 TRACK FOR CARBON L338 W/INSERT</t>
  </si>
  <si>
    <t>HS22.311</t>
  </si>
  <si>
    <t>HS22 TRACK FOR DIRECT MOUNTING AL BLACK L3000 + FI</t>
  </si>
  <si>
    <t>HS22.312</t>
  </si>
  <si>
    <t>HS22.321</t>
  </si>
  <si>
    <t xml:space="preserve">HS22 TRACK FOR SLUG MOUNTING AL BLACK L3000 + FIX </t>
  </si>
  <si>
    <t>HS22.322</t>
  </si>
  <si>
    <t>HS22.330</t>
  </si>
  <si>
    <t>HS22 BOLT-ROPE CARBON TRACK AL L3000</t>
  </si>
  <si>
    <t>HS22.40D</t>
  </si>
  <si>
    <t>HEADBOARD DOUBLE HS22 2X L040 + RESIN GUIDE + HEAD</t>
  </si>
  <si>
    <t>HS22.40DR</t>
  </si>
  <si>
    <t>HEADBOARD DOUBLE HS22 2X L040 + CF GUIDE + HEADBOA</t>
  </si>
  <si>
    <t>HS22.40J10</t>
  </si>
  <si>
    <t>SLIDER WITH JOINT HS22 L040 + RESIN SLIDER + PIN M</t>
  </si>
  <si>
    <t>HS22.40JR10</t>
  </si>
  <si>
    <t xml:space="preserve">SLIDER WITH JOINT HS22 L040 + CF GUIDE + THREADED </t>
  </si>
  <si>
    <t>HS22.40S</t>
  </si>
  <si>
    <t>SIMPLE SLIDER HS22 L040 + RESIN GUIDE</t>
  </si>
  <si>
    <t>HS22.40SR</t>
  </si>
  <si>
    <t>SIMPLE SLIDER HS22 L040 + CF GUIDE</t>
  </si>
  <si>
    <t>HS22.44</t>
  </si>
  <si>
    <t>HEADBOARD HS22.44 - 40° T6</t>
  </si>
  <si>
    <t>HS22.46</t>
  </si>
  <si>
    <t>HEADBOARD HS22.46 - 60° T06</t>
  </si>
  <si>
    <t>HS22.49</t>
  </si>
  <si>
    <t>HEADBOARD HS22.49 - 90° T06</t>
  </si>
  <si>
    <t>HS22.50DR</t>
  </si>
  <si>
    <t>HEADBOARD DOUBLE HS22 2X L050 + CF GUIDE + HEADBOA</t>
  </si>
  <si>
    <t>HS22.50JR10</t>
  </si>
  <si>
    <t xml:space="preserve">SLIDER WITH JOINT HS22 L050 + CF GUIDE + THREADED </t>
  </si>
  <si>
    <t>HS22.50JR12</t>
  </si>
  <si>
    <t>SLIDER WITH JOINT 50 M12 RACE, TRACK 22</t>
  </si>
  <si>
    <t>HS22.50SR</t>
  </si>
  <si>
    <t>SIMPLE SLIDER HS22 L050 + CF GUIDE</t>
  </si>
  <si>
    <t>HS22.60JR10</t>
  </si>
  <si>
    <t xml:space="preserve">SLIDER WITH JOINT HS22 L060 + CF GUIDE + THREADED </t>
  </si>
  <si>
    <t>HS22.60JR12</t>
  </si>
  <si>
    <t>HS22.60SR</t>
  </si>
  <si>
    <t>SIMPLE SLIDER HS22 L060 + CF GUIDE</t>
  </si>
  <si>
    <t>HS22.60TR</t>
  </si>
  <si>
    <t>HEADBOARD TRIPLE HS22 3X L060 + CF GUIDE + HEADBOA</t>
  </si>
  <si>
    <t>HS22.70JAR10</t>
  </si>
  <si>
    <t>SLIDER WITH JOINT HS22 L070 ASIMMETRICO + CF GUIDE</t>
  </si>
  <si>
    <t>HS22.70JAR12</t>
  </si>
  <si>
    <t>HS22.70JR10</t>
  </si>
  <si>
    <t xml:space="preserve">SLIDER WITH JOINT HS22 L070 + CF GUIDE + THREADED </t>
  </si>
  <si>
    <t>HS22.70JR12</t>
  </si>
  <si>
    <t>HS22.70SR</t>
  </si>
  <si>
    <t>SIMPLE SLIDER HS22 L070 + CF GUIDE</t>
  </si>
  <si>
    <t>HS22.90JR10</t>
  </si>
  <si>
    <t xml:space="preserve">SLIDER WITH JOINT HS22 L090 + CF GUIDE + THREADED </t>
  </si>
  <si>
    <t>HS22.90JR12</t>
  </si>
  <si>
    <t>SLIDER WITH JOINT HS22 SERIES L090 - M12 X 24 VARI</t>
  </si>
  <si>
    <t>HS22F05</t>
  </si>
  <si>
    <t>SLUG FOR HS22 TRACK D18 H04,6 T04,7 FOR FLAT GROOV</t>
  </si>
  <si>
    <t>HS22F06</t>
  </si>
  <si>
    <t>SLUG FOR HS22 TRACK D18,0 T05,7 H4,6 FOR FLAT GROO</t>
  </si>
  <si>
    <t>HS22F08</t>
  </si>
  <si>
    <t>SLUG FOR HS22 TRACK D20 H04,6 T07,8 FOR FLAT GROOV</t>
  </si>
  <si>
    <t>HS22F10</t>
  </si>
  <si>
    <t xml:space="preserve">SLUG FOR HS22 TRACK D20 H02 T09,8 FOR FLAT GROOVE </t>
  </si>
  <si>
    <t>HS22F12</t>
  </si>
  <si>
    <t>SLUG FOR HS22 TRACK D22 H03 T11,8 AL FOR FLAT GROO</t>
  </si>
  <si>
    <t>HS22F14</t>
  </si>
  <si>
    <t xml:space="preserve">SLUG FOR HS22 TRACK D24 H03 T13,6 FOR FLAT GROOVE </t>
  </si>
  <si>
    <t>HS22R04</t>
  </si>
  <si>
    <t>SLUG FOR HS22 TRACK D08,7 H02 T03,9 FOR ROUND GROO</t>
  </si>
  <si>
    <t>HS22R05</t>
  </si>
  <si>
    <t>SLUG FOR HS22 TRACK D09,5 H02 T04,7 FOR ROUND GROO</t>
  </si>
  <si>
    <t>HS22R06</t>
  </si>
  <si>
    <t>SLUG FOR HS22 TRACK D09,5 T04,7 H2,0 FOR ROUND GRO</t>
  </si>
  <si>
    <t>HS24.02</t>
  </si>
  <si>
    <t>TRACK JOINT USARE CODICE HS.02</t>
  </si>
  <si>
    <t>HS24.03</t>
  </si>
  <si>
    <t>END FITTING 24X20</t>
  </si>
  <si>
    <t>HS24.04</t>
  </si>
  <si>
    <t>LOADER HS24 CARBON TRACK L=200</t>
  </si>
  <si>
    <t>HS24.05</t>
  </si>
  <si>
    <t>SIDE PLATE HS24 FOR CARBON TRACK L125 X T22 X SP04</t>
  </si>
  <si>
    <t>HS24.06</t>
  </si>
  <si>
    <t>HS24 CARBON GATE L=264</t>
  </si>
  <si>
    <t>HS24.07</t>
  </si>
  <si>
    <t>HS24 AL L0340 + 1X HOOK-STOP</t>
  </si>
  <si>
    <t>HS24.11</t>
  </si>
  <si>
    <t>LOADER TRACK 24X16 L=200</t>
  </si>
  <si>
    <t>HS24.110JA10</t>
  </si>
  <si>
    <t>SLIDER WITH JOINT HS24 L110 ASIMMETRICO + THREADED</t>
  </si>
  <si>
    <t>HS24.12</t>
  </si>
  <si>
    <t>TRACK JOINT FOR HS24 TRACK L042 RESIN MADE + 2X M6</t>
  </si>
  <si>
    <t>HS24.13</t>
  </si>
  <si>
    <t>END FITTING TRACK 24</t>
  </si>
  <si>
    <t>HS24.15</t>
  </si>
  <si>
    <t>INSTALLATION TOOL HS24 TRACK L1952 AL</t>
  </si>
  <si>
    <t>HS24.16</t>
  </si>
  <si>
    <t>GATE HS24 TRACK L264 AL BLACK</t>
  </si>
  <si>
    <t>HS24.17</t>
  </si>
  <si>
    <t>HOOK STOP FOR REEF TRACK 24</t>
  </si>
  <si>
    <t>HS24.18</t>
  </si>
  <si>
    <t>AUTO HOOK STOP FOR HEAD TRACK 24</t>
  </si>
  <si>
    <t>HS24.210</t>
  </si>
  <si>
    <t>HS24 - HOOK CARRIAGE</t>
  </si>
  <si>
    <t>HS24.210R</t>
  </si>
  <si>
    <t>HS24.212</t>
  </si>
  <si>
    <t>TRACK HS 24X16 - L=2M SCREWS H=50  BLACK</t>
  </si>
  <si>
    <t>HS24.221</t>
  </si>
  <si>
    <t>TRACK24X16 L=2MT FOR SLUGS, HOLES SPACING 100</t>
  </si>
  <si>
    <t>HS24.222</t>
  </si>
  <si>
    <t>TRACK24X16 L=2MT FOR SLUGS, HOLES SPACING 50</t>
  </si>
  <si>
    <t>HS24.311</t>
  </si>
  <si>
    <t>TRACK 24X16 L=3MT, NO SLUGS, HOLES SPACING 100</t>
  </si>
  <si>
    <t>HS24.312</t>
  </si>
  <si>
    <t>TRACK 24X16 L=3MT, NO SLUGS, HOLES SPACING 50</t>
  </si>
  <si>
    <t>HS24.321</t>
  </si>
  <si>
    <t>TRACK 24X16 L=3MT, FOR SLUGS, HOLE SPACING 100</t>
  </si>
  <si>
    <t>HS24.322</t>
  </si>
  <si>
    <t>TRACK 24X16 L=3MT, FOR  SLUGS, HOLES SPACING 50</t>
  </si>
  <si>
    <t>HS24.350</t>
  </si>
  <si>
    <t>TRACK 24X20 FOR CARBON MAST L=3000</t>
  </si>
  <si>
    <t>HS24.350BR</t>
  </si>
  <si>
    <t>TRACK 24X20 FOR CARBON MAST L=3000 BOLT ROPE</t>
  </si>
  <si>
    <t>HS24.50D</t>
  </si>
  <si>
    <t>HEADBOARD DOUBLE HS24 2X L050 + HEADBOARD BRACKET</t>
  </si>
  <si>
    <t>HS24.50J10</t>
  </si>
  <si>
    <t>SLIDER WITH JOINT HS24 L050 + THREADED PIN M10X24</t>
  </si>
  <si>
    <t>HS24.50S</t>
  </si>
  <si>
    <t>SIMPLE SLIDER HS24 L050</t>
  </si>
  <si>
    <t>HS24.54</t>
  </si>
  <si>
    <t>HEADBOARD HS24.54 - 40° T08</t>
  </si>
  <si>
    <t>HS24.56</t>
  </si>
  <si>
    <t>HEADBOARD HS24.56 - 60° T08</t>
  </si>
  <si>
    <t>HS24.59</t>
  </si>
  <si>
    <t>HEADBOARD HS24.59 - 90° T08</t>
  </si>
  <si>
    <t>HS24.60J10</t>
  </si>
  <si>
    <t>SLIDER WITH JOINT HS24 L060 + THREADED PIN M10X24</t>
  </si>
  <si>
    <t>HS24.60J12</t>
  </si>
  <si>
    <t>SLIDER WITH JOINT HS24 L060 + THREADED PIN M12X24</t>
  </si>
  <si>
    <t>HS24.60S</t>
  </si>
  <si>
    <t>SIMPLE SLIDER HS24 L060</t>
  </si>
  <si>
    <t>HS24.60T</t>
  </si>
  <si>
    <t>HEADBOARD TRIPLE HS24 3X L060 + HEADBOARD BRACKET</t>
  </si>
  <si>
    <t>HS24.61</t>
  </si>
  <si>
    <t>HS24 HOOK HEADBOARD</t>
  </si>
  <si>
    <t>HS24.64</t>
  </si>
  <si>
    <t>HEADBOARD HS24.64 - 40° T10</t>
  </si>
  <si>
    <t>HS24.66</t>
  </si>
  <si>
    <t>HEADBOARD HS24.66 - 60° T10</t>
  </si>
  <si>
    <t>HS24.69</t>
  </si>
  <si>
    <t>HEADBOARD HS24.69 - 90° T10</t>
  </si>
  <si>
    <t>HS24.70J12</t>
  </si>
  <si>
    <t>SLIDER WITH JOINT HS24 L070 + THREADED PIN M12X24</t>
  </si>
  <si>
    <t>HS24.70J14</t>
  </si>
  <si>
    <t>SLIDER WITH JOINT HS24 L070 + THREADED PIN M14X24</t>
  </si>
  <si>
    <t>HS24.70Q</t>
  </si>
  <si>
    <t>HEADBOARD QUADRUPLE HS24 4X L070 + HEADBOARD BRACK</t>
  </si>
  <si>
    <t>HS24.74</t>
  </si>
  <si>
    <t>HEADBOARD HS24.74 - 40° T12</t>
  </si>
  <si>
    <t>HS24.76</t>
  </si>
  <si>
    <t>HEADBOARD HS24.76 - 60° T12</t>
  </si>
  <si>
    <t>HS24.79</t>
  </si>
  <si>
    <t>HEADBOARD HS24.79 - 90° T12</t>
  </si>
  <si>
    <t>HS24.90DX</t>
  </si>
  <si>
    <t>HEADBOARD DOUBLE HS24 2X L090 + SOFT-LINK CONNECTI</t>
  </si>
  <si>
    <t>HS24.90DY</t>
  </si>
  <si>
    <t>HEADBOARD DOUBLE HS24 2X L090 + RING CONNECTION</t>
  </si>
  <si>
    <t>HS24.90S</t>
  </si>
  <si>
    <t>SIMPLE SLIDER HS24 L090</t>
  </si>
  <si>
    <t>HS24F05</t>
  </si>
  <si>
    <t>SLUG FOR HS24 TRACK D19 H04,6 T04,8 FOR FLAT GROOV</t>
  </si>
  <si>
    <t>HS24F06</t>
  </si>
  <si>
    <t>SLUG FOR HS24 TRACK D19 H05,7 T05,8 FOR FLAT GROOV</t>
  </si>
  <si>
    <t>HS24F08</t>
  </si>
  <si>
    <t>SLUG FOR HS24 TRACK D19 H06,7 T07,8 FOR FLAT GROOV</t>
  </si>
  <si>
    <t>HS24F10</t>
  </si>
  <si>
    <t>SLUG FOR HS24 TRACK D22 H06,7 T09,6 FOR FLAT GROOV</t>
  </si>
  <si>
    <t>HS24F12</t>
  </si>
  <si>
    <t xml:space="preserve">SLUG FOR HS24 TRACK D22 H03 T11,6 FOR FLAT GROOVE </t>
  </si>
  <si>
    <t>HS24F14</t>
  </si>
  <si>
    <t xml:space="preserve">SLUG FOR HS24 TRACK D24 H03 T13,6 FOR FLAT GROOVE </t>
  </si>
  <si>
    <t>HS24R04</t>
  </si>
  <si>
    <t>SLUG FOR HS24 TRACK D10 H02,5 T03,7 FOR ROUND GROO</t>
  </si>
  <si>
    <t>HS24R06</t>
  </si>
  <si>
    <t>SLUG FOR HS24 TRACK D11,6 H02,5 T05,7 FOR ROUND GR</t>
  </si>
  <si>
    <t>HS30.01</t>
  </si>
  <si>
    <t>LOADER FULL BATTEN SYSTEM HS30 CARBONIO L=990 VARI</t>
  </si>
  <si>
    <t>HS30.02</t>
  </si>
  <si>
    <t xml:space="preserve">TRACK JOINT FOR HS24 BOLT-ROPE CARBON TRACK D4X38 </t>
  </si>
  <si>
    <t>HS30.03</t>
  </si>
  <si>
    <t>END FITTING CARBON TRACK 30</t>
  </si>
  <si>
    <t>HS30.05</t>
  </si>
  <si>
    <t>SIDE PLATE HS30 CARBON TRACK L174 X T22 X SP05 BLA</t>
  </si>
  <si>
    <t>HS30.11</t>
  </si>
  <si>
    <t>LOADER  TRACK 30X13 L=200MM</t>
  </si>
  <si>
    <t>HS30.110J14</t>
  </si>
  <si>
    <t xml:space="preserve">SLIDER WITH JOINT HS30 L110 + THREADED PIN M14X38 </t>
  </si>
  <si>
    <t>HS30.116</t>
  </si>
  <si>
    <t>HS30 SLIDER OUTHAUL L116  BLACK</t>
  </si>
  <si>
    <t>HS30.12</t>
  </si>
  <si>
    <t>TRACK JOINT FOR HS30 TRACK L044 AL MADE - NO SCREW</t>
  </si>
  <si>
    <t>HS30.120JA14</t>
  </si>
  <si>
    <t>SLIDER WITH JOINT HS30 L120 ASIMMETRICO + THREADED</t>
  </si>
  <si>
    <t>HS30.13</t>
  </si>
  <si>
    <t>END FITTING TRACK 30</t>
  </si>
  <si>
    <t>HS30.130J16</t>
  </si>
  <si>
    <t>HS30 SLIDER WITH JOINT  L130 PIN M16 X 30 BLACK</t>
  </si>
  <si>
    <t>HS30.16</t>
  </si>
  <si>
    <t>GATE L=265 TRACK 30X13</t>
  </si>
  <si>
    <t>HS30.313</t>
  </si>
  <si>
    <t>HS30 TRACK FOR DIRECT MOUNTING AL BLACK L3000 + FI</t>
  </si>
  <si>
    <t>HS30.313R</t>
  </si>
  <si>
    <t>HS30 TRACK RACE LIGHTENED TRACK AL BLACK L3000 + F</t>
  </si>
  <si>
    <t>HS30.330</t>
  </si>
  <si>
    <t>TRACK 30X13 L=3MT FOR GLUING</t>
  </si>
  <si>
    <t>HS30.50S</t>
  </si>
  <si>
    <t>SIMPLE SLIDER HS30 L050 AL BLACK</t>
  </si>
  <si>
    <t>HS30.70Q</t>
  </si>
  <si>
    <t>HEADBOARD QUADRUPLE HS30 4X L070 + HEADBOARD BRACK</t>
  </si>
  <si>
    <t>HS30.70S</t>
  </si>
  <si>
    <t>SIMPLE SLIDER HS30 L070</t>
  </si>
  <si>
    <t>HS30.74</t>
  </si>
  <si>
    <t>HEADBOARD HS30.74 - 40° T15</t>
  </si>
  <si>
    <t>HS30.76</t>
  </si>
  <si>
    <t>HEADBOARD HS30.76 - 60° T15</t>
  </si>
  <si>
    <t>HS30.79</t>
  </si>
  <si>
    <t>HEADBOARD HS30.79 - 90° T15</t>
  </si>
  <si>
    <t>HS30.90DX</t>
  </si>
  <si>
    <t>HEADBOARD DOUBLE HS30 2X L090 + SOFT-LINK CONNECTI</t>
  </si>
  <si>
    <t>HS30.90DY</t>
  </si>
  <si>
    <t>HEADBOARD DOUBLE HS30 2X L090 + RING CONNECTION</t>
  </si>
  <si>
    <t>HS30.90J12</t>
  </si>
  <si>
    <t>SLIDER WITH JOINT 90 M12, TRACK 30</t>
  </si>
  <si>
    <t>HS30.90J14</t>
  </si>
  <si>
    <t>SLIDER WITH JOINT HS30 L090 + PERNO FIL M14X38 BLA</t>
  </si>
  <si>
    <t>HS30.90Q</t>
  </si>
  <si>
    <t>QUADRUPLE 90 HEADBOARD CAR, TRACK 30</t>
  </si>
  <si>
    <t>JB06</t>
  </si>
  <si>
    <t>SELF-TACKING JIB BOARD R110 6X18</t>
  </si>
  <si>
    <t>JB08</t>
  </si>
  <si>
    <t>SELF -TACKING JIB BOARD R150  7X 20</t>
  </si>
  <si>
    <t>JB10</t>
  </si>
  <si>
    <t>SELF-TACKING JIB BOARD R210 7X24</t>
  </si>
  <si>
    <t>JB12</t>
  </si>
  <si>
    <t>SELF-TACKING JIB BOARD R270 8X40</t>
  </si>
  <si>
    <t>JB14</t>
  </si>
  <si>
    <t>SELF-TACKING JIB BOARD R385 12X50</t>
  </si>
  <si>
    <t>KIT WINCH</t>
  </si>
  <si>
    <t>KIT WINCH W (4 PAWLS &amp; SPRINGS, 1 CIRCLIP)</t>
  </si>
  <si>
    <t>LD1000/12</t>
  </si>
  <si>
    <t>POWERED LINE DRIVER SIZE 1000 + MOTOR 1000W 12V</t>
  </si>
  <si>
    <t>LD1000/24</t>
  </si>
  <si>
    <t>POWERED LINE DRIVER SIZE 1000 + MOTOR 1000W 24V CI</t>
  </si>
  <si>
    <t>LD1000-48</t>
  </si>
  <si>
    <t>POWERED LINE DRIVER SIZE 1000 + MOTOR 1000W 48V</t>
  </si>
  <si>
    <t>LD1500/12</t>
  </si>
  <si>
    <t>POWERED LINE DRIVER 1500W/12V</t>
  </si>
  <si>
    <t>LD1500/24</t>
  </si>
  <si>
    <t>POWERED LINE DRIVER 1500W/24V CIMA</t>
  </si>
  <si>
    <t>LD1500/48</t>
  </si>
  <si>
    <t>POWERED LINE DRIVER 1500W/48V CIMA</t>
  </si>
  <si>
    <t>LD1500HD</t>
  </si>
  <si>
    <t>HYDRAULIC LINE DRIVER 1500W</t>
  </si>
  <si>
    <t>LD700-12</t>
  </si>
  <si>
    <t>POWERED LINE DRIVER SIZE 700 + MOTOR 700W 12V (QUI</t>
  </si>
  <si>
    <t>LD700-24</t>
  </si>
  <si>
    <t>POWERED LINE DRIVER SIZE 700 + MOTOR 700W 24V</t>
  </si>
  <si>
    <t>LD700-48</t>
  </si>
  <si>
    <t>POWERED LINE DRIVER SIZE 700 + MOTOR 700W 48V CIMA</t>
  </si>
  <si>
    <t>LD700HD</t>
  </si>
  <si>
    <t>HYDRAULIC LINE DRIVER SIZE 700 + MOTOR 8 CC</t>
  </si>
  <si>
    <t>LL046</t>
  </si>
  <si>
    <t>SNATCH LOOPER D46 WITHOUT DYNEEMA SNAP LOOP</t>
  </si>
  <si>
    <t>LL054</t>
  </si>
  <si>
    <t>SNATCH LOOPER D54 WITHOUT DYNEEMA SNAP LOOP</t>
  </si>
  <si>
    <t>LL1060</t>
  </si>
  <si>
    <t>LOOPER BLOCK 60, SINGLE, NO LOOP</t>
  </si>
  <si>
    <t>LL1061</t>
  </si>
  <si>
    <t>LOOPER BLOCK 60, SINGLE +BECKET, NO LOOP</t>
  </si>
  <si>
    <t>LL1062</t>
  </si>
  <si>
    <t>LOOPER 60 DOUBLE, NO LOOP</t>
  </si>
  <si>
    <t>LL1063</t>
  </si>
  <si>
    <t>LOOPER 60, DOUBLE + BECKET, NO LOOP</t>
  </si>
  <si>
    <t>LL1070</t>
  </si>
  <si>
    <t>LOOPER  70 SINGLE, NO  LOOP</t>
  </si>
  <si>
    <t>LL1071</t>
  </si>
  <si>
    <t>LOOPER 70 WITH BECKET, NO  LOOP</t>
  </si>
  <si>
    <t>LL1072</t>
  </si>
  <si>
    <t>LOOPER DOUBLE 70, NO LOOP</t>
  </si>
  <si>
    <t>LL1073</t>
  </si>
  <si>
    <t>LOOPER DOUBLE + BECKET, NO LOOP</t>
  </si>
  <si>
    <t>LL1080</t>
  </si>
  <si>
    <t>LOOPER BLOCK D080 SINGLE - WITHOUT SNAP-LOOP</t>
  </si>
  <si>
    <t>LL1081</t>
  </si>
  <si>
    <t>LOOPER  80 SINGLE  WITH BECKET, NO  LOOP</t>
  </si>
  <si>
    <t>LL1100</t>
  </si>
  <si>
    <t>LOOPER  100 SINGLE,  NO  LOOP</t>
  </si>
  <si>
    <t>LL1101</t>
  </si>
  <si>
    <t>LOOPER  100 SINGLE  + BECKET, NO  LOOP</t>
  </si>
  <si>
    <t>LL1120</t>
  </si>
  <si>
    <t>LOOPER BLOCK D120 SINGLE - WITHOUT SNAP-LOOP</t>
  </si>
  <si>
    <t>LL1121</t>
  </si>
  <si>
    <t>LOOPER BLOCK D120 SINGLE WITH BECKET - WITHOUT SNA</t>
  </si>
  <si>
    <t>LL1140</t>
  </si>
  <si>
    <t>LOOPER BLOCK D140 SINGLE - WITHOUT SNAP-LOOP</t>
  </si>
  <si>
    <t>LL1141</t>
  </si>
  <si>
    <t>LOOPER BLOCK D140 SINGLE WITH BECKET - WITHOUT SNA</t>
  </si>
  <si>
    <t>LS046</t>
  </si>
  <si>
    <t>SNATCH LOOPER D46 WITH DYNEEMA SNAP LOOP</t>
  </si>
  <si>
    <t>LS054</t>
  </si>
  <si>
    <t>SNATCH LOOPER D54 WITH DYNEEMA SNAP LOOP</t>
  </si>
  <si>
    <t>LS1060</t>
  </si>
  <si>
    <t>LOOPER 60 SINGLE WITH  LOOP</t>
  </si>
  <si>
    <t>LS1061</t>
  </si>
  <si>
    <t>LOOPER 60 SINGLE +BECKET, WITH LOOP</t>
  </si>
  <si>
    <t>LS1062</t>
  </si>
  <si>
    <t>LOOPER 60 DOUBL WITH LOOP</t>
  </si>
  <si>
    <t>LS1063</t>
  </si>
  <si>
    <t>LOOPER 60 DOUBLE +BECKET,  WITH LOOP</t>
  </si>
  <si>
    <t>LS1070</t>
  </si>
  <si>
    <t>LOOPER 70 WITH LOOP</t>
  </si>
  <si>
    <t>LS1071</t>
  </si>
  <si>
    <t>LOOPER 70 WITH BECKET AND LOOP</t>
  </si>
  <si>
    <t>LS1072</t>
  </si>
  <si>
    <t>LOOPER 70 DOUBLE WITH LOOP</t>
  </si>
  <si>
    <t>LS1073</t>
  </si>
  <si>
    <t>LOOPER 70 DOUBLE + BECKET WITH LOOP</t>
  </si>
  <si>
    <t>LS1080</t>
  </si>
  <si>
    <t>LOOPER  80 SINGLE WITH LOOP</t>
  </si>
  <si>
    <t>LS1081</t>
  </si>
  <si>
    <t>LOOPER 80 SINGLE +BECKET AND LOOP</t>
  </si>
  <si>
    <t>LS1082</t>
  </si>
  <si>
    <t>LOOPER BLOCK 80 DOUBLE WITH LOOP</t>
  </si>
  <si>
    <t>LS1083</t>
  </si>
  <si>
    <t>LOOPER BLOCK 80 DOUBLE WITH BECKET AND LOOP</t>
  </si>
  <si>
    <t>LS1100</t>
  </si>
  <si>
    <t>LOOPER 100 SINGLE WITH LOOP</t>
  </si>
  <si>
    <t>LS1101</t>
  </si>
  <si>
    <t>LOOPER 100 SINGLE + BECKET LOOP</t>
  </si>
  <si>
    <t>LS1120</t>
  </si>
  <si>
    <t>LOOPER BLOCK D120 SINGLE + WITH SNAP-LOOP WITH COV</t>
  </si>
  <si>
    <t>LS1121</t>
  </si>
  <si>
    <t>LOOPER BLOCK D120 SINGLE WITH BECKET + WITH SNAP-L</t>
  </si>
  <si>
    <t>LS1140</t>
  </si>
  <si>
    <t>LOOPER BLOCK D140 SINGLE + WITH SNAP-LOOP WITH COV</t>
  </si>
  <si>
    <t>LS1141</t>
  </si>
  <si>
    <t>LOOPER BLOCK D140 SINGLE WITH BECKET + WITH SNAP-L</t>
  </si>
  <si>
    <t>LS2060</t>
  </si>
  <si>
    <t>DYNEEMA LOOP 4MM FOR LOOPER 60</t>
  </si>
  <si>
    <t>LS2061</t>
  </si>
  <si>
    <t>SNAP LOOP WITH COVER D05 MM AND DOG BONE</t>
  </si>
  <si>
    <t>LS2065</t>
  </si>
  <si>
    <t>DYNEEMA LOOP WITHOUT COVER D04 (SECTORING RS43.08)</t>
  </si>
  <si>
    <t>LS2070</t>
  </si>
  <si>
    <t>DYNEEMA LOOP 5MM FOR LOOPER 70</t>
  </si>
  <si>
    <t>LS2071</t>
  </si>
  <si>
    <t>SNAP LOOP WITH COVER D06MM AND DOG BONE</t>
  </si>
  <si>
    <t>LS2072</t>
  </si>
  <si>
    <t>DOG-BONE 070 - D08 L37 ALU</t>
  </si>
  <si>
    <t>LS2075</t>
  </si>
  <si>
    <t>DYNEEMA LOOP WITHOUT COVER D05 (SECTORING RS53.10)</t>
  </si>
  <si>
    <t>LS2080</t>
  </si>
  <si>
    <t>DYNEEMA LOOP LOOPER SERIES D06 X 1480 DYNEEMA</t>
  </si>
  <si>
    <t>LS2081</t>
  </si>
  <si>
    <t>SNAP LOOP WITH COVER D08 AND DOG BONE</t>
  </si>
  <si>
    <t>LS2082</t>
  </si>
  <si>
    <t>DOG-BONE 080 - D10 L46 ALU</t>
  </si>
  <si>
    <t>LS2084</t>
  </si>
  <si>
    <t>SNAP LOOPS WITH COVER D8MM FOR LS046</t>
  </si>
  <si>
    <t>LS2085</t>
  </si>
  <si>
    <t>DYNEEMA LOOP WITHOUT COVER D06 (SECTORING RS63.12)</t>
  </si>
  <si>
    <t>LS2100</t>
  </si>
  <si>
    <t>DYNEEMA LOOP 8MM</t>
  </si>
  <si>
    <t>LS2101</t>
  </si>
  <si>
    <t>SNAP LOOP WITH COVER D10MM AND DOG BONE</t>
  </si>
  <si>
    <t>LS2102</t>
  </si>
  <si>
    <t>DOG-BONE 100 - D11,5 L55 ALU</t>
  </si>
  <si>
    <t>LS2104</t>
  </si>
  <si>
    <t>SNAP LOOPS WITH COVER D10MM FOR LS054</t>
  </si>
  <si>
    <t>LS2105</t>
  </si>
  <si>
    <t>DYNEEMA LOOP WITHOUT COVER D08 (SECTORING RS76.14)</t>
  </si>
  <si>
    <t>LS2121</t>
  </si>
  <si>
    <t>DYNEEMA LOOP D10 (LLOOPER 120)</t>
  </si>
  <si>
    <t>LS2122</t>
  </si>
  <si>
    <t>DOG-BONE 120 - D13,5 L67,5 ALU</t>
  </si>
  <si>
    <t>LS2141</t>
  </si>
  <si>
    <t>DYNEEMA SNAP LOOP WITH COVER D10 L500</t>
  </si>
  <si>
    <t>LS2142</t>
  </si>
  <si>
    <t>DOG-BONE 140 - D16 L78,5 ALU</t>
  </si>
  <si>
    <t>LW1070</t>
  </si>
  <si>
    <t>LOOPER BLOCK D070 SINGLE - WITHOUT SNAP-LOOP</t>
  </si>
  <si>
    <t>LWL1090</t>
  </si>
  <si>
    <t>LOOPER BLOCK D090 SINGLE WIDE - WITHOUT SNAP-LOOP</t>
  </si>
  <si>
    <t>MZ2150PAC-12</t>
  </si>
  <si>
    <t>CONTROL BOX 700-1000-1500W 12V</t>
  </si>
  <si>
    <t>MZ2150PAD-24</t>
  </si>
  <si>
    <t>CONTROL BOX  700-1000-1500-2000W 24V</t>
  </si>
  <si>
    <t>MZ2150PAE-48</t>
  </si>
  <si>
    <t>P10.20</t>
  </si>
  <si>
    <t>PUSH-PIN D10 L20</t>
  </si>
  <si>
    <t>P14.25</t>
  </si>
  <si>
    <t>PUSH-PIN D14 L25</t>
  </si>
  <si>
    <t>P14.35</t>
  </si>
  <si>
    <t>PUSH-PIN D14 L35</t>
  </si>
  <si>
    <t>R07.05</t>
  </si>
  <si>
    <t>RING D07 X 05 ALU</t>
  </si>
  <si>
    <t>R10.07</t>
  </si>
  <si>
    <t>RING D10 X 07 ALU</t>
  </si>
  <si>
    <t>R12.25</t>
  </si>
  <si>
    <t>DECK RING 12 X 25 ALU</t>
  </si>
  <si>
    <t>R14.10</t>
  </si>
  <si>
    <t>RING D14 X 10 ALU</t>
  </si>
  <si>
    <t>R14.14</t>
  </si>
  <si>
    <t>DECK RING D14MM</t>
  </si>
  <si>
    <t>R14.14S</t>
  </si>
  <si>
    <t>DECK RING D14 S.S.</t>
  </si>
  <si>
    <t>R18.36</t>
  </si>
  <si>
    <t>DECK RING 18 X 36 ALU</t>
  </si>
  <si>
    <t>R2.14</t>
  </si>
  <si>
    <t>MULTI RING D14 X 2 ALU BLACK</t>
  </si>
  <si>
    <t>R2.14D</t>
  </si>
  <si>
    <t xml:space="preserve">MULTI RING DOUBLE D14 X 2 ALU BLACK </t>
  </si>
  <si>
    <t>R20.14</t>
  </si>
  <si>
    <t>RING D20 X 14 ALU</t>
  </si>
  <si>
    <t>R20.20</t>
  </si>
  <si>
    <t>DECK RING D20MM</t>
  </si>
  <si>
    <t>R20.20S</t>
  </si>
  <si>
    <t>R22.44</t>
  </si>
  <si>
    <t>SOLID RING D22 X 4 T14 ALU</t>
  </si>
  <si>
    <t>R28.20</t>
  </si>
  <si>
    <t>RING D28 X 20 ALU</t>
  </si>
  <si>
    <t>R3.14</t>
  </si>
  <si>
    <t>MULTI RING D14 X 3 ALU BLACK</t>
  </si>
  <si>
    <t>R3.14D</t>
  </si>
  <si>
    <t xml:space="preserve">MULTI RING DOUBLE D14 X 3 ALU BLACK </t>
  </si>
  <si>
    <t>R30.56</t>
  </si>
  <si>
    <t>SOLID RING D30 X 56 T16 ALU</t>
  </si>
  <si>
    <t>R34.64</t>
  </si>
  <si>
    <t>SOLID RING D34 X 64 T18 ALU</t>
  </si>
  <si>
    <t>R38.28</t>
  </si>
  <si>
    <t>RING D38 X 28 ALU</t>
  </si>
  <si>
    <t>R4.14</t>
  </si>
  <si>
    <t>MULTI RING D14 X 4 ALU BLACK</t>
  </si>
  <si>
    <t>R4.14D</t>
  </si>
  <si>
    <t xml:space="preserve">MULTI RING DOUBLE D14 X 4 ALU BLACK </t>
  </si>
  <si>
    <t>R40.76</t>
  </si>
  <si>
    <t>SOLID RING D40 X 76 T22 ALU</t>
  </si>
  <si>
    <t>R5.14</t>
  </si>
  <si>
    <t>MULTI RING D14 X 5 ALU BLACK</t>
  </si>
  <si>
    <t>R5.14D</t>
  </si>
  <si>
    <t xml:space="preserve">MULTI RING DOUBLE D14 X 5 ALU BLACK </t>
  </si>
  <si>
    <t>R50.120</t>
  </si>
  <si>
    <t>SOLID RING D50 X 120 T32 ALU</t>
  </si>
  <si>
    <t>R50.94</t>
  </si>
  <si>
    <t>SOLID RING D50 X 94 T25 ALU</t>
  </si>
  <si>
    <t>R52.44</t>
  </si>
  <si>
    <t>RING D55 X 44 ALU</t>
  </si>
  <si>
    <t>R6.14</t>
  </si>
  <si>
    <t>MULTI RING D14 X 6 ALU BLACK</t>
  </si>
  <si>
    <t>R6.14D</t>
  </si>
  <si>
    <t xml:space="preserve">MULTI RING DOUBLE D14 X 6 ALU BLACK </t>
  </si>
  <si>
    <t>R7.14</t>
  </si>
  <si>
    <t>MULTI RING D14 X 7 ALU BLACK</t>
  </si>
  <si>
    <t>R7.14D</t>
  </si>
  <si>
    <t xml:space="preserve">MULTI RING DOUBLE D14 X 7 ALU BLACK </t>
  </si>
  <si>
    <t>R76.160</t>
  </si>
  <si>
    <t>SOLID RING D76 X 160 T46 ALU</t>
  </si>
  <si>
    <t>R8.14</t>
  </si>
  <si>
    <t>MULTI RING D14 X 8 ALU BLACK</t>
  </si>
  <si>
    <t>R8.14D</t>
  </si>
  <si>
    <t xml:space="preserve">MULTI RING DOUBLE D14 X 8 ALU BLACK </t>
  </si>
  <si>
    <t>RC230B</t>
  </si>
  <si>
    <t xml:space="preserve">ROLLER CLEAT SIZE 230 </t>
  </si>
  <si>
    <t>RC230SI</t>
  </si>
  <si>
    <t>ROLLER CLEAT SIZE 230 SILVER</t>
  </si>
  <si>
    <t>RC290B</t>
  </si>
  <si>
    <t xml:space="preserve">ROLLER CLEAT SIZE 290  </t>
  </si>
  <si>
    <t>RC290SI</t>
  </si>
  <si>
    <t>ROLLER CLEAT SIZE 290 SILVER</t>
  </si>
  <si>
    <t>RC350B</t>
  </si>
  <si>
    <t xml:space="preserve">ROLLER CLEAT SIZE 350 </t>
  </si>
  <si>
    <t>RC350SI</t>
  </si>
  <si>
    <t xml:space="preserve">ROLLER CLEAT SIZE 350 SILVER  </t>
  </si>
  <si>
    <t>RC420B</t>
  </si>
  <si>
    <t xml:space="preserve">ROLLER CLEAT SIZE 420 </t>
  </si>
  <si>
    <t>RC420SI</t>
  </si>
  <si>
    <t>ROLLER CLEAT SIZE 420 SILVER</t>
  </si>
  <si>
    <t>RF14.30</t>
  </si>
  <si>
    <t>MAST FAIRLEAD D14 X 30 ALU</t>
  </si>
  <si>
    <t>RF16.35</t>
  </si>
  <si>
    <t>MAST FAIRLEAD D16 X 35 ALU</t>
  </si>
  <si>
    <t>RF18.40</t>
  </si>
  <si>
    <t>MAST FAIRLEAD D18 X 40 ALU</t>
  </si>
  <si>
    <t>RL3.0</t>
  </si>
  <si>
    <t>RING 07.05+LOOP 3MM</t>
  </si>
  <si>
    <t>RL4.0</t>
  </si>
  <si>
    <t>RING 10.07+LOOP 4MM</t>
  </si>
  <si>
    <t>RL4.5</t>
  </si>
  <si>
    <t>RING 10.07+LOOP 4,5MM</t>
  </si>
  <si>
    <t>RL5.0</t>
  </si>
  <si>
    <t>RING 14.10+LOOP 5MM</t>
  </si>
  <si>
    <t>RL6.0</t>
  </si>
  <si>
    <t>RING 14.10+LOOP 6MM</t>
  </si>
  <si>
    <t>RL6.1</t>
  </si>
  <si>
    <t>RING 20.14+LOOP 6MM</t>
  </si>
  <si>
    <t>RR43.08</t>
  </si>
  <si>
    <t>RING SECTORRING D43.08 WITHOUT SNAP-LOOP</t>
  </si>
  <si>
    <t>RR53.10</t>
  </si>
  <si>
    <t>RING SECTORRING D53.10 WITHOUT SNAP-LOOP</t>
  </si>
  <si>
    <t>RR63.12</t>
  </si>
  <si>
    <t>RING SECTORRING D63.12 WITHOUT SNAP-LOOP</t>
  </si>
  <si>
    <t>RR76.14</t>
  </si>
  <si>
    <t>RING SECTORRING D76.14 WITHOUT SNAP-LOOP</t>
  </si>
  <si>
    <t>RS140.16</t>
  </si>
  <si>
    <t>RING SECTORRING D140.16 WITH LOOP</t>
  </si>
  <si>
    <t>RS43.08</t>
  </si>
  <si>
    <t>RING SECTORRING D43.08 WITH LOOP</t>
  </si>
  <si>
    <t>RS53.10</t>
  </si>
  <si>
    <t>RING SECTORRING D53.10 WITH LOOP</t>
  </si>
  <si>
    <t>RS63.12</t>
  </si>
  <si>
    <t>RING SECTORRING D63.12 WITH LOOP</t>
  </si>
  <si>
    <t>RS76.12</t>
  </si>
  <si>
    <t>SECTORING D76.12 WITH SNAP-LOOP</t>
  </si>
  <si>
    <t>RS76.14</t>
  </si>
  <si>
    <t>RING SECTORRING D76.14 WITH LOOP</t>
  </si>
  <si>
    <t>RS88.14</t>
  </si>
  <si>
    <t>RING SECTORRING D88.14 WITH LOOP</t>
  </si>
  <si>
    <t>SD06</t>
  </si>
  <si>
    <t>S-DRIVE SIZE 06</t>
  </si>
  <si>
    <t>SD08</t>
  </si>
  <si>
    <t>S-DRIVE SIZE 08</t>
  </si>
  <si>
    <t>SD10</t>
  </si>
  <si>
    <t>S-DRIVE SIZE 10</t>
  </si>
  <si>
    <t>SL4D</t>
  </si>
  <si>
    <t>DOUBLE SNAP LOOP 4MM</t>
  </si>
  <si>
    <t>SL4S</t>
  </si>
  <si>
    <t>SIZE 04 SINGLE DYNEEMA WITHOUT COVER</t>
  </si>
  <si>
    <t>SL4T</t>
  </si>
  <si>
    <t>TRIPLE SNAP LOOP 4MM</t>
  </si>
  <si>
    <t>SL5D</t>
  </si>
  <si>
    <t>DOUBLE SNAP LOOP 5MM</t>
  </si>
  <si>
    <t>SL5S</t>
  </si>
  <si>
    <t>SIZE 05 SINGLE DYNEEMA WITHOUT COVER</t>
  </si>
  <si>
    <t>SL5T</t>
  </si>
  <si>
    <t>TRIPLE SNAP LOOP 5MM</t>
  </si>
  <si>
    <t>SP10.48</t>
  </si>
  <si>
    <t>SLIDING FLUSH DECK PAD EYE S.STEEL FOR 10MM SHACKL</t>
  </si>
  <si>
    <t>T520</t>
  </si>
  <si>
    <t>ORGANIZER 2 TULIP  SHEAVES D50</t>
  </si>
  <si>
    <t>T530</t>
  </si>
  <si>
    <t>ORGANIZER 3 TULIP  SHEAVES D50</t>
  </si>
  <si>
    <t>T540</t>
  </si>
  <si>
    <t>ORGANIZER 4 TULIP  SHEAVES D50</t>
  </si>
  <si>
    <t>T550</t>
  </si>
  <si>
    <t>ORGANIZER 5 TULIP  SHEAVES D50</t>
  </si>
  <si>
    <t>T560</t>
  </si>
  <si>
    <t>ORGANIZER 6 TULIP  SHEAVES D50</t>
  </si>
  <si>
    <t>T620</t>
  </si>
  <si>
    <t>TULIP ORGANIZER D060 2 SHEAVES SINGLE VERSION</t>
  </si>
  <si>
    <t>T630</t>
  </si>
  <si>
    <t>TULIP ORGANIZER D060 3 SHEAVES SINGLE VERSION</t>
  </si>
  <si>
    <t>T640</t>
  </si>
  <si>
    <t>TULIP ORGANIZER D060 4 SHEAVES SINGLE VERSION</t>
  </si>
  <si>
    <t>T650</t>
  </si>
  <si>
    <t>TULIP ORGANIZER D060 5 SHEAVES SINGLE VERSION</t>
  </si>
  <si>
    <t>T660</t>
  </si>
  <si>
    <t>TULIP ORGANIZER D060 6 SHEAVES SINGLE VERSION</t>
  </si>
  <si>
    <t>TB4212</t>
  </si>
  <si>
    <t>TWIN SHEAVE BLOCK D42</t>
  </si>
  <si>
    <t>TD22.33</t>
  </si>
  <si>
    <t>LOOP &amp; TOGGLE FOR T-LOCK  TL22.33</t>
  </si>
  <si>
    <t>TD28.41</t>
  </si>
  <si>
    <t>LOOP &amp; TOGGLE T-LOCK 28</t>
  </si>
  <si>
    <t>TL22.33</t>
  </si>
  <si>
    <t>REMOVABLE T-LOCK D64MM</t>
  </si>
  <si>
    <t>TL28.41</t>
  </si>
  <si>
    <t>REMOVABLE T-LOCK D74MM</t>
  </si>
  <si>
    <t>TL50.20</t>
  </si>
  <si>
    <t>T-LOCK D50 X 20</t>
  </si>
  <si>
    <t>TL50.30</t>
  </si>
  <si>
    <t>T-LOCK D50 X 30</t>
  </si>
  <si>
    <t>TL60.20</t>
  </si>
  <si>
    <t>REMOVABLE T-LOCK D60 X 20</t>
  </si>
  <si>
    <t>TL60.30</t>
  </si>
  <si>
    <t>REMOVABLE T-LOCK D60 X 30</t>
  </si>
  <si>
    <t>TT22.33</t>
  </si>
  <si>
    <t>TOGGLE FOR T-LOCK  TL22.33</t>
  </si>
  <si>
    <t>TT28.41</t>
  </si>
  <si>
    <t>T-LOCK 28 - TOGGLE AL6082 (MARKED)</t>
  </si>
  <si>
    <t>W16AL</t>
  </si>
  <si>
    <t>WINCH - ALU - 2 SPEED W16</t>
  </si>
  <si>
    <t>W16BN</t>
  </si>
  <si>
    <t>WINCH YELLOW BRONZE - 2 SPEED W16</t>
  </si>
  <si>
    <t>W16CH</t>
  </si>
  <si>
    <t>CHROMED WINCH  - 2 SPEED W16</t>
  </si>
  <si>
    <t>W30AL</t>
  </si>
  <si>
    <t>STANDARD WINCH W30 - POWER 27,5:1 - 2 SPEEDS - ALU</t>
  </si>
  <si>
    <t>W30BN</t>
  </si>
  <si>
    <t>STANDARD WINCH W30 - POWER 27,5:1 - 2 SPEEDS- BRON</t>
  </si>
  <si>
    <t>W30CH</t>
  </si>
  <si>
    <t>STANDARD WINCH W30 - POWER 27,5:1 - 2 SPEEDS - CHR</t>
  </si>
  <si>
    <t>W42AL</t>
  </si>
  <si>
    <t>WINCH - ALU - 2 SPEED 42:1</t>
  </si>
  <si>
    <t>W42BN</t>
  </si>
  <si>
    <t>YELLOW WINCH - BRONZE - 2 SPEED W42</t>
  </si>
  <si>
    <t>W42CH</t>
  </si>
  <si>
    <t>CHROMED WINCH 2 SPEED W42</t>
  </si>
  <si>
    <t>W5</t>
  </si>
  <si>
    <t>PLASTIC SNUBBING WINCH - NO HANDLE</t>
  </si>
  <si>
    <t>W6</t>
  </si>
  <si>
    <t>WINCH ONE SPEED W6</t>
  </si>
  <si>
    <t>W7AL</t>
  </si>
  <si>
    <t>ALU WINCH ONE SPEED W7</t>
  </si>
  <si>
    <t>W8AL</t>
  </si>
  <si>
    <t>ALU WINCH ONE SPEED W8</t>
  </si>
  <si>
    <t>W8BN</t>
  </si>
  <si>
    <t>WINCH - NAT. BR - 1 SPEED  W8</t>
  </si>
  <si>
    <t>W8CH</t>
  </si>
  <si>
    <t>CHROMED WINCH - 1 SPEED  W8</t>
  </si>
  <si>
    <t>WBC</t>
  </si>
  <si>
    <t>POWERED WINCHES LOAD CONTROL</t>
  </si>
  <si>
    <t>XT16.2AL</t>
  </si>
  <si>
    <t>WINCH XT16 - POWER 14,3:1 - 2 SPEEDS - ALU</t>
  </si>
  <si>
    <t>XT16.2BN</t>
  </si>
  <si>
    <t>WINCH XT16 - POWER 14,3:1 - 2 SPEEDS - BRONZE FINI</t>
  </si>
  <si>
    <t>XT16.2CH</t>
  </si>
  <si>
    <t>WINCH XT16 - POWER 14,3:1 - 2 SPEEDS - CHROMED</t>
  </si>
  <si>
    <t>XT16.2R</t>
  </si>
  <si>
    <t>WINCH XT16 - POWER 14,3:1 - 2 SPEEDS - RACE</t>
  </si>
  <si>
    <t>XT16AL</t>
  </si>
  <si>
    <t>WINCH XT16 - POWER 14,3:1 - 1 SPEED - ALU</t>
  </si>
  <si>
    <t>XT16BN</t>
  </si>
  <si>
    <t>WINCH XT16 - POWER 14,3:1 - 1 SPEED - BRONZE FINIS</t>
  </si>
  <si>
    <t>XT16CH</t>
  </si>
  <si>
    <t>WINCH XT16 - POWER 14,3:1 - 1 SPEED - CHROMED</t>
  </si>
  <si>
    <t>XT16R</t>
  </si>
  <si>
    <t>WINCH XT16 - POWER 14,3:1 - 1 SPEED - RACE</t>
  </si>
  <si>
    <t>XT30.2AL</t>
  </si>
  <si>
    <t>WINCH XT30 - POWER 27,5:1 - 2 SPEEDS - ALU</t>
  </si>
  <si>
    <t>XT30.2BN</t>
  </si>
  <si>
    <t>WINCH XT30 - POWER 27,5:1 - 2 SPEEDS - BRONZE FINI</t>
  </si>
  <si>
    <t>XT30.2CH</t>
  </si>
  <si>
    <t>WINCH XT30 - POWER 27,5:1 - 2 SPEEDS - CHROMED</t>
  </si>
  <si>
    <t>XT30.2R</t>
  </si>
  <si>
    <t>WINCH XT30 - POWER 27,5:1 - 2 SPEEDS - RACE</t>
  </si>
  <si>
    <t>XT30AL</t>
  </si>
  <si>
    <t>WINCH XT30 - POWER 27,5:1 - 1 SPEED - ALU</t>
  </si>
  <si>
    <t>XT30BN</t>
  </si>
  <si>
    <t>WINCH XT30 - POWER 27,5:1 - 1 SPEED - BRONZE FINIS</t>
  </si>
  <si>
    <t>XT30CH</t>
  </si>
  <si>
    <t>WINCH XT30 - POWER 27,5:1 - 1 SPEED - CHROMED</t>
  </si>
  <si>
    <t>XT30R</t>
  </si>
  <si>
    <t>WINCH XT30 - POWER 27,5:1 - 1 SPEED - RACE</t>
  </si>
  <si>
    <t>XT40AL</t>
  </si>
  <si>
    <t>WINCH XT40 - POWER 40,2:1 - 2 SPEEDS - ALU</t>
  </si>
  <si>
    <t>XT40ALX</t>
  </si>
  <si>
    <t>WINCH XT40 - POWER 40,2:1 - 2 SPEEDS - ALU + POWER</t>
  </si>
  <si>
    <t>XT40BN</t>
  </si>
  <si>
    <t>WINCH XT40 - POWER 40,2:1 - 2 SPEEDS - BRONZE FINI</t>
  </si>
  <si>
    <t>XT40CH</t>
  </si>
  <si>
    <t>WINCH XT40 - POWER 40,2:1 - 2 SPEEDS - CHROMED</t>
  </si>
  <si>
    <t>XT40EH12AL</t>
  </si>
  <si>
    <t>WINCH XT40 - POWER 40,2:1 - 2 SPEEDS - ALU + HORIZ</t>
  </si>
  <si>
    <t>XT40EH12CH</t>
  </si>
  <si>
    <t>WINCH XT40 - POWER 40,2:1 - 2 SPEEDS - CHROMED + H</t>
  </si>
  <si>
    <t>XT40EH24AL</t>
  </si>
  <si>
    <t>WINCH  XT40, ALU , HORIZONTAL MOTOR 24V</t>
  </si>
  <si>
    <t>XT40EH24CH</t>
  </si>
  <si>
    <t>WINCH  XT40, CHROMO, HORIZONTAL MOTOR 24V</t>
  </si>
  <si>
    <t>XT40R</t>
  </si>
  <si>
    <t>WINCH XT40 - POWER 40,2:1 - 2 SPEEDS - RACE</t>
  </si>
  <si>
    <t>XT44AL</t>
  </si>
  <si>
    <t>WINCH XT44 - POWER 43,7:1 - 2 SPEEDS - ALU</t>
  </si>
  <si>
    <t>XT44BN</t>
  </si>
  <si>
    <t>WINCH XT44 - POWER 43,7:1 - 2 SPEEDS - BRONZE FINI</t>
  </si>
  <si>
    <t>XT44BNC</t>
  </si>
  <si>
    <t>WINCH XT44 - POWER 43,7:1 - 2 SPEEDS - CLASSIC - B</t>
  </si>
  <si>
    <t>XT44CH</t>
  </si>
  <si>
    <t>WINCH XT44 - POWER 43,7:1 - 2 SPEEDS - CHROMED</t>
  </si>
  <si>
    <t>XT44EH12CH</t>
  </si>
  <si>
    <t>WINCH XT44 - POWER 43,7:1 - 2 SPEEDS - CHROMED + H</t>
  </si>
  <si>
    <t>XT44EH24CH</t>
  </si>
  <si>
    <t>WINCH XT44, CHROMO, HORIZONTAL MOTOR 24V</t>
  </si>
  <si>
    <t>XT44HDCH</t>
  </si>
  <si>
    <t>XT44R</t>
  </si>
  <si>
    <t>WINCH XT44 - POWER 43,7:1 - 2 SPEEDS - RACE</t>
  </si>
  <si>
    <t>XT48AL</t>
  </si>
  <si>
    <t>WINCH XT48 - POWER 47,3:1 - 2 SPEEDS - ALU</t>
  </si>
  <si>
    <t>XT48BN</t>
  </si>
  <si>
    <t>WINCH XT48 - POWER 47,3:1 - 2 SPEEDS - BRONZE FINI</t>
  </si>
  <si>
    <t>XT48CH</t>
  </si>
  <si>
    <t>WINCH XT48 - POWER 47,3:1 - 2 SPEEDS - CHROMED</t>
  </si>
  <si>
    <t>XT48EH12AL</t>
  </si>
  <si>
    <t>WINCH XT48 - POWER 47,3:1 - 2 SPEEDS - ALU + HORIZ</t>
  </si>
  <si>
    <t>XT48EH12CH</t>
  </si>
  <si>
    <t>WINCH XT48 - POWER 47,3:1 - 2 SPEEDS - CHROMED + H</t>
  </si>
  <si>
    <t>XT48EH24AL</t>
  </si>
  <si>
    <t>WINCH XT48, ALU HORIZONTAL MOTOR 24V</t>
  </si>
  <si>
    <t>XT48EH24CH</t>
  </si>
  <si>
    <t>WINCH XT48, CHROMO, HORIZONTAL MOTOR 24V</t>
  </si>
  <si>
    <t>XT48EH48AL</t>
  </si>
  <si>
    <t>XT48HDAL</t>
  </si>
  <si>
    <t>WINCH XT48 - POWER 47,3:1 - 2 SPEEDS - ALU + HYDRA</t>
  </si>
  <si>
    <t>XT48HDCH</t>
  </si>
  <si>
    <t>XT48R</t>
  </si>
  <si>
    <t>WINCH XT48 - POWER 47,3:1 - 2 SPEEDS - RACE</t>
  </si>
  <si>
    <t>XT52AL</t>
  </si>
  <si>
    <t>WINCH XT52 - POWER 52,8:1 - 2 SPEEDS - ALU</t>
  </si>
  <si>
    <t>XT52BN</t>
  </si>
  <si>
    <t>WINCH XT52 - POWER 52,8:1 - 2 SPEEDS - BRONZE FINI</t>
  </si>
  <si>
    <t>XT52CH</t>
  </si>
  <si>
    <t>WINCH XT52 - POWER 52,8:1 - 2 SPEEDS - CHROMED</t>
  </si>
  <si>
    <t>XT52EH12AL</t>
  </si>
  <si>
    <t>WINCH XT52 - POWER 52,8:1 - 2 SPEEDS - ALU + HORIZ</t>
  </si>
  <si>
    <t>XT52EH12CH</t>
  </si>
  <si>
    <t>WINCH XT52 - POWER 52,8:1 - 2 SPEEDS - CHROMED + H</t>
  </si>
  <si>
    <t>XT52EH24AL</t>
  </si>
  <si>
    <t>XT52EH24CH</t>
  </si>
  <si>
    <t>XT52EH48AL</t>
  </si>
  <si>
    <t>XT52HDAL</t>
  </si>
  <si>
    <t>WINCH XT52 ALUMINIUM  HYDRAULIC</t>
  </si>
  <si>
    <t>XT52HDCH</t>
  </si>
  <si>
    <t>WINCH XT52 CHROMO HYDRAULIC</t>
  </si>
  <si>
    <t>XT52R</t>
  </si>
  <si>
    <t>WINCH XT52 - POWER 52,8:1 - 2 SPEEDS - RACE</t>
  </si>
  <si>
    <t>XT53.3RD</t>
  </si>
  <si>
    <t xml:space="preserve">WINCH XT53 - POWER 52,8:1 - 2 + 1 SPEEDS - RACE + </t>
  </si>
  <si>
    <t>XT62.3AL</t>
  </si>
  <si>
    <t>WINCH XT62.3 - POWER 61,1:1 - 3 SPEEDS- ALU</t>
  </si>
  <si>
    <t>XT62.3CH</t>
  </si>
  <si>
    <t>WINCH XT62.3 - POWER 61,1:1 - 3 SPEEDS- CHROMED</t>
  </si>
  <si>
    <t>XT62.3EH12AL</t>
  </si>
  <si>
    <t>WINCH XT62, 3 SPEED, ALU, HOR. MOTOR 1000W12</t>
  </si>
  <si>
    <t>XT62.3EH12CH</t>
  </si>
  <si>
    <t>WINCH XT62, 3 SPEED, CHROMO, HORIZONTAL MOTOR 1000</t>
  </si>
  <si>
    <t>XT62.3EH24AL</t>
  </si>
  <si>
    <t>WINCH XT62, 3 SPEED, ALU, HORIZONTAL MOTOR 1000W 2</t>
  </si>
  <si>
    <t>XT62.3EH24CH</t>
  </si>
  <si>
    <t>XT62.3EH48AL</t>
  </si>
  <si>
    <t>WINCH XT62.3 - POWER 61,1:1 - 3 SPEEDS- ALU + HORI</t>
  </si>
  <si>
    <t>XT62.3HDAL</t>
  </si>
  <si>
    <t>WINCH XT62 3 SPEED ALUMINIUM HYDRAULIC</t>
  </si>
  <si>
    <t>XT62.3HDCH</t>
  </si>
  <si>
    <t>WINCH XT62 3 SPEED CHROMO HYDRAULIC</t>
  </si>
  <si>
    <t>XT62.3R</t>
  </si>
  <si>
    <t>WINCH XT62.3 - POWER 61,1:1 - 3 SPEEDS- RACE</t>
  </si>
  <si>
    <t>XT62.3RD</t>
  </si>
  <si>
    <t>WINCH XT  62 3 SPEED- 1 DIRECT</t>
  </si>
  <si>
    <t>XT62AL</t>
  </si>
  <si>
    <t>WINCH XT62 - POWER 61,1:1 - 2 SPEEDS - ALU</t>
  </si>
  <si>
    <t>XT62CH</t>
  </si>
  <si>
    <t>WINCH XT62 - POWER 61,1:1 - 2 SPEEDS - CHROMED</t>
  </si>
  <si>
    <t>XT62EH12AL</t>
  </si>
  <si>
    <t>WINCH XT62 - POWER 61,1:1 - 2 SPEEDS - ALU + HORIZ</t>
  </si>
  <si>
    <t>XT62EH12CH</t>
  </si>
  <si>
    <t>WINCH XT62 - POWER 61,1:1 - 2 SPEEDS - CHROMED + H</t>
  </si>
  <si>
    <t>XT62EH24AL</t>
  </si>
  <si>
    <t>WINCH XT62, ALU, HORIZONTAL MOTOR 1000W  24V</t>
  </si>
  <si>
    <t>XT62EH24CH</t>
  </si>
  <si>
    <t>WINCH XT62, CHROMO, HORIZONTAL MOTOR 24V</t>
  </si>
  <si>
    <t>XT62EH48AL</t>
  </si>
  <si>
    <t>WINCH XT62 - POWER 61,1:1 - 2 SPEEDS- ALU + HORIZO</t>
  </si>
  <si>
    <t>XT62HDAL</t>
  </si>
  <si>
    <t>WINCH XT62 - POWER 61,1:1 - 2 SPEEDS - ALU + HYDRA</t>
  </si>
  <si>
    <t>XT62HDCH</t>
  </si>
  <si>
    <t>XT62R</t>
  </si>
  <si>
    <t>WINCH XT62 - POWER 61,1:1 - 2 SPEEDS - RACE</t>
  </si>
  <si>
    <t>XT66.3AL</t>
  </si>
  <si>
    <t>WINCH XT66.3 - POWER 65,7:1 - 3 SPEEDS- ALU</t>
  </si>
  <si>
    <t>XT66.3CH</t>
  </si>
  <si>
    <t>WINCH XT66.3 - POWER 65,7:1 - 3 SPEEDS- CHROMED</t>
  </si>
  <si>
    <t>XT66.3EH12AL</t>
  </si>
  <si>
    <t>WINCH XT66.3 - POWER 65,7:1 - 3 SPEEDS- ALU + HORI</t>
  </si>
  <si>
    <t>XT66.3EH12CH</t>
  </si>
  <si>
    <t xml:space="preserve">WINCH XT66.3 - POWER 65,7:1 - 3 SPEEDS- CHROMED + </t>
  </si>
  <si>
    <t>XT66.3EH24AL</t>
  </si>
  <si>
    <t>WINCH XT66 3 SPEED-ALU-HORIZONTAL MOTOR 1500W 2</t>
  </si>
  <si>
    <t>XT66.3EH24CH</t>
  </si>
  <si>
    <t>WINCH XT66 3 SPEED-CHROMO-HORIZONTAL MOTOR 1500W 2</t>
  </si>
  <si>
    <t>XT66.3EV12AL</t>
  </si>
  <si>
    <t>WINCH XT66  3 SPEED VERTICAL  MOTOR 1500W 12V-ALUM</t>
  </si>
  <si>
    <t>XT66.3EV12CH</t>
  </si>
  <si>
    <t>WINCH XT66  3 SPEED VERTICAL  MOTOR 1500W 12V-CHRO</t>
  </si>
  <si>
    <t>XT66.3EV24AL</t>
  </si>
  <si>
    <t>WINCH XT66  3 SPEED VERTICAL  MOTOR 1500W 24V-ALUM</t>
  </si>
  <si>
    <t>XT66.3EV24CH</t>
  </si>
  <si>
    <t>WINCH XT66  3 SPEED VERTICAL  MOTOR 1500W 24V-CHRO</t>
  </si>
  <si>
    <t>XT66.3HDAL</t>
  </si>
  <si>
    <t>WINCH XT66.3 - POWER 65,7:1 - 3 SPEEDS- ALU + HYDR</t>
  </si>
  <si>
    <t>XT66.3HDCH</t>
  </si>
  <si>
    <t>WINCH XT66 3 SPEED-HYDRAULIC-CHROMO</t>
  </si>
  <si>
    <t>XT66.3R</t>
  </si>
  <si>
    <t>WINCH XT66.3 - POWER 65,7:1 - 3 SPEEDS- RACE</t>
  </si>
  <si>
    <t>XT66AL</t>
  </si>
  <si>
    <t>WINCH XT66 - POWER 65,7:1 - 2 SPEEDS - ALU</t>
  </si>
  <si>
    <t>XT66CH</t>
  </si>
  <si>
    <t>WINCH XT66 - POWER 65,7:1 - 2 SPEEDS - CHROMED</t>
  </si>
  <si>
    <t>XT66EH12AL</t>
  </si>
  <si>
    <t>WINCH XT66 - POWER 65,7:1 - 2 SPEEDS- ALU + HORIZO</t>
  </si>
  <si>
    <t>XT66EH12CH</t>
  </si>
  <si>
    <t>WINCH XT66 - POWER 65,7:1 - 2 SPEEDS- CHROMED + HO</t>
  </si>
  <si>
    <t>XT66EH24AL</t>
  </si>
  <si>
    <t>WINCH XT66- HORIZONTAL MOTOR 1500W 24V-ALU</t>
  </si>
  <si>
    <t>XT66EH24CH</t>
  </si>
  <si>
    <t>WINCH XT 66-HORIZONTAL MOTOR 1500W 24V-CHROMO</t>
  </si>
  <si>
    <t>XT66EV12AL</t>
  </si>
  <si>
    <t>WINCH XT66 - POWER 65,7:1 - 2 SPEEDS- ALU + VERTIC</t>
  </si>
  <si>
    <t>XT66EV12CH</t>
  </si>
  <si>
    <t>WINCH XT66 - POWER 65,7:1 - 2 SPEEDS- CHROMED + VE</t>
  </si>
  <si>
    <t>XT66EV24AL</t>
  </si>
  <si>
    <t>WINCH XT66 VERTICAL  MOTOR 1500W 24V-ALUMINIUM</t>
  </si>
  <si>
    <t>XT66EV24CH</t>
  </si>
  <si>
    <t>WINCH XT66 VERTICAL  MOTOR 1500W 24V-CHROMO</t>
  </si>
  <si>
    <t>XT66HDAL</t>
  </si>
  <si>
    <t>WINCH XT66 - POWER 65,7:1 - 2 SPEEDS- ALU + HYDRAU</t>
  </si>
  <si>
    <t>XT66HDCH</t>
  </si>
  <si>
    <t>WINCH XT66 - POWER 65,7:1 - 2 SPEEDS- CHROMED + HY</t>
  </si>
  <si>
    <t>XT66R</t>
  </si>
  <si>
    <t>WINCH XT66 - POWER 65,7:1 - 2 SPEEDS - RACE</t>
  </si>
  <si>
    <t>XT76.3AL</t>
  </si>
  <si>
    <t>WINCH XT76.3 - POWER 74,6:1 - 3 SPEEDS - ALU</t>
  </si>
  <si>
    <t>XT76.3CH</t>
  </si>
  <si>
    <t>WINCH XT76.3 - POWER 74,6:1 - 3 SPEEDS - CHROMED</t>
  </si>
  <si>
    <t>XT76.3EH24AL</t>
  </si>
  <si>
    <t>WINCH XT76 - POWER 74,6:1 - 3 SPEEDS - ALU + HORIZ</t>
  </si>
  <si>
    <t>XT76.3EH24CH</t>
  </si>
  <si>
    <t>WINCH XT76.3 - POWER 74,6:1 - 3 SPEEDS - CHROMED +</t>
  </si>
  <si>
    <t>XT76.3HDAL</t>
  </si>
  <si>
    <t>WINCH XT76 3 SPEED-ALUMINIUM-HYDRAULIC</t>
  </si>
  <si>
    <t>XT76AL</t>
  </si>
  <si>
    <t>WINCH XT76 - POWER 74,6:1 - 2 SPEEDS- ALU</t>
  </si>
  <si>
    <t>XT76CH</t>
  </si>
  <si>
    <t>WINCH XT76 - POWER 74,6:1 - 2 SPEEDS - CHROMED</t>
  </si>
  <si>
    <t>XT76EH24AL</t>
  </si>
  <si>
    <t>WINCH XT76 - POWER 74,6:1 - 2 SPEEDS - ALU + HORIZ</t>
  </si>
  <si>
    <t>XT76EV24AL</t>
  </si>
  <si>
    <t>WINCH XT76 VERTICAL MOTOR 2000W 24V-ALU</t>
  </si>
  <si>
    <t>XT76EV24CH</t>
  </si>
  <si>
    <t>WINCH XT76 - POWER 74,6:1 - 2 SPEEDS- CHROMED + VE</t>
  </si>
  <si>
    <t>XT76HDAL</t>
  </si>
  <si>
    <t>WINCH XT76 HYDRAULIC-ALUMINIUM</t>
  </si>
  <si>
    <t>XT76R</t>
  </si>
  <si>
    <t>WINCH XT76 - POWER 74,6:1 - 2 SPEEDS - RACE</t>
  </si>
  <si>
    <t>XTKIT</t>
  </si>
  <si>
    <t>KIT WINCH XT</t>
  </si>
  <si>
    <t>4279Z</t>
  </si>
  <si>
    <t>END FITTING 4RACE 31X21 ALU + SHEAVE D58 NR REINFORCED</t>
  </si>
  <si>
    <t>XT80.3-AL</t>
  </si>
  <si>
    <t>Winches MAXI XT ST cruise winch, power 80, 3 speed, black aluminum drum</t>
  </si>
  <si>
    <t>XT80.3EH24-AL</t>
  </si>
  <si>
    <t>Winches MAXI XT ST cruise winch, electric horizontal, power 80, 3 speed, aluminum drum</t>
  </si>
  <si>
    <t>XT90.3EH24BNC</t>
  </si>
  <si>
    <t>251.035BNG</t>
  </si>
  <si>
    <t>RRPCNY</t>
  </si>
  <si>
    <t>XT80.3EH24CH</t>
  </si>
  <si>
    <t>ON REQUEST</t>
  </si>
  <si>
    <t>XT80.3EH48AL</t>
  </si>
  <si>
    <t>XT80.3EH48CH</t>
  </si>
  <si>
    <t>XT80.3HDAL</t>
  </si>
  <si>
    <t>XT80.3HDCH</t>
  </si>
  <si>
    <t>JR NEW SERIES WINCHES</t>
  </si>
  <si>
    <t>XT110</t>
  </si>
  <si>
    <t>XT80.3CH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</si>
</sst>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0;\-#0.000;#0.000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 applyNumberFormat="0" applyFill="0">
      <alignment vertical="center"/>
    </xf>
  </cellStyleXfs>
  <cellXfs count="12"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Alignment="1"/>
    <xf numFmtId="4" fontId="0" fillId="0" borderId="0" xfId="0" applyNumberFormat="1" applyFont="1" applyFill="1" applyAlignment="1">
      <alignment horizontal="left"/>
    </xf>
    <xf numFmtId="176" fontId="0" fillId="0" borderId="0" xfId="0" applyNumberFormat="1"/>
    <xf numFmtId="0" fontId="0" fillId="0" borderId="0" xfId="0" applyAlignment="1">
      <alignment vertical="center"/>
    </xf>
    <xf numFmtId="176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412"/>
  <sheetViews>
    <sheetView tabSelected="1" zoomScale="85" zoomScaleNormal="85" topLeftCell="E1" workbookViewId="0">
      <pane ySplit="1" topLeftCell="A2" activePane="bottomLeft" state="frozen"/>
      <selection/>
      <selection pane="bottomLeft" activeCell="G12" sqref="G12"/>
    </sheetView>
  </sheetViews>
  <sheetFormatPr defaultColWidth="9" defaultRowHeight="13.5"/>
  <cols>
    <col min="1" max="1" width="16.775" customWidth="1"/>
    <col min="2" max="2" width="14.3333333333333" customWidth="1"/>
    <col min="3" max="6" width="54" customWidth="1"/>
    <col min="7" max="13" width="21.8833333333333" style="4" customWidth="1"/>
  </cols>
  <sheetData>
    <row r="1" s="1" customFormat="1" ht="33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15</v>
      </c>
      <c r="E2" t="s">
        <v>15</v>
      </c>
      <c r="F2" t="s">
        <v>15</v>
      </c>
      <c r="G2" s="6">
        <v>42.48</v>
      </c>
      <c r="H2" s="6"/>
      <c r="I2" s="6">
        <f>G2*0.47</f>
        <v>19.9656</v>
      </c>
      <c r="J2" s="6">
        <f>G2*0.5</f>
        <v>21.24</v>
      </c>
      <c r="K2" s="6">
        <f>G2*0.55</f>
        <v>23.364</v>
      </c>
      <c r="L2" s="6">
        <f>G2*0.7</f>
        <v>29.736</v>
      </c>
      <c r="M2" s="6">
        <f>G2*0.85</f>
        <v>36.108</v>
      </c>
    </row>
    <row r="3" spans="1:13">
      <c r="A3" t="s">
        <v>13</v>
      </c>
      <c r="B3" t="s">
        <v>16</v>
      </c>
      <c r="C3" t="s">
        <v>17</v>
      </c>
      <c r="D3" t="s">
        <v>17</v>
      </c>
      <c r="E3" t="s">
        <v>17</v>
      </c>
      <c r="F3" t="s">
        <v>17</v>
      </c>
      <c r="G3" s="6">
        <v>67.68</v>
      </c>
      <c r="H3" s="6"/>
      <c r="I3" s="6">
        <f t="shared" ref="I3:I66" si="0">G3*0.47</f>
        <v>31.8096</v>
      </c>
      <c r="J3" s="6">
        <f t="shared" ref="J3:J66" si="1">G3*0.5</f>
        <v>33.84</v>
      </c>
      <c r="K3" s="6">
        <f t="shared" ref="K3:K66" si="2">G3*0.55</f>
        <v>37.224</v>
      </c>
      <c r="L3" s="6">
        <f t="shared" ref="L3:L66" si="3">G3*0.7</f>
        <v>47.376</v>
      </c>
      <c r="M3" s="6">
        <f t="shared" ref="M3:M66" si="4">G3*0.85</f>
        <v>57.528</v>
      </c>
    </row>
    <row r="4" spans="1:13">
      <c r="A4" t="s">
        <v>13</v>
      </c>
      <c r="B4" t="s">
        <v>18</v>
      </c>
      <c r="C4" t="s">
        <v>19</v>
      </c>
      <c r="D4" t="s">
        <v>19</v>
      </c>
      <c r="E4" t="s">
        <v>19</v>
      </c>
      <c r="F4" t="s">
        <v>19</v>
      </c>
      <c r="G4" s="6">
        <v>81.72</v>
      </c>
      <c r="H4" s="6"/>
      <c r="I4" s="6">
        <f t="shared" si="0"/>
        <v>38.4084</v>
      </c>
      <c r="J4" s="6">
        <f t="shared" si="1"/>
        <v>40.86</v>
      </c>
      <c r="K4" s="6">
        <f t="shared" si="2"/>
        <v>44.946</v>
      </c>
      <c r="L4" s="6">
        <f t="shared" si="3"/>
        <v>57.204</v>
      </c>
      <c r="M4" s="6">
        <f t="shared" si="4"/>
        <v>69.462</v>
      </c>
    </row>
    <row r="5" spans="1:13">
      <c r="A5" t="s">
        <v>13</v>
      </c>
      <c r="B5" t="s">
        <v>20</v>
      </c>
      <c r="C5" t="s">
        <v>21</v>
      </c>
      <c r="D5" t="s">
        <v>21</v>
      </c>
      <c r="E5" t="s">
        <v>21</v>
      </c>
      <c r="F5" t="s">
        <v>21</v>
      </c>
      <c r="G5" s="6">
        <v>56.64</v>
      </c>
      <c r="H5" s="6"/>
      <c r="I5" s="6">
        <f t="shared" si="0"/>
        <v>26.6208</v>
      </c>
      <c r="J5" s="6">
        <f t="shared" si="1"/>
        <v>28.32</v>
      </c>
      <c r="K5" s="6">
        <f t="shared" si="2"/>
        <v>31.152</v>
      </c>
      <c r="L5" s="6">
        <f t="shared" si="3"/>
        <v>39.648</v>
      </c>
      <c r="M5" s="6">
        <f t="shared" si="4"/>
        <v>48.144</v>
      </c>
    </row>
    <row r="6" spans="1:13">
      <c r="A6" t="s">
        <v>13</v>
      </c>
      <c r="B6" t="s">
        <v>22</v>
      </c>
      <c r="C6" t="s">
        <v>23</v>
      </c>
      <c r="D6" t="s">
        <v>23</v>
      </c>
      <c r="E6" t="s">
        <v>23</v>
      </c>
      <c r="F6" t="s">
        <v>23</v>
      </c>
      <c r="G6" s="6">
        <v>46.92</v>
      </c>
      <c r="H6" s="6"/>
      <c r="I6" s="6">
        <f t="shared" si="0"/>
        <v>22.0524</v>
      </c>
      <c r="J6" s="6">
        <f t="shared" si="1"/>
        <v>23.46</v>
      </c>
      <c r="K6" s="6">
        <f t="shared" si="2"/>
        <v>25.806</v>
      </c>
      <c r="L6" s="6">
        <f t="shared" si="3"/>
        <v>32.844</v>
      </c>
      <c r="M6" s="6">
        <f t="shared" si="4"/>
        <v>39.882</v>
      </c>
    </row>
    <row r="7" spans="1:13">
      <c r="A7" t="s">
        <v>13</v>
      </c>
      <c r="B7" t="s">
        <v>24</v>
      </c>
      <c r="C7" t="s">
        <v>23</v>
      </c>
      <c r="D7" t="s">
        <v>23</v>
      </c>
      <c r="E7" t="s">
        <v>23</v>
      </c>
      <c r="F7" t="s">
        <v>23</v>
      </c>
      <c r="G7" s="6">
        <v>72.24</v>
      </c>
      <c r="H7" s="6"/>
      <c r="I7" s="6">
        <f t="shared" si="0"/>
        <v>33.9528</v>
      </c>
      <c r="J7" s="6">
        <f t="shared" si="1"/>
        <v>36.12</v>
      </c>
      <c r="K7" s="6">
        <f t="shared" si="2"/>
        <v>39.732</v>
      </c>
      <c r="L7" s="6">
        <f t="shared" si="3"/>
        <v>50.568</v>
      </c>
      <c r="M7" s="6">
        <f t="shared" si="4"/>
        <v>61.404</v>
      </c>
    </row>
    <row r="8" spans="1:13">
      <c r="A8" t="s">
        <v>13</v>
      </c>
      <c r="B8" t="s">
        <v>25</v>
      </c>
      <c r="C8" t="s">
        <v>26</v>
      </c>
      <c r="D8" t="s">
        <v>26</v>
      </c>
      <c r="E8" t="s">
        <v>26</v>
      </c>
      <c r="F8" t="s">
        <v>26</v>
      </c>
      <c r="G8" s="6">
        <v>86.28</v>
      </c>
      <c r="H8" s="6"/>
      <c r="I8" s="6">
        <f t="shared" si="0"/>
        <v>40.5516</v>
      </c>
      <c r="J8" s="6">
        <f t="shared" si="1"/>
        <v>43.14</v>
      </c>
      <c r="K8" s="6">
        <f t="shared" si="2"/>
        <v>47.454</v>
      </c>
      <c r="L8" s="6">
        <f t="shared" si="3"/>
        <v>60.396</v>
      </c>
      <c r="M8" s="6">
        <f t="shared" si="4"/>
        <v>73.338</v>
      </c>
    </row>
    <row r="9" spans="1:13">
      <c r="A9" t="s">
        <v>13</v>
      </c>
      <c r="B9" t="s">
        <v>27</v>
      </c>
      <c r="C9" t="s">
        <v>28</v>
      </c>
      <c r="D9" t="s">
        <v>28</v>
      </c>
      <c r="E9" t="s">
        <v>28</v>
      </c>
      <c r="F9" t="s">
        <v>28</v>
      </c>
      <c r="G9" s="6">
        <v>61.08</v>
      </c>
      <c r="H9" s="6"/>
      <c r="I9" s="6">
        <f t="shared" si="0"/>
        <v>28.7076</v>
      </c>
      <c r="J9" s="6">
        <f t="shared" si="1"/>
        <v>30.54</v>
      </c>
      <c r="K9" s="6">
        <f t="shared" si="2"/>
        <v>33.594</v>
      </c>
      <c r="L9" s="6">
        <f t="shared" si="3"/>
        <v>42.756</v>
      </c>
      <c r="M9" s="6">
        <f t="shared" si="4"/>
        <v>51.918</v>
      </c>
    </row>
    <row r="10" spans="1:13">
      <c r="A10" t="s">
        <v>13</v>
      </c>
      <c r="B10" t="s">
        <v>29</v>
      </c>
      <c r="C10" t="s">
        <v>30</v>
      </c>
      <c r="D10" t="s">
        <v>30</v>
      </c>
      <c r="E10" t="s">
        <v>30</v>
      </c>
      <c r="F10" t="s">
        <v>30</v>
      </c>
      <c r="G10" s="6">
        <v>71.52</v>
      </c>
      <c r="H10" s="6"/>
      <c r="I10" s="6">
        <f t="shared" si="0"/>
        <v>33.6144</v>
      </c>
      <c r="J10" s="6">
        <f t="shared" si="1"/>
        <v>35.76</v>
      </c>
      <c r="K10" s="6">
        <f t="shared" si="2"/>
        <v>39.336</v>
      </c>
      <c r="L10" s="6">
        <f t="shared" si="3"/>
        <v>50.064</v>
      </c>
      <c r="M10" s="6">
        <f t="shared" si="4"/>
        <v>60.792</v>
      </c>
    </row>
    <row r="11" spans="1:13">
      <c r="A11" t="s">
        <v>13</v>
      </c>
      <c r="B11" t="s">
        <v>31</v>
      </c>
      <c r="C11" t="s">
        <v>30</v>
      </c>
      <c r="D11" t="s">
        <v>30</v>
      </c>
      <c r="E11" t="s">
        <v>30</v>
      </c>
      <c r="F11" t="s">
        <v>30</v>
      </c>
      <c r="G11" s="6">
        <v>96.84</v>
      </c>
      <c r="H11" s="6"/>
      <c r="I11" s="6">
        <f t="shared" si="0"/>
        <v>45.5148</v>
      </c>
      <c r="J11" s="6">
        <f t="shared" si="1"/>
        <v>48.42</v>
      </c>
      <c r="K11" s="6">
        <f t="shared" si="2"/>
        <v>53.262</v>
      </c>
      <c r="L11" s="6">
        <f t="shared" si="3"/>
        <v>67.788</v>
      </c>
      <c r="M11" s="6">
        <f t="shared" si="4"/>
        <v>82.314</v>
      </c>
    </row>
    <row r="12" spans="1:13">
      <c r="A12" t="s">
        <v>13</v>
      </c>
      <c r="B12" t="s">
        <v>32</v>
      </c>
      <c r="C12" t="s">
        <v>33</v>
      </c>
      <c r="D12" t="s">
        <v>33</v>
      </c>
      <c r="E12" t="s">
        <v>33</v>
      </c>
      <c r="F12" t="s">
        <v>33</v>
      </c>
      <c r="G12" s="6">
        <v>111</v>
      </c>
      <c r="H12" s="6"/>
      <c r="I12" s="6">
        <f t="shared" si="0"/>
        <v>52.17</v>
      </c>
      <c r="J12" s="6">
        <f t="shared" si="1"/>
        <v>55.5</v>
      </c>
      <c r="K12" s="6">
        <f t="shared" si="2"/>
        <v>61.05</v>
      </c>
      <c r="L12" s="6">
        <f t="shared" si="3"/>
        <v>77.7</v>
      </c>
      <c r="M12" s="6">
        <f t="shared" si="4"/>
        <v>94.35</v>
      </c>
    </row>
    <row r="13" spans="1:13">
      <c r="A13" t="s">
        <v>13</v>
      </c>
      <c r="B13" t="s">
        <v>34</v>
      </c>
      <c r="C13" t="s">
        <v>35</v>
      </c>
      <c r="D13" t="s">
        <v>35</v>
      </c>
      <c r="E13" t="s">
        <v>35</v>
      </c>
      <c r="F13" t="s">
        <v>35</v>
      </c>
      <c r="G13" s="6">
        <v>85.68</v>
      </c>
      <c r="H13" s="6"/>
      <c r="I13" s="6">
        <f t="shared" si="0"/>
        <v>40.2696</v>
      </c>
      <c r="J13" s="6">
        <f t="shared" si="1"/>
        <v>42.84</v>
      </c>
      <c r="K13" s="6">
        <f t="shared" si="2"/>
        <v>47.124</v>
      </c>
      <c r="L13" s="6">
        <f t="shared" si="3"/>
        <v>59.976</v>
      </c>
      <c r="M13" s="6">
        <f t="shared" si="4"/>
        <v>72.828</v>
      </c>
    </row>
    <row r="14" spans="1:13">
      <c r="A14" t="s">
        <v>13</v>
      </c>
      <c r="B14" t="s">
        <v>36</v>
      </c>
      <c r="C14" t="s">
        <v>37</v>
      </c>
      <c r="D14" t="s">
        <v>37</v>
      </c>
      <c r="E14" t="s">
        <v>37</v>
      </c>
      <c r="F14" t="s">
        <v>37</v>
      </c>
      <c r="G14" s="6">
        <v>75.96</v>
      </c>
      <c r="H14" s="6"/>
      <c r="I14" s="6">
        <f t="shared" si="0"/>
        <v>35.7012</v>
      </c>
      <c r="J14" s="6">
        <f t="shared" si="1"/>
        <v>37.98</v>
      </c>
      <c r="K14" s="6">
        <f t="shared" si="2"/>
        <v>41.778</v>
      </c>
      <c r="L14" s="6">
        <f t="shared" si="3"/>
        <v>53.172</v>
      </c>
      <c r="M14" s="6">
        <f t="shared" si="4"/>
        <v>64.566</v>
      </c>
    </row>
    <row r="15" spans="1:13">
      <c r="A15" t="s">
        <v>13</v>
      </c>
      <c r="B15" t="s">
        <v>38</v>
      </c>
      <c r="C15" t="s">
        <v>37</v>
      </c>
      <c r="D15" t="s">
        <v>37</v>
      </c>
      <c r="E15" t="s">
        <v>37</v>
      </c>
      <c r="F15" t="s">
        <v>37</v>
      </c>
      <c r="G15" s="6">
        <v>101.16</v>
      </c>
      <c r="H15" s="6"/>
      <c r="I15" s="6">
        <f t="shared" si="0"/>
        <v>47.5452</v>
      </c>
      <c r="J15" s="6">
        <f t="shared" si="1"/>
        <v>50.58</v>
      </c>
      <c r="K15" s="6">
        <f t="shared" si="2"/>
        <v>55.638</v>
      </c>
      <c r="L15" s="6">
        <f t="shared" si="3"/>
        <v>70.812</v>
      </c>
      <c r="M15" s="6">
        <f t="shared" si="4"/>
        <v>85.986</v>
      </c>
    </row>
    <row r="16" spans="1:13">
      <c r="A16" t="s">
        <v>13</v>
      </c>
      <c r="B16" t="s">
        <v>39</v>
      </c>
      <c r="C16" t="s">
        <v>40</v>
      </c>
      <c r="D16" t="s">
        <v>40</v>
      </c>
      <c r="E16" t="s">
        <v>40</v>
      </c>
      <c r="F16" t="s">
        <v>40</v>
      </c>
      <c r="G16" s="6">
        <v>100.44</v>
      </c>
      <c r="H16" s="6"/>
      <c r="I16" s="6">
        <f t="shared" si="0"/>
        <v>47.2068</v>
      </c>
      <c r="J16" s="6">
        <f t="shared" si="1"/>
        <v>50.22</v>
      </c>
      <c r="K16" s="6">
        <f t="shared" si="2"/>
        <v>55.242</v>
      </c>
      <c r="L16" s="6">
        <f t="shared" si="3"/>
        <v>70.308</v>
      </c>
      <c r="M16" s="6">
        <f t="shared" si="4"/>
        <v>85.374</v>
      </c>
    </row>
    <row r="17" spans="1:13">
      <c r="A17" t="s">
        <v>13</v>
      </c>
      <c r="B17" t="s">
        <v>41</v>
      </c>
      <c r="C17" t="s">
        <v>40</v>
      </c>
      <c r="D17" t="s">
        <v>40</v>
      </c>
      <c r="E17" t="s">
        <v>40</v>
      </c>
      <c r="F17" t="s">
        <v>40</v>
      </c>
      <c r="G17" s="6">
        <v>125.76</v>
      </c>
      <c r="H17" s="6"/>
      <c r="I17" s="6">
        <f t="shared" si="0"/>
        <v>59.1072</v>
      </c>
      <c r="J17" s="6">
        <f t="shared" si="1"/>
        <v>62.88</v>
      </c>
      <c r="K17" s="6">
        <f t="shared" si="2"/>
        <v>69.168</v>
      </c>
      <c r="L17" s="6">
        <f t="shared" si="3"/>
        <v>88.032</v>
      </c>
      <c r="M17" s="6">
        <f t="shared" si="4"/>
        <v>106.896</v>
      </c>
    </row>
    <row r="18" spans="1:13">
      <c r="A18" t="s">
        <v>13</v>
      </c>
      <c r="B18" t="s">
        <v>42</v>
      </c>
      <c r="C18" t="s">
        <v>43</v>
      </c>
      <c r="D18" t="s">
        <v>43</v>
      </c>
      <c r="E18" t="s">
        <v>43</v>
      </c>
      <c r="F18" t="s">
        <v>43</v>
      </c>
      <c r="G18" s="6">
        <v>104.88</v>
      </c>
      <c r="H18" s="6"/>
      <c r="I18" s="6">
        <f t="shared" si="0"/>
        <v>49.2936</v>
      </c>
      <c r="J18" s="6">
        <f t="shared" si="1"/>
        <v>52.44</v>
      </c>
      <c r="K18" s="6">
        <f t="shared" si="2"/>
        <v>57.684</v>
      </c>
      <c r="L18" s="6">
        <f t="shared" si="3"/>
        <v>73.416</v>
      </c>
      <c r="M18" s="6">
        <f t="shared" si="4"/>
        <v>89.148</v>
      </c>
    </row>
    <row r="19" spans="1:13">
      <c r="A19" t="s">
        <v>13</v>
      </c>
      <c r="B19" t="s">
        <v>44</v>
      </c>
      <c r="C19" t="s">
        <v>45</v>
      </c>
      <c r="D19" t="s">
        <v>45</v>
      </c>
      <c r="E19" t="s">
        <v>45</v>
      </c>
      <c r="F19" t="s">
        <v>45</v>
      </c>
      <c r="G19" s="6">
        <v>130.2</v>
      </c>
      <c r="H19" s="6"/>
      <c r="I19" s="6">
        <f t="shared" si="0"/>
        <v>61.194</v>
      </c>
      <c r="J19" s="6">
        <f t="shared" si="1"/>
        <v>65.1</v>
      </c>
      <c r="K19" s="6">
        <f t="shared" si="2"/>
        <v>71.61</v>
      </c>
      <c r="L19" s="6">
        <f t="shared" si="3"/>
        <v>91.14</v>
      </c>
      <c r="M19" s="6">
        <f t="shared" si="4"/>
        <v>110.67</v>
      </c>
    </row>
    <row r="20" spans="1:13">
      <c r="A20" t="s">
        <v>13</v>
      </c>
      <c r="B20" t="s">
        <v>46</v>
      </c>
      <c r="C20" t="s">
        <v>47</v>
      </c>
      <c r="D20" t="s">
        <v>47</v>
      </c>
      <c r="E20" t="s">
        <v>47</v>
      </c>
      <c r="F20" t="s">
        <v>47</v>
      </c>
      <c r="G20" s="6">
        <v>42.48</v>
      </c>
      <c r="H20" s="6"/>
      <c r="I20" s="6">
        <f t="shared" si="0"/>
        <v>19.9656</v>
      </c>
      <c r="J20" s="6">
        <f t="shared" si="1"/>
        <v>21.24</v>
      </c>
      <c r="K20" s="6">
        <f t="shared" si="2"/>
        <v>23.364</v>
      </c>
      <c r="L20" s="6">
        <f t="shared" si="3"/>
        <v>29.736</v>
      </c>
      <c r="M20" s="6">
        <f t="shared" si="4"/>
        <v>36.108</v>
      </c>
    </row>
    <row r="21" spans="1:13">
      <c r="A21" t="s">
        <v>13</v>
      </c>
      <c r="B21" t="s">
        <v>48</v>
      </c>
      <c r="C21" t="s">
        <v>49</v>
      </c>
      <c r="D21" t="s">
        <v>49</v>
      </c>
      <c r="E21" t="s">
        <v>49</v>
      </c>
      <c r="F21" t="s">
        <v>49</v>
      </c>
      <c r="G21" s="6">
        <v>51.36</v>
      </c>
      <c r="H21" s="6"/>
      <c r="I21" s="6">
        <f t="shared" si="0"/>
        <v>24.1392</v>
      </c>
      <c r="J21" s="6">
        <f t="shared" si="1"/>
        <v>25.68</v>
      </c>
      <c r="K21" s="6">
        <f t="shared" si="2"/>
        <v>28.248</v>
      </c>
      <c r="L21" s="6">
        <f t="shared" si="3"/>
        <v>35.952</v>
      </c>
      <c r="M21" s="6">
        <f t="shared" si="4"/>
        <v>43.656</v>
      </c>
    </row>
    <row r="22" spans="1:13">
      <c r="A22" t="s">
        <v>13</v>
      </c>
      <c r="B22" t="s">
        <v>50</v>
      </c>
      <c r="C22" t="s">
        <v>51</v>
      </c>
      <c r="D22" t="s">
        <v>51</v>
      </c>
      <c r="E22" t="s">
        <v>51</v>
      </c>
      <c r="F22" t="s">
        <v>51</v>
      </c>
      <c r="G22" s="6">
        <v>160.45</v>
      </c>
      <c r="H22" s="6"/>
      <c r="I22" s="6">
        <f t="shared" si="0"/>
        <v>75.4115</v>
      </c>
      <c r="J22" s="6">
        <f t="shared" si="1"/>
        <v>80.225</v>
      </c>
      <c r="K22" s="6">
        <f t="shared" si="2"/>
        <v>88.2475</v>
      </c>
      <c r="L22" s="6">
        <f t="shared" si="3"/>
        <v>112.315</v>
      </c>
      <c r="M22" s="6">
        <f t="shared" si="4"/>
        <v>136.3825</v>
      </c>
    </row>
    <row r="23" spans="1:13">
      <c r="A23" t="s">
        <v>13</v>
      </c>
      <c r="B23" t="s">
        <v>52</v>
      </c>
      <c r="C23" t="s">
        <v>53</v>
      </c>
      <c r="D23" t="s">
        <v>53</v>
      </c>
      <c r="E23" t="s">
        <v>53</v>
      </c>
      <c r="F23" t="s">
        <v>53</v>
      </c>
      <c r="G23" s="6">
        <v>37.8</v>
      </c>
      <c r="H23" s="6"/>
      <c r="I23" s="6">
        <f t="shared" si="0"/>
        <v>17.766</v>
      </c>
      <c r="J23" s="6">
        <f t="shared" si="1"/>
        <v>18.9</v>
      </c>
      <c r="K23" s="6">
        <f t="shared" si="2"/>
        <v>20.79</v>
      </c>
      <c r="L23" s="6">
        <f t="shared" si="3"/>
        <v>26.46</v>
      </c>
      <c r="M23" s="6">
        <f t="shared" si="4"/>
        <v>32.13</v>
      </c>
    </row>
    <row r="24" spans="1:13">
      <c r="A24" t="s">
        <v>13</v>
      </c>
      <c r="B24" t="s">
        <v>54</v>
      </c>
      <c r="C24" t="s">
        <v>55</v>
      </c>
      <c r="D24" t="s">
        <v>55</v>
      </c>
      <c r="E24" t="s">
        <v>55</v>
      </c>
      <c r="F24" t="s">
        <v>55</v>
      </c>
      <c r="G24" s="6">
        <v>42.48</v>
      </c>
      <c r="H24" s="6"/>
      <c r="I24" s="6">
        <f t="shared" si="0"/>
        <v>19.9656</v>
      </c>
      <c r="J24" s="6">
        <f t="shared" si="1"/>
        <v>21.24</v>
      </c>
      <c r="K24" s="6">
        <f t="shared" si="2"/>
        <v>23.364</v>
      </c>
      <c r="L24" s="6">
        <f t="shared" si="3"/>
        <v>29.736</v>
      </c>
      <c r="M24" s="6">
        <f t="shared" si="4"/>
        <v>36.108</v>
      </c>
    </row>
    <row r="25" spans="1:13">
      <c r="A25" t="s">
        <v>13</v>
      </c>
      <c r="B25" t="s">
        <v>56</v>
      </c>
      <c r="C25" t="s">
        <v>57</v>
      </c>
      <c r="D25" t="s">
        <v>57</v>
      </c>
      <c r="E25" t="s">
        <v>57</v>
      </c>
      <c r="F25" t="s">
        <v>57</v>
      </c>
      <c r="G25" s="6">
        <v>46.92</v>
      </c>
      <c r="H25" s="6"/>
      <c r="I25" s="6">
        <f t="shared" si="0"/>
        <v>22.0524</v>
      </c>
      <c r="J25" s="6">
        <f t="shared" si="1"/>
        <v>23.46</v>
      </c>
      <c r="K25" s="6">
        <f t="shared" si="2"/>
        <v>25.806</v>
      </c>
      <c r="L25" s="6">
        <f t="shared" si="3"/>
        <v>32.844</v>
      </c>
      <c r="M25" s="6">
        <f t="shared" si="4"/>
        <v>39.882</v>
      </c>
    </row>
    <row r="26" spans="1:13">
      <c r="A26" t="s">
        <v>13</v>
      </c>
      <c r="B26" t="s">
        <v>58</v>
      </c>
      <c r="C26" t="s">
        <v>59</v>
      </c>
      <c r="D26" t="s">
        <v>59</v>
      </c>
      <c r="E26" t="s">
        <v>59</v>
      </c>
      <c r="F26" t="s">
        <v>59</v>
      </c>
      <c r="G26" s="6">
        <v>44.64</v>
      </c>
      <c r="H26" s="6"/>
      <c r="I26" s="6">
        <f t="shared" si="0"/>
        <v>20.9808</v>
      </c>
      <c r="J26" s="6">
        <f t="shared" si="1"/>
        <v>22.32</v>
      </c>
      <c r="K26" s="6">
        <f t="shared" si="2"/>
        <v>24.552</v>
      </c>
      <c r="L26" s="6">
        <f t="shared" si="3"/>
        <v>31.248</v>
      </c>
      <c r="M26" s="6">
        <f t="shared" si="4"/>
        <v>37.944</v>
      </c>
    </row>
    <row r="27" spans="1:13">
      <c r="A27" t="s">
        <v>13</v>
      </c>
      <c r="B27" t="s">
        <v>60</v>
      </c>
      <c r="C27" t="s">
        <v>61</v>
      </c>
      <c r="D27" t="s">
        <v>61</v>
      </c>
      <c r="E27" t="s">
        <v>61</v>
      </c>
      <c r="F27" t="s">
        <v>61</v>
      </c>
      <c r="G27" s="6">
        <v>46.08</v>
      </c>
      <c r="H27" s="6"/>
      <c r="I27" s="6">
        <f t="shared" si="0"/>
        <v>21.6576</v>
      </c>
      <c r="J27" s="6">
        <f t="shared" si="1"/>
        <v>23.04</v>
      </c>
      <c r="K27" s="6">
        <f t="shared" si="2"/>
        <v>25.344</v>
      </c>
      <c r="L27" s="6">
        <f t="shared" si="3"/>
        <v>32.256</v>
      </c>
      <c r="M27" s="6">
        <f t="shared" si="4"/>
        <v>39.168</v>
      </c>
    </row>
    <row r="28" spans="1:13">
      <c r="A28" t="s">
        <v>13</v>
      </c>
      <c r="B28" t="s">
        <v>62</v>
      </c>
      <c r="C28" t="s">
        <v>63</v>
      </c>
      <c r="D28" t="s">
        <v>63</v>
      </c>
      <c r="E28" t="s">
        <v>63</v>
      </c>
      <c r="F28" t="s">
        <v>63</v>
      </c>
      <c r="G28" s="6">
        <v>58.08</v>
      </c>
      <c r="H28" s="6"/>
      <c r="I28" s="6">
        <f t="shared" si="0"/>
        <v>27.2976</v>
      </c>
      <c r="J28" s="6">
        <f t="shared" si="1"/>
        <v>29.04</v>
      </c>
      <c r="K28" s="6">
        <f t="shared" si="2"/>
        <v>31.944</v>
      </c>
      <c r="L28" s="6">
        <f t="shared" si="3"/>
        <v>40.656</v>
      </c>
      <c r="M28" s="6">
        <f t="shared" si="4"/>
        <v>49.368</v>
      </c>
    </row>
    <row r="29" spans="1:13">
      <c r="A29" t="s">
        <v>13</v>
      </c>
      <c r="B29" t="s">
        <v>64</v>
      </c>
      <c r="C29" t="s">
        <v>65</v>
      </c>
      <c r="D29" t="s">
        <v>65</v>
      </c>
      <c r="E29" t="s">
        <v>65</v>
      </c>
      <c r="F29" t="s">
        <v>65</v>
      </c>
      <c r="G29" s="6">
        <v>83.28</v>
      </c>
      <c r="H29" s="6"/>
      <c r="I29" s="6">
        <f t="shared" si="0"/>
        <v>39.1416</v>
      </c>
      <c r="J29" s="6">
        <f t="shared" si="1"/>
        <v>41.64</v>
      </c>
      <c r="K29" s="6">
        <f t="shared" si="2"/>
        <v>45.804</v>
      </c>
      <c r="L29" s="6">
        <f t="shared" si="3"/>
        <v>58.296</v>
      </c>
      <c r="M29" s="6">
        <f t="shared" si="4"/>
        <v>70.788</v>
      </c>
    </row>
    <row r="30" spans="1:13">
      <c r="A30" t="s">
        <v>13</v>
      </c>
      <c r="B30" t="s">
        <v>66</v>
      </c>
      <c r="C30" t="s">
        <v>67</v>
      </c>
      <c r="D30" t="s">
        <v>67</v>
      </c>
      <c r="E30" t="s">
        <v>67</v>
      </c>
      <c r="F30" t="s">
        <v>67</v>
      </c>
      <c r="G30" s="6">
        <v>97.44</v>
      </c>
      <c r="H30" s="6"/>
      <c r="I30" s="6">
        <f t="shared" si="0"/>
        <v>45.7968</v>
      </c>
      <c r="J30" s="6">
        <f t="shared" si="1"/>
        <v>48.72</v>
      </c>
      <c r="K30" s="6">
        <f t="shared" si="2"/>
        <v>53.592</v>
      </c>
      <c r="L30" s="6">
        <f t="shared" si="3"/>
        <v>68.208</v>
      </c>
      <c r="M30" s="6">
        <f t="shared" si="4"/>
        <v>82.824</v>
      </c>
    </row>
    <row r="31" spans="1:13">
      <c r="A31" t="s">
        <v>13</v>
      </c>
      <c r="B31" t="s">
        <v>68</v>
      </c>
      <c r="C31" t="s">
        <v>69</v>
      </c>
      <c r="D31" t="s">
        <v>69</v>
      </c>
      <c r="E31" t="s">
        <v>69</v>
      </c>
      <c r="F31" t="s">
        <v>69</v>
      </c>
      <c r="G31" s="6">
        <v>72.24</v>
      </c>
      <c r="H31" s="6"/>
      <c r="I31" s="6">
        <f t="shared" si="0"/>
        <v>33.9528</v>
      </c>
      <c r="J31" s="6">
        <f t="shared" si="1"/>
        <v>36.12</v>
      </c>
      <c r="K31" s="6">
        <f t="shared" si="2"/>
        <v>39.732</v>
      </c>
      <c r="L31" s="6">
        <f t="shared" si="3"/>
        <v>50.568</v>
      </c>
      <c r="M31" s="6">
        <f t="shared" si="4"/>
        <v>61.404</v>
      </c>
    </row>
    <row r="32" spans="1:13">
      <c r="A32" t="s">
        <v>13</v>
      </c>
      <c r="B32" t="s">
        <v>70</v>
      </c>
      <c r="C32" t="s">
        <v>71</v>
      </c>
      <c r="D32" t="s">
        <v>71</v>
      </c>
      <c r="E32" t="s">
        <v>71</v>
      </c>
      <c r="F32" t="s">
        <v>71</v>
      </c>
      <c r="G32" s="6">
        <v>62.64</v>
      </c>
      <c r="H32" s="6"/>
      <c r="I32" s="6">
        <f t="shared" si="0"/>
        <v>29.4408</v>
      </c>
      <c r="J32" s="6">
        <f t="shared" si="1"/>
        <v>31.32</v>
      </c>
      <c r="K32" s="6">
        <f t="shared" si="2"/>
        <v>34.452</v>
      </c>
      <c r="L32" s="6">
        <f t="shared" si="3"/>
        <v>43.848</v>
      </c>
      <c r="M32" s="6">
        <f t="shared" si="4"/>
        <v>53.244</v>
      </c>
    </row>
    <row r="33" spans="1:13">
      <c r="A33" t="s">
        <v>13</v>
      </c>
      <c r="B33" t="s">
        <v>72</v>
      </c>
      <c r="C33" t="s">
        <v>73</v>
      </c>
      <c r="D33" t="s">
        <v>73</v>
      </c>
      <c r="E33" t="s">
        <v>73</v>
      </c>
      <c r="F33" t="s">
        <v>73</v>
      </c>
      <c r="G33" s="6">
        <v>87.84</v>
      </c>
      <c r="H33" s="6"/>
      <c r="I33" s="6">
        <f t="shared" si="0"/>
        <v>41.2848</v>
      </c>
      <c r="J33" s="6">
        <f t="shared" si="1"/>
        <v>43.92</v>
      </c>
      <c r="K33" s="6">
        <f t="shared" si="2"/>
        <v>48.312</v>
      </c>
      <c r="L33" s="6">
        <f t="shared" si="3"/>
        <v>61.488</v>
      </c>
      <c r="M33" s="6">
        <f t="shared" si="4"/>
        <v>74.664</v>
      </c>
    </row>
    <row r="34" spans="1:13">
      <c r="A34" t="s">
        <v>13</v>
      </c>
      <c r="B34" t="s">
        <v>74</v>
      </c>
      <c r="C34" t="s">
        <v>75</v>
      </c>
      <c r="D34" t="s">
        <v>75</v>
      </c>
      <c r="E34" t="s">
        <v>75</v>
      </c>
      <c r="F34" t="s">
        <v>75</v>
      </c>
      <c r="G34" s="6">
        <v>102</v>
      </c>
      <c r="H34" s="6"/>
      <c r="I34" s="6">
        <f t="shared" si="0"/>
        <v>47.94</v>
      </c>
      <c r="J34" s="6">
        <f t="shared" si="1"/>
        <v>51</v>
      </c>
      <c r="K34" s="6">
        <f t="shared" si="2"/>
        <v>56.1</v>
      </c>
      <c r="L34" s="6">
        <f t="shared" si="3"/>
        <v>71.4</v>
      </c>
      <c r="M34" s="6">
        <f t="shared" si="4"/>
        <v>86.7</v>
      </c>
    </row>
    <row r="35" spans="1:13">
      <c r="A35" t="s">
        <v>13</v>
      </c>
      <c r="B35" t="s">
        <v>76</v>
      </c>
      <c r="C35" t="s">
        <v>77</v>
      </c>
      <c r="D35" t="s">
        <v>77</v>
      </c>
      <c r="E35" t="s">
        <v>77</v>
      </c>
      <c r="F35" t="s">
        <v>77</v>
      </c>
      <c r="G35" s="6">
        <v>76.68</v>
      </c>
      <c r="H35" s="6"/>
      <c r="I35" s="6">
        <f t="shared" si="0"/>
        <v>36.0396</v>
      </c>
      <c r="J35" s="6">
        <f t="shared" si="1"/>
        <v>38.34</v>
      </c>
      <c r="K35" s="6">
        <f t="shared" si="2"/>
        <v>42.174</v>
      </c>
      <c r="L35" s="6">
        <f t="shared" si="3"/>
        <v>53.676</v>
      </c>
      <c r="M35" s="6">
        <f t="shared" si="4"/>
        <v>65.178</v>
      </c>
    </row>
    <row r="36" spans="1:13">
      <c r="A36" t="s">
        <v>13</v>
      </c>
      <c r="B36" t="s">
        <v>78</v>
      </c>
      <c r="C36" t="s">
        <v>79</v>
      </c>
      <c r="D36" t="s">
        <v>79</v>
      </c>
      <c r="E36" t="s">
        <v>79</v>
      </c>
      <c r="F36" t="s">
        <v>79</v>
      </c>
      <c r="G36" s="6">
        <v>48</v>
      </c>
      <c r="H36" s="6"/>
      <c r="I36" s="6">
        <f t="shared" si="0"/>
        <v>22.56</v>
      </c>
      <c r="J36" s="6">
        <f t="shared" si="1"/>
        <v>24</v>
      </c>
      <c r="K36" s="6">
        <f t="shared" si="2"/>
        <v>26.4</v>
      </c>
      <c r="L36" s="6">
        <f t="shared" si="3"/>
        <v>33.6</v>
      </c>
      <c r="M36" s="6">
        <f t="shared" si="4"/>
        <v>40.8</v>
      </c>
    </row>
    <row r="37" spans="1:13">
      <c r="A37" t="s">
        <v>13</v>
      </c>
      <c r="B37" t="s">
        <v>80</v>
      </c>
      <c r="C37" t="s">
        <v>81</v>
      </c>
      <c r="D37" t="s">
        <v>81</v>
      </c>
      <c r="E37" t="s">
        <v>81</v>
      </c>
      <c r="F37" t="s">
        <v>81</v>
      </c>
      <c r="G37" s="6">
        <v>48</v>
      </c>
      <c r="H37" s="6"/>
      <c r="I37" s="6">
        <f t="shared" si="0"/>
        <v>22.56</v>
      </c>
      <c r="J37" s="6">
        <f t="shared" si="1"/>
        <v>24</v>
      </c>
      <c r="K37" s="6">
        <f t="shared" si="2"/>
        <v>26.4</v>
      </c>
      <c r="L37" s="6">
        <f t="shared" si="3"/>
        <v>33.6</v>
      </c>
      <c r="M37" s="6">
        <f t="shared" si="4"/>
        <v>40.8</v>
      </c>
    </row>
    <row r="38" spans="1:13">
      <c r="A38" t="s">
        <v>13</v>
      </c>
      <c r="B38" t="s">
        <v>82</v>
      </c>
      <c r="C38" t="s">
        <v>83</v>
      </c>
      <c r="D38" t="s">
        <v>83</v>
      </c>
      <c r="E38" t="s">
        <v>83</v>
      </c>
      <c r="F38" t="s">
        <v>83</v>
      </c>
      <c r="G38" s="6">
        <v>72.96</v>
      </c>
      <c r="H38" s="6"/>
      <c r="I38" s="6">
        <f t="shared" si="0"/>
        <v>34.2912</v>
      </c>
      <c r="J38" s="6">
        <f t="shared" si="1"/>
        <v>36.48</v>
      </c>
      <c r="K38" s="6">
        <f t="shared" si="2"/>
        <v>40.128</v>
      </c>
      <c r="L38" s="6">
        <f t="shared" si="3"/>
        <v>51.072</v>
      </c>
      <c r="M38" s="6">
        <f t="shared" si="4"/>
        <v>62.016</v>
      </c>
    </row>
    <row r="39" spans="1:13">
      <c r="A39" t="s">
        <v>13</v>
      </c>
      <c r="B39" t="s">
        <v>84</v>
      </c>
      <c r="C39" t="s">
        <v>85</v>
      </c>
      <c r="D39" t="s">
        <v>85</v>
      </c>
      <c r="E39" t="s">
        <v>85</v>
      </c>
      <c r="F39" t="s">
        <v>85</v>
      </c>
      <c r="G39" s="6">
        <v>87.12</v>
      </c>
      <c r="H39" s="6"/>
      <c r="I39" s="6">
        <f t="shared" si="0"/>
        <v>40.9464</v>
      </c>
      <c r="J39" s="6">
        <f t="shared" si="1"/>
        <v>43.56</v>
      </c>
      <c r="K39" s="6">
        <f t="shared" si="2"/>
        <v>47.916</v>
      </c>
      <c r="L39" s="6">
        <f t="shared" si="3"/>
        <v>60.984</v>
      </c>
      <c r="M39" s="6">
        <f t="shared" si="4"/>
        <v>74.052</v>
      </c>
    </row>
    <row r="40" spans="1:13">
      <c r="A40" t="s">
        <v>13</v>
      </c>
      <c r="B40" t="s">
        <v>86</v>
      </c>
      <c r="C40" t="s">
        <v>87</v>
      </c>
      <c r="D40" t="s">
        <v>87</v>
      </c>
      <c r="E40" t="s">
        <v>87</v>
      </c>
      <c r="F40" t="s">
        <v>87</v>
      </c>
      <c r="G40" s="6">
        <v>62.16</v>
      </c>
      <c r="H40" s="6"/>
      <c r="I40" s="6">
        <f t="shared" si="0"/>
        <v>29.2152</v>
      </c>
      <c r="J40" s="6">
        <f t="shared" si="1"/>
        <v>31.08</v>
      </c>
      <c r="K40" s="6">
        <f t="shared" si="2"/>
        <v>34.188</v>
      </c>
      <c r="L40" s="6">
        <f t="shared" si="3"/>
        <v>43.512</v>
      </c>
      <c r="M40" s="6">
        <f t="shared" si="4"/>
        <v>52.836</v>
      </c>
    </row>
    <row r="41" spans="1:13">
      <c r="A41" t="s">
        <v>13</v>
      </c>
      <c r="B41" t="s">
        <v>88</v>
      </c>
      <c r="C41" t="s">
        <v>89</v>
      </c>
      <c r="D41" t="s">
        <v>89</v>
      </c>
      <c r="E41" t="s">
        <v>89</v>
      </c>
      <c r="F41" t="s">
        <v>89</v>
      </c>
      <c r="G41" s="6">
        <v>53.04</v>
      </c>
      <c r="H41" s="6"/>
      <c r="I41" s="6">
        <f t="shared" si="0"/>
        <v>24.9288</v>
      </c>
      <c r="J41" s="6">
        <f t="shared" si="1"/>
        <v>26.52</v>
      </c>
      <c r="K41" s="6">
        <f t="shared" si="2"/>
        <v>29.172</v>
      </c>
      <c r="L41" s="6">
        <f t="shared" si="3"/>
        <v>37.128</v>
      </c>
      <c r="M41" s="6">
        <f t="shared" si="4"/>
        <v>45.084</v>
      </c>
    </row>
    <row r="42" spans="1:13">
      <c r="A42" t="s">
        <v>13</v>
      </c>
      <c r="B42" t="s">
        <v>90</v>
      </c>
      <c r="C42" t="s">
        <v>91</v>
      </c>
      <c r="D42" t="s">
        <v>91</v>
      </c>
      <c r="E42" t="s">
        <v>91</v>
      </c>
      <c r="F42" t="s">
        <v>91</v>
      </c>
      <c r="G42" s="6">
        <v>53.04</v>
      </c>
      <c r="H42" s="6"/>
      <c r="I42" s="6">
        <f t="shared" si="0"/>
        <v>24.9288</v>
      </c>
      <c r="J42" s="6">
        <f t="shared" si="1"/>
        <v>26.52</v>
      </c>
      <c r="K42" s="6">
        <f t="shared" si="2"/>
        <v>29.172</v>
      </c>
      <c r="L42" s="6">
        <f t="shared" si="3"/>
        <v>37.128</v>
      </c>
      <c r="M42" s="6">
        <f t="shared" si="4"/>
        <v>45.084</v>
      </c>
    </row>
    <row r="43" spans="1:13">
      <c r="A43" t="s">
        <v>13</v>
      </c>
      <c r="B43" t="s">
        <v>92</v>
      </c>
      <c r="C43" t="s">
        <v>89</v>
      </c>
      <c r="D43" t="s">
        <v>89</v>
      </c>
      <c r="E43" t="s">
        <v>89</v>
      </c>
      <c r="F43" t="s">
        <v>89</v>
      </c>
      <c r="G43" s="6">
        <v>78.12</v>
      </c>
      <c r="H43" s="6"/>
      <c r="I43" s="6">
        <f t="shared" si="0"/>
        <v>36.7164</v>
      </c>
      <c r="J43" s="6">
        <f t="shared" si="1"/>
        <v>39.06</v>
      </c>
      <c r="K43" s="6">
        <f t="shared" si="2"/>
        <v>42.966</v>
      </c>
      <c r="L43" s="6">
        <f t="shared" si="3"/>
        <v>54.684</v>
      </c>
      <c r="M43" s="6">
        <f t="shared" si="4"/>
        <v>66.402</v>
      </c>
    </row>
    <row r="44" spans="1:13">
      <c r="A44" t="s">
        <v>13</v>
      </c>
      <c r="B44" t="s">
        <v>93</v>
      </c>
      <c r="C44" t="s">
        <v>94</v>
      </c>
      <c r="D44" t="s">
        <v>94</v>
      </c>
      <c r="E44" t="s">
        <v>94</v>
      </c>
      <c r="F44" t="s">
        <v>94</v>
      </c>
      <c r="G44" s="6">
        <v>92.28</v>
      </c>
      <c r="H44" s="6"/>
      <c r="I44" s="6">
        <f t="shared" si="0"/>
        <v>43.3716</v>
      </c>
      <c r="J44" s="6">
        <f t="shared" si="1"/>
        <v>46.14</v>
      </c>
      <c r="K44" s="6">
        <f t="shared" si="2"/>
        <v>50.754</v>
      </c>
      <c r="L44" s="6">
        <f t="shared" si="3"/>
        <v>64.596</v>
      </c>
      <c r="M44" s="6">
        <f t="shared" si="4"/>
        <v>78.438</v>
      </c>
    </row>
    <row r="45" spans="1:13">
      <c r="A45" t="s">
        <v>13</v>
      </c>
      <c r="B45" t="s">
        <v>95</v>
      </c>
      <c r="C45" t="s">
        <v>96</v>
      </c>
      <c r="D45" t="s">
        <v>96</v>
      </c>
      <c r="E45" t="s">
        <v>96</v>
      </c>
      <c r="F45" t="s">
        <v>96</v>
      </c>
      <c r="G45" s="6">
        <v>67.08</v>
      </c>
      <c r="H45" s="6"/>
      <c r="I45" s="6">
        <f t="shared" si="0"/>
        <v>31.5276</v>
      </c>
      <c r="J45" s="6">
        <f t="shared" si="1"/>
        <v>33.54</v>
      </c>
      <c r="K45" s="6">
        <f t="shared" si="2"/>
        <v>36.894</v>
      </c>
      <c r="L45" s="6">
        <f t="shared" si="3"/>
        <v>46.956</v>
      </c>
      <c r="M45" s="6">
        <f t="shared" si="4"/>
        <v>57.018</v>
      </c>
    </row>
    <row r="46" spans="1:13">
      <c r="A46" t="s">
        <v>13</v>
      </c>
      <c r="B46" t="s">
        <v>97</v>
      </c>
      <c r="C46" t="s">
        <v>98</v>
      </c>
      <c r="D46" t="s">
        <v>98</v>
      </c>
      <c r="E46" t="s">
        <v>98</v>
      </c>
      <c r="F46" t="s">
        <v>98</v>
      </c>
      <c r="G46" s="6">
        <v>80.88</v>
      </c>
      <c r="H46" s="6"/>
      <c r="I46" s="6">
        <f t="shared" si="0"/>
        <v>38.0136</v>
      </c>
      <c r="J46" s="6">
        <f t="shared" si="1"/>
        <v>40.44</v>
      </c>
      <c r="K46" s="6">
        <f t="shared" si="2"/>
        <v>44.484</v>
      </c>
      <c r="L46" s="6">
        <f t="shared" si="3"/>
        <v>56.616</v>
      </c>
      <c r="M46" s="6">
        <f t="shared" si="4"/>
        <v>68.748</v>
      </c>
    </row>
    <row r="47" spans="1:13">
      <c r="A47" t="s">
        <v>13</v>
      </c>
      <c r="B47" t="s">
        <v>99</v>
      </c>
      <c r="C47" t="s">
        <v>98</v>
      </c>
      <c r="D47" t="s">
        <v>98</v>
      </c>
      <c r="E47" t="s">
        <v>98</v>
      </c>
      <c r="F47" t="s">
        <v>98</v>
      </c>
      <c r="G47" s="6">
        <v>105.96</v>
      </c>
      <c r="H47" s="6"/>
      <c r="I47" s="6">
        <f t="shared" si="0"/>
        <v>49.8012</v>
      </c>
      <c r="J47" s="6">
        <f t="shared" si="1"/>
        <v>52.98</v>
      </c>
      <c r="K47" s="6">
        <f t="shared" si="2"/>
        <v>58.278</v>
      </c>
      <c r="L47" s="6">
        <f t="shared" si="3"/>
        <v>74.172</v>
      </c>
      <c r="M47" s="6">
        <f t="shared" si="4"/>
        <v>90.066</v>
      </c>
    </row>
    <row r="48" spans="1:13">
      <c r="A48" t="s">
        <v>13</v>
      </c>
      <c r="B48" t="s">
        <v>100</v>
      </c>
      <c r="C48" t="s">
        <v>101</v>
      </c>
      <c r="D48" t="s">
        <v>101</v>
      </c>
      <c r="E48" t="s">
        <v>101</v>
      </c>
      <c r="F48" t="s">
        <v>101</v>
      </c>
      <c r="G48" s="6">
        <v>85.68</v>
      </c>
      <c r="H48" s="6"/>
      <c r="I48" s="6">
        <f t="shared" si="0"/>
        <v>40.2696</v>
      </c>
      <c r="J48" s="6">
        <f t="shared" si="1"/>
        <v>42.84</v>
      </c>
      <c r="K48" s="6">
        <f t="shared" si="2"/>
        <v>47.124</v>
      </c>
      <c r="L48" s="6">
        <f t="shared" si="3"/>
        <v>59.976</v>
      </c>
      <c r="M48" s="6">
        <f t="shared" si="4"/>
        <v>72.828</v>
      </c>
    </row>
    <row r="49" spans="1:13">
      <c r="A49" t="s">
        <v>13</v>
      </c>
      <c r="B49" t="s">
        <v>102</v>
      </c>
      <c r="C49" t="s">
        <v>101</v>
      </c>
      <c r="D49" t="s">
        <v>101</v>
      </c>
      <c r="E49" t="s">
        <v>101</v>
      </c>
      <c r="F49" t="s">
        <v>101</v>
      </c>
      <c r="G49" s="6">
        <v>111.12</v>
      </c>
      <c r="H49" s="6"/>
      <c r="I49" s="6">
        <f t="shared" si="0"/>
        <v>52.2264</v>
      </c>
      <c r="J49" s="6">
        <f t="shared" si="1"/>
        <v>55.56</v>
      </c>
      <c r="K49" s="6">
        <f t="shared" si="2"/>
        <v>61.116</v>
      </c>
      <c r="L49" s="6">
        <f t="shared" si="3"/>
        <v>77.784</v>
      </c>
      <c r="M49" s="6">
        <f t="shared" si="4"/>
        <v>94.452</v>
      </c>
    </row>
    <row r="50" spans="1:13">
      <c r="A50" t="s">
        <v>13</v>
      </c>
      <c r="B50" t="s">
        <v>103</v>
      </c>
      <c r="C50" t="s">
        <v>104</v>
      </c>
      <c r="D50" t="s">
        <v>104</v>
      </c>
      <c r="E50" t="s">
        <v>104</v>
      </c>
      <c r="F50" t="s">
        <v>104</v>
      </c>
      <c r="G50" s="6">
        <v>113.52</v>
      </c>
      <c r="H50" s="6"/>
      <c r="I50" s="6">
        <f t="shared" si="0"/>
        <v>53.3544</v>
      </c>
      <c r="J50" s="6">
        <f t="shared" si="1"/>
        <v>56.76</v>
      </c>
      <c r="K50" s="6">
        <f t="shared" si="2"/>
        <v>62.436</v>
      </c>
      <c r="L50" s="6">
        <f t="shared" si="3"/>
        <v>79.464</v>
      </c>
      <c r="M50" s="6">
        <f t="shared" si="4"/>
        <v>96.492</v>
      </c>
    </row>
    <row r="51" spans="1:13">
      <c r="A51" t="s">
        <v>13</v>
      </c>
      <c r="B51" t="s">
        <v>105</v>
      </c>
      <c r="C51" t="s">
        <v>104</v>
      </c>
      <c r="D51" t="s">
        <v>104</v>
      </c>
      <c r="E51" t="s">
        <v>104</v>
      </c>
      <c r="F51" t="s">
        <v>104</v>
      </c>
      <c r="G51" s="6">
        <v>138.84</v>
      </c>
      <c r="H51" s="6"/>
      <c r="I51" s="6">
        <f t="shared" si="0"/>
        <v>65.2548</v>
      </c>
      <c r="J51" s="6">
        <f t="shared" si="1"/>
        <v>69.42</v>
      </c>
      <c r="K51" s="6">
        <f t="shared" si="2"/>
        <v>76.362</v>
      </c>
      <c r="L51" s="6">
        <f t="shared" si="3"/>
        <v>97.188</v>
      </c>
      <c r="M51" s="6">
        <f t="shared" si="4"/>
        <v>118.014</v>
      </c>
    </row>
    <row r="52" spans="1:13">
      <c r="A52" t="s">
        <v>13</v>
      </c>
      <c r="B52" t="s">
        <v>106</v>
      </c>
      <c r="C52" t="s">
        <v>107</v>
      </c>
      <c r="D52" t="s">
        <v>107</v>
      </c>
      <c r="E52" t="s">
        <v>107</v>
      </c>
      <c r="F52" t="s">
        <v>107</v>
      </c>
      <c r="G52" s="6">
        <v>118.56</v>
      </c>
      <c r="H52" s="6"/>
      <c r="I52" s="6">
        <f t="shared" si="0"/>
        <v>55.7232</v>
      </c>
      <c r="J52" s="6">
        <f t="shared" si="1"/>
        <v>59.28</v>
      </c>
      <c r="K52" s="6">
        <f t="shared" si="2"/>
        <v>65.208</v>
      </c>
      <c r="L52" s="6">
        <f t="shared" si="3"/>
        <v>82.992</v>
      </c>
      <c r="M52" s="6">
        <f t="shared" si="4"/>
        <v>100.776</v>
      </c>
    </row>
    <row r="53" spans="1:13">
      <c r="A53" t="s">
        <v>13</v>
      </c>
      <c r="B53" t="s">
        <v>108</v>
      </c>
      <c r="C53" t="s">
        <v>107</v>
      </c>
      <c r="D53" t="s">
        <v>107</v>
      </c>
      <c r="E53" t="s">
        <v>107</v>
      </c>
      <c r="F53" t="s">
        <v>107</v>
      </c>
      <c r="G53" s="6">
        <v>143.76</v>
      </c>
      <c r="H53" s="6"/>
      <c r="I53" s="6">
        <f t="shared" si="0"/>
        <v>67.5672</v>
      </c>
      <c r="J53" s="6">
        <f t="shared" si="1"/>
        <v>71.88</v>
      </c>
      <c r="K53" s="6">
        <f t="shared" si="2"/>
        <v>79.068</v>
      </c>
      <c r="L53" s="6">
        <f t="shared" si="3"/>
        <v>100.632</v>
      </c>
      <c r="M53" s="6">
        <f t="shared" si="4"/>
        <v>122.196</v>
      </c>
    </row>
    <row r="54" spans="1:13">
      <c r="A54" t="s">
        <v>13</v>
      </c>
      <c r="B54" t="s">
        <v>109</v>
      </c>
      <c r="C54" t="s">
        <v>110</v>
      </c>
      <c r="D54" t="s">
        <v>110</v>
      </c>
      <c r="E54" t="s">
        <v>110</v>
      </c>
      <c r="F54" t="s">
        <v>110</v>
      </c>
      <c r="G54" s="6">
        <v>48</v>
      </c>
      <c r="H54" s="6"/>
      <c r="I54" s="6">
        <f t="shared" si="0"/>
        <v>22.56</v>
      </c>
      <c r="J54" s="6">
        <f t="shared" si="1"/>
        <v>24</v>
      </c>
      <c r="K54" s="6">
        <f t="shared" si="2"/>
        <v>26.4</v>
      </c>
      <c r="L54" s="6">
        <f t="shared" si="3"/>
        <v>33.6</v>
      </c>
      <c r="M54" s="6">
        <f t="shared" si="4"/>
        <v>40.8</v>
      </c>
    </row>
    <row r="55" spans="1:13">
      <c r="A55" t="s">
        <v>13</v>
      </c>
      <c r="B55" t="s">
        <v>111</v>
      </c>
      <c r="C55" t="s">
        <v>112</v>
      </c>
      <c r="D55" t="s">
        <v>112</v>
      </c>
      <c r="E55" t="s">
        <v>112</v>
      </c>
      <c r="F55" t="s">
        <v>112</v>
      </c>
      <c r="G55" s="6">
        <v>57.96</v>
      </c>
      <c r="H55" s="6"/>
      <c r="I55" s="6">
        <f t="shared" si="0"/>
        <v>27.2412</v>
      </c>
      <c r="J55" s="6">
        <f t="shared" si="1"/>
        <v>28.98</v>
      </c>
      <c r="K55" s="6">
        <f t="shared" si="2"/>
        <v>31.878</v>
      </c>
      <c r="L55" s="6">
        <f t="shared" si="3"/>
        <v>40.572</v>
      </c>
      <c r="M55" s="6">
        <f t="shared" si="4"/>
        <v>49.266</v>
      </c>
    </row>
    <row r="56" spans="1:13">
      <c r="A56" t="s">
        <v>13</v>
      </c>
      <c r="B56" t="s">
        <v>113</v>
      </c>
      <c r="C56" t="s">
        <v>114</v>
      </c>
      <c r="D56" t="s">
        <v>114</v>
      </c>
      <c r="E56" t="s">
        <v>114</v>
      </c>
      <c r="F56" t="s">
        <v>114</v>
      </c>
      <c r="G56" s="6">
        <v>99.25</v>
      </c>
      <c r="H56" s="6"/>
      <c r="I56" s="6">
        <f t="shared" si="0"/>
        <v>46.6475</v>
      </c>
      <c r="J56" s="6">
        <f t="shared" si="1"/>
        <v>49.625</v>
      </c>
      <c r="K56" s="6">
        <f t="shared" si="2"/>
        <v>54.5875</v>
      </c>
      <c r="L56" s="6">
        <f t="shared" si="3"/>
        <v>69.475</v>
      </c>
      <c r="M56" s="6">
        <f t="shared" si="4"/>
        <v>84.3625</v>
      </c>
    </row>
    <row r="57" spans="1:13">
      <c r="A57" t="s">
        <v>13</v>
      </c>
      <c r="B57" t="s">
        <v>115</v>
      </c>
      <c r="C57" t="s">
        <v>116</v>
      </c>
      <c r="D57" t="s">
        <v>116</v>
      </c>
      <c r="E57" t="s">
        <v>116</v>
      </c>
      <c r="F57" t="s">
        <v>116</v>
      </c>
      <c r="G57" s="6">
        <v>194.62</v>
      </c>
      <c r="H57" s="6"/>
      <c r="I57" s="6">
        <f t="shared" si="0"/>
        <v>91.4714</v>
      </c>
      <c r="J57" s="6">
        <f t="shared" si="1"/>
        <v>97.31</v>
      </c>
      <c r="K57" s="6">
        <f t="shared" si="2"/>
        <v>107.041</v>
      </c>
      <c r="L57" s="6">
        <f t="shared" si="3"/>
        <v>136.234</v>
      </c>
      <c r="M57" s="6">
        <f t="shared" si="4"/>
        <v>165.427</v>
      </c>
    </row>
    <row r="58" spans="1:13">
      <c r="A58" t="s">
        <v>13</v>
      </c>
      <c r="B58" t="s">
        <v>117</v>
      </c>
      <c r="C58" t="s">
        <v>118</v>
      </c>
      <c r="D58" t="s">
        <v>118</v>
      </c>
      <c r="E58" t="s">
        <v>118</v>
      </c>
      <c r="F58" t="s">
        <v>118</v>
      </c>
      <c r="G58" s="6">
        <v>42.72</v>
      </c>
      <c r="H58" s="6"/>
      <c r="I58" s="6">
        <f t="shared" si="0"/>
        <v>20.0784</v>
      </c>
      <c r="J58" s="6">
        <f t="shared" si="1"/>
        <v>21.36</v>
      </c>
      <c r="K58" s="6">
        <f t="shared" si="2"/>
        <v>23.496</v>
      </c>
      <c r="L58" s="6">
        <f t="shared" si="3"/>
        <v>29.904</v>
      </c>
      <c r="M58" s="6">
        <f t="shared" si="4"/>
        <v>36.312</v>
      </c>
    </row>
    <row r="59" spans="1:13">
      <c r="A59" t="s">
        <v>13</v>
      </c>
      <c r="B59" t="s">
        <v>119</v>
      </c>
      <c r="C59" t="s">
        <v>120</v>
      </c>
      <c r="D59" t="s">
        <v>120</v>
      </c>
      <c r="E59" t="s">
        <v>120</v>
      </c>
      <c r="F59" t="s">
        <v>120</v>
      </c>
      <c r="G59" s="6">
        <v>48</v>
      </c>
      <c r="H59" s="6"/>
      <c r="I59" s="6">
        <f t="shared" si="0"/>
        <v>22.56</v>
      </c>
      <c r="J59" s="6">
        <f t="shared" si="1"/>
        <v>24</v>
      </c>
      <c r="K59" s="6">
        <f t="shared" si="2"/>
        <v>26.4</v>
      </c>
      <c r="L59" s="6">
        <f t="shared" si="3"/>
        <v>33.6</v>
      </c>
      <c r="M59" s="6">
        <f t="shared" si="4"/>
        <v>40.8</v>
      </c>
    </row>
    <row r="60" spans="1:13">
      <c r="A60" t="s">
        <v>13</v>
      </c>
      <c r="B60" t="s">
        <v>121</v>
      </c>
      <c r="C60" t="s">
        <v>122</v>
      </c>
      <c r="D60" t="s">
        <v>122</v>
      </c>
      <c r="E60" t="s">
        <v>122</v>
      </c>
      <c r="F60" t="s">
        <v>122</v>
      </c>
      <c r="G60" s="6">
        <v>53.04</v>
      </c>
      <c r="H60" s="6"/>
      <c r="I60" s="6">
        <f t="shared" si="0"/>
        <v>24.9288</v>
      </c>
      <c r="J60" s="6">
        <f t="shared" si="1"/>
        <v>26.52</v>
      </c>
      <c r="K60" s="6">
        <f t="shared" si="2"/>
        <v>29.172</v>
      </c>
      <c r="L60" s="6">
        <f t="shared" si="3"/>
        <v>37.128</v>
      </c>
      <c r="M60" s="6">
        <f t="shared" si="4"/>
        <v>45.084</v>
      </c>
    </row>
    <row r="61" spans="1:13">
      <c r="A61" t="s">
        <v>13</v>
      </c>
      <c r="B61" t="s">
        <v>123</v>
      </c>
      <c r="C61" t="s">
        <v>124</v>
      </c>
      <c r="D61" t="s">
        <v>124</v>
      </c>
      <c r="E61" t="s">
        <v>124</v>
      </c>
      <c r="F61" t="s">
        <v>124</v>
      </c>
      <c r="G61" s="6">
        <v>51.36</v>
      </c>
      <c r="H61" s="6"/>
      <c r="I61" s="6">
        <f t="shared" si="0"/>
        <v>24.1392</v>
      </c>
      <c r="J61" s="6">
        <f t="shared" si="1"/>
        <v>25.68</v>
      </c>
      <c r="K61" s="6">
        <f t="shared" si="2"/>
        <v>28.248</v>
      </c>
      <c r="L61" s="6">
        <f t="shared" si="3"/>
        <v>35.952</v>
      </c>
      <c r="M61" s="6">
        <f t="shared" si="4"/>
        <v>43.656</v>
      </c>
    </row>
    <row r="62" spans="1:13">
      <c r="A62" t="s">
        <v>13</v>
      </c>
      <c r="B62" t="s">
        <v>125</v>
      </c>
      <c r="C62" t="s">
        <v>126</v>
      </c>
      <c r="D62" t="s">
        <v>126</v>
      </c>
      <c r="E62" t="s">
        <v>126</v>
      </c>
      <c r="F62" t="s">
        <v>126</v>
      </c>
      <c r="G62" s="6">
        <v>53.16</v>
      </c>
      <c r="H62" s="6"/>
      <c r="I62" s="6">
        <f t="shared" si="0"/>
        <v>24.9852</v>
      </c>
      <c r="J62" s="6">
        <f t="shared" si="1"/>
        <v>26.58</v>
      </c>
      <c r="K62" s="6">
        <f t="shared" si="2"/>
        <v>29.238</v>
      </c>
      <c r="L62" s="6">
        <f t="shared" si="3"/>
        <v>37.212</v>
      </c>
      <c r="M62" s="6">
        <f t="shared" si="4"/>
        <v>45.186</v>
      </c>
    </row>
    <row r="63" spans="1:13">
      <c r="A63" t="s">
        <v>13</v>
      </c>
      <c r="B63" t="s">
        <v>127</v>
      </c>
      <c r="C63" t="s">
        <v>128</v>
      </c>
      <c r="D63" t="s">
        <v>128</v>
      </c>
      <c r="E63" t="s">
        <v>128</v>
      </c>
      <c r="F63" t="s">
        <v>128</v>
      </c>
      <c r="G63" s="6">
        <v>65.4</v>
      </c>
      <c r="H63" s="6"/>
      <c r="I63" s="6">
        <f t="shared" si="0"/>
        <v>30.738</v>
      </c>
      <c r="J63" s="6">
        <f t="shared" si="1"/>
        <v>32.7</v>
      </c>
      <c r="K63" s="6">
        <f t="shared" si="2"/>
        <v>35.97</v>
      </c>
      <c r="L63" s="6">
        <f t="shared" si="3"/>
        <v>45.78</v>
      </c>
      <c r="M63" s="6">
        <f t="shared" si="4"/>
        <v>55.59</v>
      </c>
    </row>
    <row r="64" spans="1:13">
      <c r="A64" t="s">
        <v>13</v>
      </c>
      <c r="B64" t="s">
        <v>129</v>
      </c>
      <c r="C64" t="s">
        <v>130</v>
      </c>
      <c r="D64" t="s">
        <v>130</v>
      </c>
      <c r="E64" t="s">
        <v>130</v>
      </c>
      <c r="F64" t="s">
        <v>130</v>
      </c>
      <c r="G64" s="6">
        <v>65.4</v>
      </c>
      <c r="H64" s="6"/>
      <c r="I64" s="6">
        <f t="shared" si="0"/>
        <v>30.738</v>
      </c>
      <c r="J64" s="6">
        <f t="shared" si="1"/>
        <v>32.7</v>
      </c>
      <c r="K64" s="6">
        <f t="shared" si="2"/>
        <v>35.97</v>
      </c>
      <c r="L64" s="6">
        <f t="shared" si="3"/>
        <v>45.78</v>
      </c>
      <c r="M64" s="6">
        <f t="shared" si="4"/>
        <v>55.59</v>
      </c>
    </row>
    <row r="65" spans="1:13">
      <c r="A65" t="s">
        <v>13</v>
      </c>
      <c r="B65" t="s">
        <v>131</v>
      </c>
      <c r="C65" t="s">
        <v>132</v>
      </c>
      <c r="D65" t="s">
        <v>132</v>
      </c>
      <c r="E65" t="s">
        <v>132</v>
      </c>
      <c r="F65" t="s">
        <v>132</v>
      </c>
      <c r="G65" s="6">
        <v>90.84</v>
      </c>
      <c r="H65" s="6"/>
      <c r="I65" s="6">
        <f t="shared" si="0"/>
        <v>42.6948</v>
      </c>
      <c r="J65" s="6">
        <f t="shared" si="1"/>
        <v>45.42</v>
      </c>
      <c r="K65" s="6">
        <f t="shared" si="2"/>
        <v>49.962</v>
      </c>
      <c r="L65" s="6">
        <f t="shared" si="3"/>
        <v>63.588</v>
      </c>
      <c r="M65" s="6">
        <f t="shared" si="4"/>
        <v>77.214</v>
      </c>
    </row>
    <row r="66" spans="1:13">
      <c r="A66" t="s">
        <v>13</v>
      </c>
      <c r="B66" t="s">
        <v>133</v>
      </c>
      <c r="C66" t="s">
        <v>134</v>
      </c>
      <c r="D66" t="s">
        <v>134</v>
      </c>
      <c r="E66" t="s">
        <v>134</v>
      </c>
      <c r="F66" t="s">
        <v>134</v>
      </c>
      <c r="G66" s="6">
        <v>105</v>
      </c>
      <c r="H66" s="6"/>
      <c r="I66" s="6">
        <f t="shared" si="0"/>
        <v>49.35</v>
      </c>
      <c r="J66" s="6">
        <f t="shared" si="1"/>
        <v>52.5</v>
      </c>
      <c r="K66" s="6">
        <f t="shared" si="2"/>
        <v>57.75</v>
      </c>
      <c r="L66" s="6">
        <f t="shared" si="3"/>
        <v>73.5</v>
      </c>
      <c r="M66" s="6">
        <f t="shared" si="4"/>
        <v>89.25</v>
      </c>
    </row>
    <row r="67" spans="1:13">
      <c r="A67" t="s">
        <v>13</v>
      </c>
      <c r="B67" t="s">
        <v>135</v>
      </c>
      <c r="C67" t="s">
        <v>136</v>
      </c>
      <c r="D67" t="s">
        <v>136</v>
      </c>
      <c r="E67" t="s">
        <v>136</v>
      </c>
      <c r="F67" t="s">
        <v>136</v>
      </c>
      <c r="G67" s="6">
        <v>79.56</v>
      </c>
      <c r="H67" s="6"/>
      <c r="I67" s="6">
        <f t="shared" ref="I67:I130" si="5">G67*0.47</f>
        <v>37.3932</v>
      </c>
      <c r="J67" s="6">
        <f t="shared" ref="J67:J130" si="6">G67*0.5</f>
        <v>39.78</v>
      </c>
      <c r="K67" s="6">
        <f t="shared" ref="K67:K130" si="7">G67*0.55</f>
        <v>43.758</v>
      </c>
      <c r="L67" s="6">
        <f t="shared" ref="L67:L130" si="8">G67*0.7</f>
        <v>55.692</v>
      </c>
      <c r="M67" s="6">
        <f t="shared" ref="M67:M130" si="9">G67*0.85</f>
        <v>67.626</v>
      </c>
    </row>
    <row r="68" spans="1:13">
      <c r="A68" t="s">
        <v>13</v>
      </c>
      <c r="B68" t="s">
        <v>137</v>
      </c>
      <c r="C68" t="s">
        <v>138</v>
      </c>
      <c r="D68" t="s">
        <v>138</v>
      </c>
      <c r="E68" t="s">
        <v>138</v>
      </c>
      <c r="F68" t="s">
        <v>138</v>
      </c>
      <c r="G68" s="6">
        <v>70.56</v>
      </c>
      <c r="H68" s="6"/>
      <c r="I68" s="6">
        <f t="shared" si="5"/>
        <v>33.1632</v>
      </c>
      <c r="J68" s="6">
        <f t="shared" si="6"/>
        <v>35.28</v>
      </c>
      <c r="K68" s="6">
        <f t="shared" si="7"/>
        <v>38.808</v>
      </c>
      <c r="L68" s="6">
        <f t="shared" si="8"/>
        <v>49.392</v>
      </c>
      <c r="M68" s="6">
        <f t="shared" si="9"/>
        <v>59.976</v>
      </c>
    </row>
    <row r="69" spans="1:13">
      <c r="A69" t="s">
        <v>13</v>
      </c>
      <c r="B69" t="s">
        <v>139</v>
      </c>
      <c r="C69" t="s">
        <v>140</v>
      </c>
      <c r="D69" t="s">
        <v>140</v>
      </c>
      <c r="E69" t="s">
        <v>140</v>
      </c>
      <c r="F69" t="s">
        <v>140</v>
      </c>
      <c r="G69" s="6">
        <v>70.56</v>
      </c>
      <c r="H69" s="6"/>
      <c r="I69" s="6">
        <f t="shared" si="5"/>
        <v>33.1632</v>
      </c>
      <c r="J69" s="6">
        <f t="shared" si="6"/>
        <v>35.28</v>
      </c>
      <c r="K69" s="6">
        <f t="shared" si="7"/>
        <v>38.808</v>
      </c>
      <c r="L69" s="6">
        <f t="shared" si="8"/>
        <v>49.392</v>
      </c>
      <c r="M69" s="6">
        <f t="shared" si="9"/>
        <v>59.976</v>
      </c>
    </row>
    <row r="70" spans="1:13">
      <c r="A70" t="s">
        <v>13</v>
      </c>
      <c r="B70" t="s">
        <v>141</v>
      </c>
      <c r="C70" t="s">
        <v>138</v>
      </c>
      <c r="D70" t="s">
        <v>138</v>
      </c>
      <c r="E70" t="s">
        <v>138</v>
      </c>
      <c r="F70" t="s">
        <v>138</v>
      </c>
      <c r="G70" s="6">
        <v>95.76</v>
      </c>
      <c r="H70" s="6"/>
      <c r="I70" s="6">
        <f t="shared" si="5"/>
        <v>45.0072</v>
      </c>
      <c r="J70" s="6">
        <f t="shared" si="6"/>
        <v>47.88</v>
      </c>
      <c r="K70" s="6">
        <f t="shared" si="7"/>
        <v>52.668</v>
      </c>
      <c r="L70" s="6">
        <f t="shared" si="8"/>
        <v>67.032</v>
      </c>
      <c r="M70" s="6">
        <f t="shared" si="9"/>
        <v>81.396</v>
      </c>
    </row>
    <row r="71" spans="1:13">
      <c r="A71" t="s">
        <v>13</v>
      </c>
      <c r="B71" t="s">
        <v>142</v>
      </c>
      <c r="C71" t="s">
        <v>143</v>
      </c>
      <c r="D71" t="s">
        <v>143</v>
      </c>
      <c r="E71" t="s">
        <v>143</v>
      </c>
      <c r="F71" t="s">
        <v>143</v>
      </c>
      <c r="G71" s="6">
        <v>109.92</v>
      </c>
      <c r="H71" s="6"/>
      <c r="I71" s="6">
        <f t="shared" si="5"/>
        <v>51.6624</v>
      </c>
      <c r="J71" s="6">
        <f t="shared" si="6"/>
        <v>54.96</v>
      </c>
      <c r="K71" s="6">
        <f t="shared" si="7"/>
        <v>60.456</v>
      </c>
      <c r="L71" s="6">
        <f t="shared" si="8"/>
        <v>76.944</v>
      </c>
      <c r="M71" s="6">
        <f t="shared" si="9"/>
        <v>93.432</v>
      </c>
    </row>
    <row r="72" spans="1:13">
      <c r="A72" t="s">
        <v>13</v>
      </c>
      <c r="B72" t="s">
        <v>144</v>
      </c>
      <c r="C72" t="s">
        <v>145</v>
      </c>
      <c r="D72" t="s">
        <v>145</v>
      </c>
      <c r="E72" t="s">
        <v>145</v>
      </c>
      <c r="F72" t="s">
        <v>145</v>
      </c>
      <c r="G72" s="6">
        <v>84.6</v>
      </c>
      <c r="H72" s="6"/>
      <c r="I72" s="6">
        <f t="shared" si="5"/>
        <v>39.762</v>
      </c>
      <c r="J72" s="6">
        <f t="shared" si="6"/>
        <v>42.3</v>
      </c>
      <c r="K72" s="6">
        <f t="shared" si="7"/>
        <v>46.53</v>
      </c>
      <c r="L72" s="6">
        <f t="shared" si="8"/>
        <v>59.22</v>
      </c>
      <c r="M72" s="6">
        <f t="shared" si="9"/>
        <v>71.91</v>
      </c>
    </row>
    <row r="73" spans="1:13">
      <c r="A73" t="s">
        <v>13</v>
      </c>
      <c r="B73" t="s">
        <v>146</v>
      </c>
      <c r="C73" t="s">
        <v>147</v>
      </c>
      <c r="D73" t="s">
        <v>147</v>
      </c>
      <c r="E73" t="s">
        <v>147</v>
      </c>
      <c r="F73" t="s">
        <v>147</v>
      </c>
      <c r="G73" s="6">
        <v>69.63</v>
      </c>
      <c r="H73" s="6"/>
      <c r="I73" s="6">
        <f t="shared" si="5"/>
        <v>32.7261</v>
      </c>
      <c r="J73" s="6">
        <f t="shared" si="6"/>
        <v>34.815</v>
      </c>
      <c r="K73" s="6">
        <f t="shared" si="7"/>
        <v>38.2965</v>
      </c>
      <c r="L73" s="6">
        <f t="shared" si="8"/>
        <v>48.741</v>
      </c>
      <c r="M73" s="6">
        <f t="shared" si="9"/>
        <v>59.1855</v>
      </c>
    </row>
    <row r="74" spans="1:13">
      <c r="A74" t="s">
        <v>13</v>
      </c>
      <c r="B74" t="s">
        <v>148</v>
      </c>
      <c r="C74" t="s">
        <v>149</v>
      </c>
      <c r="D74" t="s">
        <v>149</v>
      </c>
      <c r="E74" t="s">
        <v>149</v>
      </c>
      <c r="F74" t="s">
        <v>149</v>
      </c>
      <c r="G74" s="6">
        <v>138.72</v>
      </c>
      <c r="H74" s="6"/>
      <c r="I74" s="6">
        <f t="shared" si="5"/>
        <v>65.1984</v>
      </c>
      <c r="J74" s="6">
        <f t="shared" si="6"/>
        <v>69.36</v>
      </c>
      <c r="K74" s="6">
        <f t="shared" si="7"/>
        <v>76.296</v>
      </c>
      <c r="L74" s="6">
        <f t="shared" si="8"/>
        <v>97.104</v>
      </c>
      <c r="M74" s="6">
        <f t="shared" si="9"/>
        <v>117.912</v>
      </c>
    </row>
    <row r="75" spans="1:13">
      <c r="A75" t="s">
        <v>13</v>
      </c>
      <c r="B75" t="s">
        <v>150</v>
      </c>
      <c r="C75" t="s">
        <v>151</v>
      </c>
      <c r="D75" t="s">
        <v>151</v>
      </c>
      <c r="E75" t="s">
        <v>151</v>
      </c>
      <c r="F75" t="s">
        <v>151</v>
      </c>
      <c r="G75" s="6">
        <v>121.88</v>
      </c>
      <c r="H75" s="6"/>
      <c r="I75" s="6">
        <f t="shared" si="5"/>
        <v>57.2836</v>
      </c>
      <c r="J75" s="6">
        <f t="shared" si="6"/>
        <v>60.94</v>
      </c>
      <c r="K75" s="6">
        <f t="shared" si="7"/>
        <v>67.034</v>
      </c>
      <c r="L75" s="6">
        <f t="shared" si="8"/>
        <v>85.316</v>
      </c>
      <c r="M75" s="6">
        <f t="shared" si="9"/>
        <v>103.598</v>
      </c>
    </row>
    <row r="76" spans="1:13">
      <c r="A76" t="s">
        <v>13</v>
      </c>
      <c r="B76" t="s">
        <v>152</v>
      </c>
      <c r="C76" t="s">
        <v>153</v>
      </c>
      <c r="D76" t="s">
        <v>153</v>
      </c>
      <c r="E76" t="s">
        <v>153</v>
      </c>
      <c r="F76" t="s">
        <v>153</v>
      </c>
      <c r="G76" s="6">
        <v>87</v>
      </c>
      <c r="H76" s="6"/>
      <c r="I76" s="6">
        <f t="shared" si="5"/>
        <v>40.89</v>
      </c>
      <c r="J76" s="6">
        <f t="shared" si="6"/>
        <v>43.5</v>
      </c>
      <c r="K76" s="6">
        <f t="shared" si="7"/>
        <v>47.85</v>
      </c>
      <c r="L76" s="6">
        <f t="shared" si="8"/>
        <v>60.9</v>
      </c>
      <c r="M76" s="6">
        <f t="shared" si="9"/>
        <v>73.95</v>
      </c>
    </row>
    <row r="77" spans="1:13">
      <c r="A77" t="s">
        <v>13</v>
      </c>
      <c r="B77" t="s">
        <v>154</v>
      </c>
      <c r="C77" t="s">
        <v>155</v>
      </c>
      <c r="D77" t="s">
        <v>155</v>
      </c>
      <c r="E77" t="s">
        <v>155</v>
      </c>
      <c r="F77" t="s">
        <v>155</v>
      </c>
      <c r="G77" s="6">
        <v>150</v>
      </c>
      <c r="H77" s="6"/>
      <c r="I77" s="6">
        <f t="shared" si="5"/>
        <v>70.5</v>
      </c>
      <c r="J77" s="6">
        <f t="shared" si="6"/>
        <v>75</v>
      </c>
      <c r="K77" s="6">
        <f t="shared" si="7"/>
        <v>82.5</v>
      </c>
      <c r="L77" s="6">
        <f t="shared" si="8"/>
        <v>105</v>
      </c>
      <c r="M77" s="6">
        <f t="shared" si="9"/>
        <v>127.5</v>
      </c>
    </row>
    <row r="78" spans="1:13">
      <c r="A78" t="s">
        <v>13</v>
      </c>
      <c r="B78" t="s">
        <v>156</v>
      </c>
      <c r="C78" t="s">
        <v>157</v>
      </c>
      <c r="D78" t="s">
        <v>157</v>
      </c>
      <c r="E78" t="s">
        <v>157</v>
      </c>
      <c r="F78" t="s">
        <v>157</v>
      </c>
      <c r="G78" s="6">
        <v>116.38</v>
      </c>
      <c r="H78" s="6"/>
      <c r="I78" s="6">
        <f t="shared" si="5"/>
        <v>54.6986</v>
      </c>
      <c r="J78" s="6">
        <f t="shared" si="6"/>
        <v>58.19</v>
      </c>
      <c r="K78" s="6">
        <f t="shared" si="7"/>
        <v>64.009</v>
      </c>
      <c r="L78" s="6">
        <f t="shared" si="8"/>
        <v>81.466</v>
      </c>
      <c r="M78" s="6">
        <f t="shared" si="9"/>
        <v>98.923</v>
      </c>
    </row>
    <row r="79" spans="1:13">
      <c r="A79" t="s">
        <v>13</v>
      </c>
      <c r="B79" t="s">
        <v>158</v>
      </c>
      <c r="C79" t="s">
        <v>159</v>
      </c>
      <c r="D79" t="s">
        <v>159</v>
      </c>
      <c r="E79" t="s">
        <v>159</v>
      </c>
      <c r="F79" t="s">
        <v>159</v>
      </c>
      <c r="G79" s="6">
        <v>174.24</v>
      </c>
      <c r="H79" s="6"/>
      <c r="I79" s="6">
        <f t="shared" si="5"/>
        <v>81.8928</v>
      </c>
      <c r="J79" s="6">
        <f t="shared" si="6"/>
        <v>87.12</v>
      </c>
      <c r="K79" s="6">
        <f t="shared" si="7"/>
        <v>95.832</v>
      </c>
      <c r="L79" s="6">
        <f t="shared" si="8"/>
        <v>121.968</v>
      </c>
      <c r="M79" s="6">
        <f t="shared" si="9"/>
        <v>148.104</v>
      </c>
    </row>
    <row r="80" spans="1:13">
      <c r="A80" t="s">
        <v>13</v>
      </c>
      <c r="B80" t="s">
        <v>160</v>
      </c>
      <c r="C80" t="s">
        <v>161</v>
      </c>
      <c r="D80" t="s">
        <v>161</v>
      </c>
      <c r="E80" t="s">
        <v>161</v>
      </c>
      <c r="F80" t="s">
        <v>161</v>
      </c>
      <c r="G80" s="6">
        <v>126.5</v>
      </c>
      <c r="H80" s="6"/>
      <c r="I80" s="6">
        <f t="shared" si="5"/>
        <v>59.455</v>
      </c>
      <c r="J80" s="6">
        <f t="shared" si="6"/>
        <v>63.25</v>
      </c>
      <c r="K80" s="6">
        <f t="shared" si="7"/>
        <v>69.575</v>
      </c>
      <c r="L80" s="6">
        <f t="shared" si="8"/>
        <v>88.55</v>
      </c>
      <c r="M80" s="6">
        <f t="shared" si="9"/>
        <v>107.525</v>
      </c>
    </row>
    <row r="81" spans="1:13">
      <c r="A81" t="s">
        <v>13</v>
      </c>
      <c r="B81" t="s">
        <v>162</v>
      </c>
      <c r="C81" t="s">
        <v>163</v>
      </c>
      <c r="D81" t="s">
        <v>163</v>
      </c>
      <c r="E81" t="s">
        <v>163</v>
      </c>
      <c r="F81" t="s">
        <v>163</v>
      </c>
      <c r="G81" s="6">
        <v>184.25</v>
      </c>
      <c r="H81" s="6"/>
      <c r="I81" s="6">
        <f t="shared" si="5"/>
        <v>86.5975</v>
      </c>
      <c r="J81" s="6">
        <f t="shared" si="6"/>
        <v>92.125</v>
      </c>
      <c r="K81" s="6">
        <f t="shared" si="7"/>
        <v>101.3375</v>
      </c>
      <c r="L81" s="6">
        <f t="shared" si="8"/>
        <v>128.975</v>
      </c>
      <c r="M81" s="6">
        <f t="shared" si="9"/>
        <v>156.6125</v>
      </c>
    </row>
    <row r="82" spans="1:13">
      <c r="A82" t="s">
        <v>13</v>
      </c>
      <c r="B82" t="s">
        <v>164</v>
      </c>
      <c r="C82" t="s">
        <v>165</v>
      </c>
      <c r="D82" t="s">
        <v>165</v>
      </c>
      <c r="E82" t="s">
        <v>165</v>
      </c>
      <c r="F82" t="s">
        <v>165</v>
      </c>
      <c r="G82" s="6">
        <v>155.21</v>
      </c>
      <c r="H82" s="6"/>
      <c r="I82" s="6">
        <f t="shared" si="5"/>
        <v>72.9487</v>
      </c>
      <c r="J82" s="6">
        <f t="shared" si="6"/>
        <v>77.605</v>
      </c>
      <c r="K82" s="6">
        <f t="shared" si="7"/>
        <v>85.3655</v>
      </c>
      <c r="L82" s="6">
        <f t="shared" si="8"/>
        <v>108.647</v>
      </c>
      <c r="M82" s="6">
        <f t="shared" si="9"/>
        <v>131.9285</v>
      </c>
    </row>
    <row r="83" spans="1:13">
      <c r="A83" t="s">
        <v>13</v>
      </c>
      <c r="B83" t="s">
        <v>166</v>
      </c>
      <c r="C83" t="s">
        <v>167</v>
      </c>
      <c r="D83" t="s">
        <v>167</v>
      </c>
      <c r="E83" t="s">
        <v>167</v>
      </c>
      <c r="F83" t="s">
        <v>167</v>
      </c>
      <c r="G83" s="6">
        <v>212.85</v>
      </c>
      <c r="H83" s="6"/>
      <c r="I83" s="6">
        <f t="shared" si="5"/>
        <v>100.0395</v>
      </c>
      <c r="J83" s="6">
        <f t="shared" si="6"/>
        <v>106.425</v>
      </c>
      <c r="K83" s="6">
        <f t="shared" si="7"/>
        <v>117.0675</v>
      </c>
      <c r="L83" s="6">
        <f t="shared" si="8"/>
        <v>148.995</v>
      </c>
      <c r="M83" s="6">
        <f t="shared" si="9"/>
        <v>180.9225</v>
      </c>
    </row>
    <row r="84" spans="1:13">
      <c r="A84" t="s">
        <v>13</v>
      </c>
      <c r="B84" t="s">
        <v>168</v>
      </c>
      <c r="C84" t="s">
        <v>169</v>
      </c>
      <c r="D84" t="s">
        <v>169</v>
      </c>
      <c r="E84" t="s">
        <v>169</v>
      </c>
      <c r="F84" t="s">
        <v>169</v>
      </c>
      <c r="G84" s="6">
        <v>165.22</v>
      </c>
      <c r="H84" s="6"/>
      <c r="I84" s="6">
        <f t="shared" si="5"/>
        <v>77.6534</v>
      </c>
      <c r="J84" s="6">
        <f t="shared" si="6"/>
        <v>82.61</v>
      </c>
      <c r="K84" s="6">
        <f t="shared" si="7"/>
        <v>90.871</v>
      </c>
      <c r="L84" s="6">
        <f t="shared" si="8"/>
        <v>115.654</v>
      </c>
      <c r="M84" s="6">
        <f t="shared" si="9"/>
        <v>140.437</v>
      </c>
    </row>
    <row r="85" spans="1:13">
      <c r="A85" t="s">
        <v>13</v>
      </c>
      <c r="B85" t="s">
        <v>170</v>
      </c>
      <c r="C85" t="s">
        <v>169</v>
      </c>
      <c r="D85" t="s">
        <v>169</v>
      </c>
      <c r="E85" t="s">
        <v>169</v>
      </c>
      <c r="F85" t="s">
        <v>169</v>
      </c>
      <c r="G85" s="6">
        <v>222.97</v>
      </c>
      <c r="H85" s="6"/>
      <c r="I85" s="6">
        <f t="shared" si="5"/>
        <v>104.7959</v>
      </c>
      <c r="J85" s="6">
        <f t="shared" si="6"/>
        <v>111.485</v>
      </c>
      <c r="K85" s="6">
        <f t="shared" si="7"/>
        <v>122.6335</v>
      </c>
      <c r="L85" s="6">
        <f t="shared" si="8"/>
        <v>156.079</v>
      </c>
      <c r="M85" s="6">
        <f t="shared" si="9"/>
        <v>189.5245</v>
      </c>
    </row>
    <row r="86" spans="1:13">
      <c r="A86" t="s">
        <v>13</v>
      </c>
      <c r="B86" t="s">
        <v>171</v>
      </c>
      <c r="C86" t="s">
        <v>172</v>
      </c>
      <c r="D86" t="s">
        <v>172</v>
      </c>
      <c r="E86" t="s">
        <v>172</v>
      </c>
      <c r="F86" t="s">
        <v>172</v>
      </c>
      <c r="G86" s="6">
        <v>102.19</v>
      </c>
      <c r="H86" s="6"/>
      <c r="I86" s="6">
        <f t="shared" si="5"/>
        <v>48.0293</v>
      </c>
      <c r="J86" s="6">
        <f t="shared" si="6"/>
        <v>51.095</v>
      </c>
      <c r="K86" s="6">
        <f t="shared" si="7"/>
        <v>56.2045</v>
      </c>
      <c r="L86" s="6">
        <f t="shared" si="8"/>
        <v>71.533</v>
      </c>
      <c r="M86" s="6">
        <f t="shared" si="9"/>
        <v>86.8615</v>
      </c>
    </row>
    <row r="87" spans="1:13">
      <c r="A87" t="s">
        <v>13</v>
      </c>
      <c r="B87" t="s">
        <v>173</v>
      </c>
      <c r="C87" t="s">
        <v>174</v>
      </c>
      <c r="D87" t="s">
        <v>174</v>
      </c>
      <c r="E87" t="s">
        <v>174</v>
      </c>
      <c r="F87" t="s">
        <v>174</v>
      </c>
      <c r="G87" s="6">
        <v>159.72</v>
      </c>
      <c r="H87" s="6"/>
      <c r="I87" s="6">
        <f t="shared" si="5"/>
        <v>75.0684</v>
      </c>
      <c r="J87" s="6">
        <f t="shared" si="6"/>
        <v>79.86</v>
      </c>
      <c r="K87" s="6">
        <f t="shared" si="7"/>
        <v>87.846</v>
      </c>
      <c r="L87" s="6">
        <f t="shared" si="8"/>
        <v>111.804</v>
      </c>
      <c r="M87" s="6">
        <f t="shared" si="9"/>
        <v>135.762</v>
      </c>
    </row>
    <row r="88" spans="1:13">
      <c r="A88" t="s">
        <v>13</v>
      </c>
      <c r="B88" t="s">
        <v>175</v>
      </c>
      <c r="C88" t="s">
        <v>176</v>
      </c>
      <c r="D88" t="s">
        <v>176</v>
      </c>
      <c r="E88" t="s">
        <v>176</v>
      </c>
      <c r="F88" t="s">
        <v>176</v>
      </c>
      <c r="G88" s="6">
        <v>112.31</v>
      </c>
      <c r="H88" s="6"/>
      <c r="I88" s="6">
        <f t="shared" si="5"/>
        <v>52.7857</v>
      </c>
      <c r="J88" s="6">
        <f t="shared" si="6"/>
        <v>56.155</v>
      </c>
      <c r="K88" s="6">
        <f t="shared" si="7"/>
        <v>61.7705</v>
      </c>
      <c r="L88" s="6">
        <f t="shared" si="8"/>
        <v>78.617</v>
      </c>
      <c r="M88" s="6">
        <f t="shared" si="9"/>
        <v>95.4635</v>
      </c>
    </row>
    <row r="89" spans="1:13">
      <c r="A89" t="s">
        <v>13</v>
      </c>
      <c r="B89" t="s">
        <v>177</v>
      </c>
      <c r="C89" t="s">
        <v>178</v>
      </c>
      <c r="D89" t="s">
        <v>178</v>
      </c>
      <c r="E89" t="s">
        <v>178</v>
      </c>
      <c r="F89" t="s">
        <v>178</v>
      </c>
      <c r="G89" s="6">
        <v>169.95</v>
      </c>
      <c r="H89" s="6"/>
      <c r="I89" s="6">
        <f t="shared" si="5"/>
        <v>79.8765</v>
      </c>
      <c r="J89" s="6">
        <f t="shared" si="6"/>
        <v>84.975</v>
      </c>
      <c r="K89" s="6">
        <f t="shared" si="7"/>
        <v>93.4725</v>
      </c>
      <c r="L89" s="6">
        <f t="shared" si="8"/>
        <v>118.965</v>
      </c>
      <c r="M89" s="6">
        <f t="shared" si="9"/>
        <v>144.4575</v>
      </c>
    </row>
    <row r="90" spans="1:13">
      <c r="A90" t="s">
        <v>13</v>
      </c>
      <c r="B90" t="s">
        <v>179</v>
      </c>
      <c r="C90" t="s">
        <v>180</v>
      </c>
      <c r="D90" t="s">
        <v>180</v>
      </c>
      <c r="E90" t="s">
        <v>180</v>
      </c>
      <c r="F90" t="s">
        <v>180</v>
      </c>
      <c r="G90" s="6">
        <v>57.24</v>
      </c>
      <c r="H90" s="6"/>
      <c r="I90" s="6">
        <f t="shared" si="5"/>
        <v>26.9028</v>
      </c>
      <c r="J90" s="6">
        <f t="shared" si="6"/>
        <v>28.62</v>
      </c>
      <c r="K90" s="6">
        <f t="shared" si="7"/>
        <v>31.482</v>
      </c>
      <c r="L90" s="6">
        <f t="shared" si="8"/>
        <v>40.068</v>
      </c>
      <c r="M90" s="6">
        <f t="shared" si="9"/>
        <v>48.654</v>
      </c>
    </row>
    <row r="91" spans="1:13">
      <c r="A91" t="s">
        <v>13</v>
      </c>
      <c r="B91" t="s">
        <v>181</v>
      </c>
      <c r="C91" t="s">
        <v>182</v>
      </c>
      <c r="D91" t="s">
        <v>182</v>
      </c>
      <c r="E91" t="s">
        <v>182</v>
      </c>
      <c r="F91" t="s">
        <v>182</v>
      </c>
      <c r="G91" s="6">
        <v>63.03</v>
      </c>
      <c r="H91" s="6"/>
      <c r="I91" s="6">
        <f t="shared" si="5"/>
        <v>29.6241</v>
      </c>
      <c r="J91" s="6">
        <f t="shared" si="6"/>
        <v>31.515</v>
      </c>
      <c r="K91" s="6">
        <f t="shared" si="7"/>
        <v>34.6665</v>
      </c>
      <c r="L91" s="6">
        <f t="shared" si="8"/>
        <v>44.121</v>
      </c>
      <c r="M91" s="6">
        <f t="shared" si="9"/>
        <v>53.5755</v>
      </c>
    </row>
    <row r="92" spans="1:13">
      <c r="A92" t="s">
        <v>13</v>
      </c>
      <c r="B92" t="s">
        <v>183</v>
      </c>
      <c r="C92" t="s">
        <v>184</v>
      </c>
      <c r="D92" t="s">
        <v>184</v>
      </c>
      <c r="E92" t="s">
        <v>184</v>
      </c>
      <c r="F92" t="s">
        <v>184</v>
      </c>
      <c r="G92" s="6">
        <v>131.64</v>
      </c>
      <c r="H92" s="6"/>
      <c r="I92" s="6">
        <f t="shared" si="5"/>
        <v>61.8708</v>
      </c>
      <c r="J92" s="6">
        <f t="shared" si="6"/>
        <v>65.82</v>
      </c>
      <c r="K92" s="6">
        <f t="shared" si="7"/>
        <v>72.402</v>
      </c>
      <c r="L92" s="6">
        <f t="shared" si="8"/>
        <v>92.148</v>
      </c>
      <c r="M92" s="6">
        <f t="shared" si="9"/>
        <v>111.894</v>
      </c>
    </row>
    <row r="93" spans="1:13">
      <c r="A93" t="s">
        <v>13</v>
      </c>
      <c r="B93" t="s">
        <v>185</v>
      </c>
      <c r="C93" t="s">
        <v>186</v>
      </c>
      <c r="D93" t="s">
        <v>186</v>
      </c>
      <c r="E93" t="s">
        <v>186</v>
      </c>
      <c r="F93" t="s">
        <v>186</v>
      </c>
      <c r="G93" s="6">
        <v>55.11</v>
      </c>
      <c r="H93" s="6"/>
      <c r="I93" s="6">
        <f t="shared" si="5"/>
        <v>25.9017</v>
      </c>
      <c r="J93" s="6">
        <f t="shared" si="6"/>
        <v>27.555</v>
      </c>
      <c r="K93" s="6">
        <f t="shared" si="7"/>
        <v>30.3105</v>
      </c>
      <c r="L93" s="6">
        <f t="shared" si="8"/>
        <v>38.577</v>
      </c>
      <c r="M93" s="6">
        <f t="shared" si="9"/>
        <v>46.8435</v>
      </c>
    </row>
    <row r="94" spans="1:13">
      <c r="A94" t="s">
        <v>13</v>
      </c>
      <c r="B94" t="s">
        <v>187</v>
      </c>
      <c r="C94" t="s">
        <v>188</v>
      </c>
      <c r="D94" t="s">
        <v>188</v>
      </c>
      <c r="E94" t="s">
        <v>188</v>
      </c>
      <c r="F94" t="s">
        <v>188</v>
      </c>
      <c r="G94" s="6">
        <v>94.49</v>
      </c>
      <c r="H94" s="6"/>
      <c r="I94" s="6">
        <f t="shared" si="5"/>
        <v>44.4103</v>
      </c>
      <c r="J94" s="6">
        <f t="shared" si="6"/>
        <v>47.245</v>
      </c>
      <c r="K94" s="6">
        <f t="shared" si="7"/>
        <v>51.9695</v>
      </c>
      <c r="L94" s="6">
        <f t="shared" si="8"/>
        <v>66.143</v>
      </c>
      <c r="M94" s="6">
        <f t="shared" si="9"/>
        <v>80.3165</v>
      </c>
    </row>
    <row r="95" spans="1:13">
      <c r="A95" t="s">
        <v>13</v>
      </c>
      <c r="B95" t="s">
        <v>189</v>
      </c>
      <c r="C95" t="s">
        <v>190</v>
      </c>
      <c r="D95" t="s">
        <v>190</v>
      </c>
      <c r="E95" t="s">
        <v>190</v>
      </c>
      <c r="F95" t="s">
        <v>190</v>
      </c>
      <c r="G95" s="6">
        <v>102.41</v>
      </c>
      <c r="H95" s="6"/>
      <c r="I95" s="6">
        <f t="shared" si="5"/>
        <v>48.1327</v>
      </c>
      <c r="J95" s="6">
        <f t="shared" si="6"/>
        <v>51.205</v>
      </c>
      <c r="K95" s="6">
        <f t="shared" si="7"/>
        <v>56.3255</v>
      </c>
      <c r="L95" s="6">
        <f t="shared" si="8"/>
        <v>71.687</v>
      </c>
      <c r="M95" s="6">
        <f t="shared" si="9"/>
        <v>87.0485</v>
      </c>
    </row>
    <row r="96" spans="1:13">
      <c r="A96" t="s">
        <v>13</v>
      </c>
      <c r="B96" t="s">
        <v>191</v>
      </c>
      <c r="C96" t="s">
        <v>192</v>
      </c>
      <c r="D96" t="s">
        <v>192</v>
      </c>
      <c r="E96" t="s">
        <v>192</v>
      </c>
      <c r="F96" t="s">
        <v>192</v>
      </c>
      <c r="G96" s="6">
        <v>57.75</v>
      </c>
      <c r="H96" s="6"/>
      <c r="I96" s="6">
        <f t="shared" si="5"/>
        <v>27.1425</v>
      </c>
      <c r="J96" s="6">
        <f t="shared" si="6"/>
        <v>28.875</v>
      </c>
      <c r="K96" s="6">
        <f t="shared" si="7"/>
        <v>31.7625</v>
      </c>
      <c r="L96" s="6">
        <f t="shared" si="8"/>
        <v>40.425</v>
      </c>
      <c r="M96" s="6">
        <f t="shared" si="9"/>
        <v>49.0875</v>
      </c>
    </row>
    <row r="97" spans="1:13">
      <c r="A97" t="s">
        <v>13</v>
      </c>
      <c r="B97" t="s">
        <v>193</v>
      </c>
      <c r="C97" t="s">
        <v>194</v>
      </c>
      <c r="D97" t="s">
        <v>194</v>
      </c>
      <c r="E97" t="s">
        <v>194</v>
      </c>
      <c r="F97" t="s">
        <v>194</v>
      </c>
      <c r="G97" s="6">
        <v>61.71</v>
      </c>
      <c r="H97" s="6"/>
      <c r="I97" s="6">
        <f t="shared" si="5"/>
        <v>29.0037</v>
      </c>
      <c r="J97" s="6">
        <f t="shared" si="6"/>
        <v>30.855</v>
      </c>
      <c r="K97" s="6">
        <f t="shared" si="7"/>
        <v>33.9405</v>
      </c>
      <c r="L97" s="6">
        <f t="shared" si="8"/>
        <v>43.197</v>
      </c>
      <c r="M97" s="6">
        <f t="shared" si="9"/>
        <v>52.4535</v>
      </c>
    </row>
    <row r="98" spans="1:13">
      <c r="A98" t="s">
        <v>13</v>
      </c>
      <c r="B98" t="s">
        <v>195</v>
      </c>
      <c r="C98" t="s">
        <v>196</v>
      </c>
      <c r="D98" t="s">
        <v>196</v>
      </c>
      <c r="E98" t="s">
        <v>196</v>
      </c>
      <c r="F98" t="s">
        <v>196</v>
      </c>
      <c r="G98" s="6">
        <v>111.59</v>
      </c>
      <c r="H98" s="6"/>
      <c r="I98" s="6">
        <f t="shared" si="5"/>
        <v>52.4473</v>
      </c>
      <c r="J98" s="6">
        <f t="shared" si="6"/>
        <v>55.795</v>
      </c>
      <c r="K98" s="6">
        <f t="shared" si="7"/>
        <v>61.3745</v>
      </c>
      <c r="L98" s="6">
        <f t="shared" si="8"/>
        <v>78.113</v>
      </c>
      <c r="M98" s="6">
        <f t="shared" si="9"/>
        <v>94.8515</v>
      </c>
    </row>
    <row r="99" spans="1:13">
      <c r="A99" t="s">
        <v>13</v>
      </c>
      <c r="B99" t="s">
        <v>197</v>
      </c>
      <c r="C99" t="s">
        <v>196</v>
      </c>
      <c r="D99" t="s">
        <v>196</v>
      </c>
      <c r="E99" t="s">
        <v>196</v>
      </c>
      <c r="F99" t="s">
        <v>196</v>
      </c>
      <c r="G99" s="6">
        <v>122.49</v>
      </c>
      <c r="H99" s="6"/>
      <c r="I99" s="6">
        <f t="shared" si="5"/>
        <v>57.5703</v>
      </c>
      <c r="J99" s="6">
        <f t="shared" si="6"/>
        <v>61.245</v>
      </c>
      <c r="K99" s="6">
        <f t="shared" si="7"/>
        <v>67.3695</v>
      </c>
      <c r="L99" s="6">
        <f t="shared" si="8"/>
        <v>85.743</v>
      </c>
      <c r="M99" s="6">
        <f t="shared" si="9"/>
        <v>104.1165</v>
      </c>
    </row>
    <row r="100" spans="1:13">
      <c r="A100" t="s">
        <v>13</v>
      </c>
      <c r="B100" t="s">
        <v>198</v>
      </c>
      <c r="C100" t="s">
        <v>199</v>
      </c>
      <c r="D100" t="s">
        <v>199</v>
      </c>
      <c r="E100" t="s">
        <v>199</v>
      </c>
      <c r="F100" t="s">
        <v>199</v>
      </c>
      <c r="G100" s="6">
        <v>6.05</v>
      </c>
      <c r="H100" s="6"/>
      <c r="I100" s="6">
        <f t="shared" si="5"/>
        <v>2.8435</v>
      </c>
      <c r="J100" s="6">
        <f t="shared" si="6"/>
        <v>3.025</v>
      </c>
      <c r="K100" s="6">
        <f t="shared" si="7"/>
        <v>3.3275</v>
      </c>
      <c r="L100" s="6">
        <f t="shared" si="8"/>
        <v>4.235</v>
      </c>
      <c r="M100" s="6">
        <f t="shared" si="9"/>
        <v>5.1425</v>
      </c>
    </row>
    <row r="101" spans="1:13">
      <c r="A101" t="s">
        <v>13</v>
      </c>
      <c r="B101" t="s">
        <v>200</v>
      </c>
      <c r="C101" t="s">
        <v>201</v>
      </c>
      <c r="D101" t="s">
        <v>201</v>
      </c>
      <c r="E101" t="s">
        <v>201</v>
      </c>
      <c r="F101" t="s">
        <v>201</v>
      </c>
      <c r="G101" s="6">
        <v>115.39</v>
      </c>
      <c r="H101" s="6"/>
      <c r="I101" s="6">
        <f t="shared" si="5"/>
        <v>54.2333</v>
      </c>
      <c r="J101" s="6">
        <f t="shared" si="6"/>
        <v>57.695</v>
      </c>
      <c r="K101" s="6">
        <f t="shared" si="7"/>
        <v>63.4645</v>
      </c>
      <c r="L101" s="6">
        <f t="shared" si="8"/>
        <v>80.773</v>
      </c>
      <c r="M101" s="6">
        <f t="shared" si="9"/>
        <v>98.0815</v>
      </c>
    </row>
    <row r="102" spans="1:13">
      <c r="A102" t="s">
        <v>13</v>
      </c>
      <c r="B102" t="s">
        <v>202</v>
      </c>
      <c r="C102" t="s">
        <v>203</v>
      </c>
      <c r="D102" t="s">
        <v>203</v>
      </c>
      <c r="E102" t="s">
        <v>203</v>
      </c>
      <c r="F102" t="s">
        <v>203</v>
      </c>
      <c r="G102" s="6">
        <v>201.84</v>
      </c>
      <c r="H102" s="6"/>
      <c r="I102" s="6">
        <f t="shared" si="5"/>
        <v>94.8648</v>
      </c>
      <c r="J102" s="6">
        <f t="shared" si="6"/>
        <v>100.92</v>
      </c>
      <c r="K102" s="6">
        <f t="shared" si="7"/>
        <v>111.012</v>
      </c>
      <c r="L102" s="6">
        <f t="shared" si="8"/>
        <v>141.288</v>
      </c>
      <c r="M102" s="6">
        <f t="shared" si="9"/>
        <v>171.564</v>
      </c>
    </row>
    <row r="103" spans="1:13">
      <c r="A103" t="s">
        <v>13</v>
      </c>
      <c r="B103" t="s">
        <v>204</v>
      </c>
      <c r="C103" t="s">
        <v>205</v>
      </c>
      <c r="D103" t="s">
        <v>205</v>
      </c>
      <c r="E103" t="s">
        <v>205</v>
      </c>
      <c r="F103" t="s">
        <v>205</v>
      </c>
      <c r="G103" s="6">
        <v>125.88</v>
      </c>
      <c r="H103" s="6"/>
      <c r="I103" s="6">
        <f t="shared" si="5"/>
        <v>59.1636</v>
      </c>
      <c r="J103" s="6">
        <f t="shared" si="6"/>
        <v>62.94</v>
      </c>
      <c r="K103" s="6">
        <f t="shared" si="7"/>
        <v>69.234</v>
      </c>
      <c r="L103" s="6">
        <f t="shared" si="8"/>
        <v>88.116</v>
      </c>
      <c r="M103" s="6">
        <f t="shared" si="9"/>
        <v>106.998</v>
      </c>
    </row>
    <row r="104" spans="1:13">
      <c r="A104" t="s">
        <v>13</v>
      </c>
      <c r="B104" t="s">
        <v>206</v>
      </c>
      <c r="C104" t="s">
        <v>207</v>
      </c>
      <c r="D104" t="s">
        <v>207</v>
      </c>
      <c r="E104" t="s">
        <v>207</v>
      </c>
      <c r="F104" t="s">
        <v>207</v>
      </c>
      <c r="G104" s="6">
        <v>155.55</v>
      </c>
      <c r="H104" s="6"/>
      <c r="I104" s="6">
        <f t="shared" si="5"/>
        <v>73.1085</v>
      </c>
      <c r="J104" s="6">
        <f t="shared" si="6"/>
        <v>77.775</v>
      </c>
      <c r="K104" s="6">
        <f t="shared" si="7"/>
        <v>85.5525</v>
      </c>
      <c r="L104" s="6">
        <f t="shared" si="8"/>
        <v>108.885</v>
      </c>
      <c r="M104" s="6">
        <f t="shared" si="9"/>
        <v>132.2175</v>
      </c>
    </row>
    <row r="105" spans="1:13">
      <c r="A105" t="s">
        <v>13</v>
      </c>
      <c r="B105" t="s">
        <v>208</v>
      </c>
      <c r="C105" t="s">
        <v>209</v>
      </c>
      <c r="D105" t="s">
        <v>209</v>
      </c>
      <c r="E105" t="s">
        <v>209</v>
      </c>
      <c r="F105" t="s">
        <v>209</v>
      </c>
      <c r="G105" s="6">
        <v>134.09</v>
      </c>
      <c r="H105" s="6"/>
      <c r="I105" s="6">
        <f t="shared" si="5"/>
        <v>63.0223</v>
      </c>
      <c r="J105" s="6">
        <f t="shared" si="6"/>
        <v>67.045</v>
      </c>
      <c r="K105" s="6">
        <f t="shared" si="7"/>
        <v>73.7495</v>
      </c>
      <c r="L105" s="6">
        <f t="shared" si="8"/>
        <v>93.863</v>
      </c>
      <c r="M105" s="6">
        <f t="shared" si="9"/>
        <v>113.9765</v>
      </c>
    </row>
    <row r="106" spans="1:13">
      <c r="A106" t="s">
        <v>13</v>
      </c>
      <c r="B106" t="s">
        <v>210</v>
      </c>
      <c r="C106" t="s">
        <v>209</v>
      </c>
      <c r="D106" t="s">
        <v>209</v>
      </c>
      <c r="E106" t="s">
        <v>209</v>
      </c>
      <c r="F106" t="s">
        <v>209</v>
      </c>
      <c r="G106" s="6">
        <v>202.29</v>
      </c>
      <c r="H106" s="6"/>
      <c r="I106" s="6">
        <f t="shared" si="5"/>
        <v>95.0763</v>
      </c>
      <c r="J106" s="6">
        <f t="shared" si="6"/>
        <v>101.145</v>
      </c>
      <c r="K106" s="6">
        <f t="shared" si="7"/>
        <v>111.2595</v>
      </c>
      <c r="L106" s="6">
        <f t="shared" si="8"/>
        <v>141.603</v>
      </c>
      <c r="M106" s="6">
        <f t="shared" si="9"/>
        <v>171.9465</v>
      </c>
    </row>
    <row r="107" spans="1:13">
      <c r="A107" t="s">
        <v>13</v>
      </c>
      <c r="B107" t="s">
        <v>211</v>
      </c>
      <c r="C107" t="s">
        <v>212</v>
      </c>
      <c r="D107" t="s">
        <v>212</v>
      </c>
      <c r="E107" t="s">
        <v>212</v>
      </c>
      <c r="F107" t="s">
        <v>212</v>
      </c>
      <c r="G107" s="6">
        <v>179.93</v>
      </c>
      <c r="H107" s="6"/>
      <c r="I107" s="6">
        <f t="shared" si="5"/>
        <v>84.5671</v>
      </c>
      <c r="J107" s="6">
        <f t="shared" si="6"/>
        <v>89.965</v>
      </c>
      <c r="K107" s="6">
        <f t="shared" si="7"/>
        <v>98.9615</v>
      </c>
      <c r="L107" s="6">
        <f t="shared" si="8"/>
        <v>125.951</v>
      </c>
      <c r="M107" s="6">
        <f t="shared" si="9"/>
        <v>152.9405</v>
      </c>
    </row>
    <row r="108" spans="1:13">
      <c r="A108" t="s">
        <v>13</v>
      </c>
      <c r="B108" t="s">
        <v>213</v>
      </c>
      <c r="C108" t="s">
        <v>214</v>
      </c>
      <c r="D108" t="s">
        <v>214</v>
      </c>
      <c r="E108" t="s">
        <v>214</v>
      </c>
      <c r="F108" t="s">
        <v>214</v>
      </c>
      <c r="G108" s="6">
        <v>263.56</v>
      </c>
      <c r="H108" s="6"/>
      <c r="I108" s="6">
        <f t="shared" si="5"/>
        <v>123.8732</v>
      </c>
      <c r="J108" s="6">
        <f t="shared" si="6"/>
        <v>131.78</v>
      </c>
      <c r="K108" s="6">
        <f t="shared" si="7"/>
        <v>144.958</v>
      </c>
      <c r="L108" s="6">
        <f t="shared" si="8"/>
        <v>184.492</v>
      </c>
      <c r="M108" s="6">
        <f t="shared" si="9"/>
        <v>224.026</v>
      </c>
    </row>
    <row r="109" spans="1:13">
      <c r="A109" t="s">
        <v>13</v>
      </c>
      <c r="B109" t="s">
        <v>215</v>
      </c>
      <c r="C109" t="s">
        <v>216</v>
      </c>
      <c r="D109" t="s">
        <v>216</v>
      </c>
      <c r="E109" t="s">
        <v>216</v>
      </c>
      <c r="F109" t="s">
        <v>216</v>
      </c>
      <c r="G109" s="6">
        <v>195.43</v>
      </c>
      <c r="H109" s="6"/>
      <c r="I109" s="6">
        <f t="shared" si="5"/>
        <v>91.8521</v>
      </c>
      <c r="J109" s="6">
        <f t="shared" si="6"/>
        <v>97.715</v>
      </c>
      <c r="K109" s="6">
        <f t="shared" si="7"/>
        <v>107.4865</v>
      </c>
      <c r="L109" s="6">
        <f t="shared" si="8"/>
        <v>136.801</v>
      </c>
      <c r="M109" s="6">
        <f t="shared" si="9"/>
        <v>166.1155</v>
      </c>
    </row>
    <row r="110" spans="1:13">
      <c r="A110" t="s">
        <v>13</v>
      </c>
      <c r="B110" t="s">
        <v>217</v>
      </c>
      <c r="C110" t="s">
        <v>216</v>
      </c>
      <c r="D110" t="s">
        <v>216</v>
      </c>
      <c r="E110" t="s">
        <v>216</v>
      </c>
      <c r="F110" t="s">
        <v>216</v>
      </c>
      <c r="G110" s="6">
        <v>280.5</v>
      </c>
      <c r="H110" s="6"/>
      <c r="I110" s="6">
        <f t="shared" si="5"/>
        <v>131.835</v>
      </c>
      <c r="J110" s="6">
        <f t="shared" si="6"/>
        <v>140.25</v>
      </c>
      <c r="K110" s="6">
        <f t="shared" si="7"/>
        <v>154.275</v>
      </c>
      <c r="L110" s="6">
        <f t="shared" si="8"/>
        <v>196.35</v>
      </c>
      <c r="M110" s="6">
        <f t="shared" si="9"/>
        <v>238.425</v>
      </c>
    </row>
    <row r="111" spans="1:13">
      <c r="A111" t="s">
        <v>13</v>
      </c>
      <c r="B111" t="s">
        <v>218</v>
      </c>
      <c r="C111" t="s">
        <v>219</v>
      </c>
      <c r="D111" t="s">
        <v>219</v>
      </c>
      <c r="E111" t="s">
        <v>219</v>
      </c>
      <c r="F111" t="s">
        <v>219</v>
      </c>
      <c r="G111" s="6">
        <v>239.8</v>
      </c>
      <c r="H111" s="6"/>
      <c r="I111" s="6">
        <f t="shared" si="5"/>
        <v>112.706</v>
      </c>
      <c r="J111" s="6">
        <f t="shared" si="6"/>
        <v>119.9</v>
      </c>
      <c r="K111" s="6">
        <f t="shared" si="7"/>
        <v>131.89</v>
      </c>
      <c r="L111" s="6">
        <f t="shared" si="8"/>
        <v>167.86</v>
      </c>
      <c r="M111" s="6">
        <f t="shared" si="9"/>
        <v>203.83</v>
      </c>
    </row>
    <row r="112" spans="1:13">
      <c r="A112" t="s">
        <v>13</v>
      </c>
      <c r="B112" t="s">
        <v>220</v>
      </c>
      <c r="C112" t="s">
        <v>221</v>
      </c>
      <c r="D112" t="s">
        <v>221</v>
      </c>
      <c r="E112" t="s">
        <v>221</v>
      </c>
      <c r="F112" t="s">
        <v>221</v>
      </c>
      <c r="G112" s="6">
        <v>304.27</v>
      </c>
      <c r="H112" s="6"/>
      <c r="I112" s="6">
        <f t="shared" si="5"/>
        <v>143.0069</v>
      </c>
      <c r="J112" s="6">
        <f t="shared" si="6"/>
        <v>152.135</v>
      </c>
      <c r="K112" s="6">
        <f t="shared" si="7"/>
        <v>167.3485</v>
      </c>
      <c r="L112" s="6">
        <f t="shared" si="8"/>
        <v>212.989</v>
      </c>
      <c r="M112" s="6">
        <f t="shared" si="9"/>
        <v>258.6295</v>
      </c>
    </row>
    <row r="113" spans="1:13">
      <c r="A113" t="s">
        <v>13</v>
      </c>
      <c r="B113" t="s">
        <v>222</v>
      </c>
      <c r="C113" t="s">
        <v>223</v>
      </c>
      <c r="D113" t="s">
        <v>223</v>
      </c>
      <c r="E113" t="s">
        <v>223</v>
      </c>
      <c r="F113" t="s">
        <v>223</v>
      </c>
      <c r="G113" s="6">
        <v>255.51</v>
      </c>
      <c r="H113" s="6"/>
      <c r="I113" s="6">
        <f t="shared" si="5"/>
        <v>120.0897</v>
      </c>
      <c r="J113" s="6">
        <f t="shared" si="6"/>
        <v>127.755</v>
      </c>
      <c r="K113" s="6">
        <f t="shared" si="7"/>
        <v>140.5305</v>
      </c>
      <c r="L113" s="6">
        <f t="shared" si="8"/>
        <v>178.857</v>
      </c>
      <c r="M113" s="6">
        <f t="shared" si="9"/>
        <v>217.1835</v>
      </c>
    </row>
    <row r="114" spans="1:13">
      <c r="A114" t="s">
        <v>13</v>
      </c>
      <c r="B114" t="s">
        <v>224</v>
      </c>
      <c r="C114" t="s">
        <v>223</v>
      </c>
      <c r="D114" t="s">
        <v>223</v>
      </c>
      <c r="E114" t="s">
        <v>223</v>
      </c>
      <c r="F114" t="s">
        <v>223</v>
      </c>
      <c r="G114" s="6">
        <v>320.18</v>
      </c>
      <c r="H114" s="6"/>
      <c r="I114" s="6">
        <f t="shared" si="5"/>
        <v>150.4846</v>
      </c>
      <c r="J114" s="6">
        <f t="shared" si="6"/>
        <v>160.09</v>
      </c>
      <c r="K114" s="6">
        <f t="shared" si="7"/>
        <v>176.099</v>
      </c>
      <c r="L114" s="6">
        <f t="shared" si="8"/>
        <v>224.126</v>
      </c>
      <c r="M114" s="6">
        <f t="shared" si="9"/>
        <v>272.153</v>
      </c>
    </row>
    <row r="115" spans="1:13">
      <c r="A115" t="s">
        <v>13</v>
      </c>
      <c r="B115" t="s">
        <v>225</v>
      </c>
      <c r="C115" t="s">
        <v>226</v>
      </c>
      <c r="D115" t="s">
        <v>226</v>
      </c>
      <c r="E115" t="s">
        <v>226</v>
      </c>
      <c r="F115" t="s">
        <v>226</v>
      </c>
      <c r="G115" s="6">
        <v>157.59</v>
      </c>
      <c r="H115" s="6"/>
      <c r="I115" s="6">
        <f t="shared" si="5"/>
        <v>74.0673</v>
      </c>
      <c r="J115" s="6">
        <f t="shared" si="6"/>
        <v>78.795</v>
      </c>
      <c r="K115" s="6">
        <f t="shared" si="7"/>
        <v>86.6745</v>
      </c>
      <c r="L115" s="6">
        <f t="shared" si="8"/>
        <v>110.313</v>
      </c>
      <c r="M115" s="6">
        <f t="shared" si="9"/>
        <v>133.9515</v>
      </c>
    </row>
    <row r="116" spans="1:13">
      <c r="A116" t="s">
        <v>13</v>
      </c>
      <c r="B116" t="s">
        <v>227</v>
      </c>
      <c r="C116" t="s">
        <v>228</v>
      </c>
      <c r="D116" t="s">
        <v>228</v>
      </c>
      <c r="E116" t="s">
        <v>228</v>
      </c>
      <c r="F116" t="s">
        <v>228</v>
      </c>
      <c r="G116" s="6">
        <v>239.58</v>
      </c>
      <c r="H116" s="6"/>
      <c r="I116" s="6">
        <f t="shared" si="5"/>
        <v>112.6026</v>
      </c>
      <c r="J116" s="6">
        <f t="shared" si="6"/>
        <v>119.79</v>
      </c>
      <c r="K116" s="6">
        <f t="shared" si="7"/>
        <v>131.769</v>
      </c>
      <c r="L116" s="6">
        <f t="shared" si="8"/>
        <v>167.706</v>
      </c>
      <c r="M116" s="6">
        <f t="shared" si="9"/>
        <v>203.643</v>
      </c>
    </row>
    <row r="117" spans="1:13">
      <c r="A117" t="s">
        <v>13</v>
      </c>
      <c r="B117" t="s">
        <v>229</v>
      </c>
      <c r="C117" t="s">
        <v>230</v>
      </c>
      <c r="D117" t="s">
        <v>230</v>
      </c>
      <c r="E117" t="s">
        <v>230</v>
      </c>
      <c r="F117" t="s">
        <v>230</v>
      </c>
      <c r="G117" s="6">
        <v>173.4</v>
      </c>
      <c r="H117" s="6"/>
      <c r="I117" s="6">
        <f t="shared" si="5"/>
        <v>81.498</v>
      </c>
      <c r="J117" s="6">
        <f t="shared" si="6"/>
        <v>86.7</v>
      </c>
      <c r="K117" s="6">
        <f t="shared" si="7"/>
        <v>95.37</v>
      </c>
      <c r="L117" s="6">
        <f t="shared" si="8"/>
        <v>121.38</v>
      </c>
      <c r="M117" s="6">
        <f t="shared" si="9"/>
        <v>147.39</v>
      </c>
    </row>
    <row r="118" spans="1:13">
      <c r="A118" t="s">
        <v>13</v>
      </c>
      <c r="B118" t="s">
        <v>231</v>
      </c>
      <c r="C118" t="s">
        <v>230</v>
      </c>
      <c r="D118" t="s">
        <v>230</v>
      </c>
      <c r="E118" t="s">
        <v>230</v>
      </c>
      <c r="F118" t="s">
        <v>230</v>
      </c>
      <c r="G118" s="6">
        <v>256.52</v>
      </c>
      <c r="H118" s="6"/>
      <c r="I118" s="6">
        <f t="shared" si="5"/>
        <v>120.5644</v>
      </c>
      <c r="J118" s="6">
        <f t="shared" si="6"/>
        <v>128.26</v>
      </c>
      <c r="K118" s="6">
        <f t="shared" si="7"/>
        <v>141.086</v>
      </c>
      <c r="L118" s="6">
        <f t="shared" si="8"/>
        <v>179.564</v>
      </c>
      <c r="M118" s="6">
        <f t="shared" si="9"/>
        <v>218.042</v>
      </c>
    </row>
    <row r="119" spans="1:13">
      <c r="A119" t="s">
        <v>13</v>
      </c>
      <c r="B119" t="s">
        <v>232</v>
      </c>
      <c r="C119" t="s">
        <v>233</v>
      </c>
      <c r="D119" t="s">
        <v>233</v>
      </c>
      <c r="E119" t="s">
        <v>233</v>
      </c>
      <c r="F119" t="s">
        <v>233</v>
      </c>
      <c r="G119" s="6">
        <v>73.95</v>
      </c>
      <c r="H119" s="6"/>
      <c r="I119" s="6">
        <f t="shared" si="5"/>
        <v>34.7565</v>
      </c>
      <c r="J119" s="6">
        <f t="shared" si="6"/>
        <v>36.975</v>
      </c>
      <c r="K119" s="6">
        <f t="shared" si="7"/>
        <v>40.6725</v>
      </c>
      <c r="L119" s="6">
        <f t="shared" si="8"/>
        <v>51.765</v>
      </c>
      <c r="M119" s="6">
        <f t="shared" si="9"/>
        <v>62.8575</v>
      </c>
    </row>
    <row r="120" spans="1:13">
      <c r="A120" t="s">
        <v>13</v>
      </c>
      <c r="B120" t="s">
        <v>234</v>
      </c>
      <c r="C120" t="s">
        <v>235</v>
      </c>
      <c r="D120" t="s">
        <v>235</v>
      </c>
      <c r="E120" t="s">
        <v>235</v>
      </c>
      <c r="F120" t="s">
        <v>235</v>
      </c>
      <c r="G120" s="6">
        <v>97.24</v>
      </c>
      <c r="H120" s="6"/>
      <c r="I120" s="6">
        <f t="shared" si="5"/>
        <v>45.7028</v>
      </c>
      <c r="J120" s="6">
        <f t="shared" si="6"/>
        <v>48.62</v>
      </c>
      <c r="K120" s="6">
        <f t="shared" si="7"/>
        <v>53.482</v>
      </c>
      <c r="L120" s="6">
        <f t="shared" si="8"/>
        <v>68.068</v>
      </c>
      <c r="M120" s="6">
        <f t="shared" si="9"/>
        <v>82.654</v>
      </c>
    </row>
    <row r="121" spans="1:13">
      <c r="A121" t="s">
        <v>13</v>
      </c>
      <c r="B121" t="s">
        <v>236</v>
      </c>
      <c r="C121" t="s">
        <v>237</v>
      </c>
      <c r="D121" t="s">
        <v>237</v>
      </c>
      <c r="E121" t="s">
        <v>237</v>
      </c>
      <c r="F121" t="s">
        <v>237</v>
      </c>
      <c r="G121" s="6">
        <v>154.53</v>
      </c>
      <c r="H121" s="6"/>
      <c r="I121" s="6">
        <f t="shared" si="5"/>
        <v>72.6291</v>
      </c>
      <c r="J121" s="6">
        <f t="shared" si="6"/>
        <v>77.265</v>
      </c>
      <c r="K121" s="6">
        <f t="shared" si="7"/>
        <v>84.9915</v>
      </c>
      <c r="L121" s="6">
        <f t="shared" si="8"/>
        <v>108.171</v>
      </c>
      <c r="M121" s="6">
        <f t="shared" si="9"/>
        <v>131.3505</v>
      </c>
    </row>
    <row r="122" spans="1:13">
      <c r="A122" t="s">
        <v>13</v>
      </c>
      <c r="B122" t="s">
        <v>238</v>
      </c>
      <c r="C122" t="s">
        <v>239</v>
      </c>
      <c r="D122" t="s">
        <v>239</v>
      </c>
      <c r="E122" t="s">
        <v>239</v>
      </c>
      <c r="F122" t="s">
        <v>239</v>
      </c>
      <c r="G122" s="6">
        <v>80.68</v>
      </c>
      <c r="H122" s="6"/>
      <c r="I122" s="6">
        <f t="shared" si="5"/>
        <v>37.9196</v>
      </c>
      <c r="J122" s="6">
        <f t="shared" si="6"/>
        <v>40.34</v>
      </c>
      <c r="K122" s="6">
        <f t="shared" si="7"/>
        <v>44.374</v>
      </c>
      <c r="L122" s="6">
        <f t="shared" si="8"/>
        <v>56.476</v>
      </c>
      <c r="M122" s="6">
        <f t="shared" si="9"/>
        <v>68.578</v>
      </c>
    </row>
    <row r="123" spans="1:13">
      <c r="A123" t="s">
        <v>13</v>
      </c>
      <c r="B123" t="s">
        <v>240</v>
      </c>
      <c r="C123" t="s">
        <v>241</v>
      </c>
      <c r="D123" t="s">
        <v>241</v>
      </c>
      <c r="E123" t="s">
        <v>241</v>
      </c>
      <c r="F123" t="s">
        <v>241</v>
      </c>
      <c r="G123" s="6">
        <v>141.98</v>
      </c>
      <c r="H123" s="6"/>
      <c r="I123" s="6">
        <f t="shared" si="5"/>
        <v>66.7306</v>
      </c>
      <c r="J123" s="6">
        <f t="shared" si="6"/>
        <v>70.99</v>
      </c>
      <c r="K123" s="6">
        <f t="shared" si="7"/>
        <v>78.089</v>
      </c>
      <c r="L123" s="6">
        <f t="shared" si="8"/>
        <v>99.386</v>
      </c>
      <c r="M123" s="6">
        <f t="shared" si="9"/>
        <v>120.683</v>
      </c>
    </row>
    <row r="124" spans="1:13">
      <c r="A124" t="s">
        <v>13</v>
      </c>
      <c r="B124" t="s">
        <v>242</v>
      </c>
      <c r="C124" t="s">
        <v>243</v>
      </c>
      <c r="D124" t="s">
        <v>243</v>
      </c>
      <c r="E124" t="s">
        <v>243</v>
      </c>
      <c r="F124" t="s">
        <v>243</v>
      </c>
      <c r="G124" s="6">
        <v>157.59</v>
      </c>
      <c r="H124" s="6"/>
      <c r="I124" s="6">
        <f t="shared" si="5"/>
        <v>74.0673</v>
      </c>
      <c r="J124" s="6">
        <f t="shared" si="6"/>
        <v>78.795</v>
      </c>
      <c r="K124" s="6">
        <f t="shared" si="7"/>
        <v>86.6745</v>
      </c>
      <c r="L124" s="6">
        <f t="shared" si="8"/>
        <v>110.313</v>
      </c>
      <c r="M124" s="6">
        <f t="shared" si="9"/>
        <v>133.9515</v>
      </c>
    </row>
    <row r="125" spans="1:13">
      <c r="A125" t="s">
        <v>13</v>
      </c>
      <c r="B125" t="s">
        <v>244</v>
      </c>
      <c r="C125" t="s">
        <v>245</v>
      </c>
      <c r="D125" t="s">
        <v>245</v>
      </c>
      <c r="E125" t="s">
        <v>245</v>
      </c>
      <c r="F125" t="s">
        <v>245</v>
      </c>
      <c r="G125" s="6">
        <v>185.46</v>
      </c>
      <c r="H125" s="6"/>
      <c r="I125" s="6">
        <f t="shared" si="5"/>
        <v>87.1662</v>
      </c>
      <c r="J125" s="6">
        <f t="shared" si="6"/>
        <v>92.73</v>
      </c>
      <c r="K125" s="6">
        <f t="shared" si="7"/>
        <v>102.003</v>
      </c>
      <c r="L125" s="6">
        <f t="shared" si="8"/>
        <v>129.822</v>
      </c>
      <c r="M125" s="6">
        <f t="shared" si="9"/>
        <v>157.641</v>
      </c>
    </row>
    <row r="126" spans="1:13">
      <c r="A126" t="s">
        <v>13</v>
      </c>
      <c r="B126" t="s">
        <v>246</v>
      </c>
      <c r="C126" t="s">
        <v>247</v>
      </c>
      <c r="D126" t="s">
        <v>247</v>
      </c>
      <c r="E126" t="s">
        <v>247</v>
      </c>
      <c r="F126" t="s">
        <v>247</v>
      </c>
      <c r="G126" s="6">
        <v>229.3</v>
      </c>
      <c r="H126" s="6"/>
      <c r="I126" s="6">
        <f t="shared" si="5"/>
        <v>107.771</v>
      </c>
      <c r="J126" s="6">
        <f t="shared" si="6"/>
        <v>114.65</v>
      </c>
      <c r="K126" s="6">
        <f t="shared" si="7"/>
        <v>126.115</v>
      </c>
      <c r="L126" s="6">
        <f t="shared" si="8"/>
        <v>160.51</v>
      </c>
      <c r="M126" s="6">
        <f t="shared" si="9"/>
        <v>194.905</v>
      </c>
    </row>
    <row r="127" spans="1:13">
      <c r="A127" t="s">
        <v>13</v>
      </c>
      <c r="B127" t="s">
        <v>248</v>
      </c>
      <c r="C127" t="s">
        <v>249</v>
      </c>
      <c r="D127" t="s">
        <v>249</v>
      </c>
      <c r="E127" t="s">
        <v>249</v>
      </c>
      <c r="F127" t="s">
        <v>249</v>
      </c>
      <c r="G127" s="6">
        <v>87.31</v>
      </c>
      <c r="H127" s="6"/>
      <c r="I127" s="6">
        <f t="shared" si="5"/>
        <v>41.0357</v>
      </c>
      <c r="J127" s="6">
        <f t="shared" si="6"/>
        <v>43.655</v>
      </c>
      <c r="K127" s="6">
        <f t="shared" si="7"/>
        <v>48.0205</v>
      </c>
      <c r="L127" s="6">
        <f t="shared" si="8"/>
        <v>61.117</v>
      </c>
      <c r="M127" s="6">
        <f t="shared" si="9"/>
        <v>74.2135</v>
      </c>
    </row>
    <row r="128" spans="1:13">
      <c r="A128" t="s">
        <v>13</v>
      </c>
      <c r="B128" t="s">
        <v>250</v>
      </c>
      <c r="C128" t="s">
        <v>251</v>
      </c>
      <c r="D128" t="s">
        <v>251</v>
      </c>
      <c r="E128" t="s">
        <v>251</v>
      </c>
      <c r="F128" t="s">
        <v>251</v>
      </c>
      <c r="G128" s="6">
        <v>103.53</v>
      </c>
      <c r="H128" s="6"/>
      <c r="I128" s="6">
        <f t="shared" si="5"/>
        <v>48.6591</v>
      </c>
      <c r="J128" s="6">
        <f t="shared" si="6"/>
        <v>51.765</v>
      </c>
      <c r="K128" s="6">
        <f t="shared" si="7"/>
        <v>56.9415</v>
      </c>
      <c r="L128" s="6">
        <f t="shared" si="8"/>
        <v>72.471</v>
      </c>
      <c r="M128" s="6">
        <f t="shared" si="9"/>
        <v>88.0005</v>
      </c>
    </row>
    <row r="129" spans="1:13">
      <c r="A129" t="s">
        <v>13</v>
      </c>
      <c r="B129" t="s">
        <v>252</v>
      </c>
      <c r="C129" t="s">
        <v>253</v>
      </c>
      <c r="D129" t="s">
        <v>253</v>
      </c>
      <c r="E129" t="s">
        <v>253</v>
      </c>
      <c r="F129" t="s">
        <v>253</v>
      </c>
      <c r="G129" s="6">
        <v>124.03</v>
      </c>
      <c r="H129" s="6"/>
      <c r="I129" s="6">
        <f t="shared" si="5"/>
        <v>58.2941</v>
      </c>
      <c r="J129" s="6">
        <f t="shared" si="6"/>
        <v>62.015</v>
      </c>
      <c r="K129" s="6">
        <f t="shared" si="7"/>
        <v>68.2165</v>
      </c>
      <c r="L129" s="6">
        <f t="shared" si="8"/>
        <v>86.821</v>
      </c>
      <c r="M129" s="6">
        <f t="shared" si="9"/>
        <v>105.4255</v>
      </c>
    </row>
    <row r="130" spans="1:13">
      <c r="A130" t="s">
        <v>13</v>
      </c>
      <c r="B130" t="s">
        <v>254</v>
      </c>
      <c r="C130" t="s">
        <v>255</v>
      </c>
      <c r="D130" t="s">
        <v>255</v>
      </c>
      <c r="E130" t="s">
        <v>255</v>
      </c>
      <c r="F130" t="s">
        <v>255</v>
      </c>
      <c r="G130" s="6">
        <v>231.44</v>
      </c>
      <c r="H130" s="6"/>
      <c r="I130" s="6">
        <f t="shared" si="5"/>
        <v>108.7768</v>
      </c>
      <c r="J130" s="6">
        <f t="shared" si="6"/>
        <v>115.72</v>
      </c>
      <c r="K130" s="6">
        <f t="shared" si="7"/>
        <v>127.292</v>
      </c>
      <c r="L130" s="6">
        <f t="shared" si="8"/>
        <v>162.008</v>
      </c>
      <c r="M130" s="6">
        <f t="shared" si="9"/>
        <v>196.724</v>
      </c>
    </row>
    <row r="131" spans="1:13">
      <c r="A131" t="s">
        <v>13</v>
      </c>
      <c r="B131" t="s">
        <v>256</v>
      </c>
      <c r="C131" t="s">
        <v>257</v>
      </c>
      <c r="D131" t="s">
        <v>257</v>
      </c>
      <c r="E131" t="s">
        <v>257</v>
      </c>
      <c r="F131" t="s">
        <v>257</v>
      </c>
      <c r="G131" s="6">
        <v>285.29</v>
      </c>
      <c r="H131" s="6"/>
      <c r="I131" s="6">
        <f t="shared" ref="I131:I194" si="10">G131*0.47</f>
        <v>134.0863</v>
      </c>
      <c r="J131" s="6">
        <f t="shared" ref="J131:J194" si="11">G131*0.5</f>
        <v>142.645</v>
      </c>
      <c r="K131" s="6">
        <f t="shared" ref="K131:K194" si="12">G131*0.55</f>
        <v>156.9095</v>
      </c>
      <c r="L131" s="6">
        <f t="shared" ref="L131:L194" si="13">G131*0.7</f>
        <v>199.703</v>
      </c>
      <c r="M131" s="6">
        <f t="shared" ref="M131:M194" si="14">G131*0.85</f>
        <v>242.4965</v>
      </c>
    </row>
    <row r="132" spans="1:13">
      <c r="A132" t="s">
        <v>13</v>
      </c>
      <c r="B132" t="s">
        <v>258</v>
      </c>
      <c r="C132" t="s">
        <v>259</v>
      </c>
      <c r="D132" t="s">
        <v>259</v>
      </c>
      <c r="E132" t="s">
        <v>259</v>
      </c>
      <c r="F132" t="s">
        <v>259</v>
      </c>
      <c r="G132" s="6">
        <v>349.86</v>
      </c>
      <c r="H132" s="6"/>
      <c r="I132" s="6">
        <f t="shared" si="10"/>
        <v>164.4342</v>
      </c>
      <c r="J132" s="6">
        <f t="shared" si="11"/>
        <v>174.93</v>
      </c>
      <c r="K132" s="6">
        <f t="shared" si="12"/>
        <v>192.423</v>
      </c>
      <c r="L132" s="6">
        <f t="shared" si="13"/>
        <v>244.902</v>
      </c>
      <c r="M132" s="6">
        <f t="shared" si="14"/>
        <v>297.381</v>
      </c>
    </row>
    <row r="133" spans="1:13">
      <c r="A133" t="s">
        <v>13</v>
      </c>
      <c r="B133" t="s">
        <v>260</v>
      </c>
      <c r="C133" t="s">
        <v>261</v>
      </c>
      <c r="D133" t="s">
        <v>261</v>
      </c>
      <c r="E133" t="s">
        <v>261</v>
      </c>
      <c r="F133" t="s">
        <v>261</v>
      </c>
      <c r="G133" s="6">
        <v>366.58</v>
      </c>
      <c r="H133" s="6"/>
      <c r="I133" s="6">
        <f t="shared" si="10"/>
        <v>172.2926</v>
      </c>
      <c r="J133" s="6">
        <f t="shared" si="11"/>
        <v>183.29</v>
      </c>
      <c r="K133" s="6">
        <f t="shared" si="12"/>
        <v>201.619</v>
      </c>
      <c r="L133" s="6">
        <f t="shared" si="13"/>
        <v>256.606</v>
      </c>
      <c r="M133" s="6">
        <f t="shared" si="14"/>
        <v>311.593</v>
      </c>
    </row>
    <row r="134" spans="1:13">
      <c r="A134" t="s">
        <v>13</v>
      </c>
      <c r="B134" t="s">
        <v>262</v>
      </c>
      <c r="C134" t="s">
        <v>263</v>
      </c>
      <c r="D134" t="s">
        <v>263</v>
      </c>
      <c r="E134" t="s">
        <v>263</v>
      </c>
      <c r="F134" t="s">
        <v>263</v>
      </c>
      <c r="G134" s="6">
        <v>385.66</v>
      </c>
      <c r="H134" s="6"/>
      <c r="I134" s="6">
        <f t="shared" si="10"/>
        <v>181.2602</v>
      </c>
      <c r="J134" s="6">
        <f t="shared" si="11"/>
        <v>192.83</v>
      </c>
      <c r="K134" s="6">
        <f t="shared" si="12"/>
        <v>212.113</v>
      </c>
      <c r="L134" s="6">
        <f t="shared" si="13"/>
        <v>269.962</v>
      </c>
      <c r="M134" s="6">
        <f t="shared" si="14"/>
        <v>327.811</v>
      </c>
    </row>
    <row r="135" spans="1:13">
      <c r="A135" t="s">
        <v>13</v>
      </c>
      <c r="B135" t="s">
        <v>264</v>
      </c>
      <c r="C135" t="s">
        <v>265</v>
      </c>
      <c r="D135" t="s">
        <v>265</v>
      </c>
      <c r="E135" t="s">
        <v>265</v>
      </c>
      <c r="F135" t="s">
        <v>265</v>
      </c>
      <c r="G135" s="6">
        <v>398.64</v>
      </c>
      <c r="H135" s="6"/>
      <c r="I135" s="6">
        <f t="shared" si="10"/>
        <v>187.3608</v>
      </c>
      <c r="J135" s="6">
        <f t="shared" si="11"/>
        <v>199.32</v>
      </c>
      <c r="K135" s="6">
        <f t="shared" si="12"/>
        <v>219.252</v>
      </c>
      <c r="L135" s="6">
        <f t="shared" si="13"/>
        <v>279.048</v>
      </c>
      <c r="M135" s="6">
        <f t="shared" si="14"/>
        <v>338.844</v>
      </c>
    </row>
    <row r="136" spans="1:13">
      <c r="A136" t="s">
        <v>13</v>
      </c>
      <c r="B136" t="s">
        <v>266</v>
      </c>
      <c r="C136" t="s">
        <v>267</v>
      </c>
      <c r="D136" t="s">
        <v>267</v>
      </c>
      <c r="E136" t="s">
        <v>267</v>
      </c>
      <c r="F136" t="s">
        <v>267</v>
      </c>
      <c r="G136" s="6">
        <v>23.76</v>
      </c>
      <c r="H136" s="6"/>
      <c r="I136" s="6">
        <f t="shared" si="10"/>
        <v>11.1672</v>
      </c>
      <c r="J136" s="6">
        <f t="shared" si="11"/>
        <v>11.88</v>
      </c>
      <c r="K136" s="6">
        <f t="shared" si="12"/>
        <v>13.068</v>
      </c>
      <c r="L136" s="6">
        <f t="shared" si="13"/>
        <v>16.632</v>
      </c>
      <c r="M136" s="6">
        <f t="shared" si="14"/>
        <v>20.196</v>
      </c>
    </row>
    <row r="137" spans="1:13">
      <c r="A137" t="s">
        <v>13</v>
      </c>
      <c r="B137" t="s">
        <v>268</v>
      </c>
      <c r="C137" t="s">
        <v>269</v>
      </c>
      <c r="D137" t="s">
        <v>269</v>
      </c>
      <c r="E137" t="s">
        <v>269</v>
      </c>
      <c r="F137" t="s">
        <v>269</v>
      </c>
      <c r="G137" s="6">
        <v>6.36</v>
      </c>
      <c r="H137" s="6"/>
      <c r="I137" s="6">
        <f t="shared" si="10"/>
        <v>2.9892</v>
      </c>
      <c r="J137" s="6">
        <f t="shared" si="11"/>
        <v>3.18</v>
      </c>
      <c r="K137" s="6">
        <f t="shared" si="12"/>
        <v>3.498</v>
      </c>
      <c r="L137" s="6">
        <f t="shared" si="13"/>
        <v>4.452</v>
      </c>
      <c r="M137" s="6">
        <f t="shared" si="14"/>
        <v>5.406</v>
      </c>
    </row>
    <row r="138" spans="1:13">
      <c r="A138" t="s">
        <v>13</v>
      </c>
      <c r="B138" t="s">
        <v>270</v>
      </c>
      <c r="C138" t="s">
        <v>271</v>
      </c>
      <c r="D138" t="s">
        <v>271</v>
      </c>
      <c r="E138" t="s">
        <v>271</v>
      </c>
      <c r="F138" t="s">
        <v>271</v>
      </c>
      <c r="G138" s="6">
        <v>155.45</v>
      </c>
      <c r="H138" s="6"/>
      <c r="I138" s="6">
        <f t="shared" si="10"/>
        <v>73.0615</v>
      </c>
      <c r="J138" s="6">
        <f t="shared" si="11"/>
        <v>77.725</v>
      </c>
      <c r="K138" s="6">
        <f t="shared" si="12"/>
        <v>85.4975</v>
      </c>
      <c r="L138" s="6">
        <f t="shared" si="13"/>
        <v>108.815</v>
      </c>
      <c r="M138" s="6">
        <f t="shared" si="14"/>
        <v>132.1325</v>
      </c>
    </row>
    <row r="139" spans="1:13">
      <c r="A139" t="s">
        <v>13</v>
      </c>
      <c r="B139" t="s">
        <v>272</v>
      </c>
      <c r="C139" t="s">
        <v>273</v>
      </c>
      <c r="D139" t="s">
        <v>273</v>
      </c>
      <c r="E139" t="s">
        <v>273</v>
      </c>
      <c r="F139" t="s">
        <v>273</v>
      </c>
      <c r="G139" s="6">
        <v>222.67</v>
      </c>
      <c r="H139" s="6"/>
      <c r="I139" s="6">
        <f t="shared" si="10"/>
        <v>104.6549</v>
      </c>
      <c r="J139" s="6">
        <f t="shared" si="11"/>
        <v>111.335</v>
      </c>
      <c r="K139" s="6">
        <f t="shared" si="12"/>
        <v>122.4685</v>
      </c>
      <c r="L139" s="6">
        <f t="shared" si="13"/>
        <v>155.869</v>
      </c>
      <c r="M139" s="6">
        <f t="shared" si="14"/>
        <v>189.2695</v>
      </c>
    </row>
    <row r="140" spans="1:13">
      <c r="A140" t="s">
        <v>13</v>
      </c>
      <c r="B140" t="s">
        <v>274</v>
      </c>
      <c r="C140" t="s">
        <v>275</v>
      </c>
      <c r="D140" t="s">
        <v>275</v>
      </c>
      <c r="E140" t="s">
        <v>275</v>
      </c>
      <c r="F140" t="s">
        <v>275</v>
      </c>
      <c r="G140" s="6">
        <v>243.17</v>
      </c>
      <c r="H140" s="6"/>
      <c r="I140" s="6">
        <f t="shared" si="10"/>
        <v>114.2899</v>
      </c>
      <c r="J140" s="6">
        <f t="shared" si="11"/>
        <v>121.585</v>
      </c>
      <c r="K140" s="6">
        <f t="shared" si="12"/>
        <v>133.7435</v>
      </c>
      <c r="L140" s="6">
        <f t="shared" si="13"/>
        <v>170.219</v>
      </c>
      <c r="M140" s="6">
        <f t="shared" si="14"/>
        <v>206.6945</v>
      </c>
    </row>
    <row r="141" spans="1:13">
      <c r="A141" t="s">
        <v>13</v>
      </c>
      <c r="B141" t="s">
        <v>276</v>
      </c>
      <c r="C141" t="s">
        <v>277</v>
      </c>
      <c r="D141" t="s">
        <v>277</v>
      </c>
      <c r="E141" t="s">
        <v>277</v>
      </c>
      <c r="F141" t="s">
        <v>277</v>
      </c>
      <c r="G141" s="6">
        <v>173.71</v>
      </c>
      <c r="H141" s="6"/>
      <c r="I141" s="6">
        <f t="shared" si="10"/>
        <v>81.6437</v>
      </c>
      <c r="J141" s="6">
        <f t="shared" si="11"/>
        <v>86.855</v>
      </c>
      <c r="K141" s="6">
        <f t="shared" si="12"/>
        <v>95.5405</v>
      </c>
      <c r="L141" s="6">
        <f t="shared" si="13"/>
        <v>121.597</v>
      </c>
      <c r="M141" s="6">
        <f t="shared" si="14"/>
        <v>147.6535</v>
      </c>
    </row>
    <row r="142" spans="1:13">
      <c r="A142" t="s">
        <v>13</v>
      </c>
      <c r="B142" t="s">
        <v>278</v>
      </c>
      <c r="C142" t="s">
        <v>277</v>
      </c>
      <c r="D142" t="s">
        <v>277</v>
      </c>
      <c r="E142" t="s">
        <v>277</v>
      </c>
      <c r="F142" t="s">
        <v>277</v>
      </c>
      <c r="G142" s="6">
        <v>240.82</v>
      </c>
      <c r="H142" s="6"/>
      <c r="I142" s="6">
        <f t="shared" si="10"/>
        <v>113.1854</v>
      </c>
      <c r="J142" s="6">
        <f t="shared" si="11"/>
        <v>120.41</v>
      </c>
      <c r="K142" s="6">
        <f t="shared" si="12"/>
        <v>132.451</v>
      </c>
      <c r="L142" s="6">
        <f t="shared" si="13"/>
        <v>168.574</v>
      </c>
      <c r="M142" s="6">
        <f t="shared" si="14"/>
        <v>204.697</v>
      </c>
    </row>
    <row r="143" spans="1:13">
      <c r="A143" t="s">
        <v>13</v>
      </c>
      <c r="B143" t="s">
        <v>279</v>
      </c>
      <c r="C143" t="s">
        <v>280</v>
      </c>
      <c r="D143" t="s">
        <v>280</v>
      </c>
      <c r="E143" t="s">
        <v>280</v>
      </c>
      <c r="F143" t="s">
        <v>280</v>
      </c>
      <c r="G143" s="6">
        <v>258.06</v>
      </c>
      <c r="H143" s="6"/>
      <c r="I143" s="6">
        <f t="shared" si="10"/>
        <v>121.2882</v>
      </c>
      <c r="J143" s="6">
        <f t="shared" si="11"/>
        <v>129.03</v>
      </c>
      <c r="K143" s="6">
        <f t="shared" si="12"/>
        <v>141.933</v>
      </c>
      <c r="L143" s="6">
        <f t="shared" si="13"/>
        <v>180.642</v>
      </c>
      <c r="M143" s="6">
        <f t="shared" si="14"/>
        <v>219.351</v>
      </c>
    </row>
    <row r="144" spans="1:13">
      <c r="A144" t="s">
        <v>13</v>
      </c>
      <c r="B144" t="s">
        <v>281</v>
      </c>
      <c r="C144" t="s">
        <v>282</v>
      </c>
      <c r="D144" t="s">
        <v>282</v>
      </c>
      <c r="E144" t="s">
        <v>282</v>
      </c>
      <c r="F144" t="s">
        <v>282</v>
      </c>
      <c r="G144" s="6">
        <v>325.18</v>
      </c>
      <c r="H144" s="6"/>
      <c r="I144" s="6">
        <f t="shared" si="10"/>
        <v>152.8346</v>
      </c>
      <c r="J144" s="6">
        <f t="shared" si="11"/>
        <v>162.59</v>
      </c>
      <c r="K144" s="6">
        <f t="shared" si="12"/>
        <v>178.849</v>
      </c>
      <c r="L144" s="6">
        <f t="shared" si="13"/>
        <v>227.626</v>
      </c>
      <c r="M144" s="6">
        <f t="shared" si="14"/>
        <v>276.403</v>
      </c>
    </row>
    <row r="145" spans="1:13">
      <c r="A145" t="s">
        <v>13</v>
      </c>
      <c r="B145" t="s">
        <v>283</v>
      </c>
      <c r="C145" t="s">
        <v>284</v>
      </c>
      <c r="D145" t="s">
        <v>284</v>
      </c>
      <c r="E145" t="s">
        <v>284</v>
      </c>
      <c r="F145" t="s">
        <v>284</v>
      </c>
      <c r="G145" s="6">
        <v>276.32</v>
      </c>
      <c r="H145" s="6"/>
      <c r="I145" s="6">
        <f t="shared" si="10"/>
        <v>129.8704</v>
      </c>
      <c r="J145" s="6">
        <f t="shared" si="11"/>
        <v>138.16</v>
      </c>
      <c r="K145" s="6">
        <f t="shared" si="12"/>
        <v>151.976</v>
      </c>
      <c r="L145" s="6">
        <f t="shared" si="13"/>
        <v>193.424</v>
      </c>
      <c r="M145" s="6">
        <f t="shared" si="14"/>
        <v>234.872</v>
      </c>
    </row>
    <row r="146" spans="1:13">
      <c r="A146" t="s">
        <v>13</v>
      </c>
      <c r="B146" t="s">
        <v>285</v>
      </c>
      <c r="C146" t="s">
        <v>284</v>
      </c>
      <c r="D146" t="s">
        <v>284</v>
      </c>
      <c r="E146" t="s">
        <v>284</v>
      </c>
      <c r="F146" t="s">
        <v>284</v>
      </c>
      <c r="G146" s="6">
        <v>343.54</v>
      </c>
      <c r="H146" s="6"/>
      <c r="I146" s="6">
        <f t="shared" si="10"/>
        <v>161.4638</v>
      </c>
      <c r="J146" s="6">
        <f t="shared" si="11"/>
        <v>171.77</v>
      </c>
      <c r="K146" s="6">
        <f t="shared" si="12"/>
        <v>188.947</v>
      </c>
      <c r="L146" s="6">
        <f t="shared" si="13"/>
        <v>240.478</v>
      </c>
      <c r="M146" s="6">
        <f t="shared" si="14"/>
        <v>292.009</v>
      </c>
    </row>
    <row r="147" spans="1:13">
      <c r="A147" t="s">
        <v>13</v>
      </c>
      <c r="B147" t="s">
        <v>286</v>
      </c>
      <c r="C147" t="s">
        <v>287</v>
      </c>
      <c r="D147" t="s">
        <v>287</v>
      </c>
      <c r="E147" t="s">
        <v>287</v>
      </c>
      <c r="F147" t="s">
        <v>287</v>
      </c>
      <c r="G147" s="6">
        <v>324.67</v>
      </c>
      <c r="H147" s="6"/>
      <c r="I147" s="6">
        <f t="shared" si="10"/>
        <v>152.5949</v>
      </c>
      <c r="J147" s="6">
        <f t="shared" si="11"/>
        <v>162.335</v>
      </c>
      <c r="K147" s="6">
        <f t="shared" si="12"/>
        <v>178.5685</v>
      </c>
      <c r="L147" s="6">
        <f t="shared" si="13"/>
        <v>227.269</v>
      </c>
      <c r="M147" s="6">
        <f t="shared" si="14"/>
        <v>275.9695</v>
      </c>
    </row>
    <row r="148" spans="1:13">
      <c r="A148" t="s">
        <v>13</v>
      </c>
      <c r="B148" t="s">
        <v>288</v>
      </c>
      <c r="C148" t="s">
        <v>289</v>
      </c>
      <c r="D148" t="s">
        <v>289</v>
      </c>
      <c r="E148" t="s">
        <v>289</v>
      </c>
      <c r="F148" t="s">
        <v>289</v>
      </c>
      <c r="G148" s="6">
        <v>391.68</v>
      </c>
      <c r="H148" s="6"/>
      <c r="I148" s="6">
        <f t="shared" si="10"/>
        <v>184.0896</v>
      </c>
      <c r="J148" s="6">
        <f t="shared" si="11"/>
        <v>195.84</v>
      </c>
      <c r="K148" s="6">
        <f t="shared" si="12"/>
        <v>215.424</v>
      </c>
      <c r="L148" s="6">
        <f t="shared" si="13"/>
        <v>274.176</v>
      </c>
      <c r="M148" s="6">
        <f t="shared" si="14"/>
        <v>332.928</v>
      </c>
    </row>
    <row r="149" spans="1:13">
      <c r="A149" t="s">
        <v>13</v>
      </c>
      <c r="B149" t="s">
        <v>290</v>
      </c>
      <c r="C149" t="s">
        <v>291</v>
      </c>
      <c r="D149" t="s">
        <v>291</v>
      </c>
      <c r="E149" t="s">
        <v>291</v>
      </c>
      <c r="F149" t="s">
        <v>291</v>
      </c>
      <c r="G149" s="6">
        <v>344.15</v>
      </c>
      <c r="H149" s="6"/>
      <c r="I149" s="6">
        <f t="shared" si="10"/>
        <v>161.7505</v>
      </c>
      <c r="J149" s="6">
        <f t="shared" si="11"/>
        <v>172.075</v>
      </c>
      <c r="K149" s="6">
        <f t="shared" si="12"/>
        <v>189.2825</v>
      </c>
      <c r="L149" s="6">
        <f t="shared" si="13"/>
        <v>240.905</v>
      </c>
      <c r="M149" s="6">
        <f t="shared" si="14"/>
        <v>292.5275</v>
      </c>
    </row>
    <row r="150" spans="1:13">
      <c r="A150" t="s">
        <v>13</v>
      </c>
      <c r="B150" t="s">
        <v>292</v>
      </c>
      <c r="C150" t="s">
        <v>291</v>
      </c>
      <c r="D150" t="s">
        <v>291</v>
      </c>
      <c r="E150" t="s">
        <v>291</v>
      </c>
      <c r="F150" t="s">
        <v>291</v>
      </c>
      <c r="G150" s="6">
        <v>411.16</v>
      </c>
      <c r="H150" s="6"/>
      <c r="I150" s="6">
        <f t="shared" si="10"/>
        <v>193.2452</v>
      </c>
      <c r="J150" s="6">
        <f t="shared" si="11"/>
        <v>205.58</v>
      </c>
      <c r="K150" s="6">
        <f t="shared" si="12"/>
        <v>226.138</v>
      </c>
      <c r="L150" s="6">
        <f t="shared" si="13"/>
        <v>287.812</v>
      </c>
      <c r="M150" s="6">
        <f t="shared" si="14"/>
        <v>349.486</v>
      </c>
    </row>
    <row r="151" spans="1:13">
      <c r="A151" t="s">
        <v>13</v>
      </c>
      <c r="B151" t="s">
        <v>293</v>
      </c>
      <c r="C151" t="s">
        <v>294</v>
      </c>
      <c r="D151" t="s">
        <v>294</v>
      </c>
      <c r="E151" t="s">
        <v>294</v>
      </c>
      <c r="F151" t="s">
        <v>294</v>
      </c>
      <c r="G151" s="6">
        <v>236.33</v>
      </c>
      <c r="H151" s="6"/>
      <c r="I151" s="6">
        <f t="shared" si="10"/>
        <v>111.0751</v>
      </c>
      <c r="J151" s="6">
        <f t="shared" si="11"/>
        <v>118.165</v>
      </c>
      <c r="K151" s="6">
        <f t="shared" si="12"/>
        <v>129.9815</v>
      </c>
      <c r="L151" s="6">
        <f t="shared" si="13"/>
        <v>165.431</v>
      </c>
      <c r="M151" s="6">
        <f t="shared" si="14"/>
        <v>200.8805</v>
      </c>
    </row>
    <row r="152" spans="1:13">
      <c r="A152" t="s">
        <v>13</v>
      </c>
      <c r="B152" t="s">
        <v>295</v>
      </c>
      <c r="C152" t="s">
        <v>296</v>
      </c>
      <c r="D152" t="s">
        <v>296</v>
      </c>
      <c r="E152" t="s">
        <v>296</v>
      </c>
      <c r="F152" t="s">
        <v>296</v>
      </c>
      <c r="G152" s="6">
        <v>303.45</v>
      </c>
      <c r="H152" s="6"/>
      <c r="I152" s="6">
        <f t="shared" si="10"/>
        <v>142.6215</v>
      </c>
      <c r="J152" s="6">
        <f t="shared" si="11"/>
        <v>151.725</v>
      </c>
      <c r="K152" s="6">
        <f t="shared" si="12"/>
        <v>166.8975</v>
      </c>
      <c r="L152" s="6">
        <f t="shared" si="13"/>
        <v>212.415</v>
      </c>
      <c r="M152" s="6">
        <f t="shared" si="14"/>
        <v>257.9325</v>
      </c>
    </row>
    <row r="153" spans="1:13">
      <c r="A153" t="s">
        <v>13</v>
      </c>
      <c r="B153" t="s">
        <v>297</v>
      </c>
      <c r="C153" t="s">
        <v>298</v>
      </c>
      <c r="D153" t="s">
        <v>298</v>
      </c>
      <c r="E153" t="s">
        <v>298</v>
      </c>
      <c r="F153" t="s">
        <v>298</v>
      </c>
      <c r="G153" s="6">
        <v>254.59</v>
      </c>
      <c r="H153" s="6"/>
      <c r="I153" s="6">
        <f t="shared" si="10"/>
        <v>119.6573</v>
      </c>
      <c r="J153" s="6">
        <f t="shared" si="11"/>
        <v>127.295</v>
      </c>
      <c r="K153" s="6">
        <f t="shared" si="12"/>
        <v>140.0245</v>
      </c>
      <c r="L153" s="6">
        <f t="shared" si="13"/>
        <v>178.213</v>
      </c>
      <c r="M153" s="6">
        <f t="shared" si="14"/>
        <v>216.4015</v>
      </c>
    </row>
    <row r="154" spans="1:13">
      <c r="A154" t="s">
        <v>13</v>
      </c>
      <c r="B154" t="s">
        <v>299</v>
      </c>
      <c r="C154" t="s">
        <v>298</v>
      </c>
      <c r="D154" t="s">
        <v>298</v>
      </c>
      <c r="E154" t="s">
        <v>298</v>
      </c>
      <c r="F154" t="s">
        <v>298</v>
      </c>
      <c r="G154" s="6">
        <v>321.71</v>
      </c>
      <c r="H154" s="6"/>
      <c r="I154" s="6">
        <f t="shared" si="10"/>
        <v>151.2037</v>
      </c>
      <c r="J154" s="6">
        <f t="shared" si="11"/>
        <v>160.855</v>
      </c>
      <c r="K154" s="6">
        <f t="shared" si="12"/>
        <v>176.9405</v>
      </c>
      <c r="L154" s="6">
        <f t="shared" si="13"/>
        <v>225.197</v>
      </c>
      <c r="M154" s="6">
        <f t="shared" si="14"/>
        <v>273.4535</v>
      </c>
    </row>
    <row r="155" spans="1:13">
      <c r="A155" t="s">
        <v>13</v>
      </c>
      <c r="B155" t="s">
        <v>300</v>
      </c>
      <c r="C155" t="s">
        <v>301</v>
      </c>
      <c r="D155" t="s">
        <v>301</v>
      </c>
      <c r="E155" t="s">
        <v>301</v>
      </c>
      <c r="F155" t="s">
        <v>301</v>
      </c>
      <c r="G155" s="6">
        <v>100.78</v>
      </c>
      <c r="H155" s="6"/>
      <c r="I155" s="6">
        <f t="shared" si="10"/>
        <v>47.3666</v>
      </c>
      <c r="J155" s="6">
        <f t="shared" si="11"/>
        <v>50.39</v>
      </c>
      <c r="K155" s="6">
        <f t="shared" si="12"/>
        <v>55.429</v>
      </c>
      <c r="L155" s="6">
        <f t="shared" si="13"/>
        <v>70.546</v>
      </c>
      <c r="M155" s="6">
        <f t="shared" si="14"/>
        <v>85.663</v>
      </c>
    </row>
    <row r="156" spans="1:13">
      <c r="A156" t="s">
        <v>13</v>
      </c>
      <c r="B156" t="s">
        <v>302</v>
      </c>
      <c r="C156" t="s">
        <v>303</v>
      </c>
      <c r="D156" t="s">
        <v>303</v>
      </c>
      <c r="E156" t="s">
        <v>303</v>
      </c>
      <c r="F156" t="s">
        <v>303</v>
      </c>
      <c r="G156" s="6">
        <v>119.44</v>
      </c>
      <c r="H156" s="6"/>
      <c r="I156" s="6">
        <f t="shared" si="10"/>
        <v>56.1368</v>
      </c>
      <c r="J156" s="6">
        <f t="shared" si="11"/>
        <v>59.72</v>
      </c>
      <c r="K156" s="6">
        <f t="shared" si="12"/>
        <v>65.692</v>
      </c>
      <c r="L156" s="6">
        <f t="shared" si="13"/>
        <v>83.608</v>
      </c>
      <c r="M156" s="6">
        <f t="shared" si="14"/>
        <v>101.524</v>
      </c>
    </row>
    <row r="157" spans="1:13">
      <c r="A157" t="s">
        <v>13</v>
      </c>
      <c r="B157" t="s">
        <v>304</v>
      </c>
      <c r="C157" t="s">
        <v>305</v>
      </c>
      <c r="D157" t="s">
        <v>305</v>
      </c>
      <c r="E157" t="s">
        <v>305</v>
      </c>
      <c r="F157" t="s">
        <v>305</v>
      </c>
      <c r="G157" s="6">
        <v>186.05</v>
      </c>
      <c r="H157" s="6"/>
      <c r="I157" s="6">
        <f t="shared" si="10"/>
        <v>87.4435</v>
      </c>
      <c r="J157" s="6">
        <f t="shared" si="11"/>
        <v>93.025</v>
      </c>
      <c r="K157" s="6">
        <f t="shared" si="12"/>
        <v>102.3275</v>
      </c>
      <c r="L157" s="6">
        <f t="shared" si="13"/>
        <v>130.235</v>
      </c>
      <c r="M157" s="6">
        <f t="shared" si="14"/>
        <v>158.1425</v>
      </c>
    </row>
    <row r="158" spans="1:13">
      <c r="A158" t="s">
        <v>13</v>
      </c>
      <c r="B158" t="s">
        <v>306</v>
      </c>
      <c r="C158" t="s">
        <v>307</v>
      </c>
      <c r="D158" t="s">
        <v>307</v>
      </c>
      <c r="E158" t="s">
        <v>307</v>
      </c>
      <c r="F158" t="s">
        <v>307</v>
      </c>
      <c r="G158" s="6">
        <v>107.51</v>
      </c>
      <c r="H158" s="6"/>
      <c r="I158" s="6">
        <f t="shared" si="10"/>
        <v>50.5297</v>
      </c>
      <c r="J158" s="6">
        <f t="shared" si="11"/>
        <v>53.755</v>
      </c>
      <c r="K158" s="6">
        <f t="shared" si="12"/>
        <v>59.1305</v>
      </c>
      <c r="L158" s="6">
        <f t="shared" si="13"/>
        <v>75.257</v>
      </c>
      <c r="M158" s="6">
        <f t="shared" si="14"/>
        <v>91.3835</v>
      </c>
    </row>
    <row r="159" spans="1:13">
      <c r="A159" t="s">
        <v>13</v>
      </c>
      <c r="B159" t="s">
        <v>308</v>
      </c>
      <c r="C159" t="s">
        <v>309</v>
      </c>
      <c r="D159" t="s">
        <v>309</v>
      </c>
      <c r="E159" t="s">
        <v>309</v>
      </c>
      <c r="F159" t="s">
        <v>309</v>
      </c>
      <c r="G159" s="6">
        <v>174.62</v>
      </c>
      <c r="H159" s="6"/>
      <c r="I159" s="6">
        <f t="shared" si="10"/>
        <v>82.0714</v>
      </c>
      <c r="J159" s="6">
        <f t="shared" si="11"/>
        <v>87.31</v>
      </c>
      <c r="K159" s="6">
        <f t="shared" si="12"/>
        <v>96.041</v>
      </c>
      <c r="L159" s="6">
        <f t="shared" si="13"/>
        <v>122.234</v>
      </c>
      <c r="M159" s="6">
        <f t="shared" si="14"/>
        <v>148.427</v>
      </c>
    </row>
    <row r="160" spans="1:13">
      <c r="A160" t="s">
        <v>13</v>
      </c>
      <c r="B160" t="s">
        <v>310</v>
      </c>
      <c r="C160" t="s">
        <v>311</v>
      </c>
      <c r="D160" t="s">
        <v>311</v>
      </c>
      <c r="E160" t="s">
        <v>311</v>
      </c>
      <c r="F160" t="s">
        <v>311</v>
      </c>
      <c r="G160" s="6">
        <v>200.63</v>
      </c>
      <c r="H160" s="6"/>
      <c r="I160" s="6">
        <f t="shared" si="10"/>
        <v>94.2961</v>
      </c>
      <c r="J160" s="6">
        <f t="shared" si="11"/>
        <v>100.315</v>
      </c>
      <c r="K160" s="6">
        <f t="shared" si="12"/>
        <v>110.3465</v>
      </c>
      <c r="L160" s="6">
        <f t="shared" si="13"/>
        <v>140.441</v>
      </c>
      <c r="M160" s="6">
        <f t="shared" si="14"/>
        <v>170.5355</v>
      </c>
    </row>
    <row r="161" spans="1:13">
      <c r="A161" t="s">
        <v>13</v>
      </c>
      <c r="B161" t="s">
        <v>312</v>
      </c>
      <c r="C161" t="s">
        <v>313</v>
      </c>
      <c r="D161" t="s">
        <v>313</v>
      </c>
      <c r="E161" t="s">
        <v>313</v>
      </c>
      <c r="F161" t="s">
        <v>313</v>
      </c>
      <c r="G161" s="6">
        <v>236.03</v>
      </c>
      <c r="H161" s="6"/>
      <c r="I161" s="6">
        <f t="shared" si="10"/>
        <v>110.9341</v>
      </c>
      <c r="J161" s="6">
        <f t="shared" si="11"/>
        <v>118.015</v>
      </c>
      <c r="K161" s="6">
        <f t="shared" si="12"/>
        <v>129.8165</v>
      </c>
      <c r="L161" s="6">
        <f t="shared" si="13"/>
        <v>165.221</v>
      </c>
      <c r="M161" s="6">
        <f t="shared" si="14"/>
        <v>200.6255</v>
      </c>
    </row>
    <row r="162" spans="1:13">
      <c r="A162" t="s">
        <v>13</v>
      </c>
      <c r="B162" t="s">
        <v>314</v>
      </c>
      <c r="C162" t="s">
        <v>315</v>
      </c>
      <c r="D162" t="s">
        <v>315</v>
      </c>
      <c r="E162" t="s">
        <v>315</v>
      </c>
      <c r="F162" t="s">
        <v>315</v>
      </c>
      <c r="G162" s="6">
        <v>410.55</v>
      </c>
      <c r="H162" s="6"/>
      <c r="I162" s="6">
        <f t="shared" si="10"/>
        <v>192.9585</v>
      </c>
      <c r="J162" s="6">
        <f t="shared" si="11"/>
        <v>205.275</v>
      </c>
      <c r="K162" s="6">
        <f t="shared" si="12"/>
        <v>225.8025</v>
      </c>
      <c r="L162" s="6">
        <f t="shared" si="13"/>
        <v>287.385</v>
      </c>
      <c r="M162" s="6">
        <f t="shared" si="14"/>
        <v>348.9675</v>
      </c>
    </row>
    <row r="163" spans="1:13">
      <c r="A163" t="s">
        <v>13</v>
      </c>
      <c r="B163" t="s">
        <v>316</v>
      </c>
      <c r="C163" t="s">
        <v>317</v>
      </c>
      <c r="D163" t="s">
        <v>317</v>
      </c>
      <c r="E163" t="s">
        <v>317</v>
      </c>
      <c r="F163" t="s">
        <v>317</v>
      </c>
      <c r="G163" s="6">
        <v>114.14</v>
      </c>
      <c r="H163" s="6"/>
      <c r="I163" s="6">
        <f t="shared" si="10"/>
        <v>53.6458</v>
      </c>
      <c r="J163" s="6">
        <f t="shared" si="11"/>
        <v>57.07</v>
      </c>
      <c r="K163" s="6">
        <f t="shared" si="12"/>
        <v>62.777</v>
      </c>
      <c r="L163" s="6">
        <f t="shared" si="13"/>
        <v>79.898</v>
      </c>
      <c r="M163" s="6">
        <f t="shared" si="14"/>
        <v>97.019</v>
      </c>
    </row>
    <row r="164" spans="1:13">
      <c r="A164" t="s">
        <v>13</v>
      </c>
      <c r="B164" t="s">
        <v>318</v>
      </c>
      <c r="C164" t="s">
        <v>319</v>
      </c>
      <c r="D164" t="s">
        <v>319</v>
      </c>
      <c r="E164" t="s">
        <v>319</v>
      </c>
      <c r="F164" t="s">
        <v>319</v>
      </c>
      <c r="G164" s="6">
        <v>133.01</v>
      </c>
      <c r="H164" s="6"/>
      <c r="I164" s="6">
        <f t="shared" si="10"/>
        <v>62.5147</v>
      </c>
      <c r="J164" s="6">
        <f t="shared" si="11"/>
        <v>66.505</v>
      </c>
      <c r="K164" s="6">
        <f t="shared" si="12"/>
        <v>73.1555</v>
      </c>
      <c r="L164" s="6">
        <f t="shared" si="13"/>
        <v>93.107</v>
      </c>
      <c r="M164" s="6">
        <f t="shared" si="14"/>
        <v>113.0585</v>
      </c>
    </row>
    <row r="165" spans="1:13">
      <c r="A165" t="s">
        <v>13</v>
      </c>
      <c r="B165" t="s">
        <v>320</v>
      </c>
      <c r="C165" t="s">
        <v>321</v>
      </c>
      <c r="D165" t="s">
        <v>321</v>
      </c>
      <c r="E165" t="s">
        <v>321</v>
      </c>
      <c r="F165" t="s">
        <v>321</v>
      </c>
      <c r="G165" s="6">
        <v>143</v>
      </c>
      <c r="H165" s="6"/>
      <c r="I165" s="6">
        <f t="shared" si="10"/>
        <v>67.21</v>
      </c>
      <c r="J165" s="6">
        <f t="shared" si="11"/>
        <v>71.5</v>
      </c>
      <c r="K165" s="6">
        <f t="shared" si="12"/>
        <v>78.65</v>
      </c>
      <c r="L165" s="6">
        <f t="shared" si="13"/>
        <v>100.1</v>
      </c>
      <c r="M165" s="6">
        <f t="shared" si="14"/>
        <v>121.55</v>
      </c>
    </row>
    <row r="166" spans="1:13">
      <c r="A166" t="s">
        <v>13</v>
      </c>
      <c r="B166" t="s">
        <v>322</v>
      </c>
      <c r="C166" t="s">
        <v>323</v>
      </c>
      <c r="D166" t="s">
        <v>323</v>
      </c>
      <c r="E166" t="s">
        <v>323</v>
      </c>
      <c r="F166" t="s">
        <v>323</v>
      </c>
      <c r="G166" s="6">
        <v>176.15</v>
      </c>
      <c r="H166" s="6"/>
      <c r="I166" s="6">
        <f t="shared" si="10"/>
        <v>82.7905</v>
      </c>
      <c r="J166" s="6">
        <f t="shared" si="11"/>
        <v>88.075</v>
      </c>
      <c r="K166" s="6">
        <f t="shared" si="12"/>
        <v>96.8825</v>
      </c>
      <c r="L166" s="6">
        <f t="shared" si="13"/>
        <v>123.305</v>
      </c>
      <c r="M166" s="6">
        <f t="shared" si="14"/>
        <v>149.7275</v>
      </c>
    </row>
    <row r="167" spans="1:13">
      <c r="A167" t="s">
        <v>13</v>
      </c>
      <c r="B167" t="s">
        <v>324</v>
      </c>
      <c r="C167" t="s">
        <v>325</v>
      </c>
      <c r="D167" t="s">
        <v>325</v>
      </c>
      <c r="E167" t="s">
        <v>325</v>
      </c>
      <c r="F167" t="s">
        <v>325</v>
      </c>
      <c r="G167" s="6">
        <v>501.41</v>
      </c>
      <c r="H167" s="6"/>
      <c r="I167" s="6">
        <f t="shared" si="10"/>
        <v>235.6627</v>
      </c>
      <c r="J167" s="6">
        <f t="shared" si="11"/>
        <v>250.705</v>
      </c>
      <c r="K167" s="6">
        <f t="shared" si="12"/>
        <v>275.7755</v>
      </c>
      <c r="L167" s="6">
        <f t="shared" si="13"/>
        <v>350.987</v>
      </c>
      <c r="M167" s="6">
        <f t="shared" si="14"/>
        <v>426.1985</v>
      </c>
    </row>
    <row r="168" spans="1:13">
      <c r="A168" t="s">
        <v>13</v>
      </c>
      <c r="B168" t="s">
        <v>326</v>
      </c>
      <c r="C168" t="s">
        <v>327</v>
      </c>
      <c r="D168" t="s">
        <v>327</v>
      </c>
      <c r="E168" t="s">
        <v>327</v>
      </c>
      <c r="F168" t="s">
        <v>327</v>
      </c>
      <c r="G168" s="6">
        <v>547.04</v>
      </c>
      <c r="H168" s="6"/>
      <c r="I168" s="6">
        <f t="shared" si="10"/>
        <v>257.1088</v>
      </c>
      <c r="J168" s="6">
        <f t="shared" si="11"/>
        <v>273.52</v>
      </c>
      <c r="K168" s="6">
        <f t="shared" si="12"/>
        <v>300.872</v>
      </c>
      <c r="L168" s="6">
        <f t="shared" si="13"/>
        <v>382.928</v>
      </c>
      <c r="M168" s="6">
        <f t="shared" si="14"/>
        <v>464.984</v>
      </c>
    </row>
    <row r="169" spans="1:13">
      <c r="A169" t="s">
        <v>13</v>
      </c>
      <c r="B169" t="s">
        <v>328</v>
      </c>
      <c r="C169" t="s">
        <v>329</v>
      </c>
      <c r="D169" t="s">
        <v>329</v>
      </c>
      <c r="E169" t="s">
        <v>329</v>
      </c>
      <c r="F169" t="s">
        <v>329</v>
      </c>
      <c r="G169" s="6">
        <v>564.13</v>
      </c>
      <c r="H169" s="6"/>
      <c r="I169" s="6">
        <f t="shared" si="10"/>
        <v>265.1411</v>
      </c>
      <c r="J169" s="6">
        <f t="shared" si="11"/>
        <v>282.065</v>
      </c>
      <c r="K169" s="6">
        <f t="shared" si="12"/>
        <v>310.2715</v>
      </c>
      <c r="L169" s="6">
        <f t="shared" si="13"/>
        <v>394.891</v>
      </c>
      <c r="M169" s="6">
        <f t="shared" si="14"/>
        <v>479.5105</v>
      </c>
    </row>
    <row r="170" spans="1:13">
      <c r="A170" t="s">
        <v>13</v>
      </c>
      <c r="B170" t="s">
        <v>330</v>
      </c>
      <c r="C170" t="s">
        <v>331</v>
      </c>
      <c r="D170" t="s">
        <v>331</v>
      </c>
      <c r="E170" t="s">
        <v>331</v>
      </c>
      <c r="F170" t="s">
        <v>331</v>
      </c>
      <c r="G170" s="6">
        <v>219.1</v>
      </c>
      <c r="H170" s="6"/>
      <c r="I170" s="6">
        <f t="shared" si="10"/>
        <v>102.977</v>
      </c>
      <c r="J170" s="6">
        <f t="shared" si="11"/>
        <v>109.55</v>
      </c>
      <c r="K170" s="6">
        <f t="shared" si="12"/>
        <v>120.505</v>
      </c>
      <c r="L170" s="6">
        <f t="shared" si="13"/>
        <v>153.37</v>
      </c>
      <c r="M170" s="6">
        <f t="shared" si="14"/>
        <v>186.235</v>
      </c>
    </row>
    <row r="171" spans="1:13">
      <c r="A171" t="s">
        <v>13</v>
      </c>
      <c r="B171" t="s">
        <v>332</v>
      </c>
      <c r="C171" t="s">
        <v>333</v>
      </c>
      <c r="D171" t="s">
        <v>333</v>
      </c>
      <c r="E171" t="s">
        <v>333</v>
      </c>
      <c r="F171" t="s">
        <v>333</v>
      </c>
      <c r="G171" s="6">
        <v>219.1</v>
      </c>
      <c r="H171" s="6"/>
      <c r="I171" s="6">
        <f t="shared" si="10"/>
        <v>102.977</v>
      </c>
      <c r="J171" s="6">
        <f t="shared" si="11"/>
        <v>109.55</v>
      </c>
      <c r="K171" s="6">
        <f t="shared" si="12"/>
        <v>120.505</v>
      </c>
      <c r="L171" s="6">
        <f t="shared" si="13"/>
        <v>153.37</v>
      </c>
      <c r="M171" s="6">
        <f t="shared" si="14"/>
        <v>186.235</v>
      </c>
    </row>
    <row r="172" spans="1:13">
      <c r="A172" t="s">
        <v>13</v>
      </c>
      <c r="B172" t="s">
        <v>334</v>
      </c>
      <c r="C172" t="s">
        <v>335</v>
      </c>
      <c r="D172" t="s">
        <v>335</v>
      </c>
      <c r="E172" t="s">
        <v>335</v>
      </c>
      <c r="F172" t="s">
        <v>335</v>
      </c>
      <c r="G172" s="6">
        <v>219.1</v>
      </c>
      <c r="H172" s="6"/>
      <c r="I172" s="6">
        <f t="shared" si="10"/>
        <v>102.977</v>
      </c>
      <c r="J172" s="6">
        <f t="shared" si="11"/>
        <v>109.55</v>
      </c>
      <c r="K172" s="6">
        <f t="shared" si="12"/>
        <v>120.505</v>
      </c>
      <c r="L172" s="6">
        <f t="shared" si="13"/>
        <v>153.37</v>
      </c>
      <c r="M172" s="6">
        <f t="shared" si="14"/>
        <v>186.235</v>
      </c>
    </row>
    <row r="173" ht="27" spans="1:13">
      <c r="A173" t="s">
        <v>13</v>
      </c>
      <c r="B173" t="s">
        <v>336</v>
      </c>
      <c r="C173" s="7" t="s">
        <v>337</v>
      </c>
      <c r="D173" s="7" t="s">
        <v>337</v>
      </c>
      <c r="E173" s="7" t="s">
        <v>337</v>
      </c>
      <c r="F173" s="7" t="s">
        <v>337</v>
      </c>
      <c r="G173" s="6">
        <f>537.47-0.4</f>
        <v>537.07</v>
      </c>
      <c r="H173" s="6"/>
      <c r="I173" s="6">
        <f t="shared" si="10"/>
        <v>252.4229</v>
      </c>
      <c r="J173" s="6">
        <f t="shared" si="11"/>
        <v>268.535</v>
      </c>
      <c r="K173" s="6">
        <f t="shared" si="12"/>
        <v>295.3885</v>
      </c>
      <c r="L173" s="6">
        <f t="shared" si="13"/>
        <v>375.949</v>
      </c>
      <c r="M173" s="6">
        <f t="shared" si="14"/>
        <v>456.5095</v>
      </c>
    </row>
    <row r="174" ht="27" spans="1:13">
      <c r="A174" t="s">
        <v>13</v>
      </c>
      <c r="B174" t="s">
        <v>338</v>
      </c>
      <c r="C174" s="7" t="s">
        <v>339</v>
      </c>
      <c r="D174" s="7" t="s">
        <v>339</v>
      </c>
      <c r="E174" s="7" t="s">
        <v>339</v>
      </c>
      <c r="F174" s="7" t="s">
        <v>339</v>
      </c>
      <c r="G174" s="6">
        <f>242.2/0.4</f>
        <v>605.5</v>
      </c>
      <c r="H174" s="6"/>
      <c r="I174" s="6">
        <f t="shared" si="10"/>
        <v>284.585</v>
      </c>
      <c r="J174" s="6">
        <f t="shared" si="11"/>
        <v>302.75</v>
      </c>
      <c r="K174" s="6">
        <f t="shared" si="12"/>
        <v>333.025</v>
      </c>
      <c r="L174" s="6">
        <f t="shared" si="13"/>
        <v>423.85</v>
      </c>
      <c r="M174" s="6">
        <f t="shared" si="14"/>
        <v>514.675</v>
      </c>
    </row>
    <row r="175" spans="1:13">
      <c r="A175" t="s">
        <v>13</v>
      </c>
      <c r="B175" t="s">
        <v>340</v>
      </c>
      <c r="C175" t="s">
        <v>341</v>
      </c>
      <c r="D175" t="s">
        <v>341</v>
      </c>
      <c r="E175" t="s">
        <v>341</v>
      </c>
      <c r="F175" t="s">
        <v>341</v>
      </c>
      <c r="G175" s="6">
        <v>327.22</v>
      </c>
      <c r="H175" s="6"/>
      <c r="I175" s="6">
        <f t="shared" si="10"/>
        <v>153.7934</v>
      </c>
      <c r="J175" s="6">
        <f t="shared" si="11"/>
        <v>163.61</v>
      </c>
      <c r="K175" s="6">
        <f t="shared" si="12"/>
        <v>179.971</v>
      </c>
      <c r="L175" s="6">
        <f t="shared" si="13"/>
        <v>229.054</v>
      </c>
      <c r="M175" s="6">
        <f t="shared" si="14"/>
        <v>278.137</v>
      </c>
    </row>
    <row r="176" spans="1:13">
      <c r="A176" t="s">
        <v>13</v>
      </c>
      <c r="B176" t="s">
        <v>342</v>
      </c>
      <c r="C176" t="s">
        <v>343</v>
      </c>
      <c r="D176" t="s">
        <v>343</v>
      </c>
      <c r="E176" t="s">
        <v>343</v>
      </c>
      <c r="F176" t="s">
        <v>343</v>
      </c>
      <c r="G176" s="6">
        <v>242.45</v>
      </c>
      <c r="H176" s="6"/>
      <c r="I176" s="6">
        <f t="shared" si="10"/>
        <v>113.9515</v>
      </c>
      <c r="J176" s="6">
        <f t="shared" si="11"/>
        <v>121.225</v>
      </c>
      <c r="K176" s="6">
        <f t="shared" si="12"/>
        <v>133.3475</v>
      </c>
      <c r="L176" s="6">
        <f t="shared" si="13"/>
        <v>169.715</v>
      </c>
      <c r="M176" s="6">
        <f t="shared" si="14"/>
        <v>206.0825</v>
      </c>
    </row>
    <row r="177" spans="1:13">
      <c r="A177" t="s">
        <v>13</v>
      </c>
      <c r="B177" t="s">
        <v>344</v>
      </c>
      <c r="C177" t="s">
        <v>345</v>
      </c>
      <c r="D177" t="s">
        <v>345</v>
      </c>
      <c r="E177" t="s">
        <v>345</v>
      </c>
      <c r="F177" t="s">
        <v>345</v>
      </c>
      <c r="G177" s="6">
        <v>324.67</v>
      </c>
      <c r="H177" s="6"/>
      <c r="I177" s="6">
        <f t="shared" si="10"/>
        <v>152.5949</v>
      </c>
      <c r="J177" s="6">
        <f t="shared" si="11"/>
        <v>162.335</v>
      </c>
      <c r="K177" s="6">
        <f t="shared" si="12"/>
        <v>178.5685</v>
      </c>
      <c r="L177" s="6">
        <f t="shared" si="13"/>
        <v>227.269</v>
      </c>
      <c r="M177" s="6">
        <f t="shared" si="14"/>
        <v>275.9695</v>
      </c>
    </row>
    <row r="178" spans="1:13">
      <c r="A178" t="s">
        <v>13</v>
      </c>
      <c r="B178" t="s">
        <v>346</v>
      </c>
      <c r="C178" t="s">
        <v>347</v>
      </c>
      <c r="D178" t="s">
        <v>347</v>
      </c>
      <c r="E178" t="s">
        <v>347</v>
      </c>
      <c r="F178" t="s">
        <v>347</v>
      </c>
      <c r="G178" s="6">
        <v>324.67</v>
      </c>
      <c r="H178" s="6"/>
      <c r="I178" s="6">
        <f t="shared" si="10"/>
        <v>152.5949</v>
      </c>
      <c r="J178" s="6">
        <f t="shared" si="11"/>
        <v>162.335</v>
      </c>
      <c r="K178" s="6">
        <f t="shared" si="12"/>
        <v>178.5685</v>
      </c>
      <c r="L178" s="6">
        <f t="shared" si="13"/>
        <v>227.269</v>
      </c>
      <c r="M178" s="6">
        <f t="shared" si="14"/>
        <v>275.9695</v>
      </c>
    </row>
    <row r="179" spans="1:13">
      <c r="A179" t="s">
        <v>13</v>
      </c>
      <c r="B179" t="s">
        <v>348</v>
      </c>
      <c r="C179" t="s">
        <v>349</v>
      </c>
      <c r="D179" t="s">
        <v>349</v>
      </c>
      <c r="E179" t="s">
        <v>349</v>
      </c>
      <c r="F179" t="s">
        <v>349</v>
      </c>
      <c r="G179" s="6">
        <v>306.31</v>
      </c>
      <c r="H179" s="6"/>
      <c r="I179" s="6">
        <f t="shared" si="10"/>
        <v>143.9657</v>
      </c>
      <c r="J179" s="6">
        <f t="shared" si="11"/>
        <v>153.155</v>
      </c>
      <c r="K179" s="6">
        <f t="shared" si="12"/>
        <v>168.4705</v>
      </c>
      <c r="L179" s="6">
        <f t="shared" si="13"/>
        <v>214.417</v>
      </c>
      <c r="M179" s="6">
        <f t="shared" si="14"/>
        <v>260.3635</v>
      </c>
    </row>
    <row r="180" spans="1:13">
      <c r="A180" t="s">
        <v>13</v>
      </c>
      <c r="B180" t="s">
        <v>350</v>
      </c>
      <c r="C180" t="s">
        <v>351</v>
      </c>
      <c r="D180" t="s">
        <v>351</v>
      </c>
      <c r="E180" t="s">
        <v>351</v>
      </c>
      <c r="F180" t="s">
        <v>351</v>
      </c>
      <c r="G180" s="6">
        <v>329.87</v>
      </c>
      <c r="H180" s="6"/>
      <c r="I180" s="6">
        <f t="shared" si="10"/>
        <v>155.0389</v>
      </c>
      <c r="J180" s="6">
        <f t="shared" si="11"/>
        <v>164.935</v>
      </c>
      <c r="K180" s="6">
        <f t="shared" si="12"/>
        <v>181.4285</v>
      </c>
      <c r="L180" s="6">
        <f t="shared" si="13"/>
        <v>230.909</v>
      </c>
      <c r="M180" s="6">
        <f t="shared" si="14"/>
        <v>280.3895</v>
      </c>
    </row>
    <row r="181" spans="1:13">
      <c r="A181" t="s">
        <v>13</v>
      </c>
      <c r="B181" t="s">
        <v>352</v>
      </c>
      <c r="C181" t="s">
        <v>353</v>
      </c>
      <c r="D181" t="s">
        <v>353</v>
      </c>
      <c r="E181" t="s">
        <v>353</v>
      </c>
      <c r="F181" t="s">
        <v>353</v>
      </c>
      <c r="G181" s="6">
        <v>120.77</v>
      </c>
      <c r="H181" s="6"/>
      <c r="I181" s="6">
        <f t="shared" si="10"/>
        <v>56.7619</v>
      </c>
      <c r="J181" s="6">
        <f t="shared" si="11"/>
        <v>60.385</v>
      </c>
      <c r="K181" s="6">
        <f t="shared" si="12"/>
        <v>66.4235</v>
      </c>
      <c r="L181" s="6">
        <f t="shared" si="13"/>
        <v>84.539</v>
      </c>
      <c r="M181" s="6">
        <f t="shared" si="14"/>
        <v>102.6545</v>
      </c>
    </row>
    <row r="182" spans="1:13">
      <c r="A182" t="s">
        <v>13</v>
      </c>
      <c r="B182" t="s">
        <v>354</v>
      </c>
      <c r="C182" t="s">
        <v>355</v>
      </c>
      <c r="D182" t="s">
        <v>355</v>
      </c>
      <c r="E182" t="s">
        <v>355</v>
      </c>
      <c r="F182" t="s">
        <v>355</v>
      </c>
      <c r="G182" s="6">
        <v>146.17</v>
      </c>
      <c r="H182" s="6"/>
      <c r="I182" s="6">
        <f t="shared" si="10"/>
        <v>68.6999</v>
      </c>
      <c r="J182" s="6">
        <f t="shared" si="11"/>
        <v>73.085</v>
      </c>
      <c r="K182" s="6">
        <f t="shared" si="12"/>
        <v>80.3935</v>
      </c>
      <c r="L182" s="6">
        <f t="shared" si="13"/>
        <v>102.319</v>
      </c>
      <c r="M182" s="6">
        <f t="shared" si="14"/>
        <v>124.2445</v>
      </c>
    </row>
    <row r="183" spans="1:13">
      <c r="A183" t="s">
        <v>13</v>
      </c>
      <c r="B183" t="s">
        <v>356</v>
      </c>
      <c r="C183" t="s">
        <v>357</v>
      </c>
      <c r="D183" t="s">
        <v>357</v>
      </c>
      <c r="E183" t="s">
        <v>357</v>
      </c>
      <c r="F183" t="s">
        <v>357</v>
      </c>
      <c r="G183" s="6">
        <v>148.51</v>
      </c>
      <c r="H183" s="6"/>
      <c r="I183" s="6">
        <f t="shared" si="10"/>
        <v>69.7997</v>
      </c>
      <c r="J183" s="6">
        <f t="shared" si="11"/>
        <v>74.255</v>
      </c>
      <c r="K183" s="6">
        <f t="shared" si="12"/>
        <v>81.6805</v>
      </c>
      <c r="L183" s="6">
        <f t="shared" si="13"/>
        <v>103.957</v>
      </c>
      <c r="M183" s="6">
        <f t="shared" si="14"/>
        <v>126.2335</v>
      </c>
    </row>
    <row r="184" spans="1:13">
      <c r="A184" t="s">
        <v>13</v>
      </c>
      <c r="B184" t="s">
        <v>358</v>
      </c>
      <c r="C184" t="s">
        <v>359</v>
      </c>
      <c r="D184" t="s">
        <v>359</v>
      </c>
      <c r="E184" t="s">
        <v>359</v>
      </c>
      <c r="F184" t="s">
        <v>359</v>
      </c>
      <c r="G184" s="6">
        <v>242.45</v>
      </c>
      <c r="H184" s="6"/>
      <c r="I184" s="6">
        <f t="shared" si="10"/>
        <v>113.9515</v>
      </c>
      <c r="J184" s="6">
        <f t="shared" si="11"/>
        <v>121.225</v>
      </c>
      <c r="K184" s="6">
        <f t="shared" si="12"/>
        <v>133.3475</v>
      </c>
      <c r="L184" s="6">
        <f t="shared" si="13"/>
        <v>169.715</v>
      </c>
      <c r="M184" s="6">
        <f t="shared" si="14"/>
        <v>206.0825</v>
      </c>
    </row>
    <row r="185" spans="1:13">
      <c r="A185" t="s">
        <v>13</v>
      </c>
      <c r="B185" t="s">
        <v>360</v>
      </c>
      <c r="C185" t="s">
        <v>361</v>
      </c>
      <c r="D185" t="s">
        <v>361</v>
      </c>
      <c r="E185" t="s">
        <v>361</v>
      </c>
      <c r="F185" t="s">
        <v>361</v>
      </c>
      <c r="G185" s="6">
        <v>264.69</v>
      </c>
      <c r="H185" s="6"/>
      <c r="I185" s="6">
        <f t="shared" si="10"/>
        <v>124.4043</v>
      </c>
      <c r="J185" s="6">
        <f t="shared" si="11"/>
        <v>132.345</v>
      </c>
      <c r="K185" s="6">
        <f t="shared" si="12"/>
        <v>145.5795</v>
      </c>
      <c r="L185" s="6">
        <f t="shared" si="13"/>
        <v>185.283</v>
      </c>
      <c r="M185" s="6">
        <f t="shared" si="14"/>
        <v>224.9865</v>
      </c>
    </row>
    <row r="186" spans="1:13">
      <c r="A186" t="s">
        <v>13</v>
      </c>
      <c r="B186" t="s">
        <v>362</v>
      </c>
      <c r="C186" t="s">
        <v>363</v>
      </c>
      <c r="D186" t="s">
        <v>363</v>
      </c>
      <c r="E186" t="s">
        <v>363</v>
      </c>
      <c r="F186" t="s">
        <v>363</v>
      </c>
      <c r="G186" s="6">
        <v>306.1</v>
      </c>
      <c r="H186" s="6"/>
      <c r="I186" s="6">
        <f t="shared" si="10"/>
        <v>143.867</v>
      </c>
      <c r="J186" s="6">
        <f t="shared" si="11"/>
        <v>153.05</v>
      </c>
      <c r="K186" s="6">
        <f t="shared" si="12"/>
        <v>168.355</v>
      </c>
      <c r="L186" s="6">
        <f t="shared" si="13"/>
        <v>214.27</v>
      </c>
      <c r="M186" s="6">
        <f t="shared" si="14"/>
        <v>260.185</v>
      </c>
    </row>
    <row r="187" spans="1:13">
      <c r="A187" t="s">
        <v>13</v>
      </c>
      <c r="B187" t="s">
        <v>364</v>
      </c>
      <c r="C187" t="s">
        <v>365</v>
      </c>
      <c r="D187" t="s">
        <v>365</v>
      </c>
      <c r="E187" t="s">
        <v>365</v>
      </c>
      <c r="F187" t="s">
        <v>365</v>
      </c>
      <c r="G187" s="6">
        <v>482.26</v>
      </c>
      <c r="H187" s="6"/>
      <c r="I187" s="6">
        <f t="shared" si="10"/>
        <v>226.6622</v>
      </c>
      <c r="J187" s="6">
        <f t="shared" si="11"/>
        <v>241.13</v>
      </c>
      <c r="K187" s="6">
        <f t="shared" si="12"/>
        <v>265.243</v>
      </c>
      <c r="L187" s="6">
        <f t="shared" si="13"/>
        <v>337.582</v>
      </c>
      <c r="M187" s="6">
        <f t="shared" si="14"/>
        <v>409.921</v>
      </c>
    </row>
    <row r="188" spans="1:13">
      <c r="A188" t="s">
        <v>13</v>
      </c>
      <c r="B188" t="s">
        <v>366</v>
      </c>
      <c r="C188" t="s">
        <v>367</v>
      </c>
      <c r="D188" t="s">
        <v>367</v>
      </c>
      <c r="E188" t="s">
        <v>367</v>
      </c>
      <c r="F188" t="s">
        <v>367</v>
      </c>
      <c r="G188" s="6">
        <v>148.51</v>
      </c>
      <c r="H188" s="6"/>
      <c r="I188" s="6">
        <f t="shared" si="10"/>
        <v>69.7997</v>
      </c>
      <c r="J188" s="6">
        <f t="shared" si="11"/>
        <v>74.255</v>
      </c>
      <c r="K188" s="6">
        <f t="shared" si="12"/>
        <v>81.6805</v>
      </c>
      <c r="L188" s="6">
        <f t="shared" si="13"/>
        <v>103.957</v>
      </c>
      <c r="M188" s="6">
        <f t="shared" si="14"/>
        <v>126.2335</v>
      </c>
    </row>
    <row r="189" spans="1:13">
      <c r="A189" t="s">
        <v>13</v>
      </c>
      <c r="B189" t="s">
        <v>368</v>
      </c>
      <c r="C189" t="s">
        <v>369</v>
      </c>
      <c r="D189" t="s">
        <v>369</v>
      </c>
      <c r="E189" t="s">
        <v>369</v>
      </c>
      <c r="F189" t="s">
        <v>369</v>
      </c>
      <c r="G189" s="6">
        <v>194.82</v>
      </c>
      <c r="H189" s="6"/>
      <c r="I189" s="6">
        <f t="shared" si="10"/>
        <v>91.5654</v>
      </c>
      <c r="J189" s="6">
        <f t="shared" si="11"/>
        <v>97.41</v>
      </c>
      <c r="K189" s="6">
        <f t="shared" si="12"/>
        <v>107.151</v>
      </c>
      <c r="L189" s="6">
        <f t="shared" si="13"/>
        <v>136.374</v>
      </c>
      <c r="M189" s="6">
        <f t="shared" si="14"/>
        <v>165.597</v>
      </c>
    </row>
    <row r="190" spans="1:13">
      <c r="A190" t="s">
        <v>13</v>
      </c>
      <c r="B190" t="s">
        <v>370</v>
      </c>
      <c r="C190" t="s">
        <v>371</v>
      </c>
      <c r="D190" t="s">
        <v>371</v>
      </c>
      <c r="E190" t="s">
        <v>371</v>
      </c>
      <c r="F190" t="s">
        <v>371</v>
      </c>
      <c r="G190" s="6">
        <v>245.62</v>
      </c>
      <c r="H190" s="6"/>
      <c r="I190" s="6">
        <f t="shared" si="10"/>
        <v>115.4414</v>
      </c>
      <c r="J190" s="6">
        <f t="shared" si="11"/>
        <v>122.81</v>
      </c>
      <c r="K190" s="6">
        <f t="shared" si="12"/>
        <v>135.091</v>
      </c>
      <c r="L190" s="6">
        <f t="shared" si="13"/>
        <v>171.934</v>
      </c>
      <c r="M190" s="6">
        <f t="shared" si="14"/>
        <v>208.777</v>
      </c>
    </row>
    <row r="191" spans="1:13">
      <c r="A191" t="s">
        <v>13</v>
      </c>
      <c r="B191" t="s">
        <v>372</v>
      </c>
      <c r="C191" t="s">
        <v>373</v>
      </c>
      <c r="D191" t="s">
        <v>373</v>
      </c>
      <c r="E191" t="s">
        <v>373</v>
      </c>
      <c r="F191" t="s">
        <v>373</v>
      </c>
      <c r="G191" s="6">
        <v>315.59</v>
      </c>
      <c r="H191" s="6"/>
      <c r="I191" s="6">
        <f t="shared" si="10"/>
        <v>148.3273</v>
      </c>
      <c r="J191" s="6">
        <f t="shared" si="11"/>
        <v>157.795</v>
      </c>
      <c r="K191" s="6">
        <f t="shared" si="12"/>
        <v>173.5745</v>
      </c>
      <c r="L191" s="6">
        <f t="shared" si="13"/>
        <v>220.913</v>
      </c>
      <c r="M191" s="6">
        <f t="shared" si="14"/>
        <v>268.2515</v>
      </c>
    </row>
    <row r="192" spans="1:13">
      <c r="A192" t="s">
        <v>13</v>
      </c>
      <c r="B192" t="s">
        <v>374</v>
      </c>
      <c r="C192" t="s">
        <v>375</v>
      </c>
      <c r="D192" t="s">
        <v>375</v>
      </c>
      <c r="E192" t="s">
        <v>375</v>
      </c>
      <c r="F192" t="s">
        <v>375</v>
      </c>
      <c r="G192" s="6">
        <v>359.75</v>
      </c>
      <c r="H192" s="6"/>
      <c r="I192" s="6">
        <f t="shared" si="10"/>
        <v>169.0825</v>
      </c>
      <c r="J192" s="6">
        <f t="shared" si="11"/>
        <v>179.875</v>
      </c>
      <c r="K192" s="6">
        <f t="shared" si="12"/>
        <v>197.8625</v>
      </c>
      <c r="L192" s="6">
        <f t="shared" si="13"/>
        <v>251.825</v>
      </c>
      <c r="M192" s="6">
        <f t="shared" si="14"/>
        <v>305.7875</v>
      </c>
    </row>
    <row r="193" spans="1:13">
      <c r="A193" t="s">
        <v>13</v>
      </c>
      <c r="B193" t="s">
        <v>376</v>
      </c>
      <c r="C193" t="s">
        <v>377</v>
      </c>
      <c r="D193" t="s">
        <v>377</v>
      </c>
      <c r="E193" t="s">
        <v>377</v>
      </c>
      <c r="F193" t="s">
        <v>377</v>
      </c>
      <c r="G193" s="6">
        <v>34.65</v>
      </c>
      <c r="H193" s="6"/>
      <c r="I193" s="6">
        <f t="shared" si="10"/>
        <v>16.2855</v>
      </c>
      <c r="J193" s="6">
        <f t="shared" si="11"/>
        <v>17.325</v>
      </c>
      <c r="K193" s="6">
        <f t="shared" si="12"/>
        <v>19.0575</v>
      </c>
      <c r="L193" s="6">
        <f t="shared" si="13"/>
        <v>24.255</v>
      </c>
      <c r="M193" s="6">
        <f t="shared" si="14"/>
        <v>29.4525</v>
      </c>
    </row>
    <row r="194" spans="1:13">
      <c r="A194" t="s">
        <v>13</v>
      </c>
      <c r="B194" t="s">
        <v>378</v>
      </c>
      <c r="C194" t="s">
        <v>379</v>
      </c>
      <c r="D194" t="s">
        <v>379</v>
      </c>
      <c r="E194" t="s">
        <v>379</v>
      </c>
      <c r="F194" t="s">
        <v>379</v>
      </c>
      <c r="G194" s="6">
        <v>9.75</v>
      </c>
      <c r="H194" s="6"/>
      <c r="I194" s="6">
        <f t="shared" si="10"/>
        <v>4.5825</v>
      </c>
      <c r="J194" s="6">
        <f t="shared" si="11"/>
        <v>4.875</v>
      </c>
      <c r="K194" s="6">
        <f t="shared" si="12"/>
        <v>5.3625</v>
      </c>
      <c r="L194" s="6">
        <f t="shared" si="13"/>
        <v>6.825</v>
      </c>
      <c r="M194" s="6">
        <f t="shared" si="14"/>
        <v>8.2875</v>
      </c>
    </row>
    <row r="195" spans="1:13">
      <c r="A195" t="s">
        <v>13</v>
      </c>
      <c r="B195" t="s">
        <v>380</v>
      </c>
      <c r="C195" t="s">
        <v>381</v>
      </c>
      <c r="D195" t="s">
        <v>381</v>
      </c>
      <c r="E195" t="s">
        <v>381</v>
      </c>
      <c r="F195" t="s">
        <v>381</v>
      </c>
      <c r="G195" s="6">
        <v>318.34</v>
      </c>
      <c r="H195" s="6"/>
      <c r="I195" s="6">
        <f t="shared" ref="I195:I258" si="15">G195*0.47</f>
        <v>149.6198</v>
      </c>
      <c r="J195" s="6">
        <f t="shared" ref="J195:J258" si="16">G195*0.5</f>
        <v>159.17</v>
      </c>
      <c r="K195" s="6">
        <f t="shared" ref="K195:K258" si="17">G195*0.55</f>
        <v>175.087</v>
      </c>
      <c r="L195" s="6">
        <f t="shared" ref="L195:L258" si="18">G195*0.7</f>
        <v>222.838</v>
      </c>
      <c r="M195" s="6">
        <f t="shared" ref="M195:M258" si="19">G195*0.85</f>
        <v>270.589</v>
      </c>
    </row>
    <row r="196" spans="1:13">
      <c r="A196" t="s">
        <v>13</v>
      </c>
      <c r="B196" t="s">
        <v>382</v>
      </c>
      <c r="C196" t="s">
        <v>383</v>
      </c>
      <c r="D196" t="s">
        <v>383</v>
      </c>
      <c r="E196" t="s">
        <v>383</v>
      </c>
      <c r="F196" t="s">
        <v>383</v>
      </c>
      <c r="G196" s="6">
        <v>318.34</v>
      </c>
      <c r="H196" s="6"/>
      <c r="I196" s="6">
        <f t="shared" si="15"/>
        <v>149.6198</v>
      </c>
      <c r="J196" s="6">
        <f t="shared" si="16"/>
        <v>159.17</v>
      </c>
      <c r="K196" s="6">
        <f t="shared" si="17"/>
        <v>175.087</v>
      </c>
      <c r="L196" s="6">
        <f t="shared" si="18"/>
        <v>222.838</v>
      </c>
      <c r="M196" s="6">
        <f t="shared" si="19"/>
        <v>270.589</v>
      </c>
    </row>
    <row r="197" spans="1:13">
      <c r="A197" t="s">
        <v>13</v>
      </c>
      <c r="B197" t="s">
        <v>384</v>
      </c>
      <c r="C197" t="s">
        <v>385</v>
      </c>
      <c r="D197" t="s">
        <v>385</v>
      </c>
      <c r="E197" t="s">
        <v>385</v>
      </c>
      <c r="F197" t="s">
        <v>385</v>
      </c>
      <c r="G197" s="6">
        <v>569.57</v>
      </c>
      <c r="H197" s="6"/>
      <c r="I197" s="6">
        <f t="shared" si="15"/>
        <v>267.6979</v>
      </c>
      <c r="J197" s="6">
        <f t="shared" si="16"/>
        <v>284.785</v>
      </c>
      <c r="K197" s="6">
        <f t="shared" si="17"/>
        <v>313.2635</v>
      </c>
      <c r="L197" s="6">
        <f t="shared" si="18"/>
        <v>398.699</v>
      </c>
      <c r="M197" s="6">
        <f t="shared" si="19"/>
        <v>484.1345</v>
      </c>
    </row>
    <row r="198" spans="1:13">
      <c r="A198" t="s">
        <v>13</v>
      </c>
      <c r="B198" t="s">
        <v>386</v>
      </c>
      <c r="C198" t="s">
        <v>387</v>
      </c>
      <c r="D198" t="s">
        <v>387</v>
      </c>
      <c r="E198" t="s">
        <v>387</v>
      </c>
      <c r="F198" t="s">
        <v>387</v>
      </c>
      <c r="G198" s="6">
        <v>352</v>
      </c>
      <c r="H198" s="6"/>
      <c r="I198" s="6">
        <f t="shared" si="15"/>
        <v>165.44</v>
      </c>
      <c r="J198" s="6">
        <f t="shared" si="16"/>
        <v>176</v>
      </c>
      <c r="K198" s="6">
        <f t="shared" si="17"/>
        <v>193.6</v>
      </c>
      <c r="L198" s="6">
        <f t="shared" si="18"/>
        <v>246.4</v>
      </c>
      <c r="M198" s="6">
        <f t="shared" si="19"/>
        <v>299.2</v>
      </c>
    </row>
    <row r="199" spans="1:13">
      <c r="A199" t="s">
        <v>13</v>
      </c>
      <c r="B199" t="s">
        <v>388</v>
      </c>
      <c r="C199" t="s">
        <v>389</v>
      </c>
      <c r="D199" t="s">
        <v>389</v>
      </c>
      <c r="E199" t="s">
        <v>389</v>
      </c>
      <c r="F199" t="s">
        <v>389</v>
      </c>
      <c r="G199" s="6">
        <v>699.31</v>
      </c>
      <c r="H199" s="6"/>
      <c r="I199" s="6">
        <f t="shared" si="15"/>
        <v>328.6757</v>
      </c>
      <c r="J199" s="6">
        <f t="shared" si="16"/>
        <v>349.655</v>
      </c>
      <c r="K199" s="6">
        <f t="shared" si="17"/>
        <v>384.6205</v>
      </c>
      <c r="L199" s="6">
        <f t="shared" si="18"/>
        <v>489.517</v>
      </c>
      <c r="M199" s="6">
        <f t="shared" si="19"/>
        <v>594.4135</v>
      </c>
    </row>
    <row r="200" spans="1:13">
      <c r="A200" t="s">
        <v>13</v>
      </c>
      <c r="B200" t="s">
        <v>390</v>
      </c>
      <c r="C200" t="s">
        <v>391</v>
      </c>
      <c r="D200" t="s">
        <v>391</v>
      </c>
      <c r="E200" t="s">
        <v>391</v>
      </c>
      <c r="F200" t="s">
        <v>391</v>
      </c>
      <c r="G200" s="6">
        <v>439.42</v>
      </c>
      <c r="H200" s="6"/>
      <c r="I200" s="6">
        <f t="shared" si="15"/>
        <v>206.5274</v>
      </c>
      <c r="J200" s="6">
        <f t="shared" si="16"/>
        <v>219.71</v>
      </c>
      <c r="K200" s="6">
        <f t="shared" si="17"/>
        <v>241.681</v>
      </c>
      <c r="L200" s="6">
        <f t="shared" si="18"/>
        <v>307.594</v>
      </c>
      <c r="M200" s="6">
        <f t="shared" si="19"/>
        <v>373.507</v>
      </c>
    </row>
    <row r="201" spans="1:13">
      <c r="A201" t="s">
        <v>13</v>
      </c>
      <c r="B201" t="s">
        <v>392</v>
      </c>
      <c r="C201" t="s">
        <v>393</v>
      </c>
      <c r="D201" t="s">
        <v>393</v>
      </c>
      <c r="E201" t="s">
        <v>393</v>
      </c>
      <c r="F201" t="s">
        <v>393</v>
      </c>
      <c r="G201" s="6">
        <v>472.06</v>
      </c>
      <c r="H201" s="6"/>
      <c r="I201" s="6">
        <f t="shared" si="15"/>
        <v>221.8682</v>
      </c>
      <c r="J201" s="6">
        <f t="shared" si="16"/>
        <v>236.03</v>
      </c>
      <c r="K201" s="6">
        <f t="shared" si="17"/>
        <v>259.633</v>
      </c>
      <c r="L201" s="6">
        <f t="shared" si="18"/>
        <v>330.442</v>
      </c>
      <c r="M201" s="6">
        <f t="shared" si="19"/>
        <v>401.251</v>
      </c>
    </row>
    <row r="202" spans="1:13">
      <c r="A202" t="s">
        <v>13</v>
      </c>
      <c r="B202" t="s">
        <v>394</v>
      </c>
      <c r="C202" t="s">
        <v>395</v>
      </c>
      <c r="D202" t="s">
        <v>395</v>
      </c>
      <c r="E202" t="s">
        <v>395</v>
      </c>
      <c r="F202" t="s">
        <v>395</v>
      </c>
      <c r="G202" s="6">
        <v>168.1</v>
      </c>
      <c r="H202" s="6"/>
      <c r="I202" s="6">
        <f t="shared" si="15"/>
        <v>79.007</v>
      </c>
      <c r="J202" s="6">
        <f t="shared" si="16"/>
        <v>84.05</v>
      </c>
      <c r="K202" s="6">
        <f t="shared" si="17"/>
        <v>92.455</v>
      </c>
      <c r="L202" s="6">
        <f t="shared" si="18"/>
        <v>117.67</v>
      </c>
      <c r="M202" s="6">
        <f t="shared" si="19"/>
        <v>142.885</v>
      </c>
    </row>
    <row r="203" spans="1:13">
      <c r="A203" t="s">
        <v>13</v>
      </c>
      <c r="B203" t="s">
        <v>396</v>
      </c>
      <c r="C203" t="s">
        <v>397</v>
      </c>
      <c r="D203" t="s">
        <v>397</v>
      </c>
      <c r="E203" t="s">
        <v>397</v>
      </c>
      <c r="F203" t="s">
        <v>397</v>
      </c>
      <c r="G203" s="6">
        <v>202.06</v>
      </c>
      <c r="H203" s="6"/>
      <c r="I203" s="6">
        <f t="shared" si="15"/>
        <v>94.9682</v>
      </c>
      <c r="J203" s="6">
        <f t="shared" si="16"/>
        <v>101.03</v>
      </c>
      <c r="K203" s="6">
        <f t="shared" si="17"/>
        <v>111.133</v>
      </c>
      <c r="L203" s="6">
        <f t="shared" si="18"/>
        <v>141.442</v>
      </c>
      <c r="M203" s="6">
        <f t="shared" si="19"/>
        <v>171.751</v>
      </c>
    </row>
    <row r="204" spans="1:13">
      <c r="A204" t="s">
        <v>13</v>
      </c>
      <c r="B204" t="s">
        <v>398</v>
      </c>
      <c r="C204" t="s">
        <v>399</v>
      </c>
      <c r="D204" t="s">
        <v>399</v>
      </c>
      <c r="E204" t="s">
        <v>399</v>
      </c>
      <c r="F204" t="s">
        <v>399</v>
      </c>
      <c r="G204" s="6">
        <v>215.02</v>
      </c>
      <c r="H204" s="6"/>
      <c r="I204" s="6">
        <f t="shared" si="15"/>
        <v>101.0594</v>
      </c>
      <c r="J204" s="6">
        <f t="shared" si="16"/>
        <v>107.51</v>
      </c>
      <c r="K204" s="6">
        <f t="shared" si="17"/>
        <v>118.261</v>
      </c>
      <c r="L204" s="6">
        <f t="shared" si="18"/>
        <v>150.514</v>
      </c>
      <c r="M204" s="6">
        <f t="shared" si="19"/>
        <v>182.767</v>
      </c>
    </row>
    <row r="205" spans="1:13">
      <c r="A205" t="s">
        <v>13</v>
      </c>
      <c r="B205" t="s">
        <v>400</v>
      </c>
      <c r="C205" t="s">
        <v>401</v>
      </c>
      <c r="D205" t="s">
        <v>401</v>
      </c>
      <c r="E205" t="s">
        <v>401</v>
      </c>
      <c r="F205" t="s">
        <v>401</v>
      </c>
      <c r="G205" s="6">
        <v>349.35</v>
      </c>
      <c r="H205" s="6"/>
      <c r="I205" s="6">
        <f t="shared" si="15"/>
        <v>164.1945</v>
      </c>
      <c r="J205" s="6">
        <f t="shared" si="16"/>
        <v>174.675</v>
      </c>
      <c r="K205" s="6">
        <f t="shared" si="17"/>
        <v>192.1425</v>
      </c>
      <c r="L205" s="6">
        <f t="shared" si="18"/>
        <v>244.545</v>
      </c>
      <c r="M205" s="6">
        <f t="shared" si="19"/>
        <v>296.9475</v>
      </c>
    </row>
    <row r="206" spans="1:13">
      <c r="A206" t="s">
        <v>13</v>
      </c>
      <c r="B206" t="s">
        <v>402</v>
      </c>
      <c r="C206" t="s">
        <v>403</v>
      </c>
      <c r="D206" t="s">
        <v>403</v>
      </c>
      <c r="E206" t="s">
        <v>403</v>
      </c>
      <c r="F206" t="s">
        <v>403</v>
      </c>
      <c r="G206" s="6">
        <v>407.9</v>
      </c>
      <c r="H206" s="6"/>
      <c r="I206" s="6">
        <f t="shared" si="15"/>
        <v>191.713</v>
      </c>
      <c r="J206" s="6">
        <f t="shared" si="16"/>
        <v>203.95</v>
      </c>
      <c r="K206" s="6">
        <f t="shared" si="17"/>
        <v>224.345</v>
      </c>
      <c r="L206" s="6">
        <f t="shared" si="18"/>
        <v>285.53</v>
      </c>
      <c r="M206" s="6">
        <f t="shared" si="19"/>
        <v>346.715</v>
      </c>
    </row>
    <row r="207" spans="1:13">
      <c r="A207" t="s">
        <v>13</v>
      </c>
      <c r="B207" t="s">
        <v>404</v>
      </c>
      <c r="C207" t="s">
        <v>405</v>
      </c>
      <c r="D207" t="s">
        <v>405</v>
      </c>
      <c r="E207" t="s">
        <v>405</v>
      </c>
      <c r="F207" t="s">
        <v>405</v>
      </c>
      <c r="G207" s="6">
        <v>604.76</v>
      </c>
      <c r="H207" s="6"/>
      <c r="I207" s="6">
        <f t="shared" si="15"/>
        <v>284.2372</v>
      </c>
      <c r="J207" s="6">
        <f t="shared" si="16"/>
        <v>302.38</v>
      </c>
      <c r="K207" s="6">
        <f t="shared" si="17"/>
        <v>332.618</v>
      </c>
      <c r="L207" s="6">
        <f t="shared" si="18"/>
        <v>423.332</v>
      </c>
      <c r="M207" s="6">
        <f t="shared" si="19"/>
        <v>514.046</v>
      </c>
    </row>
    <row r="208" spans="1:13">
      <c r="A208" t="s">
        <v>13</v>
      </c>
      <c r="B208" t="s">
        <v>406</v>
      </c>
      <c r="C208" t="s">
        <v>407</v>
      </c>
      <c r="D208" t="s">
        <v>407</v>
      </c>
      <c r="E208" t="s">
        <v>407</v>
      </c>
      <c r="F208" t="s">
        <v>407</v>
      </c>
      <c r="G208" s="6">
        <v>215.02</v>
      </c>
      <c r="H208" s="6"/>
      <c r="I208" s="6">
        <f t="shared" si="15"/>
        <v>101.0594</v>
      </c>
      <c r="J208" s="6">
        <f t="shared" si="16"/>
        <v>107.51</v>
      </c>
      <c r="K208" s="6">
        <f t="shared" si="17"/>
        <v>118.261</v>
      </c>
      <c r="L208" s="6">
        <f t="shared" si="18"/>
        <v>150.514</v>
      </c>
      <c r="M208" s="6">
        <f t="shared" si="19"/>
        <v>182.767</v>
      </c>
    </row>
    <row r="209" spans="1:13">
      <c r="A209" t="s">
        <v>13</v>
      </c>
      <c r="B209" t="s">
        <v>408</v>
      </c>
      <c r="C209" t="s">
        <v>409</v>
      </c>
      <c r="D209" t="s">
        <v>409</v>
      </c>
      <c r="E209" t="s">
        <v>409</v>
      </c>
      <c r="F209" t="s">
        <v>409</v>
      </c>
      <c r="G209" s="6">
        <v>273.36</v>
      </c>
      <c r="H209" s="6"/>
      <c r="I209" s="6">
        <f t="shared" si="15"/>
        <v>128.4792</v>
      </c>
      <c r="J209" s="6">
        <f t="shared" si="16"/>
        <v>136.68</v>
      </c>
      <c r="K209" s="6">
        <f t="shared" si="17"/>
        <v>150.348</v>
      </c>
      <c r="L209" s="6">
        <f t="shared" si="18"/>
        <v>191.352</v>
      </c>
      <c r="M209" s="6">
        <f t="shared" si="19"/>
        <v>232.356</v>
      </c>
    </row>
    <row r="210" spans="1:13">
      <c r="A210" t="s">
        <v>13</v>
      </c>
      <c r="B210" t="s">
        <v>410</v>
      </c>
      <c r="C210" t="s">
        <v>411</v>
      </c>
      <c r="D210" t="s">
        <v>411</v>
      </c>
      <c r="E210" t="s">
        <v>411</v>
      </c>
      <c r="F210" t="s">
        <v>411</v>
      </c>
      <c r="G210" s="6">
        <v>359.75</v>
      </c>
      <c r="H210" s="6"/>
      <c r="I210" s="6">
        <f t="shared" si="15"/>
        <v>169.0825</v>
      </c>
      <c r="J210" s="6">
        <f t="shared" si="16"/>
        <v>179.875</v>
      </c>
      <c r="K210" s="6">
        <f t="shared" si="17"/>
        <v>197.8625</v>
      </c>
      <c r="L210" s="6">
        <f t="shared" si="18"/>
        <v>251.825</v>
      </c>
      <c r="M210" s="6">
        <f t="shared" si="19"/>
        <v>305.7875</v>
      </c>
    </row>
    <row r="211" spans="1:13">
      <c r="A211" t="s">
        <v>13</v>
      </c>
      <c r="B211" t="s">
        <v>412</v>
      </c>
      <c r="C211" t="s">
        <v>413</v>
      </c>
      <c r="D211" t="s">
        <v>413</v>
      </c>
      <c r="E211" t="s">
        <v>413</v>
      </c>
      <c r="F211" t="s">
        <v>413</v>
      </c>
      <c r="G211" s="6">
        <v>420.85</v>
      </c>
      <c r="H211" s="6"/>
      <c r="I211" s="6">
        <f t="shared" si="15"/>
        <v>197.7995</v>
      </c>
      <c r="J211" s="6">
        <f t="shared" si="16"/>
        <v>210.425</v>
      </c>
      <c r="K211" s="6">
        <f t="shared" si="17"/>
        <v>231.4675</v>
      </c>
      <c r="L211" s="6">
        <f t="shared" si="18"/>
        <v>294.595</v>
      </c>
      <c r="M211" s="6">
        <f t="shared" si="19"/>
        <v>357.7225</v>
      </c>
    </row>
    <row r="212" spans="1:13">
      <c r="A212" t="s">
        <v>13</v>
      </c>
      <c r="B212" t="s">
        <v>414</v>
      </c>
      <c r="C212" t="s">
        <v>415</v>
      </c>
      <c r="D212" t="s">
        <v>415</v>
      </c>
      <c r="E212" t="s">
        <v>415</v>
      </c>
      <c r="F212" t="s">
        <v>415</v>
      </c>
      <c r="G212" s="6">
        <v>496.23</v>
      </c>
      <c r="H212" s="6"/>
      <c r="I212" s="6">
        <f t="shared" si="15"/>
        <v>233.2281</v>
      </c>
      <c r="J212" s="6">
        <f t="shared" si="16"/>
        <v>248.115</v>
      </c>
      <c r="K212" s="6">
        <f t="shared" si="17"/>
        <v>272.9265</v>
      </c>
      <c r="L212" s="6">
        <f t="shared" si="18"/>
        <v>347.361</v>
      </c>
      <c r="M212" s="6">
        <f t="shared" si="19"/>
        <v>421.7955</v>
      </c>
    </row>
    <row r="213" spans="1:13">
      <c r="A213" t="s">
        <v>13</v>
      </c>
      <c r="B213" t="s">
        <v>416</v>
      </c>
      <c r="C213" t="s">
        <v>417</v>
      </c>
      <c r="D213" t="s">
        <v>417</v>
      </c>
      <c r="E213" t="s">
        <v>417</v>
      </c>
      <c r="F213" t="s">
        <v>417</v>
      </c>
      <c r="G213" s="6">
        <v>734.4</v>
      </c>
      <c r="H213" s="6"/>
      <c r="I213" s="6">
        <f t="shared" si="15"/>
        <v>345.168</v>
      </c>
      <c r="J213" s="6">
        <f t="shared" si="16"/>
        <v>367.2</v>
      </c>
      <c r="K213" s="6">
        <f t="shared" si="17"/>
        <v>403.92</v>
      </c>
      <c r="L213" s="6">
        <f t="shared" si="18"/>
        <v>514.08</v>
      </c>
      <c r="M213" s="6">
        <f t="shared" si="19"/>
        <v>624.24</v>
      </c>
    </row>
    <row r="214" spans="1:13">
      <c r="A214" t="s">
        <v>13</v>
      </c>
      <c r="B214" t="s">
        <v>418</v>
      </c>
      <c r="C214" t="s">
        <v>419</v>
      </c>
      <c r="D214" t="s">
        <v>419</v>
      </c>
      <c r="E214" t="s">
        <v>419</v>
      </c>
      <c r="F214" t="s">
        <v>419</v>
      </c>
      <c r="G214" s="6">
        <v>59.25</v>
      </c>
      <c r="H214" s="6"/>
      <c r="I214" s="6">
        <f t="shared" si="15"/>
        <v>27.8475</v>
      </c>
      <c r="J214" s="6">
        <f t="shared" si="16"/>
        <v>29.625</v>
      </c>
      <c r="K214" s="6">
        <f t="shared" si="17"/>
        <v>32.5875</v>
      </c>
      <c r="L214" s="6">
        <f t="shared" si="18"/>
        <v>41.475</v>
      </c>
      <c r="M214" s="6">
        <f t="shared" si="19"/>
        <v>50.3625</v>
      </c>
    </row>
    <row r="215" spans="1:13">
      <c r="A215" t="s">
        <v>13</v>
      </c>
      <c r="B215" t="s">
        <v>420</v>
      </c>
      <c r="C215" t="s">
        <v>421</v>
      </c>
      <c r="D215" t="s">
        <v>421</v>
      </c>
      <c r="E215" t="s">
        <v>421</v>
      </c>
      <c r="F215" t="s">
        <v>421</v>
      </c>
      <c r="G215" s="6">
        <v>12.75</v>
      </c>
      <c r="H215" s="6"/>
      <c r="I215" s="6">
        <f t="shared" si="15"/>
        <v>5.9925</v>
      </c>
      <c r="J215" s="6">
        <f t="shared" si="16"/>
        <v>6.375</v>
      </c>
      <c r="K215" s="6">
        <f t="shared" si="17"/>
        <v>7.0125</v>
      </c>
      <c r="L215" s="6">
        <f t="shared" si="18"/>
        <v>8.925</v>
      </c>
      <c r="M215" s="6">
        <f t="shared" si="19"/>
        <v>10.8375</v>
      </c>
    </row>
    <row r="216" spans="1:13">
      <c r="A216" t="s">
        <v>13</v>
      </c>
      <c r="B216" t="s">
        <v>422</v>
      </c>
      <c r="C216" t="s">
        <v>423</v>
      </c>
      <c r="D216" t="s">
        <v>423</v>
      </c>
      <c r="E216" t="s">
        <v>423</v>
      </c>
      <c r="F216" t="s">
        <v>423</v>
      </c>
      <c r="G216" s="6">
        <v>523.77</v>
      </c>
      <c r="H216" s="6"/>
      <c r="I216" s="6">
        <f t="shared" si="15"/>
        <v>246.1719</v>
      </c>
      <c r="J216" s="6">
        <f t="shared" si="16"/>
        <v>261.885</v>
      </c>
      <c r="K216" s="6">
        <f t="shared" si="17"/>
        <v>288.0735</v>
      </c>
      <c r="L216" s="6">
        <f t="shared" si="18"/>
        <v>366.639</v>
      </c>
      <c r="M216" s="6">
        <f t="shared" si="19"/>
        <v>445.2045</v>
      </c>
    </row>
    <row r="217" spans="1:13">
      <c r="A217" t="s">
        <v>13</v>
      </c>
      <c r="B217" t="s">
        <v>424</v>
      </c>
      <c r="C217" t="s">
        <v>425</v>
      </c>
      <c r="D217" t="s">
        <v>425</v>
      </c>
      <c r="E217" t="s">
        <v>425</v>
      </c>
      <c r="F217" t="s">
        <v>425</v>
      </c>
      <c r="G217" s="6">
        <v>562.63</v>
      </c>
      <c r="H217" s="6"/>
      <c r="I217" s="6">
        <f t="shared" si="15"/>
        <v>264.4361</v>
      </c>
      <c r="J217" s="6">
        <f t="shared" si="16"/>
        <v>281.315</v>
      </c>
      <c r="K217" s="6">
        <f t="shared" si="17"/>
        <v>309.4465</v>
      </c>
      <c r="L217" s="6">
        <f t="shared" si="18"/>
        <v>393.841</v>
      </c>
      <c r="M217" s="6">
        <f t="shared" si="19"/>
        <v>478.2355</v>
      </c>
    </row>
    <row r="218" spans="1:13">
      <c r="A218" t="s">
        <v>13</v>
      </c>
      <c r="B218" t="s">
        <v>426</v>
      </c>
      <c r="C218" t="s">
        <v>427</v>
      </c>
      <c r="D218" t="s">
        <v>427</v>
      </c>
      <c r="E218" t="s">
        <v>427</v>
      </c>
      <c r="F218" t="s">
        <v>427</v>
      </c>
      <c r="G218" s="6">
        <v>287.95</v>
      </c>
      <c r="H218" s="6"/>
      <c r="I218" s="6">
        <f t="shared" si="15"/>
        <v>135.3365</v>
      </c>
      <c r="J218" s="6">
        <f t="shared" si="16"/>
        <v>143.975</v>
      </c>
      <c r="K218" s="6">
        <f t="shared" si="17"/>
        <v>158.3725</v>
      </c>
      <c r="L218" s="6">
        <f t="shared" si="18"/>
        <v>201.565</v>
      </c>
      <c r="M218" s="6">
        <f t="shared" si="19"/>
        <v>244.7575</v>
      </c>
    </row>
    <row r="219" spans="1:13">
      <c r="A219" t="s">
        <v>13</v>
      </c>
      <c r="B219" t="s">
        <v>428</v>
      </c>
      <c r="C219" t="s">
        <v>429</v>
      </c>
      <c r="D219" t="s">
        <v>429</v>
      </c>
      <c r="E219" t="s">
        <v>429</v>
      </c>
      <c r="F219" t="s">
        <v>429</v>
      </c>
      <c r="G219" s="6">
        <v>326.09</v>
      </c>
      <c r="H219" s="6"/>
      <c r="I219" s="6">
        <f t="shared" si="15"/>
        <v>153.2623</v>
      </c>
      <c r="J219" s="6">
        <f t="shared" si="16"/>
        <v>163.045</v>
      </c>
      <c r="K219" s="6">
        <f t="shared" si="17"/>
        <v>179.3495</v>
      </c>
      <c r="L219" s="6">
        <f t="shared" si="18"/>
        <v>228.263</v>
      </c>
      <c r="M219" s="6">
        <f t="shared" si="19"/>
        <v>277.1765</v>
      </c>
    </row>
    <row r="220" spans="1:13">
      <c r="A220" t="s">
        <v>13</v>
      </c>
      <c r="B220" t="s">
        <v>430</v>
      </c>
      <c r="C220" t="s">
        <v>431</v>
      </c>
      <c r="D220" t="s">
        <v>431</v>
      </c>
      <c r="E220" t="s">
        <v>431</v>
      </c>
      <c r="F220" t="s">
        <v>431</v>
      </c>
      <c r="G220" s="6">
        <v>358.43</v>
      </c>
      <c r="H220" s="6"/>
      <c r="I220" s="6">
        <f t="shared" si="15"/>
        <v>168.4621</v>
      </c>
      <c r="J220" s="6">
        <f t="shared" si="16"/>
        <v>179.215</v>
      </c>
      <c r="K220" s="6">
        <f t="shared" si="17"/>
        <v>197.1365</v>
      </c>
      <c r="L220" s="6">
        <f t="shared" si="18"/>
        <v>250.901</v>
      </c>
      <c r="M220" s="6">
        <f t="shared" si="19"/>
        <v>304.6655</v>
      </c>
    </row>
    <row r="221" spans="1:13">
      <c r="A221" t="s">
        <v>13</v>
      </c>
      <c r="B221" t="s">
        <v>432</v>
      </c>
      <c r="C221" t="s">
        <v>433</v>
      </c>
      <c r="D221" t="s">
        <v>433</v>
      </c>
      <c r="E221" t="s">
        <v>433</v>
      </c>
      <c r="F221" t="s">
        <v>433</v>
      </c>
      <c r="G221" s="6">
        <v>561.71</v>
      </c>
      <c r="H221" s="6"/>
      <c r="I221" s="6">
        <f t="shared" si="15"/>
        <v>264.0037</v>
      </c>
      <c r="J221" s="6">
        <f t="shared" si="16"/>
        <v>280.855</v>
      </c>
      <c r="K221" s="6">
        <f t="shared" si="17"/>
        <v>308.9405</v>
      </c>
      <c r="L221" s="6">
        <f t="shared" si="18"/>
        <v>393.197</v>
      </c>
      <c r="M221" s="6">
        <f t="shared" si="19"/>
        <v>477.4535</v>
      </c>
    </row>
    <row r="222" spans="1:13">
      <c r="A222" t="s">
        <v>13</v>
      </c>
      <c r="B222" t="s">
        <v>434</v>
      </c>
      <c r="C222" t="s">
        <v>435</v>
      </c>
      <c r="D222" t="s">
        <v>435</v>
      </c>
      <c r="E222" t="s">
        <v>435</v>
      </c>
      <c r="F222" t="s">
        <v>435</v>
      </c>
      <c r="G222" s="6">
        <v>634.54</v>
      </c>
      <c r="H222" s="6"/>
      <c r="I222" s="6">
        <f t="shared" si="15"/>
        <v>298.2338</v>
      </c>
      <c r="J222" s="6">
        <f t="shared" si="16"/>
        <v>317.27</v>
      </c>
      <c r="K222" s="6">
        <f t="shared" si="17"/>
        <v>348.997</v>
      </c>
      <c r="L222" s="6">
        <f t="shared" si="18"/>
        <v>444.178</v>
      </c>
      <c r="M222" s="6">
        <f t="shared" si="19"/>
        <v>539.359</v>
      </c>
    </row>
    <row r="223" spans="1:13">
      <c r="A223" t="s">
        <v>13</v>
      </c>
      <c r="B223" t="s">
        <v>436</v>
      </c>
      <c r="C223" t="s">
        <v>437</v>
      </c>
      <c r="D223" t="s">
        <v>437</v>
      </c>
      <c r="E223" t="s">
        <v>437</v>
      </c>
      <c r="F223" t="s">
        <v>437</v>
      </c>
      <c r="G223" s="6">
        <v>822.43</v>
      </c>
      <c r="H223" s="6"/>
      <c r="I223" s="6">
        <f t="shared" si="15"/>
        <v>386.5421</v>
      </c>
      <c r="J223" s="6">
        <f t="shared" si="16"/>
        <v>411.215</v>
      </c>
      <c r="K223" s="6">
        <f t="shared" si="17"/>
        <v>452.3365</v>
      </c>
      <c r="L223" s="6">
        <f t="shared" si="18"/>
        <v>575.701</v>
      </c>
      <c r="M223" s="6">
        <f t="shared" si="19"/>
        <v>699.0655</v>
      </c>
    </row>
    <row r="224" spans="1:13">
      <c r="A224" t="s">
        <v>13</v>
      </c>
      <c r="B224" t="s">
        <v>438</v>
      </c>
      <c r="C224" t="s">
        <v>439</v>
      </c>
      <c r="D224" t="s">
        <v>439</v>
      </c>
      <c r="E224" t="s">
        <v>439</v>
      </c>
      <c r="F224" t="s">
        <v>439</v>
      </c>
      <c r="G224" s="6">
        <v>383.32</v>
      </c>
      <c r="H224" s="6"/>
      <c r="I224" s="6">
        <f t="shared" si="15"/>
        <v>180.1604</v>
      </c>
      <c r="J224" s="6">
        <f t="shared" si="16"/>
        <v>191.66</v>
      </c>
      <c r="K224" s="6">
        <f t="shared" si="17"/>
        <v>210.826</v>
      </c>
      <c r="L224" s="6">
        <f t="shared" si="18"/>
        <v>268.324</v>
      </c>
      <c r="M224" s="6">
        <f t="shared" si="19"/>
        <v>325.822</v>
      </c>
    </row>
    <row r="225" spans="1:13">
      <c r="A225" t="s">
        <v>13</v>
      </c>
      <c r="B225" t="s">
        <v>440</v>
      </c>
      <c r="C225" t="s">
        <v>441</v>
      </c>
      <c r="D225" t="s">
        <v>441</v>
      </c>
      <c r="E225" t="s">
        <v>441</v>
      </c>
      <c r="F225" t="s">
        <v>441</v>
      </c>
      <c r="G225" s="6">
        <v>434.11</v>
      </c>
      <c r="H225" s="6"/>
      <c r="I225" s="6">
        <f t="shared" si="15"/>
        <v>204.0317</v>
      </c>
      <c r="J225" s="6">
        <f t="shared" si="16"/>
        <v>217.055</v>
      </c>
      <c r="K225" s="6">
        <f t="shared" si="17"/>
        <v>238.7605</v>
      </c>
      <c r="L225" s="6">
        <f t="shared" si="18"/>
        <v>303.877</v>
      </c>
      <c r="M225" s="6">
        <f t="shared" si="19"/>
        <v>368.9935</v>
      </c>
    </row>
    <row r="226" spans="1:13">
      <c r="A226" t="s">
        <v>13</v>
      </c>
      <c r="B226" t="s">
        <v>442</v>
      </c>
      <c r="C226" t="s">
        <v>443</v>
      </c>
      <c r="D226" t="s">
        <v>443</v>
      </c>
      <c r="E226" t="s">
        <v>443</v>
      </c>
      <c r="F226" t="s">
        <v>443</v>
      </c>
      <c r="G226" s="6">
        <v>558.35</v>
      </c>
      <c r="H226" s="6"/>
      <c r="I226" s="6">
        <f t="shared" si="15"/>
        <v>262.4245</v>
      </c>
      <c r="J226" s="6">
        <f t="shared" si="16"/>
        <v>279.175</v>
      </c>
      <c r="K226" s="6">
        <f t="shared" si="17"/>
        <v>307.0925</v>
      </c>
      <c r="L226" s="6">
        <f t="shared" si="18"/>
        <v>390.845</v>
      </c>
      <c r="M226" s="6">
        <f t="shared" si="19"/>
        <v>474.5975</v>
      </c>
    </row>
    <row r="227" spans="1:13">
      <c r="A227" t="s">
        <v>13</v>
      </c>
      <c r="B227" t="s">
        <v>444</v>
      </c>
      <c r="C227" t="s">
        <v>445</v>
      </c>
      <c r="D227" t="s">
        <v>445</v>
      </c>
      <c r="E227" t="s">
        <v>445</v>
      </c>
      <c r="F227" t="s">
        <v>445</v>
      </c>
      <c r="G227" s="6">
        <v>88.44</v>
      </c>
      <c r="H227" s="6"/>
      <c r="I227" s="6">
        <f t="shared" si="15"/>
        <v>41.5668</v>
      </c>
      <c r="J227" s="6">
        <f t="shared" si="16"/>
        <v>44.22</v>
      </c>
      <c r="K227" s="6">
        <f t="shared" si="17"/>
        <v>48.642</v>
      </c>
      <c r="L227" s="6">
        <f t="shared" si="18"/>
        <v>61.908</v>
      </c>
      <c r="M227" s="6">
        <f t="shared" si="19"/>
        <v>75.174</v>
      </c>
    </row>
    <row r="228" spans="1:13">
      <c r="A228" t="s">
        <v>13</v>
      </c>
      <c r="B228" t="s">
        <v>446</v>
      </c>
      <c r="C228" t="s">
        <v>447</v>
      </c>
      <c r="D228" t="s">
        <v>447</v>
      </c>
      <c r="E228" t="s">
        <v>447</v>
      </c>
      <c r="F228" t="s">
        <v>447</v>
      </c>
      <c r="G228" s="6">
        <v>22.44</v>
      </c>
      <c r="H228" s="6"/>
      <c r="I228" s="6">
        <f t="shared" si="15"/>
        <v>10.5468</v>
      </c>
      <c r="J228" s="6">
        <f t="shared" si="16"/>
        <v>11.22</v>
      </c>
      <c r="K228" s="6">
        <f t="shared" si="17"/>
        <v>12.342</v>
      </c>
      <c r="L228" s="6">
        <f t="shared" si="18"/>
        <v>15.708</v>
      </c>
      <c r="M228" s="6">
        <f t="shared" si="19"/>
        <v>19.074</v>
      </c>
    </row>
    <row r="229" spans="1:13">
      <c r="A229" t="s">
        <v>13</v>
      </c>
      <c r="B229" t="s">
        <v>448</v>
      </c>
      <c r="C229" t="s">
        <v>449</v>
      </c>
      <c r="D229" t="s">
        <v>449</v>
      </c>
      <c r="E229" t="s">
        <v>449</v>
      </c>
      <c r="F229" t="s">
        <v>449</v>
      </c>
      <c r="G229" s="6">
        <v>779.48</v>
      </c>
      <c r="H229" s="6"/>
      <c r="I229" s="6">
        <f t="shared" si="15"/>
        <v>366.3556</v>
      </c>
      <c r="J229" s="6">
        <f t="shared" si="16"/>
        <v>389.74</v>
      </c>
      <c r="K229" s="6">
        <f t="shared" si="17"/>
        <v>428.714</v>
      </c>
      <c r="L229" s="6">
        <f t="shared" si="18"/>
        <v>545.636</v>
      </c>
      <c r="M229" s="6">
        <f t="shared" si="19"/>
        <v>662.558</v>
      </c>
    </row>
    <row r="230" spans="1:13">
      <c r="A230" t="s">
        <v>13</v>
      </c>
      <c r="B230" t="s">
        <v>450</v>
      </c>
      <c r="C230" t="s">
        <v>451</v>
      </c>
      <c r="D230" t="s">
        <v>451</v>
      </c>
      <c r="E230" t="s">
        <v>451</v>
      </c>
      <c r="F230" t="s">
        <v>451</v>
      </c>
      <c r="G230" s="6">
        <v>836.71</v>
      </c>
      <c r="H230" s="6"/>
      <c r="I230" s="6">
        <f t="shared" si="15"/>
        <v>393.2537</v>
      </c>
      <c r="J230" s="6">
        <f t="shared" si="16"/>
        <v>418.355</v>
      </c>
      <c r="K230" s="6">
        <f t="shared" si="17"/>
        <v>460.1905</v>
      </c>
      <c r="L230" s="6">
        <f t="shared" si="18"/>
        <v>585.697</v>
      </c>
      <c r="M230" s="6">
        <f t="shared" si="19"/>
        <v>711.2035</v>
      </c>
    </row>
    <row r="231" spans="1:13">
      <c r="A231" t="s">
        <v>13</v>
      </c>
      <c r="B231" t="s">
        <v>452</v>
      </c>
      <c r="C231" t="s">
        <v>453</v>
      </c>
      <c r="D231" t="s">
        <v>453</v>
      </c>
      <c r="E231" t="s">
        <v>453</v>
      </c>
      <c r="F231" t="s">
        <v>453</v>
      </c>
      <c r="G231" s="6">
        <v>432.79</v>
      </c>
      <c r="H231" s="6"/>
      <c r="I231" s="6">
        <f t="shared" si="15"/>
        <v>203.4113</v>
      </c>
      <c r="J231" s="6">
        <f t="shared" si="16"/>
        <v>216.395</v>
      </c>
      <c r="K231" s="6">
        <f t="shared" si="17"/>
        <v>238.0345</v>
      </c>
      <c r="L231" s="6">
        <f t="shared" si="18"/>
        <v>302.953</v>
      </c>
      <c r="M231" s="6">
        <f t="shared" si="19"/>
        <v>367.8715</v>
      </c>
    </row>
    <row r="232" spans="1:13">
      <c r="A232" t="s">
        <v>13</v>
      </c>
      <c r="B232" t="s">
        <v>454</v>
      </c>
      <c r="C232" t="s">
        <v>455</v>
      </c>
      <c r="D232" t="s">
        <v>455</v>
      </c>
      <c r="E232" t="s">
        <v>455</v>
      </c>
      <c r="F232" t="s">
        <v>455</v>
      </c>
      <c r="G232" s="6">
        <v>490.11</v>
      </c>
      <c r="H232" s="6"/>
      <c r="I232" s="6">
        <f t="shared" si="15"/>
        <v>230.3517</v>
      </c>
      <c r="J232" s="6">
        <f t="shared" si="16"/>
        <v>245.055</v>
      </c>
      <c r="K232" s="6">
        <f t="shared" si="17"/>
        <v>269.5605</v>
      </c>
      <c r="L232" s="6">
        <f t="shared" si="18"/>
        <v>343.077</v>
      </c>
      <c r="M232" s="6">
        <f t="shared" si="19"/>
        <v>416.5935</v>
      </c>
    </row>
    <row r="233" spans="1:13">
      <c r="A233" t="s">
        <v>13</v>
      </c>
      <c r="B233" t="s">
        <v>456</v>
      </c>
      <c r="C233" t="s">
        <v>457</v>
      </c>
      <c r="D233" t="s">
        <v>457</v>
      </c>
      <c r="E233" t="s">
        <v>457</v>
      </c>
      <c r="F233" t="s">
        <v>457</v>
      </c>
      <c r="G233" s="6">
        <v>538.36</v>
      </c>
      <c r="H233" s="6"/>
      <c r="I233" s="6">
        <f t="shared" si="15"/>
        <v>253.0292</v>
      </c>
      <c r="J233" s="6">
        <f t="shared" si="16"/>
        <v>269.18</v>
      </c>
      <c r="K233" s="6">
        <f t="shared" si="17"/>
        <v>296.098</v>
      </c>
      <c r="L233" s="6">
        <f t="shared" si="18"/>
        <v>376.852</v>
      </c>
      <c r="M233" s="6">
        <f t="shared" si="19"/>
        <v>457.606</v>
      </c>
    </row>
    <row r="234" spans="1:13">
      <c r="A234" t="s">
        <v>13</v>
      </c>
      <c r="B234" t="s">
        <v>458</v>
      </c>
      <c r="C234" t="s">
        <v>459</v>
      </c>
      <c r="D234" t="s">
        <v>459</v>
      </c>
      <c r="E234" t="s">
        <v>459</v>
      </c>
      <c r="F234" t="s">
        <v>459</v>
      </c>
      <c r="G234" s="6">
        <v>844.66</v>
      </c>
      <c r="H234" s="6"/>
      <c r="I234" s="6">
        <f t="shared" si="15"/>
        <v>396.9902</v>
      </c>
      <c r="J234" s="6">
        <f t="shared" si="16"/>
        <v>422.33</v>
      </c>
      <c r="K234" s="6">
        <f t="shared" si="17"/>
        <v>464.563</v>
      </c>
      <c r="L234" s="6">
        <f t="shared" si="18"/>
        <v>591.262</v>
      </c>
      <c r="M234" s="6">
        <f t="shared" si="19"/>
        <v>717.961</v>
      </c>
    </row>
    <row r="235" spans="1:13">
      <c r="A235" t="s">
        <v>13</v>
      </c>
      <c r="B235" t="s">
        <v>460</v>
      </c>
      <c r="C235" t="s">
        <v>461</v>
      </c>
      <c r="D235" t="s">
        <v>461</v>
      </c>
      <c r="E235" t="s">
        <v>461</v>
      </c>
      <c r="F235" t="s">
        <v>461</v>
      </c>
      <c r="G235" s="6">
        <v>955.23</v>
      </c>
      <c r="H235" s="6"/>
      <c r="I235" s="6">
        <f t="shared" si="15"/>
        <v>448.9581</v>
      </c>
      <c r="J235" s="6">
        <f t="shared" si="16"/>
        <v>477.615</v>
      </c>
      <c r="K235" s="6">
        <f t="shared" si="17"/>
        <v>525.3765</v>
      </c>
      <c r="L235" s="6">
        <f t="shared" si="18"/>
        <v>668.661</v>
      </c>
      <c r="M235" s="6">
        <f t="shared" si="19"/>
        <v>811.9455</v>
      </c>
    </row>
    <row r="236" spans="1:13">
      <c r="A236" t="s">
        <v>13</v>
      </c>
      <c r="B236" t="s">
        <v>462</v>
      </c>
      <c r="C236" t="s">
        <v>463</v>
      </c>
      <c r="D236" t="s">
        <v>463</v>
      </c>
      <c r="E236" t="s">
        <v>463</v>
      </c>
      <c r="F236" t="s">
        <v>463</v>
      </c>
      <c r="G236" s="6">
        <v>1235.83</v>
      </c>
      <c r="H236" s="6"/>
      <c r="I236" s="6">
        <f t="shared" si="15"/>
        <v>580.8401</v>
      </c>
      <c r="J236" s="6">
        <f t="shared" si="16"/>
        <v>617.915</v>
      </c>
      <c r="K236" s="6">
        <f t="shared" si="17"/>
        <v>679.7065</v>
      </c>
      <c r="L236" s="6">
        <f t="shared" si="18"/>
        <v>865.081</v>
      </c>
      <c r="M236" s="6">
        <f t="shared" si="19"/>
        <v>1050.4555</v>
      </c>
    </row>
    <row r="237" spans="1:13">
      <c r="A237" t="s">
        <v>13</v>
      </c>
      <c r="B237" t="s">
        <v>464</v>
      </c>
      <c r="C237" t="s">
        <v>465</v>
      </c>
      <c r="D237" t="s">
        <v>465</v>
      </c>
      <c r="E237" t="s">
        <v>465</v>
      </c>
      <c r="F237" t="s">
        <v>465</v>
      </c>
      <c r="G237" s="6">
        <v>834.67</v>
      </c>
      <c r="H237" s="6"/>
      <c r="I237" s="6">
        <f t="shared" si="15"/>
        <v>392.2949</v>
      </c>
      <c r="J237" s="6">
        <f t="shared" si="16"/>
        <v>417.335</v>
      </c>
      <c r="K237" s="6">
        <f t="shared" si="17"/>
        <v>459.0685</v>
      </c>
      <c r="L237" s="6">
        <f t="shared" si="18"/>
        <v>584.269</v>
      </c>
      <c r="M237" s="6">
        <f t="shared" si="19"/>
        <v>709.4695</v>
      </c>
    </row>
    <row r="238" spans="1:13">
      <c r="A238" t="s">
        <v>13</v>
      </c>
      <c r="B238" t="s">
        <v>466</v>
      </c>
      <c r="C238" t="s">
        <v>467</v>
      </c>
      <c r="D238" t="s">
        <v>467</v>
      </c>
      <c r="E238" t="s">
        <v>467</v>
      </c>
      <c r="F238" t="s">
        <v>467</v>
      </c>
      <c r="G238" s="6">
        <v>129</v>
      </c>
      <c r="H238" s="6"/>
      <c r="I238" s="6">
        <f t="shared" si="15"/>
        <v>60.63</v>
      </c>
      <c r="J238" s="6">
        <f t="shared" si="16"/>
        <v>64.5</v>
      </c>
      <c r="K238" s="6">
        <f t="shared" si="17"/>
        <v>70.95</v>
      </c>
      <c r="L238" s="6">
        <f t="shared" si="18"/>
        <v>90.3</v>
      </c>
      <c r="M238" s="6">
        <f t="shared" si="19"/>
        <v>109.65</v>
      </c>
    </row>
    <row r="239" spans="1:13">
      <c r="A239" t="s">
        <v>13</v>
      </c>
      <c r="B239" t="s">
        <v>468</v>
      </c>
      <c r="C239" t="s">
        <v>469</v>
      </c>
      <c r="D239" t="s">
        <v>469</v>
      </c>
      <c r="E239" t="s">
        <v>469</v>
      </c>
      <c r="F239" t="s">
        <v>469</v>
      </c>
      <c r="G239" s="6">
        <v>31.24</v>
      </c>
      <c r="H239" s="6"/>
      <c r="I239" s="6">
        <f t="shared" si="15"/>
        <v>14.6828</v>
      </c>
      <c r="J239" s="6">
        <f t="shared" si="16"/>
        <v>15.62</v>
      </c>
      <c r="K239" s="6">
        <f t="shared" si="17"/>
        <v>17.182</v>
      </c>
      <c r="L239" s="6">
        <f t="shared" si="18"/>
        <v>21.868</v>
      </c>
      <c r="M239" s="6">
        <f t="shared" si="19"/>
        <v>26.554</v>
      </c>
    </row>
    <row r="240" spans="1:13">
      <c r="A240" t="s">
        <v>13</v>
      </c>
      <c r="B240" t="s">
        <v>470</v>
      </c>
      <c r="C240" t="s">
        <v>471</v>
      </c>
      <c r="D240" t="s">
        <v>471</v>
      </c>
      <c r="E240" t="s">
        <v>471</v>
      </c>
      <c r="F240" t="s">
        <v>471</v>
      </c>
      <c r="G240" s="6">
        <v>18.16</v>
      </c>
      <c r="H240" s="6"/>
      <c r="I240" s="6">
        <f t="shared" si="15"/>
        <v>8.5352</v>
      </c>
      <c r="J240" s="6">
        <f t="shared" si="16"/>
        <v>9.08</v>
      </c>
      <c r="K240" s="6">
        <f t="shared" si="17"/>
        <v>9.988</v>
      </c>
      <c r="L240" s="6">
        <f t="shared" si="18"/>
        <v>12.712</v>
      </c>
      <c r="M240" s="6">
        <f t="shared" si="19"/>
        <v>15.436</v>
      </c>
    </row>
    <row r="241" spans="1:13">
      <c r="A241" t="s">
        <v>13</v>
      </c>
      <c r="B241" t="s">
        <v>472</v>
      </c>
      <c r="C241" t="s">
        <v>473</v>
      </c>
      <c r="D241" t="s">
        <v>473</v>
      </c>
      <c r="E241" t="s">
        <v>473</v>
      </c>
      <c r="F241" t="s">
        <v>473</v>
      </c>
      <c r="G241" s="6">
        <v>18.05</v>
      </c>
      <c r="H241" s="6"/>
      <c r="I241" s="6">
        <f t="shared" si="15"/>
        <v>8.4835</v>
      </c>
      <c r="J241" s="6">
        <f t="shared" si="16"/>
        <v>9.025</v>
      </c>
      <c r="K241" s="6">
        <f t="shared" si="17"/>
        <v>9.9275</v>
      </c>
      <c r="L241" s="6">
        <f t="shared" si="18"/>
        <v>12.635</v>
      </c>
      <c r="M241" s="6">
        <f t="shared" si="19"/>
        <v>15.3425</v>
      </c>
    </row>
    <row r="242" spans="1:13">
      <c r="A242" t="s">
        <v>13</v>
      </c>
      <c r="B242" t="s">
        <v>474</v>
      </c>
      <c r="C242" t="s">
        <v>475</v>
      </c>
      <c r="D242" t="s">
        <v>475</v>
      </c>
      <c r="E242" t="s">
        <v>475</v>
      </c>
      <c r="F242" t="s">
        <v>475</v>
      </c>
      <c r="G242" s="6">
        <v>18.56</v>
      </c>
      <c r="H242" s="6"/>
      <c r="I242" s="6">
        <f t="shared" si="15"/>
        <v>8.7232</v>
      </c>
      <c r="J242" s="6">
        <f t="shared" si="16"/>
        <v>9.28</v>
      </c>
      <c r="K242" s="6">
        <f t="shared" si="17"/>
        <v>10.208</v>
      </c>
      <c r="L242" s="6">
        <f t="shared" si="18"/>
        <v>12.992</v>
      </c>
      <c r="M242" s="6">
        <f t="shared" si="19"/>
        <v>15.776</v>
      </c>
    </row>
    <row r="243" spans="1:13">
      <c r="A243" t="s">
        <v>13</v>
      </c>
      <c r="B243" t="s">
        <v>476</v>
      </c>
      <c r="C243" t="s">
        <v>477</v>
      </c>
      <c r="D243" t="s">
        <v>477</v>
      </c>
      <c r="E243" t="s">
        <v>477</v>
      </c>
      <c r="F243" t="s">
        <v>477</v>
      </c>
      <c r="G243" s="6">
        <v>21.62</v>
      </c>
      <c r="H243" s="6"/>
      <c r="I243" s="6">
        <f t="shared" si="15"/>
        <v>10.1614</v>
      </c>
      <c r="J243" s="6">
        <f t="shared" si="16"/>
        <v>10.81</v>
      </c>
      <c r="K243" s="6">
        <f t="shared" si="17"/>
        <v>11.891</v>
      </c>
      <c r="L243" s="6">
        <f t="shared" si="18"/>
        <v>15.134</v>
      </c>
      <c r="M243" s="6">
        <f t="shared" si="19"/>
        <v>18.377</v>
      </c>
    </row>
    <row r="244" spans="1:13">
      <c r="A244" t="s">
        <v>13</v>
      </c>
      <c r="B244" t="s">
        <v>478</v>
      </c>
      <c r="C244" t="s">
        <v>479</v>
      </c>
      <c r="D244" t="s">
        <v>479</v>
      </c>
      <c r="E244" t="s">
        <v>479</v>
      </c>
      <c r="F244" t="s">
        <v>479</v>
      </c>
      <c r="G244" s="6">
        <v>21.62</v>
      </c>
      <c r="H244" s="6"/>
      <c r="I244" s="6">
        <f t="shared" si="15"/>
        <v>10.1614</v>
      </c>
      <c r="J244" s="6">
        <f t="shared" si="16"/>
        <v>10.81</v>
      </c>
      <c r="K244" s="6">
        <f t="shared" si="17"/>
        <v>11.891</v>
      </c>
      <c r="L244" s="6">
        <f t="shared" si="18"/>
        <v>15.134</v>
      </c>
      <c r="M244" s="6">
        <f t="shared" si="19"/>
        <v>18.377</v>
      </c>
    </row>
    <row r="245" spans="1:13">
      <c r="A245" t="s">
        <v>13</v>
      </c>
      <c r="B245" t="s">
        <v>480</v>
      </c>
      <c r="C245" t="s">
        <v>481</v>
      </c>
      <c r="D245" t="s">
        <v>481</v>
      </c>
      <c r="E245" t="s">
        <v>481</v>
      </c>
      <c r="F245" t="s">
        <v>481</v>
      </c>
      <c r="G245" s="6">
        <v>53.75</v>
      </c>
      <c r="H245" s="6"/>
      <c r="I245" s="6">
        <f t="shared" si="15"/>
        <v>25.2625</v>
      </c>
      <c r="J245" s="6">
        <f t="shared" si="16"/>
        <v>26.875</v>
      </c>
      <c r="K245" s="6">
        <f t="shared" si="17"/>
        <v>29.5625</v>
      </c>
      <c r="L245" s="6">
        <f t="shared" si="18"/>
        <v>37.625</v>
      </c>
      <c r="M245" s="6">
        <f t="shared" si="19"/>
        <v>45.6875</v>
      </c>
    </row>
    <row r="246" spans="1:13">
      <c r="A246" t="s">
        <v>13</v>
      </c>
      <c r="B246" t="s">
        <v>482</v>
      </c>
      <c r="C246" t="s">
        <v>483</v>
      </c>
      <c r="D246" t="s">
        <v>483</v>
      </c>
      <c r="E246" t="s">
        <v>483</v>
      </c>
      <c r="F246" t="s">
        <v>483</v>
      </c>
      <c r="G246" s="6">
        <v>25.5</v>
      </c>
      <c r="H246" s="6"/>
      <c r="I246" s="6">
        <f t="shared" si="15"/>
        <v>11.985</v>
      </c>
      <c r="J246" s="6">
        <f t="shared" si="16"/>
        <v>12.75</v>
      </c>
      <c r="K246" s="6">
        <f t="shared" si="17"/>
        <v>14.025</v>
      </c>
      <c r="L246" s="6">
        <f t="shared" si="18"/>
        <v>17.85</v>
      </c>
      <c r="M246" s="6">
        <f t="shared" si="19"/>
        <v>21.675</v>
      </c>
    </row>
    <row r="247" spans="1:13">
      <c r="A247" t="s">
        <v>13</v>
      </c>
      <c r="B247" t="s">
        <v>484</v>
      </c>
      <c r="C247" t="s">
        <v>485</v>
      </c>
      <c r="D247" t="s">
        <v>485</v>
      </c>
      <c r="E247" t="s">
        <v>485</v>
      </c>
      <c r="F247" t="s">
        <v>485</v>
      </c>
      <c r="G247" s="6">
        <v>36.01</v>
      </c>
      <c r="H247" s="6"/>
      <c r="I247" s="6">
        <f t="shared" si="15"/>
        <v>16.9247</v>
      </c>
      <c r="J247" s="6">
        <f t="shared" si="16"/>
        <v>18.005</v>
      </c>
      <c r="K247" s="6">
        <f t="shared" si="17"/>
        <v>19.8055</v>
      </c>
      <c r="L247" s="6">
        <f t="shared" si="18"/>
        <v>25.207</v>
      </c>
      <c r="M247" s="6">
        <f t="shared" si="19"/>
        <v>30.6085</v>
      </c>
    </row>
    <row r="248" spans="1:13">
      <c r="A248" t="s">
        <v>13</v>
      </c>
      <c r="B248" t="s">
        <v>486</v>
      </c>
      <c r="C248" t="s">
        <v>487</v>
      </c>
      <c r="D248" t="s">
        <v>487</v>
      </c>
      <c r="E248" t="s">
        <v>487</v>
      </c>
      <c r="F248" t="s">
        <v>487</v>
      </c>
      <c r="G248" s="6">
        <v>84.86</v>
      </c>
      <c r="H248" s="6"/>
      <c r="I248" s="6">
        <f t="shared" si="15"/>
        <v>39.8842</v>
      </c>
      <c r="J248" s="6">
        <f t="shared" si="16"/>
        <v>42.43</v>
      </c>
      <c r="K248" s="6">
        <f t="shared" si="17"/>
        <v>46.673</v>
      </c>
      <c r="L248" s="6">
        <f t="shared" si="18"/>
        <v>59.402</v>
      </c>
      <c r="M248" s="6">
        <f t="shared" si="19"/>
        <v>72.131</v>
      </c>
    </row>
    <row r="249" spans="1:13">
      <c r="A249" t="s">
        <v>13</v>
      </c>
      <c r="B249" t="s">
        <v>488</v>
      </c>
      <c r="C249" t="s">
        <v>489</v>
      </c>
      <c r="D249" t="s">
        <v>489</v>
      </c>
      <c r="E249" t="s">
        <v>489</v>
      </c>
      <c r="F249" t="s">
        <v>489</v>
      </c>
      <c r="G249" s="6">
        <v>47.12</v>
      </c>
      <c r="H249" s="6"/>
      <c r="I249" s="6">
        <f t="shared" si="15"/>
        <v>22.1464</v>
      </c>
      <c r="J249" s="6">
        <f t="shared" si="16"/>
        <v>23.56</v>
      </c>
      <c r="K249" s="6">
        <f t="shared" si="17"/>
        <v>25.916</v>
      </c>
      <c r="L249" s="6">
        <f t="shared" si="18"/>
        <v>32.984</v>
      </c>
      <c r="M249" s="6">
        <f t="shared" si="19"/>
        <v>40.052</v>
      </c>
    </row>
    <row r="250" spans="1:13">
      <c r="A250" t="s">
        <v>13</v>
      </c>
      <c r="B250" t="s">
        <v>490</v>
      </c>
      <c r="C250" t="s">
        <v>491</v>
      </c>
      <c r="D250" t="s">
        <v>491</v>
      </c>
      <c r="E250" t="s">
        <v>491</v>
      </c>
      <c r="F250" t="s">
        <v>491</v>
      </c>
      <c r="G250" s="6">
        <v>88.78</v>
      </c>
      <c r="H250" s="6"/>
      <c r="I250" s="6">
        <f t="shared" si="15"/>
        <v>41.7266</v>
      </c>
      <c r="J250" s="6">
        <f t="shared" si="16"/>
        <v>44.39</v>
      </c>
      <c r="K250" s="6">
        <f t="shared" si="17"/>
        <v>48.829</v>
      </c>
      <c r="L250" s="6">
        <f t="shared" si="18"/>
        <v>62.146</v>
      </c>
      <c r="M250" s="6">
        <f t="shared" si="19"/>
        <v>75.463</v>
      </c>
    </row>
    <row r="251" spans="1:13">
      <c r="A251" t="s">
        <v>13</v>
      </c>
      <c r="B251" t="s">
        <v>492</v>
      </c>
      <c r="C251" t="s">
        <v>493</v>
      </c>
      <c r="D251" t="s">
        <v>493</v>
      </c>
      <c r="E251" t="s">
        <v>493</v>
      </c>
      <c r="F251" t="s">
        <v>493</v>
      </c>
      <c r="G251" s="6">
        <v>91.54</v>
      </c>
      <c r="H251" s="6"/>
      <c r="I251" s="6">
        <f t="shared" si="15"/>
        <v>43.0238</v>
      </c>
      <c r="J251" s="6">
        <f t="shared" si="16"/>
        <v>45.77</v>
      </c>
      <c r="K251" s="6">
        <f t="shared" si="17"/>
        <v>50.347</v>
      </c>
      <c r="L251" s="6">
        <f t="shared" si="18"/>
        <v>64.078</v>
      </c>
      <c r="M251" s="6">
        <f t="shared" si="19"/>
        <v>77.809</v>
      </c>
    </row>
    <row r="252" spans="1:13">
      <c r="A252" t="s">
        <v>13</v>
      </c>
      <c r="B252" t="s">
        <v>494</v>
      </c>
      <c r="C252" t="s">
        <v>495</v>
      </c>
      <c r="D252" t="s">
        <v>495</v>
      </c>
      <c r="E252" t="s">
        <v>495</v>
      </c>
      <c r="F252" t="s">
        <v>495</v>
      </c>
      <c r="G252" s="6">
        <v>67.12</v>
      </c>
      <c r="H252" s="6"/>
      <c r="I252" s="6">
        <f t="shared" si="15"/>
        <v>31.5464</v>
      </c>
      <c r="J252" s="6">
        <f t="shared" si="16"/>
        <v>33.56</v>
      </c>
      <c r="K252" s="6">
        <f t="shared" si="17"/>
        <v>36.916</v>
      </c>
      <c r="L252" s="6">
        <f t="shared" si="18"/>
        <v>46.984</v>
      </c>
      <c r="M252" s="6">
        <f t="shared" si="19"/>
        <v>57.052</v>
      </c>
    </row>
    <row r="253" spans="1:13">
      <c r="A253" t="s">
        <v>13</v>
      </c>
      <c r="B253" t="s">
        <v>496</v>
      </c>
      <c r="C253" t="s">
        <v>497</v>
      </c>
      <c r="D253" t="s">
        <v>497</v>
      </c>
      <c r="E253" t="s">
        <v>497</v>
      </c>
      <c r="F253" t="s">
        <v>497</v>
      </c>
      <c r="G253" s="6">
        <v>109.65</v>
      </c>
      <c r="H253" s="6"/>
      <c r="I253" s="6">
        <f t="shared" si="15"/>
        <v>51.5355</v>
      </c>
      <c r="J253" s="6">
        <f t="shared" si="16"/>
        <v>54.825</v>
      </c>
      <c r="K253" s="6">
        <f t="shared" si="17"/>
        <v>60.3075</v>
      </c>
      <c r="L253" s="6">
        <f t="shared" si="18"/>
        <v>76.755</v>
      </c>
      <c r="M253" s="6">
        <f t="shared" si="19"/>
        <v>93.2025</v>
      </c>
    </row>
    <row r="254" spans="1:13">
      <c r="A254" t="s">
        <v>13</v>
      </c>
      <c r="B254" t="s">
        <v>498</v>
      </c>
      <c r="C254" t="s">
        <v>499</v>
      </c>
      <c r="D254" t="s">
        <v>499</v>
      </c>
      <c r="E254" t="s">
        <v>499</v>
      </c>
      <c r="F254" t="s">
        <v>499</v>
      </c>
      <c r="G254" s="6">
        <v>112.1</v>
      </c>
      <c r="H254" s="6"/>
      <c r="I254" s="6">
        <f t="shared" si="15"/>
        <v>52.687</v>
      </c>
      <c r="J254" s="6">
        <f t="shared" si="16"/>
        <v>56.05</v>
      </c>
      <c r="K254" s="6">
        <f t="shared" si="17"/>
        <v>61.655</v>
      </c>
      <c r="L254" s="6">
        <f t="shared" si="18"/>
        <v>78.47</v>
      </c>
      <c r="M254" s="6">
        <f t="shared" si="19"/>
        <v>95.285</v>
      </c>
    </row>
    <row r="255" spans="1:13">
      <c r="A255" t="s">
        <v>13</v>
      </c>
      <c r="B255" t="s">
        <v>500</v>
      </c>
      <c r="C255" t="s">
        <v>501</v>
      </c>
      <c r="D255" t="s">
        <v>501</v>
      </c>
      <c r="E255" t="s">
        <v>501</v>
      </c>
      <c r="F255" t="s">
        <v>501</v>
      </c>
      <c r="G255" s="6">
        <v>110.16</v>
      </c>
      <c r="H255" s="6"/>
      <c r="I255" s="6">
        <f t="shared" si="15"/>
        <v>51.7752</v>
      </c>
      <c r="J255" s="6">
        <f t="shared" si="16"/>
        <v>55.08</v>
      </c>
      <c r="K255" s="6">
        <f t="shared" si="17"/>
        <v>60.588</v>
      </c>
      <c r="L255" s="6">
        <f t="shared" si="18"/>
        <v>77.112</v>
      </c>
      <c r="M255" s="6">
        <f t="shared" si="19"/>
        <v>93.636</v>
      </c>
    </row>
    <row r="256" spans="1:13">
      <c r="A256" t="s">
        <v>13</v>
      </c>
      <c r="B256" t="s">
        <v>502</v>
      </c>
      <c r="C256" t="s">
        <v>503</v>
      </c>
      <c r="D256" t="s">
        <v>503</v>
      </c>
      <c r="E256" t="s">
        <v>503</v>
      </c>
      <c r="F256" t="s">
        <v>503</v>
      </c>
      <c r="G256" s="6">
        <v>107.51</v>
      </c>
      <c r="H256" s="6"/>
      <c r="I256" s="6">
        <f t="shared" si="15"/>
        <v>50.5297</v>
      </c>
      <c r="J256" s="6">
        <f t="shared" si="16"/>
        <v>53.755</v>
      </c>
      <c r="K256" s="6">
        <f t="shared" si="17"/>
        <v>59.1305</v>
      </c>
      <c r="L256" s="6">
        <f t="shared" si="18"/>
        <v>75.257</v>
      </c>
      <c r="M256" s="6">
        <f t="shared" si="19"/>
        <v>91.3835</v>
      </c>
    </row>
    <row r="257" spans="1:13">
      <c r="A257" t="s">
        <v>13</v>
      </c>
      <c r="B257" t="s">
        <v>504</v>
      </c>
      <c r="C257" t="s">
        <v>505</v>
      </c>
      <c r="D257" t="s">
        <v>505</v>
      </c>
      <c r="E257" t="s">
        <v>505</v>
      </c>
      <c r="F257" t="s">
        <v>505</v>
      </c>
      <c r="G257" s="6">
        <v>176.46</v>
      </c>
      <c r="H257" s="6"/>
      <c r="I257" s="6">
        <f t="shared" si="15"/>
        <v>82.9362</v>
      </c>
      <c r="J257" s="6">
        <f t="shared" si="16"/>
        <v>88.23</v>
      </c>
      <c r="K257" s="6">
        <f t="shared" si="17"/>
        <v>97.053</v>
      </c>
      <c r="L257" s="6">
        <f t="shared" si="18"/>
        <v>123.522</v>
      </c>
      <c r="M257" s="6">
        <f t="shared" si="19"/>
        <v>149.991</v>
      </c>
    </row>
    <row r="258" spans="1:13">
      <c r="A258" t="s">
        <v>13</v>
      </c>
      <c r="B258" t="s">
        <v>506</v>
      </c>
      <c r="C258" t="s">
        <v>507</v>
      </c>
      <c r="D258" t="s">
        <v>507</v>
      </c>
      <c r="E258" t="s">
        <v>507</v>
      </c>
      <c r="F258" t="s">
        <v>507</v>
      </c>
      <c r="G258" s="6">
        <v>181.25</v>
      </c>
      <c r="H258" s="6"/>
      <c r="I258" s="6">
        <f t="shared" si="15"/>
        <v>85.1875</v>
      </c>
      <c r="J258" s="6">
        <f t="shared" si="16"/>
        <v>90.625</v>
      </c>
      <c r="K258" s="6">
        <f t="shared" si="17"/>
        <v>99.6875</v>
      </c>
      <c r="L258" s="6">
        <f t="shared" si="18"/>
        <v>126.875</v>
      </c>
      <c r="M258" s="6">
        <f t="shared" si="19"/>
        <v>154.0625</v>
      </c>
    </row>
    <row r="259" spans="1:13">
      <c r="A259" t="s">
        <v>13</v>
      </c>
      <c r="B259" t="s">
        <v>508</v>
      </c>
      <c r="C259" t="s">
        <v>509</v>
      </c>
      <c r="D259" t="s">
        <v>509</v>
      </c>
      <c r="E259" t="s">
        <v>509</v>
      </c>
      <c r="F259" t="s">
        <v>509</v>
      </c>
      <c r="G259" s="6">
        <v>195.43</v>
      </c>
      <c r="H259" s="6"/>
      <c r="I259" s="6">
        <f t="shared" ref="I259:I322" si="20">G259*0.47</f>
        <v>91.8521</v>
      </c>
      <c r="J259" s="6">
        <f t="shared" ref="J259:J322" si="21">G259*0.5</f>
        <v>97.715</v>
      </c>
      <c r="K259" s="6">
        <f t="shared" ref="K259:K322" si="22">G259*0.55</f>
        <v>107.4865</v>
      </c>
      <c r="L259" s="6">
        <f t="shared" ref="L259:L322" si="23">G259*0.7</f>
        <v>136.801</v>
      </c>
      <c r="M259" s="6">
        <f t="shared" ref="M259:M322" si="24">G259*0.85</f>
        <v>166.1155</v>
      </c>
    </row>
    <row r="260" spans="1:13">
      <c r="A260" t="s">
        <v>13</v>
      </c>
      <c r="B260" t="s">
        <v>510</v>
      </c>
      <c r="C260" t="s">
        <v>511</v>
      </c>
      <c r="D260" t="s">
        <v>511</v>
      </c>
      <c r="E260" t="s">
        <v>511</v>
      </c>
      <c r="F260" t="s">
        <v>511</v>
      </c>
      <c r="G260" s="6">
        <v>266.02</v>
      </c>
      <c r="H260" s="6"/>
      <c r="I260" s="6">
        <f t="shared" si="20"/>
        <v>125.0294</v>
      </c>
      <c r="J260" s="6">
        <f t="shared" si="21"/>
        <v>133.01</v>
      </c>
      <c r="K260" s="6">
        <f t="shared" si="22"/>
        <v>146.311</v>
      </c>
      <c r="L260" s="6">
        <f t="shared" si="23"/>
        <v>186.214</v>
      </c>
      <c r="M260" s="6">
        <f t="shared" si="24"/>
        <v>226.117</v>
      </c>
    </row>
    <row r="261" spans="1:13">
      <c r="A261" t="s">
        <v>13</v>
      </c>
      <c r="B261" t="s">
        <v>512</v>
      </c>
      <c r="C261" t="s">
        <v>513</v>
      </c>
      <c r="D261" t="s">
        <v>513</v>
      </c>
      <c r="E261" t="s">
        <v>513</v>
      </c>
      <c r="F261" t="s">
        <v>513</v>
      </c>
      <c r="G261" s="6">
        <v>322.01</v>
      </c>
      <c r="H261" s="6"/>
      <c r="I261" s="6">
        <f t="shared" si="20"/>
        <v>151.3447</v>
      </c>
      <c r="J261" s="6">
        <f t="shared" si="21"/>
        <v>161.005</v>
      </c>
      <c r="K261" s="6">
        <f t="shared" si="22"/>
        <v>177.1055</v>
      </c>
      <c r="L261" s="6">
        <f t="shared" si="23"/>
        <v>225.407</v>
      </c>
      <c r="M261" s="6">
        <f t="shared" si="24"/>
        <v>273.7085</v>
      </c>
    </row>
    <row r="262" spans="1:13">
      <c r="A262" t="s">
        <v>13</v>
      </c>
      <c r="B262" t="s">
        <v>514</v>
      </c>
      <c r="C262" t="s">
        <v>515</v>
      </c>
      <c r="D262" t="s">
        <v>515</v>
      </c>
      <c r="E262" t="s">
        <v>515</v>
      </c>
      <c r="F262" t="s">
        <v>515</v>
      </c>
      <c r="G262" s="6">
        <v>436.66</v>
      </c>
      <c r="H262" s="6"/>
      <c r="I262" s="6">
        <f t="shared" si="20"/>
        <v>205.2302</v>
      </c>
      <c r="J262" s="6">
        <f t="shared" si="21"/>
        <v>218.33</v>
      </c>
      <c r="K262" s="6">
        <f t="shared" si="22"/>
        <v>240.163</v>
      </c>
      <c r="L262" s="6">
        <f t="shared" si="23"/>
        <v>305.662</v>
      </c>
      <c r="M262" s="6">
        <f t="shared" si="24"/>
        <v>371.161</v>
      </c>
    </row>
    <row r="263" spans="1:13">
      <c r="A263" t="s">
        <v>13</v>
      </c>
      <c r="B263" t="s">
        <v>516</v>
      </c>
      <c r="C263" t="s">
        <v>517</v>
      </c>
      <c r="D263" t="s">
        <v>517</v>
      </c>
      <c r="E263" t="s">
        <v>517</v>
      </c>
      <c r="F263" t="s">
        <v>517</v>
      </c>
      <c r="G263" s="6">
        <v>79.97</v>
      </c>
      <c r="H263" s="6"/>
      <c r="I263" s="6">
        <f t="shared" si="20"/>
        <v>37.5859</v>
      </c>
      <c r="J263" s="6">
        <f t="shared" si="21"/>
        <v>39.985</v>
      </c>
      <c r="K263" s="6">
        <f t="shared" si="22"/>
        <v>43.9835</v>
      </c>
      <c r="L263" s="6">
        <f t="shared" si="23"/>
        <v>55.979</v>
      </c>
      <c r="M263" s="6">
        <f t="shared" si="24"/>
        <v>67.9745</v>
      </c>
    </row>
    <row r="264" spans="1:13">
      <c r="A264" t="s">
        <v>13</v>
      </c>
      <c r="B264" t="s">
        <v>518</v>
      </c>
      <c r="C264" t="s">
        <v>519</v>
      </c>
      <c r="D264" t="s">
        <v>519</v>
      </c>
      <c r="E264" t="s">
        <v>519</v>
      </c>
      <c r="F264" t="s">
        <v>519</v>
      </c>
      <c r="G264" s="6">
        <v>76.09</v>
      </c>
      <c r="H264" s="6"/>
      <c r="I264" s="6">
        <f t="shared" si="20"/>
        <v>35.7623</v>
      </c>
      <c r="J264" s="6">
        <f t="shared" si="21"/>
        <v>38.045</v>
      </c>
      <c r="K264" s="6">
        <f t="shared" si="22"/>
        <v>41.8495</v>
      </c>
      <c r="L264" s="6">
        <f t="shared" si="23"/>
        <v>53.263</v>
      </c>
      <c r="M264" s="6">
        <f t="shared" si="24"/>
        <v>64.6765</v>
      </c>
    </row>
    <row r="265" spans="1:13">
      <c r="A265" t="s">
        <v>13</v>
      </c>
      <c r="B265" t="s">
        <v>520</v>
      </c>
      <c r="C265" t="s">
        <v>521</v>
      </c>
      <c r="D265" t="s">
        <v>521</v>
      </c>
      <c r="E265" t="s">
        <v>521</v>
      </c>
      <c r="F265" t="s">
        <v>521</v>
      </c>
      <c r="G265" s="6">
        <v>105.67</v>
      </c>
      <c r="H265" s="6"/>
      <c r="I265" s="6">
        <f t="shared" si="20"/>
        <v>49.6649</v>
      </c>
      <c r="J265" s="6">
        <f t="shared" si="21"/>
        <v>52.835</v>
      </c>
      <c r="K265" s="6">
        <f t="shared" si="22"/>
        <v>58.1185</v>
      </c>
      <c r="L265" s="6">
        <f t="shared" si="23"/>
        <v>73.969</v>
      </c>
      <c r="M265" s="6">
        <f t="shared" si="24"/>
        <v>89.8195</v>
      </c>
    </row>
    <row r="266" spans="1:13">
      <c r="A266" t="s">
        <v>13</v>
      </c>
      <c r="B266" t="s">
        <v>522</v>
      </c>
      <c r="C266" t="s">
        <v>523</v>
      </c>
      <c r="D266" t="s">
        <v>523</v>
      </c>
      <c r="E266" t="s">
        <v>523</v>
      </c>
      <c r="F266" t="s">
        <v>523</v>
      </c>
      <c r="G266" s="6">
        <v>87.62</v>
      </c>
      <c r="H266" s="6"/>
      <c r="I266" s="6">
        <f t="shared" si="20"/>
        <v>41.1814</v>
      </c>
      <c r="J266" s="6">
        <f t="shared" si="21"/>
        <v>43.81</v>
      </c>
      <c r="K266" s="6">
        <f t="shared" si="22"/>
        <v>48.191</v>
      </c>
      <c r="L266" s="6">
        <f t="shared" si="23"/>
        <v>61.334</v>
      </c>
      <c r="M266" s="6">
        <f t="shared" si="24"/>
        <v>74.477</v>
      </c>
    </row>
    <row r="267" spans="1:13">
      <c r="A267" t="s">
        <v>13</v>
      </c>
      <c r="B267" t="s">
        <v>524</v>
      </c>
      <c r="C267" t="s">
        <v>525</v>
      </c>
      <c r="D267" t="s">
        <v>525</v>
      </c>
      <c r="E267" t="s">
        <v>525</v>
      </c>
      <c r="F267" t="s">
        <v>525</v>
      </c>
      <c r="G267" s="6">
        <v>81.09</v>
      </c>
      <c r="H267" s="6"/>
      <c r="I267" s="6">
        <f t="shared" si="20"/>
        <v>38.1123</v>
      </c>
      <c r="J267" s="6">
        <f t="shared" si="21"/>
        <v>40.545</v>
      </c>
      <c r="K267" s="6">
        <f t="shared" si="22"/>
        <v>44.5995</v>
      </c>
      <c r="L267" s="6">
        <f t="shared" si="23"/>
        <v>56.763</v>
      </c>
      <c r="M267" s="6">
        <f t="shared" si="24"/>
        <v>68.9265</v>
      </c>
    </row>
    <row r="268" spans="1:13">
      <c r="A268" t="s">
        <v>13</v>
      </c>
      <c r="B268" t="s">
        <v>526</v>
      </c>
      <c r="C268" t="s">
        <v>527</v>
      </c>
      <c r="D268" t="s">
        <v>527</v>
      </c>
      <c r="E268" t="s">
        <v>527</v>
      </c>
      <c r="F268" t="s">
        <v>527</v>
      </c>
      <c r="G268" s="6">
        <v>79.97</v>
      </c>
      <c r="H268" s="6"/>
      <c r="I268" s="6">
        <f t="shared" si="20"/>
        <v>37.5859</v>
      </c>
      <c r="J268" s="6">
        <f t="shared" si="21"/>
        <v>39.985</v>
      </c>
      <c r="K268" s="6">
        <f t="shared" si="22"/>
        <v>43.9835</v>
      </c>
      <c r="L268" s="6">
        <f t="shared" si="23"/>
        <v>55.979</v>
      </c>
      <c r="M268" s="6">
        <f t="shared" si="24"/>
        <v>67.9745</v>
      </c>
    </row>
    <row r="269" spans="1:13">
      <c r="A269" t="s">
        <v>13</v>
      </c>
      <c r="B269">
        <v>2021</v>
      </c>
      <c r="C269" t="s">
        <v>528</v>
      </c>
      <c r="D269" t="s">
        <v>528</v>
      </c>
      <c r="E269" t="s">
        <v>528</v>
      </c>
      <c r="F269" t="s">
        <v>528</v>
      </c>
      <c r="G269" s="6">
        <v>91.9</v>
      </c>
      <c r="H269" s="6"/>
      <c r="I269" s="6">
        <f t="shared" si="20"/>
        <v>43.193</v>
      </c>
      <c r="J269" s="6">
        <f t="shared" si="21"/>
        <v>45.95</v>
      </c>
      <c r="K269" s="6">
        <f t="shared" si="22"/>
        <v>50.545</v>
      </c>
      <c r="L269" s="6">
        <f t="shared" si="23"/>
        <v>64.33</v>
      </c>
      <c r="M269" s="6">
        <f t="shared" si="24"/>
        <v>78.115</v>
      </c>
    </row>
    <row r="270" spans="1:13">
      <c r="A270" t="s">
        <v>13</v>
      </c>
      <c r="B270" t="s">
        <v>529</v>
      </c>
      <c r="C270" t="s">
        <v>530</v>
      </c>
      <c r="D270" t="s">
        <v>530</v>
      </c>
      <c r="E270" t="s">
        <v>530</v>
      </c>
      <c r="F270" t="s">
        <v>530</v>
      </c>
      <c r="G270" s="6">
        <v>86.39</v>
      </c>
      <c r="H270" s="6"/>
      <c r="I270" s="6">
        <f t="shared" si="20"/>
        <v>40.6033</v>
      </c>
      <c r="J270" s="6">
        <f t="shared" si="21"/>
        <v>43.195</v>
      </c>
      <c r="K270" s="6">
        <f t="shared" si="22"/>
        <v>47.5145</v>
      </c>
      <c r="L270" s="6">
        <f t="shared" si="23"/>
        <v>60.473</v>
      </c>
      <c r="M270" s="6">
        <f t="shared" si="24"/>
        <v>73.4315</v>
      </c>
    </row>
    <row r="271" spans="1:13">
      <c r="A271" t="s">
        <v>13</v>
      </c>
      <c r="B271" t="s">
        <v>531</v>
      </c>
      <c r="C271" t="s">
        <v>532</v>
      </c>
      <c r="D271" t="s">
        <v>532</v>
      </c>
      <c r="E271" t="s">
        <v>532</v>
      </c>
      <c r="F271" t="s">
        <v>532</v>
      </c>
      <c r="G271" s="6">
        <v>116.08</v>
      </c>
      <c r="H271" s="6"/>
      <c r="I271" s="6">
        <f t="shared" si="20"/>
        <v>54.5576</v>
      </c>
      <c r="J271" s="6">
        <f t="shared" si="21"/>
        <v>58.04</v>
      </c>
      <c r="K271" s="6">
        <f t="shared" si="22"/>
        <v>63.844</v>
      </c>
      <c r="L271" s="6">
        <f t="shared" si="23"/>
        <v>81.256</v>
      </c>
      <c r="M271" s="6">
        <f t="shared" si="24"/>
        <v>98.668</v>
      </c>
    </row>
    <row r="272" spans="1:13">
      <c r="A272" t="s">
        <v>13</v>
      </c>
      <c r="B272" t="s">
        <v>533</v>
      </c>
      <c r="C272" t="s">
        <v>534</v>
      </c>
      <c r="D272" t="s">
        <v>534</v>
      </c>
      <c r="E272" t="s">
        <v>534</v>
      </c>
      <c r="F272" t="s">
        <v>534</v>
      </c>
      <c r="G272" s="6">
        <v>98.43</v>
      </c>
      <c r="H272" s="6"/>
      <c r="I272" s="6">
        <f t="shared" si="20"/>
        <v>46.2621</v>
      </c>
      <c r="J272" s="6">
        <f t="shared" si="21"/>
        <v>49.215</v>
      </c>
      <c r="K272" s="6">
        <f t="shared" si="22"/>
        <v>54.1365</v>
      </c>
      <c r="L272" s="6">
        <f t="shared" si="23"/>
        <v>68.901</v>
      </c>
      <c r="M272" s="6">
        <f t="shared" si="24"/>
        <v>83.6655</v>
      </c>
    </row>
    <row r="273" spans="1:13">
      <c r="A273" t="s">
        <v>13</v>
      </c>
      <c r="B273" t="s">
        <v>535</v>
      </c>
      <c r="C273" t="s">
        <v>530</v>
      </c>
      <c r="D273" t="s">
        <v>530</v>
      </c>
      <c r="E273" t="s">
        <v>530</v>
      </c>
      <c r="F273" t="s">
        <v>530</v>
      </c>
      <c r="G273" s="6">
        <v>91.8</v>
      </c>
      <c r="H273" s="6"/>
      <c r="I273" s="6">
        <f t="shared" si="20"/>
        <v>43.146</v>
      </c>
      <c r="J273" s="6">
        <f t="shared" si="21"/>
        <v>45.9</v>
      </c>
      <c r="K273" s="6">
        <f t="shared" si="22"/>
        <v>50.49</v>
      </c>
      <c r="L273" s="6">
        <f t="shared" si="23"/>
        <v>64.26</v>
      </c>
      <c r="M273" s="6">
        <f t="shared" si="24"/>
        <v>78.03</v>
      </c>
    </row>
    <row r="274" spans="1:13">
      <c r="A274" t="s">
        <v>13</v>
      </c>
      <c r="B274" t="s">
        <v>536</v>
      </c>
      <c r="C274" t="s">
        <v>537</v>
      </c>
      <c r="D274" t="s">
        <v>537</v>
      </c>
      <c r="E274" t="s">
        <v>537</v>
      </c>
      <c r="F274" t="s">
        <v>537</v>
      </c>
      <c r="G274" s="6">
        <v>118.93</v>
      </c>
      <c r="H274" s="6"/>
      <c r="I274" s="6">
        <f t="shared" si="20"/>
        <v>55.8971</v>
      </c>
      <c r="J274" s="6">
        <f t="shared" si="21"/>
        <v>59.465</v>
      </c>
      <c r="K274" s="6">
        <f t="shared" si="22"/>
        <v>65.4115</v>
      </c>
      <c r="L274" s="6">
        <f t="shared" si="23"/>
        <v>83.251</v>
      </c>
      <c r="M274" s="6">
        <f t="shared" si="24"/>
        <v>101.0905</v>
      </c>
    </row>
    <row r="275" spans="1:13">
      <c r="A275" t="s">
        <v>13</v>
      </c>
      <c r="B275" t="s">
        <v>538</v>
      </c>
      <c r="C275" t="s">
        <v>539</v>
      </c>
      <c r="D275" t="s">
        <v>539</v>
      </c>
      <c r="E275" t="s">
        <v>539</v>
      </c>
      <c r="F275" t="s">
        <v>539</v>
      </c>
      <c r="G275" s="6">
        <v>112.3</v>
      </c>
      <c r="H275" s="6"/>
      <c r="I275" s="6">
        <f t="shared" si="20"/>
        <v>52.781</v>
      </c>
      <c r="J275" s="6">
        <f t="shared" si="21"/>
        <v>56.15</v>
      </c>
      <c r="K275" s="6">
        <f t="shared" si="22"/>
        <v>61.765</v>
      </c>
      <c r="L275" s="6">
        <f t="shared" si="23"/>
        <v>78.61</v>
      </c>
      <c r="M275" s="6">
        <f t="shared" si="24"/>
        <v>95.455</v>
      </c>
    </row>
    <row r="276" spans="1:13">
      <c r="A276" t="s">
        <v>13</v>
      </c>
      <c r="B276" t="s">
        <v>540</v>
      </c>
      <c r="C276" t="s">
        <v>541</v>
      </c>
      <c r="D276" t="s">
        <v>541</v>
      </c>
      <c r="E276" t="s">
        <v>541</v>
      </c>
      <c r="F276" t="s">
        <v>541</v>
      </c>
      <c r="G276" s="6">
        <v>179.52</v>
      </c>
      <c r="H276" s="6"/>
      <c r="I276" s="6">
        <f t="shared" si="20"/>
        <v>84.3744</v>
      </c>
      <c r="J276" s="6">
        <f t="shared" si="21"/>
        <v>89.76</v>
      </c>
      <c r="K276" s="6">
        <f t="shared" si="22"/>
        <v>98.736</v>
      </c>
      <c r="L276" s="6">
        <f t="shared" si="23"/>
        <v>125.664</v>
      </c>
      <c r="M276" s="6">
        <f t="shared" si="24"/>
        <v>152.592</v>
      </c>
    </row>
    <row r="277" spans="1:13">
      <c r="A277" t="s">
        <v>13</v>
      </c>
      <c r="B277" t="s">
        <v>542</v>
      </c>
      <c r="C277" t="s">
        <v>543</v>
      </c>
      <c r="D277" t="s">
        <v>543</v>
      </c>
      <c r="E277" t="s">
        <v>543</v>
      </c>
      <c r="F277" t="s">
        <v>543</v>
      </c>
      <c r="G277" s="6">
        <v>175.64</v>
      </c>
      <c r="H277" s="6"/>
      <c r="I277" s="6">
        <f t="shared" si="20"/>
        <v>82.5508</v>
      </c>
      <c r="J277" s="6">
        <f t="shared" si="21"/>
        <v>87.82</v>
      </c>
      <c r="K277" s="6">
        <f t="shared" si="22"/>
        <v>96.602</v>
      </c>
      <c r="L277" s="6">
        <f t="shared" si="23"/>
        <v>122.948</v>
      </c>
      <c r="M277" s="6">
        <f t="shared" si="24"/>
        <v>149.294</v>
      </c>
    </row>
    <row r="278" spans="1:13">
      <c r="A278" t="s">
        <v>13</v>
      </c>
      <c r="B278" t="s">
        <v>544</v>
      </c>
      <c r="C278" t="s">
        <v>545</v>
      </c>
      <c r="D278" t="s">
        <v>545</v>
      </c>
      <c r="E278" t="s">
        <v>545</v>
      </c>
      <c r="F278" t="s">
        <v>545</v>
      </c>
      <c r="G278" s="6">
        <v>204</v>
      </c>
      <c r="H278" s="6"/>
      <c r="I278" s="6">
        <f t="shared" si="20"/>
        <v>95.88</v>
      </c>
      <c r="J278" s="6">
        <f t="shared" si="21"/>
        <v>102</v>
      </c>
      <c r="K278" s="6">
        <f t="shared" si="22"/>
        <v>112.2</v>
      </c>
      <c r="L278" s="6">
        <f t="shared" si="23"/>
        <v>142.8</v>
      </c>
      <c r="M278" s="6">
        <f t="shared" si="24"/>
        <v>173.4</v>
      </c>
    </row>
    <row r="279" spans="1:13">
      <c r="A279" t="s">
        <v>13</v>
      </c>
      <c r="B279" t="s">
        <v>546</v>
      </c>
      <c r="C279" t="s">
        <v>547</v>
      </c>
      <c r="D279" t="s">
        <v>547</v>
      </c>
      <c r="E279" t="s">
        <v>547</v>
      </c>
      <c r="F279" t="s">
        <v>547</v>
      </c>
      <c r="G279" s="6">
        <v>204</v>
      </c>
      <c r="H279" s="6"/>
      <c r="I279" s="6">
        <f t="shared" si="20"/>
        <v>95.88</v>
      </c>
      <c r="J279" s="6">
        <f t="shared" si="21"/>
        <v>102</v>
      </c>
      <c r="K279" s="6">
        <f t="shared" si="22"/>
        <v>112.2</v>
      </c>
      <c r="L279" s="6">
        <f t="shared" si="23"/>
        <v>142.8</v>
      </c>
      <c r="M279" s="6">
        <f t="shared" si="24"/>
        <v>173.4</v>
      </c>
    </row>
    <row r="280" spans="1:13">
      <c r="A280" t="s">
        <v>13</v>
      </c>
      <c r="B280" t="s">
        <v>548</v>
      </c>
      <c r="C280" t="s">
        <v>549</v>
      </c>
      <c r="D280" t="s">
        <v>549</v>
      </c>
      <c r="E280" t="s">
        <v>549</v>
      </c>
      <c r="F280" t="s">
        <v>549</v>
      </c>
      <c r="G280" s="6">
        <v>192.78</v>
      </c>
      <c r="H280" s="6"/>
      <c r="I280" s="6">
        <f t="shared" si="20"/>
        <v>90.6066</v>
      </c>
      <c r="J280" s="6">
        <f t="shared" si="21"/>
        <v>96.39</v>
      </c>
      <c r="K280" s="6">
        <f t="shared" si="22"/>
        <v>106.029</v>
      </c>
      <c r="L280" s="6">
        <f t="shared" si="23"/>
        <v>134.946</v>
      </c>
      <c r="M280" s="6">
        <f t="shared" si="24"/>
        <v>163.863</v>
      </c>
    </row>
    <row r="281" spans="1:13">
      <c r="A281" t="s">
        <v>13</v>
      </c>
      <c r="B281" t="s">
        <v>550</v>
      </c>
      <c r="C281" t="s">
        <v>551</v>
      </c>
      <c r="D281" t="s">
        <v>551</v>
      </c>
      <c r="E281" t="s">
        <v>551</v>
      </c>
      <c r="F281" t="s">
        <v>551</v>
      </c>
      <c r="G281" s="6">
        <v>188.6</v>
      </c>
      <c r="H281" s="6"/>
      <c r="I281" s="6">
        <f t="shared" si="20"/>
        <v>88.642</v>
      </c>
      <c r="J281" s="6">
        <f t="shared" si="21"/>
        <v>94.3</v>
      </c>
      <c r="K281" s="6">
        <f t="shared" si="22"/>
        <v>103.73</v>
      </c>
      <c r="L281" s="6">
        <f t="shared" si="23"/>
        <v>132.02</v>
      </c>
      <c r="M281" s="6">
        <f t="shared" si="24"/>
        <v>160.31</v>
      </c>
    </row>
    <row r="282" spans="1:13">
      <c r="A282" t="s">
        <v>13</v>
      </c>
      <c r="B282" t="s">
        <v>552</v>
      </c>
      <c r="C282" t="s">
        <v>553</v>
      </c>
      <c r="D282" t="s">
        <v>553</v>
      </c>
      <c r="E282" t="s">
        <v>553</v>
      </c>
      <c r="F282" t="s">
        <v>553</v>
      </c>
      <c r="G282" s="6">
        <v>209.3</v>
      </c>
      <c r="H282" s="6"/>
      <c r="I282" s="6">
        <f t="shared" si="20"/>
        <v>98.371</v>
      </c>
      <c r="J282" s="6">
        <f t="shared" si="21"/>
        <v>104.65</v>
      </c>
      <c r="K282" s="6">
        <f t="shared" si="22"/>
        <v>115.115</v>
      </c>
      <c r="L282" s="6">
        <f t="shared" si="23"/>
        <v>146.51</v>
      </c>
      <c r="M282" s="6">
        <f t="shared" si="24"/>
        <v>177.905</v>
      </c>
    </row>
    <row r="283" spans="1:13">
      <c r="A283" t="s">
        <v>13</v>
      </c>
      <c r="B283" t="s">
        <v>554</v>
      </c>
      <c r="C283" t="s">
        <v>555</v>
      </c>
      <c r="D283" t="s">
        <v>555</v>
      </c>
      <c r="E283" t="s">
        <v>555</v>
      </c>
      <c r="F283" t="s">
        <v>555</v>
      </c>
      <c r="G283" s="6">
        <v>205.02</v>
      </c>
      <c r="H283" s="6"/>
      <c r="I283" s="6">
        <f t="shared" si="20"/>
        <v>96.3594</v>
      </c>
      <c r="J283" s="6">
        <f t="shared" si="21"/>
        <v>102.51</v>
      </c>
      <c r="K283" s="6">
        <f t="shared" si="22"/>
        <v>112.761</v>
      </c>
      <c r="L283" s="6">
        <f t="shared" si="23"/>
        <v>143.514</v>
      </c>
      <c r="M283" s="6">
        <f t="shared" si="24"/>
        <v>174.267</v>
      </c>
    </row>
    <row r="284" spans="1:13">
      <c r="A284" t="s">
        <v>13</v>
      </c>
      <c r="B284" t="s">
        <v>556</v>
      </c>
      <c r="C284" t="s">
        <v>557</v>
      </c>
      <c r="D284" t="s">
        <v>557</v>
      </c>
      <c r="E284" t="s">
        <v>557</v>
      </c>
      <c r="F284" t="s">
        <v>557</v>
      </c>
      <c r="G284" s="6">
        <v>233.78</v>
      </c>
      <c r="H284" s="6"/>
      <c r="I284" s="6">
        <f t="shared" si="20"/>
        <v>109.8766</v>
      </c>
      <c r="J284" s="6">
        <f t="shared" si="21"/>
        <v>116.89</v>
      </c>
      <c r="K284" s="6">
        <f t="shared" si="22"/>
        <v>128.579</v>
      </c>
      <c r="L284" s="6">
        <f t="shared" si="23"/>
        <v>163.646</v>
      </c>
      <c r="M284" s="6">
        <f t="shared" si="24"/>
        <v>198.713</v>
      </c>
    </row>
    <row r="285" spans="1:13">
      <c r="A285" t="s">
        <v>13</v>
      </c>
      <c r="B285" t="s">
        <v>558</v>
      </c>
      <c r="C285" t="s">
        <v>559</v>
      </c>
      <c r="D285" t="s">
        <v>559</v>
      </c>
      <c r="E285" t="s">
        <v>559</v>
      </c>
      <c r="F285" t="s">
        <v>559</v>
      </c>
      <c r="G285" s="6">
        <v>88.64</v>
      </c>
      <c r="H285" s="6"/>
      <c r="I285" s="6">
        <f t="shared" si="20"/>
        <v>41.6608</v>
      </c>
      <c r="J285" s="6">
        <f t="shared" si="21"/>
        <v>44.32</v>
      </c>
      <c r="K285" s="6">
        <f t="shared" si="22"/>
        <v>48.752</v>
      </c>
      <c r="L285" s="6">
        <f t="shared" si="23"/>
        <v>62.048</v>
      </c>
      <c r="M285" s="6">
        <f t="shared" si="24"/>
        <v>75.344</v>
      </c>
    </row>
    <row r="286" spans="1:13">
      <c r="A286" t="s">
        <v>13</v>
      </c>
      <c r="B286" t="s">
        <v>560</v>
      </c>
      <c r="C286" t="s">
        <v>561</v>
      </c>
      <c r="D286" t="s">
        <v>561</v>
      </c>
      <c r="E286" t="s">
        <v>561</v>
      </c>
      <c r="F286" t="s">
        <v>561</v>
      </c>
      <c r="G286" s="6">
        <v>96.29</v>
      </c>
      <c r="H286" s="6"/>
      <c r="I286" s="6">
        <f t="shared" si="20"/>
        <v>45.2563</v>
      </c>
      <c r="J286" s="6">
        <f t="shared" si="21"/>
        <v>48.145</v>
      </c>
      <c r="K286" s="6">
        <f t="shared" si="22"/>
        <v>52.9595</v>
      </c>
      <c r="L286" s="6">
        <f t="shared" si="23"/>
        <v>67.403</v>
      </c>
      <c r="M286" s="6">
        <f t="shared" si="24"/>
        <v>81.8465</v>
      </c>
    </row>
    <row r="287" spans="1:13">
      <c r="A287" t="s">
        <v>13</v>
      </c>
      <c r="B287" t="s">
        <v>562</v>
      </c>
      <c r="C287" t="s">
        <v>563</v>
      </c>
      <c r="D287" t="s">
        <v>563</v>
      </c>
      <c r="E287" t="s">
        <v>563</v>
      </c>
      <c r="F287" t="s">
        <v>563</v>
      </c>
      <c r="G287" s="6">
        <v>88.64</v>
      </c>
      <c r="H287" s="6"/>
      <c r="I287" s="6">
        <f t="shared" si="20"/>
        <v>41.6608</v>
      </c>
      <c r="J287" s="6">
        <f t="shared" si="21"/>
        <v>44.32</v>
      </c>
      <c r="K287" s="6">
        <f t="shared" si="22"/>
        <v>48.752</v>
      </c>
      <c r="L287" s="6">
        <f t="shared" si="23"/>
        <v>62.048</v>
      </c>
      <c r="M287" s="6">
        <f t="shared" si="24"/>
        <v>75.344</v>
      </c>
    </row>
    <row r="288" spans="1:13">
      <c r="A288" t="s">
        <v>13</v>
      </c>
      <c r="B288" t="s">
        <v>564</v>
      </c>
      <c r="C288" t="s">
        <v>565</v>
      </c>
      <c r="D288" t="s">
        <v>565</v>
      </c>
      <c r="E288" t="s">
        <v>565</v>
      </c>
      <c r="F288" t="s">
        <v>565</v>
      </c>
      <c r="G288" s="6">
        <v>100.57</v>
      </c>
      <c r="H288" s="6"/>
      <c r="I288" s="6">
        <f t="shared" si="20"/>
        <v>47.2679</v>
      </c>
      <c r="J288" s="6">
        <f t="shared" si="21"/>
        <v>50.285</v>
      </c>
      <c r="K288" s="6">
        <f t="shared" si="22"/>
        <v>55.3135</v>
      </c>
      <c r="L288" s="6">
        <f t="shared" si="23"/>
        <v>70.399</v>
      </c>
      <c r="M288" s="6">
        <f t="shared" si="24"/>
        <v>85.4845</v>
      </c>
    </row>
    <row r="289" spans="1:13">
      <c r="A289" t="s">
        <v>13</v>
      </c>
      <c r="B289" t="s">
        <v>566</v>
      </c>
      <c r="C289" t="s">
        <v>567</v>
      </c>
      <c r="D289" t="s">
        <v>567</v>
      </c>
      <c r="E289" t="s">
        <v>567</v>
      </c>
      <c r="F289" t="s">
        <v>567</v>
      </c>
      <c r="G289" s="6">
        <v>111.38</v>
      </c>
      <c r="H289" s="6"/>
      <c r="I289" s="6">
        <f t="shared" si="20"/>
        <v>52.3486</v>
      </c>
      <c r="J289" s="6">
        <f t="shared" si="21"/>
        <v>55.69</v>
      </c>
      <c r="K289" s="6">
        <f t="shared" si="22"/>
        <v>61.259</v>
      </c>
      <c r="L289" s="6">
        <f t="shared" si="23"/>
        <v>77.966</v>
      </c>
      <c r="M289" s="6">
        <f t="shared" si="24"/>
        <v>94.673</v>
      </c>
    </row>
    <row r="290" spans="1:13">
      <c r="A290" t="s">
        <v>13</v>
      </c>
      <c r="B290" t="s">
        <v>568</v>
      </c>
      <c r="C290" t="s">
        <v>569</v>
      </c>
      <c r="D290" t="s">
        <v>569</v>
      </c>
      <c r="E290" t="s">
        <v>569</v>
      </c>
      <c r="F290" t="s">
        <v>569</v>
      </c>
      <c r="G290" s="6">
        <v>125.46</v>
      </c>
      <c r="H290" s="6"/>
      <c r="I290" s="6">
        <f t="shared" si="20"/>
        <v>58.9662</v>
      </c>
      <c r="J290" s="6">
        <f t="shared" si="21"/>
        <v>62.73</v>
      </c>
      <c r="K290" s="6">
        <f t="shared" si="22"/>
        <v>69.003</v>
      </c>
      <c r="L290" s="6">
        <f t="shared" si="23"/>
        <v>87.822</v>
      </c>
      <c r="M290" s="6">
        <f t="shared" si="24"/>
        <v>106.641</v>
      </c>
    </row>
    <row r="291" spans="1:13">
      <c r="A291" t="s">
        <v>13</v>
      </c>
      <c r="B291" t="s">
        <v>570</v>
      </c>
      <c r="C291" t="s">
        <v>571</v>
      </c>
      <c r="D291" t="s">
        <v>571</v>
      </c>
      <c r="E291" t="s">
        <v>571</v>
      </c>
      <c r="F291" t="s">
        <v>571</v>
      </c>
      <c r="G291" s="6">
        <v>96.9</v>
      </c>
      <c r="H291" s="6"/>
      <c r="I291" s="6">
        <f t="shared" si="20"/>
        <v>45.543</v>
      </c>
      <c r="J291" s="6">
        <f t="shared" si="21"/>
        <v>48.45</v>
      </c>
      <c r="K291" s="6">
        <f t="shared" si="22"/>
        <v>53.295</v>
      </c>
      <c r="L291" s="6">
        <f t="shared" si="23"/>
        <v>67.83</v>
      </c>
      <c r="M291" s="6">
        <f t="shared" si="24"/>
        <v>82.365</v>
      </c>
    </row>
    <row r="292" spans="1:13">
      <c r="A292" t="s">
        <v>13</v>
      </c>
      <c r="B292" t="s">
        <v>572</v>
      </c>
      <c r="C292" t="s">
        <v>573</v>
      </c>
      <c r="D292" t="s">
        <v>573</v>
      </c>
      <c r="E292" t="s">
        <v>573</v>
      </c>
      <c r="F292" t="s">
        <v>573</v>
      </c>
      <c r="G292" s="6">
        <v>559.57</v>
      </c>
      <c r="H292" s="6"/>
      <c r="I292" s="6">
        <f t="shared" si="20"/>
        <v>262.9979</v>
      </c>
      <c r="J292" s="6">
        <f t="shared" si="21"/>
        <v>279.785</v>
      </c>
      <c r="K292" s="6">
        <f t="shared" si="22"/>
        <v>307.7635</v>
      </c>
      <c r="L292" s="6">
        <f t="shared" si="23"/>
        <v>391.699</v>
      </c>
      <c r="M292" s="6">
        <f t="shared" si="24"/>
        <v>475.6345</v>
      </c>
    </row>
    <row r="293" spans="1:13">
      <c r="A293" t="s">
        <v>13</v>
      </c>
      <c r="B293" t="s">
        <v>574</v>
      </c>
      <c r="C293" t="s">
        <v>575</v>
      </c>
      <c r="D293" t="s">
        <v>575</v>
      </c>
      <c r="E293" t="s">
        <v>575</v>
      </c>
      <c r="F293" t="s">
        <v>575</v>
      </c>
      <c r="G293" s="6">
        <v>590.38</v>
      </c>
      <c r="H293" s="6"/>
      <c r="I293" s="6">
        <f t="shared" si="20"/>
        <v>277.4786</v>
      </c>
      <c r="J293" s="6">
        <f t="shared" si="21"/>
        <v>295.19</v>
      </c>
      <c r="K293" s="6">
        <f t="shared" si="22"/>
        <v>324.709</v>
      </c>
      <c r="L293" s="6">
        <f t="shared" si="23"/>
        <v>413.266</v>
      </c>
      <c r="M293" s="6">
        <f t="shared" si="24"/>
        <v>501.823</v>
      </c>
    </row>
    <row r="294" spans="1:13">
      <c r="A294" t="s">
        <v>13</v>
      </c>
      <c r="B294" t="s">
        <v>576</v>
      </c>
      <c r="C294" t="s">
        <v>577</v>
      </c>
      <c r="D294" t="s">
        <v>577</v>
      </c>
      <c r="E294" t="s">
        <v>577</v>
      </c>
      <c r="F294" t="s">
        <v>577</v>
      </c>
      <c r="G294" s="6">
        <v>632.4</v>
      </c>
      <c r="H294" s="6"/>
      <c r="I294" s="6">
        <f t="shared" si="20"/>
        <v>297.228</v>
      </c>
      <c r="J294" s="6">
        <f t="shared" si="21"/>
        <v>316.2</v>
      </c>
      <c r="K294" s="6">
        <f t="shared" si="22"/>
        <v>347.82</v>
      </c>
      <c r="L294" s="6">
        <f t="shared" si="23"/>
        <v>442.68</v>
      </c>
      <c r="M294" s="6">
        <f t="shared" si="24"/>
        <v>537.54</v>
      </c>
    </row>
    <row r="295" spans="1:13">
      <c r="A295" t="s">
        <v>13</v>
      </c>
      <c r="B295" t="s">
        <v>578</v>
      </c>
      <c r="C295" t="s">
        <v>579</v>
      </c>
      <c r="D295" t="s">
        <v>579</v>
      </c>
      <c r="E295" t="s">
        <v>579</v>
      </c>
      <c r="F295" t="s">
        <v>579</v>
      </c>
      <c r="G295" s="6">
        <v>118.63</v>
      </c>
      <c r="H295" s="6"/>
      <c r="I295" s="6">
        <f t="shared" si="20"/>
        <v>55.7561</v>
      </c>
      <c r="J295" s="6">
        <f t="shared" si="21"/>
        <v>59.315</v>
      </c>
      <c r="K295" s="6">
        <f t="shared" si="22"/>
        <v>65.2465</v>
      </c>
      <c r="L295" s="6">
        <f t="shared" si="23"/>
        <v>83.041</v>
      </c>
      <c r="M295" s="6">
        <f t="shared" si="24"/>
        <v>100.8355</v>
      </c>
    </row>
    <row r="296" spans="1:13">
      <c r="A296" t="s">
        <v>13</v>
      </c>
      <c r="B296" t="s">
        <v>580</v>
      </c>
      <c r="C296" t="s">
        <v>581</v>
      </c>
      <c r="D296" t="s">
        <v>581</v>
      </c>
      <c r="E296" t="s">
        <v>581</v>
      </c>
      <c r="F296" t="s">
        <v>581</v>
      </c>
      <c r="G296" s="6">
        <v>118.63</v>
      </c>
      <c r="H296" s="6"/>
      <c r="I296" s="6">
        <f t="shared" si="20"/>
        <v>55.7561</v>
      </c>
      <c r="J296" s="6">
        <f t="shared" si="21"/>
        <v>59.315</v>
      </c>
      <c r="K296" s="6">
        <f t="shared" si="22"/>
        <v>65.2465</v>
      </c>
      <c r="L296" s="6">
        <f t="shared" si="23"/>
        <v>83.041</v>
      </c>
      <c r="M296" s="6">
        <f t="shared" si="24"/>
        <v>100.8355</v>
      </c>
    </row>
    <row r="297" spans="1:13">
      <c r="A297" t="s">
        <v>13</v>
      </c>
      <c r="B297" t="s">
        <v>582</v>
      </c>
      <c r="C297" t="s">
        <v>583</v>
      </c>
      <c r="D297" t="s">
        <v>583</v>
      </c>
      <c r="E297" t="s">
        <v>583</v>
      </c>
      <c r="F297" t="s">
        <v>583</v>
      </c>
      <c r="G297" s="6">
        <v>33.15</v>
      </c>
      <c r="H297" s="6"/>
      <c r="I297" s="6">
        <f t="shared" si="20"/>
        <v>15.5805</v>
      </c>
      <c r="J297" s="6">
        <f t="shared" si="21"/>
        <v>16.575</v>
      </c>
      <c r="K297" s="6">
        <f t="shared" si="22"/>
        <v>18.2325</v>
      </c>
      <c r="L297" s="6">
        <f t="shared" si="23"/>
        <v>23.205</v>
      </c>
      <c r="M297" s="6">
        <f t="shared" si="24"/>
        <v>28.1775</v>
      </c>
    </row>
    <row r="298" spans="1:13">
      <c r="A298" t="s">
        <v>13</v>
      </c>
      <c r="B298" t="s">
        <v>584</v>
      </c>
      <c r="C298" t="s">
        <v>585</v>
      </c>
      <c r="D298" t="s">
        <v>585</v>
      </c>
      <c r="E298" t="s">
        <v>585</v>
      </c>
      <c r="F298" t="s">
        <v>585</v>
      </c>
      <c r="G298" s="6">
        <v>33.76</v>
      </c>
      <c r="H298" s="6"/>
      <c r="I298" s="6">
        <f t="shared" si="20"/>
        <v>15.8672</v>
      </c>
      <c r="J298" s="6">
        <f t="shared" si="21"/>
        <v>16.88</v>
      </c>
      <c r="K298" s="6">
        <f t="shared" si="22"/>
        <v>18.568</v>
      </c>
      <c r="L298" s="6">
        <f t="shared" si="23"/>
        <v>23.632</v>
      </c>
      <c r="M298" s="6">
        <f t="shared" si="24"/>
        <v>28.696</v>
      </c>
    </row>
    <row r="299" spans="1:13">
      <c r="A299" t="s">
        <v>13</v>
      </c>
      <c r="B299" t="s">
        <v>586</v>
      </c>
      <c r="C299" t="s">
        <v>587</v>
      </c>
      <c r="D299" t="s">
        <v>587</v>
      </c>
      <c r="E299" t="s">
        <v>587</v>
      </c>
      <c r="F299" t="s">
        <v>587</v>
      </c>
      <c r="G299" s="6">
        <v>33.76</v>
      </c>
      <c r="H299" s="6"/>
      <c r="I299" s="6">
        <f t="shared" si="20"/>
        <v>15.8672</v>
      </c>
      <c r="J299" s="6">
        <f t="shared" si="21"/>
        <v>16.88</v>
      </c>
      <c r="K299" s="6">
        <f t="shared" si="22"/>
        <v>18.568</v>
      </c>
      <c r="L299" s="6">
        <f t="shared" si="23"/>
        <v>23.632</v>
      </c>
      <c r="M299" s="6">
        <f t="shared" si="24"/>
        <v>28.696</v>
      </c>
    </row>
    <row r="300" spans="1:13">
      <c r="A300" t="s">
        <v>13</v>
      </c>
      <c r="B300" t="s">
        <v>588</v>
      </c>
      <c r="C300" t="s">
        <v>589</v>
      </c>
      <c r="D300" t="s">
        <v>589</v>
      </c>
      <c r="E300" t="s">
        <v>589</v>
      </c>
      <c r="F300" t="s">
        <v>589</v>
      </c>
      <c r="G300" s="6">
        <v>33.15</v>
      </c>
      <c r="H300" s="6"/>
      <c r="I300" s="6">
        <f t="shared" si="20"/>
        <v>15.5805</v>
      </c>
      <c r="J300" s="6">
        <f t="shared" si="21"/>
        <v>16.575</v>
      </c>
      <c r="K300" s="6">
        <f t="shared" si="22"/>
        <v>18.2325</v>
      </c>
      <c r="L300" s="6">
        <f t="shared" si="23"/>
        <v>23.205</v>
      </c>
      <c r="M300" s="6">
        <f t="shared" si="24"/>
        <v>28.1775</v>
      </c>
    </row>
    <row r="301" spans="1:13">
      <c r="A301" t="s">
        <v>13</v>
      </c>
      <c r="B301" t="s">
        <v>590</v>
      </c>
      <c r="C301" t="s">
        <v>591</v>
      </c>
      <c r="D301" t="s">
        <v>591</v>
      </c>
      <c r="E301" t="s">
        <v>591</v>
      </c>
      <c r="F301" t="s">
        <v>591</v>
      </c>
      <c r="G301" s="6">
        <v>66.2</v>
      </c>
      <c r="H301" s="6"/>
      <c r="I301" s="6">
        <f t="shared" si="20"/>
        <v>31.114</v>
      </c>
      <c r="J301" s="6">
        <f t="shared" si="21"/>
        <v>33.1</v>
      </c>
      <c r="K301" s="6">
        <f t="shared" si="22"/>
        <v>36.41</v>
      </c>
      <c r="L301" s="6">
        <f t="shared" si="23"/>
        <v>46.34</v>
      </c>
      <c r="M301" s="6">
        <f t="shared" si="24"/>
        <v>56.27</v>
      </c>
    </row>
    <row r="302" spans="1:13">
      <c r="A302" t="s">
        <v>13</v>
      </c>
      <c r="B302" t="s">
        <v>592</v>
      </c>
      <c r="C302" t="s">
        <v>593</v>
      </c>
      <c r="D302" t="s">
        <v>593</v>
      </c>
      <c r="E302" t="s">
        <v>593</v>
      </c>
      <c r="F302" t="s">
        <v>593</v>
      </c>
      <c r="G302" s="6">
        <v>190.4</v>
      </c>
      <c r="H302" s="6"/>
      <c r="I302" s="6">
        <f t="shared" si="20"/>
        <v>89.488</v>
      </c>
      <c r="J302" s="6">
        <f t="shared" si="21"/>
        <v>95.2</v>
      </c>
      <c r="K302" s="6">
        <f t="shared" si="22"/>
        <v>104.72</v>
      </c>
      <c r="L302" s="6">
        <f t="shared" si="23"/>
        <v>133.28</v>
      </c>
      <c r="M302" s="6">
        <f t="shared" si="24"/>
        <v>161.84</v>
      </c>
    </row>
    <row r="303" spans="1:13">
      <c r="A303" t="s">
        <v>13</v>
      </c>
      <c r="B303" t="s">
        <v>594</v>
      </c>
      <c r="C303" t="s">
        <v>595</v>
      </c>
      <c r="D303" t="s">
        <v>595</v>
      </c>
      <c r="E303" t="s">
        <v>595</v>
      </c>
      <c r="F303" t="s">
        <v>595</v>
      </c>
      <c r="G303" s="6">
        <v>190.4</v>
      </c>
      <c r="H303" s="6"/>
      <c r="I303" s="6">
        <f t="shared" si="20"/>
        <v>89.488</v>
      </c>
      <c r="J303" s="6">
        <f t="shared" si="21"/>
        <v>95.2</v>
      </c>
      <c r="K303" s="6">
        <f t="shared" si="22"/>
        <v>104.72</v>
      </c>
      <c r="L303" s="6">
        <f t="shared" si="23"/>
        <v>133.28</v>
      </c>
      <c r="M303" s="6">
        <f t="shared" si="24"/>
        <v>161.84</v>
      </c>
    </row>
    <row r="304" spans="1:13">
      <c r="A304" t="s">
        <v>13</v>
      </c>
      <c r="B304" t="s">
        <v>596</v>
      </c>
      <c r="C304" t="s">
        <v>597</v>
      </c>
      <c r="D304" t="s">
        <v>597</v>
      </c>
      <c r="E304" t="s">
        <v>597</v>
      </c>
      <c r="F304" t="s">
        <v>597</v>
      </c>
      <c r="G304" s="6">
        <v>202.06</v>
      </c>
      <c r="H304" s="6"/>
      <c r="I304" s="6">
        <f t="shared" si="20"/>
        <v>94.9682</v>
      </c>
      <c r="J304" s="6">
        <f t="shared" si="21"/>
        <v>101.03</v>
      </c>
      <c r="K304" s="6">
        <f t="shared" si="22"/>
        <v>111.133</v>
      </c>
      <c r="L304" s="6">
        <f t="shared" si="23"/>
        <v>141.442</v>
      </c>
      <c r="M304" s="6">
        <f t="shared" si="24"/>
        <v>171.751</v>
      </c>
    </row>
    <row r="305" spans="1:13">
      <c r="A305" t="s">
        <v>13</v>
      </c>
      <c r="B305" t="s">
        <v>598</v>
      </c>
      <c r="C305" t="s">
        <v>599</v>
      </c>
      <c r="D305" t="s">
        <v>599</v>
      </c>
      <c r="E305" t="s">
        <v>599</v>
      </c>
      <c r="F305" t="s">
        <v>599</v>
      </c>
      <c r="G305" s="6">
        <v>202.78</v>
      </c>
      <c r="H305" s="6"/>
      <c r="I305" s="6">
        <f t="shared" si="20"/>
        <v>95.3066</v>
      </c>
      <c r="J305" s="6">
        <f t="shared" si="21"/>
        <v>101.39</v>
      </c>
      <c r="K305" s="6">
        <f t="shared" si="22"/>
        <v>111.529</v>
      </c>
      <c r="L305" s="6">
        <f t="shared" si="23"/>
        <v>141.946</v>
      </c>
      <c r="M305" s="6">
        <f t="shared" si="24"/>
        <v>172.363</v>
      </c>
    </row>
    <row r="306" spans="1:13">
      <c r="A306" t="s">
        <v>13</v>
      </c>
      <c r="B306" t="s">
        <v>600</v>
      </c>
      <c r="C306" t="s">
        <v>601</v>
      </c>
      <c r="D306" t="s">
        <v>601</v>
      </c>
      <c r="E306" t="s">
        <v>601</v>
      </c>
      <c r="F306" t="s">
        <v>601</v>
      </c>
      <c r="G306" s="6">
        <v>202.06</v>
      </c>
      <c r="H306" s="6"/>
      <c r="I306" s="6">
        <f t="shared" si="20"/>
        <v>94.9682</v>
      </c>
      <c r="J306" s="6">
        <f t="shared" si="21"/>
        <v>101.03</v>
      </c>
      <c r="K306" s="6">
        <f t="shared" si="22"/>
        <v>111.133</v>
      </c>
      <c r="L306" s="6">
        <f t="shared" si="23"/>
        <v>141.442</v>
      </c>
      <c r="M306" s="6">
        <f t="shared" si="24"/>
        <v>171.751</v>
      </c>
    </row>
    <row r="307" spans="1:13">
      <c r="A307" t="s">
        <v>13</v>
      </c>
      <c r="B307" t="s">
        <v>602</v>
      </c>
      <c r="C307" t="s">
        <v>603</v>
      </c>
      <c r="D307" t="s">
        <v>603</v>
      </c>
      <c r="E307" t="s">
        <v>603</v>
      </c>
      <c r="F307" t="s">
        <v>603</v>
      </c>
      <c r="G307" s="6">
        <v>215.02</v>
      </c>
      <c r="H307" s="6"/>
      <c r="I307" s="6">
        <f t="shared" si="20"/>
        <v>101.0594</v>
      </c>
      <c r="J307" s="6">
        <f t="shared" si="21"/>
        <v>107.51</v>
      </c>
      <c r="K307" s="6">
        <f t="shared" si="22"/>
        <v>118.261</v>
      </c>
      <c r="L307" s="6">
        <f t="shared" si="23"/>
        <v>150.514</v>
      </c>
      <c r="M307" s="6">
        <f t="shared" si="24"/>
        <v>182.767</v>
      </c>
    </row>
    <row r="308" spans="1:13">
      <c r="A308" t="s">
        <v>13</v>
      </c>
      <c r="B308" t="s">
        <v>604</v>
      </c>
      <c r="C308" t="s">
        <v>605</v>
      </c>
      <c r="D308" t="s">
        <v>605</v>
      </c>
      <c r="E308" t="s">
        <v>605</v>
      </c>
      <c r="F308" t="s">
        <v>605</v>
      </c>
      <c r="G308" s="6">
        <v>255.51</v>
      </c>
      <c r="H308" s="6"/>
      <c r="I308" s="6">
        <f t="shared" si="20"/>
        <v>120.0897</v>
      </c>
      <c r="J308" s="6">
        <f t="shared" si="21"/>
        <v>127.755</v>
      </c>
      <c r="K308" s="6">
        <f t="shared" si="22"/>
        <v>140.5305</v>
      </c>
      <c r="L308" s="6">
        <f t="shared" si="23"/>
        <v>178.857</v>
      </c>
      <c r="M308" s="6">
        <f t="shared" si="24"/>
        <v>217.1835</v>
      </c>
    </row>
    <row r="309" spans="1:13">
      <c r="A309" t="s">
        <v>13</v>
      </c>
      <c r="B309" t="s">
        <v>606</v>
      </c>
      <c r="C309" t="s">
        <v>607</v>
      </c>
      <c r="D309" t="s">
        <v>607</v>
      </c>
      <c r="E309" t="s">
        <v>607</v>
      </c>
      <c r="F309" t="s">
        <v>607</v>
      </c>
      <c r="G309" s="6">
        <v>255.51</v>
      </c>
      <c r="H309" s="6"/>
      <c r="I309" s="6">
        <f t="shared" si="20"/>
        <v>120.0897</v>
      </c>
      <c r="J309" s="6">
        <f t="shared" si="21"/>
        <v>127.755</v>
      </c>
      <c r="K309" s="6">
        <f t="shared" si="22"/>
        <v>140.5305</v>
      </c>
      <c r="L309" s="6">
        <f t="shared" si="23"/>
        <v>178.857</v>
      </c>
      <c r="M309" s="6">
        <f t="shared" si="24"/>
        <v>217.1835</v>
      </c>
    </row>
    <row r="310" spans="1:13">
      <c r="A310" t="s">
        <v>13</v>
      </c>
      <c r="B310" t="s">
        <v>608</v>
      </c>
      <c r="C310" t="s">
        <v>605</v>
      </c>
      <c r="D310" t="s">
        <v>605</v>
      </c>
      <c r="E310" t="s">
        <v>605</v>
      </c>
      <c r="F310" t="s">
        <v>605</v>
      </c>
      <c r="G310" s="6">
        <v>268.46</v>
      </c>
      <c r="H310" s="6"/>
      <c r="I310" s="6">
        <f t="shared" si="20"/>
        <v>126.1762</v>
      </c>
      <c r="J310" s="6">
        <f t="shared" si="21"/>
        <v>134.23</v>
      </c>
      <c r="K310" s="6">
        <f t="shared" si="22"/>
        <v>147.653</v>
      </c>
      <c r="L310" s="6">
        <f t="shared" si="23"/>
        <v>187.922</v>
      </c>
      <c r="M310" s="6">
        <f t="shared" si="24"/>
        <v>228.191</v>
      </c>
    </row>
    <row r="311" spans="1:13">
      <c r="A311" t="s">
        <v>13</v>
      </c>
      <c r="B311" t="s">
        <v>609</v>
      </c>
      <c r="C311" t="s">
        <v>607</v>
      </c>
      <c r="D311" t="s">
        <v>607</v>
      </c>
      <c r="E311" t="s">
        <v>607</v>
      </c>
      <c r="F311" t="s">
        <v>607</v>
      </c>
      <c r="G311" s="6">
        <v>268.46</v>
      </c>
      <c r="H311" s="6"/>
      <c r="I311" s="6">
        <f t="shared" si="20"/>
        <v>126.1762</v>
      </c>
      <c r="J311" s="6">
        <f t="shared" si="21"/>
        <v>134.23</v>
      </c>
      <c r="K311" s="6">
        <f t="shared" si="22"/>
        <v>147.653</v>
      </c>
      <c r="L311" s="6">
        <f t="shared" si="23"/>
        <v>187.922</v>
      </c>
      <c r="M311" s="6">
        <f t="shared" si="24"/>
        <v>228.191</v>
      </c>
    </row>
    <row r="312" spans="1:13">
      <c r="A312" t="s">
        <v>13</v>
      </c>
      <c r="B312" t="s">
        <v>610</v>
      </c>
      <c r="C312" t="s">
        <v>611</v>
      </c>
      <c r="D312" t="s">
        <v>611</v>
      </c>
      <c r="E312" t="s">
        <v>611</v>
      </c>
      <c r="F312" t="s">
        <v>611</v>
      </c>
      <c r="G312" s="6">
        <v>350.78</v>
      </c>
      <c r="H312" s="6"/>
      <c r="I312" s="6">
        <f t="shared" si="20"/>
        <v>164.8666</v>
      </c>
      <c r="J312" s="6">
        <f t="shared" si="21"/>
        <v>175.39</v>
      </c>
      <c r="K312" s="6">
        <f t="shared" si="22"/>
        <v>192.929</v>
      </c>
      <c r="L312" s="6">
        <f t="shared" si="23"/>
        <v>245.546</v>
      </c>
      <c r="M312" s="6">
        <f t="shared" si="24"/>
        <v>298.163</v>
      </c>
    </row>
    <row r="313" spans="1:13">
      <c r="A313" t="s">
        <v>13</v>
      </c>
      <c r="B313" t="s">
        <v>612</v>
      </c>
      <c r="C313" t="s">
        <v>613</v>
      </c>
      <c r="D313" t="s">
        <v>613</v>
      </c>
      <c r="E313" t="s">
        <v>613</v>
      </c>
      <c r="F313" t="s">
        <v>613</v>
      </c>
      <c r="G313" s="6">
        <v>440.13</v>
      </c>
      <c r="H313" s="6"/>
      <c r="I313" s="6">
        <f t="shared" si="20"/>
        <v>206.8611</v>
      </c>
      <c r="J313" s="6">
        <f t="shared" si="21"/>
        <v>220.065</v>
      </c>
      <c r="K313" s="6">
        <f t="shared" si="22"/>
        <v>242.0715</v>
      </c>
      <c r="L313" s="6">
        <f t="shared" si="23"/>
        <v>308.091</v>
      </c>
      <c r="M313" s="6">
        <f t="shared" si="24"/>
        <v>374.1105</v>
      </c>
    </row>
    <row r="314" spans="1:13">
      <c r="A314" t="s">
        <v>13</v>
      </c>
      <c r="B314" t="s">
        <v>614</v>
      </c>
      <c r="C314" t="s">
        <v>615</v>
      </c>
      <c r="D314" t="s">
        <v>615</v>
      </c>
      <c r="E314" t="s">
        <v>615</v>
      </c>
      <c r="F314" t="s">
        <v>615</v>
      </c>
      <c r="G314" s="6">
        <v>345.78</v>
      </c>
      <c r="H314" s="6"/>
      <c r="I314" s="6">
        <f t="shared" si="20"/>
        <v>162.5166</v>
      </c>
      <c r="J314" s="6">
        <f t="shared" si="21"/>
        <v>172.89</v>
      </c>
      <c r="K314" s="6">
        <f t="shared" si="22"/>
        <v>190.179</v>
      </c>
      <c r="L314" s="6">
        <f t="shared" si="23"/>
        <v>242.046</v>
      </c>
      <c r="M314" s="6">
        <f t="shared" si="24"/>
        <v>293.913</v>
      </c>
    </row>
    <row r="315" spans="1:13">
      <c r="A315" t="s">
        <v>13</v>
      </c>
      <c r="B315" t="s">
        <v>616</v>
      </c>
      <c r="C315" t="s">
        <v>617</v>
      </c>
      <c r="D315" t="s">
        <v>617</v>
      </c>
      <c r="E315" t="s">
        <v>617</v>
      </c>
      <c r="F315" t="s">
        <v>617</v>
      </c>
      <c r="G315" s="6">
        <v>342.62</v>
      </c>
      <c r="H315" s="6"/>
      <c r="I315" s="6">
        <f t="shared" si="20"/>
        <v>161.0314</v>
      </c>
      <c r="J315" s="6">
        <f t="shared" si="21"/>
        <v>171.31</v>
      </c>
      <c r="K315" s="6">
        <f t="shared" si="22"/>
        <v>188.441</v>
      </c>
      <c r="L315" s="6">
        <f t="shared" si="23"/>
        <v>239.834</v>
      </c>
      <c r="M315" s="6">
        <f t="shared" si="24"/>
        <v>291.227</v>
      </c>
    </row>
    <row r="316" spans="1:13">
      <c r="A316" t="s">
        <v>13</v>
      </c>
      <c r="B316" t="s">
        <v>618</v>
      </c>
      <c r="C316" t="s">
        <v>619</v>
      </c>
      <c r="D316" t="s">
        <v>619</v>
      </c>
      <c r="E316" t="s">
        <v>619</v>
      </c>
      <c r="F316" t="s">
        <v>619</v>
      </c>
      <c r="G316" s="6">
        <v>457.57</v>
      </c>
      <c r="H316" s="6"/>
      <c r="I316" s="6">
        <f t="shared" si="20"/>
        <v>215.0579</v>
      </c>
      <c r="J316" s="6">
        <f t="shared" si="21"/>
        <v>228.785</v>
      </c>
      <c r="K316" s="6">
        <f t="shared" si="22"/>
        <v>251.6635</v>
      </c>
      <c r="L316" s="6">
        <f t="shared" si="23"/>
        <v>320.299</v>
      </c>
      <c r="M316" s="6">
        <f t="shared" si="24"/>
        <v>388.9345</v>
      </c>
    </row>
    <row r="317" spans="1:13">
      <c r="A317" t="s">
        <v>13</v>
      </c>
      <c r="B317" t="s">
        <v>620</v>
      </c>
      <c r="C317" t="s">
        <v>619</v>
      </c>
      <c r="D317" t="s">
        <v>619</v>
      </c>
      <c r="E317" t="s">
        <v>619</v>
      </c>
      <c r="F317" t="s">
        <v>619</v>
      </c>
      <c r="G317" s="6">
        <v>516.02</v>
      </c>
      <c r="H317" s="6"/>
      <c r="I317" s="6">
        <f t="shared" si="20"/>
        <v>242.5294</v>
      </c>
      <c r="J317" s="6">
        <f t="shared" si="21"/>
        <v>258.01</v>
      </c>
      <c r="K317" s="6">
        <f t="shared" si="22"/>
        <v>283.811</v>
      </c>
      <c r="L317" s="6">
        <f t="shared" si="23"/>
        <v>361.214</v>
      </c>
      <c r="M317" s="6">
        <f t="shared" si="24"/>
        <v>438.617</v>
      </c>
    </row>
    <row r="318" spans="1:13">
      <c r="A318" t="s">
        <v>13</v>
      </c>
      <c r="B318" t="s">
        <v>621</v>
      </c>
      <c r="C318" t="s">
        <v>622</v>
      </c>
      <c r="D318" t="s">
        <v>622</v>
      </c>
      <c r="E318" t="s">
        <v>622</v>
      </c>
      <c r="F318" t="s">
        <v>622</v>
      </c>
      <c r="G318" s="6">
        <v>572.22</v>
      </c>
      <c r="H318" s="6"/>
      <c r="I318" s="6">
        <f t="shared" si="20"/>
        <v>268.9434</v>
      </c>
      <c r="J318" s="6">
        <f t="shared" si="21"/>
        <v>286.11</v>
      </c>
      <c r="K318" s="6">
        <f t="shared" si="22"/>
        <v>314.721</v>
      </c>
      <c r="L318" s="6">
        <f t="shared" si="23"/>
        <v>400.554</v>
      </c>
      <c r="M318" s="6">
        <f t="shared" si="24"/>
        <v>486.387</v>
      </c>
    </row>
    <row r="319" spans="1:13">
      <c r="A319" t="s">
        <v>13</v>
      </c>
      <c r="B319" t="s">
        <v>623</v>
      </c>
      <c r="C319" t="s">
        <v>624</v>
      </c>
      <c r="D319" t="s">
        <v>624</v>
      </c>
      <c r="E319" t="s">
        <v>624</v>
      </c>
      <c r="F319" t="s">
        <v>624</v>
      </c>
      <c r="G319" s="6">
        <v>595.99</v>
      </c>
      <c r="H319" s="6"/>
      <c r="I319" s="6">
        <f t="shared" si="20"/>
        <v>280.1153</v>
      </c>
      <c r="J319" s="6">
        <f t="shared" si="21"/>
        <v>297.995</v>
      </c>
      <c r="K319" s="6">
        <f t="shared" si="22"/>
        <v>327.7945</v>
      </c>
      <c r="L319" s="6">
        <f t="shared" si="23"/>
        <v>417.193</v>
      </c>
      <c r="M319" s="6">
        <f t="shared" si="24"/>
        <v>506.5915</v>
      </c>
    </row>
    <row r="320" spans="1:13">
      <c r="A320" t="s">
        <v>13</v>
      </c>
      <c r="B320" t="s">
        <v>625</v>
      </c>
      <c r="C320" t="s">
        <v>626</v>
      </c>
      <c r="D320" t="s">
        <v>626</v>
      </c>
      <c r="E320" t="s">
        <v>626</v>
      </c>
      <c r="F320" t="s">
        <v>626</v>
      </c>
      <c r="G320" s="6">
        <v>350.68</v>
      </c>
      <c r="H320" s="6"/>
      <c r="I320" s="6">
        <f t="shared" si="20"/>
        <v>164.8196</v>
      </c>
      <c r="J320" s="6">
        <f t="shared" si="21"/>
        <v>175.34</v>
      </c>
      <c r="K320" s="6">
        <f t="shared" si="22"/>
        <v>192.874</v>
      </c>
      <c r="L320" s="6">
        <f t="shared" si="23"/>
        <v>245.476</v>
      </c>
      <c r="M320" s="6">
        <f t="shared" si="24"/>
        <v>298.078</v>
      </c>
    </row>
    <row r="321" spans="1:13">
      <c r="A321" t="s">
        <v>13</v>
      </c>
      <c r="B321" t="s">
        <v>627</v>
      </c>
      <c r="C321" t="s">
        <v>628</v>
      </c>
      <c r="D321" t="s">
        <v>628</v>
      </c>
      <c r="E321" t="s">
        <v>628</v>
      </c>
      <c r="F321" t="s">
        <v>628</v>
      </c>
      <c r="G321" s="6">
        <v>963.49</v>
      </c>
      <c r="H321" s="6"/>
      <c r="I321" s="6">
        <f t="shared" si="20"/>
        <v>452.8403</v>
      </c>
      <c r="J321" s="6">
        <f t="shared" si="21"/>
        <v>481.745</v>
      </c>
      <c r="K321" s="6">
        <f t="shared" si="22"/>
        <v>529.9195</v>
      </c>
      <c r="L321" s="6">
        <f t="shared" si="23"/>
        <v>674.443</v>
      </c>
      <c r="M321" s="6">
        <f t="shared" si="24"/>
        <v>818.9665</v>
      </c>
    </row>
    <row r="322" spans="1:13">
      <c r="A322" t="s">
        <v>13</v>
      </c>
      <c r="B322" t="s">
        <v>629</v>
      </c>
      <c r="C322" t="s">
        <v>630</v>
      </c>
      <c r="D322" t="s">
        <v>630</v>
      </c>
      <c r="E322" t="s">
        <v>630</v>
      </c>
      <c r="F322" t="s">
        <v>630</v>
      </c>
      <c r="G322" s="6">
        <v>1025.41</v>
      </c>
      <c r="H322" s="6"/>
      <c r="I322" s="6">
        <f t="shared" si="20"/>
        <v>481.9427</v>
      </c>
      <c r="J322" s="6">
        <f t="shared" si="21"/>
        <v>512.705</v>
      </c>
      <c r="K322" s="6">
        <f t="shared" si="22"/>
        <v>563.9755</v>
      </c>
      <c r="L322" s="6">
        <f t="shared" si="23"/>
        <v>717.787</v>
      </c>
      <c r="M322" s="6">
        <f t="shared" si="24"/>
        <v>871.5985</v>
      </c>
    </row>
    <row r="323" spans="1:13">
      <c r="A323" t="s">
        <v>13</v>
      </c>
      <c r="B323" t="s">
        <v>631</v>
      </c>
      <c r="C323" t="s">
        <v>632</v>
      </c>
      <c r="D323" t="s">
        <v>632</v>
      </c>
      <c r="E323" t="s">
        <v>632</v>
      </c>
      <c r="F323" t="s">
        <v>632</v>
      </c>
      <c r="G323" s="6">
        <v>1037.34</v>
      </c>
      <c r="H323" s="6"/>
      <c r="I323" s="6">
        <f t="shared" ref="I323:I386" si="25">G323*0.47</f>
        <v>487.5498</v>
      </c>
      <c r="J323" s="6">
        <f t="shared" ref="J323:J386" si="26">G323*0.5</f>
        <v>518.67</v>
      </c>
      <c r="K323" s="6">
        <f t="shared" ref="K323:K386" si="27">G323*0.55</f>
        <v>570.537</v>
      </c>
      <c r="L323" s="6">
        <f t="shared" ref="L323:L386" si="28">G323*0.7</f>
        <v>726.138</v>
      </c>
      <c r="M323" s="6">
        <f t="shared" ref="M323:M386" si="29">G323*0.85</f>
        <v>881.739</v>
      </c>
    </row>
    <row r="324" spans="1:13">
      <c r="A324" t="s">
        <v>13</v>
      </c>
      <c r="B324" t="s">
        <v>633</v>
      </c>
      <c r="C324" t="s">
        <v>634</v>
      </c>
      <c r="D324" t="s">
        <v>634</v>
      </c>
      <c r="E324" t="s">
        <v>634</v>
      </c>
      <c r="F324" t="s">
        <v>634</v>
      </c>
      <c r="G324" s="6">
        <v>450.94</v>
      </c>
      <c r="H324" s="6"/>
      <c r="I324" s="6">
        <f t="shared" si="25"/>
        <v>211.9418</v>
      </c>
      <c r="J324" s="6">
        <f t="shared" si="26"/>
        <v>225.47</v>
      </c>
      <c r="K324" s="6">
        <f t="shared" si="27"/>
        <v>248.017</v>
      </c>
      <c r="L324" s="6">
        <f t="shared" si="28"/>
        <v>315.658</v>
      </c>
      <c r="M324" s="6">
        <f t="shared" si="29"/>
        <v>383.299</v>
      </c>
    </row>
    <row r="325" spans="1:13">
      <c r="A325" t="s">
        <v>13</v>
      </c>
      <c r="B325" t="s">
        <v>635</v>
      </c>
      <c r="C325" t="s">
        <v>636</v>
      </c>
      <c r="D325" t="s">
        <v>636</v>
      </c>
      <c r="E325" t="s">
        <v>636</v>
      </c>
      <c r="F325" t="s">
        <v>636</v>
      </c>
      <c r="G325" s="6">
        <v>655.76</v>
      </c>
      <c r="H325" s="6"/>
      <c r="I325" s="6">
        <f t="shared" si="25"/>
        <v>308.2072</v>
      </c>
      <c r="J325" s="6">
        <f t="shared" si="26"/>
        <v>327.88</v>
      </c>
      <c r="K325" s="6">
        <f t="shared" si="27"/>
        <v>360.668</v>
      </c>
      <c r="L325" s="6">
        <f t="shared" si="28"/>
        <v>459.032</v>
      </c>
      <c r="M325" s="6">
        <f t="shared" si="29"/>
        <v>557.396</v>
      </c>
    </row>
    <row r="326" spans="1:13">
      <c r="A326" t="s">
        <v>13</v>
      </c>
      <c r="B326" t="s">
        <v>637</v>
      </c>
      <c r="C326" t="s">
        <v>638</v>
      </c>
      <c r="D326" t="s">
        <v>638</v>
      </c>
      <c r="E326" t="s">
        <v>638</v>
      </c>
      <c r="F326" t="s">
        <v>638</v>
      </c>
      <c r="G326" s="6">
        <v>564.47</v>
      </c>
      <c r="H326" s="6"/>
      <c r="I326" s="6">
        <f t="shared" si="25"/>
        <v>265.3009</v>
      </c>
      <c r="J326" s="6">
        <f t="shared" si="26"/>
        <v>282.235</v>
      </c>
      <c r="K326" s="6">
        <f t="shared" si="27"/>
        <v>310.4585</v>
      </c>
      <c r="L326" s="6">
        <f t="shared" si="28"/>
        <v>395.129</v>
      </c>
      <c r="M326" s="6">
        <f t="shared" si="29"/>
        <v>479.7995</v>
      </c>
    </row>
    <row r="327" spans="1:13">
      <c r="A327" t="s">
        <v>13</v>
      </c>
      <c r="B327" t="s">
        <v>639</v>
      </c>
      <c r="C327" t="s">
        <v>640</v>
      </c>
      <c r="D327" t="s">
        <v>640</v>
      </c>
      <c r="E327" t="s">
        <v>640</v>
      </c>
      <c r="F327" t="s">
        <v>640</v>
      </c>
      <c r="G327" s="6">
        <v>441.15</v>
      </c>
      <c r="H327" s="6"/>
      <c r="I327" s="6">
        <f t="shared" si="25"/>
        <v>207.3405</v>
      </c>
      <c r="J327" s="6">
        <f t="shared" si="26"/>
        <v>220.575</v>
      </c>
      <c r="K327" s="6">
        <f t="shared" si="27"/>
        <v>242.6325</v>
      </c>
      <c r="L327" s="6">
        <f t="shared" si="28"/>
        <v>308.805</v>
      </c>
      <c r="M327" s="6">
        <f t="shared" si="29"/>
        <v>374.9775</v>
      </c>
    </row>
    <row r="328" spans="1:13">
      <c r="A328" t="s">
        <v>13</v>
      </c>
      <c r="B328" t="s">
        <v>641</v>
      </c>
      <c r="C328" t="s">
        <v>642</v>
      </c>
      <c r="D328" t="s">
        <v>642</v>
      </c>
      <c r="E328" t="s">
        <v>642</v>
      </c>
      <c r="F328" t="s">
        <v>642</v>
      </c>
      <c r="G328" s="6">
        <v>443.09</v>
      </c>
      <c r="H328" s="6"/>
      <c r="I328" s="6">
        <f t="shared" si="25"/>
        <v>208.2523</v>
      </c>
      <c r="J328" s="6">
        <f t="shared" si="26"/>
        <v>221.545</v>
      </c>
      <c r="K328" s="6">
        <f t="shared" si="27"/>
        <v>243.6995</v>
      </c>
      <c r="L328" s="6">
        <f t="shared" si="28"/>
        <v>310.163</v>
      </c>
      <c r="M328" s="6">
        <f t="shared" si="29"/>
        <v>376.6265</v>
      </c>
    </row>
    <row r="329" spans="1:13">
      <c r="A329" t="s">
        <v>13</v>
      </c>
      <c r="B329" t="s">
        <v>643</v>
      </c>
      <c r="C329" t="s">
        <v>644</v>
      </c>
      <c r="D329" t="s">
        <v>644</v>
      </c>
      <c r="E329" t="s">
        <v>644</v>
      </c>
      <c r="F329" t="s">
        <v>644</v>
      </c>
      <c r="G329" s="6">
        <v>615.06</v>
      </c>
      <c r="H329" s="6"/>
      <c r="I329" s="6">
        <f t="shared" si="25"/>
        <v>289.0782</v>
      </c>
      <c r="J329" s="6">
        <f t="shared" si="26"/>
        <v>307.53</v>
      </c>
      <c r="K329" s="6">
        <f t="shared" si="27"/>
        <v>338.283</v>
      </c>
      <c r="L329" s="6">
        <f t="shared" si="28"/>
        <v>430.542</v>
      </c>
      <c r="M329" s="6">
        <f t="shared" si="29"/>
        <v>522.801</v>
      </c>
    </row>
    <row r="330" spans="1:13">
      <c r="A330" t="s">
        <v>13</v>
      </c>
      <c r="B330" t="s">
        <v>645</v>
      </c>
      <c r="C330" t="s">
        <v>646</v>
      </c>
      <c r="D330" t="s">
        <v>646</v>
      </c>
      <c r="E330" t="s">
        <v>646</v>
      </c>
      <c r="F330" t="s">
        <v>646</v>
      </c>
      <c r="G330" s="6">
        <v>671.16</v>
      </c>
      <c r="H330" s="6"/>
      <c r="I330" s="6">
        <f t="shared" si="25"/>
        <v>315.4452</v>
      </c>
      <c r="J330" s="6">
        <f t="shared" si="26"/>
        <v>335.58</v>
      </c>
      <c r="K330" s="6">
        <f t="shared" si="27"/>
        <v>369.138</v>
      </c>
      <c r="L330" s="6">
        <f t="shared" si="28"/>
        <v>469.812</v>
      </c>
      <c r="M330" s="6">
        <f t="shared" si="29"/>
        <v>570.486</v>
      </c>
    </row>
    <row r="331" spans="1:13">
      <c r="A331" t="s">
        <v>13</v>
      </c>
      <c r="B331" t="s">
        <v>647</v>
      </c>
      <c r="C331" t="s">
        <v>648</v>
      </c>
      <c r="D331" t="s">
        <v>648</v>
      </c>
      <c r="E331" t="s">
        <v>648</v>
      </c>
      <c r="F331" t="s">
        <v>648</v>
      </c>
      <c r="G331" s="6">
        <v>731.24</v>
      </c>
      <c r="H331" s="6"/>
      <c r="I331" s="6">
        <f t="shared" si="25"/>
        <v>343.6828</v>
      </c>
      <c r="J331" s="6">
        <f t="shared" si="26"/>
        <v>365.62</v>
      </c>
      <c r="K331" s="6">
        <f t="shared" si="27"/>
        <v>402.182</v>
      </c>
      <c r="L331" s="6">
        <f t="shared" si="28"/>
        <v>511.868</v>
      </c>
      <c r="M331" s="6">
        <f t="shared" si="29"/>
        <v>621.554</v>
      </c>
    </row>
    <row r="332" spans="1:13">
      <c r="A332" t="s">
        <v>13</v>
      </c>
      <c r="B332" t="s">
        <v>649</v>
      </c>
      <c r="C332" t="s">
        <v>650</v>
      </c>
      <c r="D332" t="s">
        <v>650</v>
      </c>
      <c r="E332" t="s">
        <v>650</v>
      </c>
      <c r="F332" t="s">
        <v>650</v>
      </c>
      <c r="G332" s="6">
        <v>542.13</v>
      </c>
      <c r="H332" s="6"/>
      <c r="I332" s="6">
        <f t="shared" si="25"/>
        <v>254.8011</v>
      </c>
      <c r="J332" s="6">
        <f t="shared" si="26"/>
        <v>271.065</v>
      </c>
      <c r="K332" s="6">
        <f t="shared" si="27"/>
        <v>298.1715</v>
      </c>
      <c r="L332" s="6">
        <f t="shared" si="28"/>
        <v>379.491</v>
      </c>
      <c r="M332" s="6">
        <f t="shared" si="29"/>
        <v>460.8105</v>
      </c>
    </row>
    <row r="333" spans="1:13">
      <c r="A333" t="s">
        <v>13</v>
      </c>
      <c r="B333" t="s">
        <v>651</v>
      </c>
      <c r="C333" t="s">
        <v>652</v>
      </c>
      <c r="D333" t="s">
        <v>652</v>
      </c>
      <c r="E333" t="s">
        <v>652</v>
      </c>
      <c r="F333" t="s">
        <v>652</v>
      </c>
      <c r="G333" s="6">
        <v>1360.15</v>
      </c>
      <c r="H333" s="6"/>
      <c r="I333" s="6">
        <f t="shared" si="25"/>
        <v>639.2705</v>
      </c>
      <c r="J333" s="6">
        <f t="shared" si="26"/>
        <v>680.075</v>
      </c>
      <c r="K333" s="6">
        <f t="shared" si="27"/>
        <v>748.0825</v>
      </c>
      <c r="L333" s="6">
        <f t="shared" si="28"/>
        <v>952.105</v>
      </c>
      <c r="M333" s="6">
        <f t="shared" si="29"/>
        <v>1156.1275</v>
      </c>
    </row>
    <row r="334" spans="1:13">
      <c r="A334" t="s">
        <v>13</v>
      </c>
      <c r="B334" t="s">
        <v>653</v>
      </c>
      <c r="C334" t="s">
        <v>654</v>
      </c>
      <c r="D334" t="s">
        <v>654</v>
      </c>
      <c r="E334" t="s">
        <v>654</v>
      </c>
      <c r="F334" t="s">
        <v>654</v>
      </c>
      <c r="G334" s="6">
        <v>679.83</v>
      </c>
      <c r="H334" s="6"/>
      <c r="I334" s="6">
        <f t="shared" si="25"/>
        <v>319.5201</v>
      </c>
      <c r="J334" s="6">
        <f t="shared" si="26"/>
        <v>339.915</v>
      </c>
      <c r="K334" s="6">
        <f t="shared" si="27"/>
        <v>373.9065</v>
      </c>
      <c r="L334" s="6">
        <f t="shared" si="28"/>
        <v>475.881</v>
      </c>
      <c r="M334" s="6">
        <f t="shared" si="29"/>
        <v>577.8555</v>
      </c>
    </row>
    <row r="335" spans="1:13">
      <c r="A335" t="s">
        <v>13</v>
      </c>
      <c r="B335" t="s">
        <v>655</v>
      </c>
      <c r="C335" t="s">
        <v>656</v>
      </c>
      <c r="D335" t="s">
        <v>656</v>
      </c>
      <c r="E335" t="s">
        <v>656</v>
      </c>
      <c r="F335" t="s">
        <v>656</v>
      </c>
      <c r="G335" s="6">
        <v>524.69</v>
      </c>
      <c r="H335" s="6"/>
      <c r="I335" s="6">
        <f t="shared" si="25"/>
        <v>246.6043</v>
      </c>
      <c r="J335" s="6">
        <f t="shared" si="26"/>
        <v>262.345</v>
      </c>
      <c r="K335" s="6">
        <f t="shared" si="27"/>
        <v>288.5795</v>
      </c>
      <c r="L335" s="6">
        <f t="shared" si="28"/>
        <v>367.283</v>
      </c>
      <c r="M335" s="6">
        <f t="shared" si="29"/>
        <v>445.9865</v>
      </c>
    </row>
    <row r="336" spans="1:13">
      <c r="A336" t="s">
        <v>13</v>
      </c>
      <c r="B336" t="s">
        <v>657</v>
      </c>
      <c r="C336" t="s">
        <v>658</v>
      </c>
      <c r="D336" t="s">
        <v>658</v>
      </c>
      <c r="E336" t="s">
        <v>658</v>
      </c>
      <c r="F336" t="s">
        <v>658</v>
      </c>
      <c r="G336" s="6">
        <v>794.07</v>
      </c>
      <c r="H336" s="6"/>
      <c r="I336" s="6">
        <f t="shared" si="25"/>
        <v>373.2129</v>
      </c>
      <c r="J336" s="6">
        <f t="shared" si="26"/>
        <v>397.035</v>
      </c>
      <c r="K336" s="6">
        <f t="shared" si="27"/>
        <v>436.7385</v>
      </c>
      <c r="L336" s="6">
        <f t="shared" si="28"/>
        <v>555.849</v>
      </c>
      <c r="M336" s="6">
        <f t="shared" si="29"/>
        <v>674.9595</v>
      </c>
    </row>
    <row r="337" spans="1:13">
      <c r="A337" t="s">
        <v>13</v>
      </c>
      <c r="B337" t="s">
        <v>659</v>
      </c>
      <c r="C337" t="s">
        <v>660</v>
      </c>
      <c r="D337" t="s">
        <v>660</v>
      </c>
      <c r="E337" t="s">
        <v>660</v>
      </c>
      <c r="F337" t="s">
        <v>660</v>
      </c>
      <c r="G337" s="6">
        <v>173.76</v>
      </c>
      <c r="H337" s="6"/>
      <c r="I337" s="6">
        <f t="shared" si="25"/>
        <v>81.6672</v>
      </c>
      <c r="J337" s="6">
        <f t="shared" si="26"/>
        <v>86.88</v>
      </c>
      <c r="K337" s="6">
        <f t="shared" si="27"/>
        <v>95.568</v>
      </c>
      <c r="L337" s="6">
        <f t="shared" si="28"/>
        <v>121.632</v>
      </c>
      <c r="M337" s="6">
        <f t="shared" si="29"/>
        <v>147.696</v>
      </c>
    </row>
    <row r="338" spans="1:13">
      <c r="A338" t="s">
        <v>13</v>
      </c>
      <c r="B338" t="s">
        <v>661</v>
      </c>
      <c r="C338" t="s">
        <v>662</v>
      </c>
      <c r="D338" t="s">
        <v>662</v>
      </c>
      <c r="E338" t="s">
        <v>662</v>
      </c>
      <c r="F338" t="s">
        <v>662</v>
      </c>
      <c r="G338" s="6">
        <v>534.38</v>
      </c>
      <c r="H338" s="6"/>
      <c r="I338" s="6">
        <f t="shared" si="25"/>
        <v>251.1586</v>
      </c>
      <c r="J338" s="6">
        <f t="shared" si="26"/>
        <v>267.19</v>
      </c>
      <c r="K338" s="6">
        <f t="shared" si="27"/>
        <v>293.909</v>
      </c>
      <c r="L338" s="6">
        <f t="shared" si="28"/>
        <v>374.066</v>
      </c>
      <c r="M338" s="6">
        <f t="shared" si="29"/>
        <v>454.223</v>
      </c>
    </row>
    <row r="339" spans="1:13">
      <c r="A339" t="s">
        <v>13</v>
      </c>
      <c r="B339" t="s">
        <v>663</v>
      </c>
      <c r="C339" t="s">
        <v>664</v>
      </c>
      <c r="D339" t="s">
        <v>664</v>
      </c>
      <c r="E339" t="s">
        <v>664</v>
      </c>
      <c r="F339" t="s">
        <v>664</v>
      </c>
      <c r="G339" s="6">
        <v>765.1</v>
      </c>
      <c r="H339" s="6"/>
      <c r="I339" s="6">
        <f t="shared" si="25"/>
        <v>359.597</v>
      </c>
      <c r="J339" s="6">
        <f t="shared" si="26"/>
        <v>382.55</v>
      </c>
      <c r="K339" s="6">
        <f t="shared" si="27"/>
        <v>420.805</v>
      </c>
      <c r="L339" s="6">
        <f t="shared" si="28"/>
        <v>535.57</v>
      </c>
      <c r="M339" s="6">
        <f t="shared" si="29"/>
        <v>650.335</v>
      </c>
    </row>
    <row r="340" spans="1:13">
      <c r="A340" t="s">
        <v>13</v>
      </c>
      <c r="B340" t="s">
        <v>665</v>
      </c>
      <c r="C340" t="s">
        <v>666</v>
      </c>
      <c r="D340" t="s">
        <v>666</v>
      </c>
      <c r="E340" t="s">
        <v>666</v>
      </c>
      <c r="F340" t="s">
        <v>666</v>
      </c>
      <c r="G340" s="6">
        <v>822.43</v>
      </c>
      <c r="H340" s="6"/>
      <c r="I340" s="6">
        <f t="shared" si="25"/>
        <v>386.5421</v>
      </c>
      <c r="J340" s="6">
        <f t="shared" si="26"/>
        <v>411.215</v>
      </c>
      <c r="K340" s="6">
        <f t="shared" si="27"/>
        <v>452.3365</v>
      </c>
      <c r="L340" s="6">
        <f t="shared" si="28"/>
        <v>575.701</v>
      </c>
      <c r="M340" s="6">
        <f t="shared" si="29"/>
        <v>699.0655</v>
      </c>
    </row>
    <row r="341" spans="1:13">
      <c r="A341" t="s">
        <v>13</v>
      </c>
      <c r="B341" t="s">
        <v>667</v>
      </c>
      <c r="C341" t="s">
        <v>668</v>
      </c>
      <c r="D341" t="s">
        <v>668</v>
      </c>
      <c r="E341" t="s">
        <v>668</v>
      </c>
      <c r="F341" t="s">
        <v>668</v>
      </c>
      <c r="G341" s="6">
        <v>879.95</v>
      </c>
      <c r="H341" s="6"/>
      <c r="I341" s="6">
        <f t="shared" si="25"/>
        <v>413.5765</v>
      </c>
      <c r="J341" s="6">
        <f t="shared" si="26"/>
        <v>439.975</v>
      </c>
      <c r="K341" s="6">
        <f t="shared" si="27"/>
        <v>483.9725</v>
      </c>
      <c r="L341" s="6">
        <f t="shared" si="28"/>
        <v>615.965</v>
      </c>
      <c r="M341" s="6">
        <f t="shared" si="29"/>
        <v>747.9575</v>
      </c>
    </row>
    <row r="342" spans="1:13">
      <c r="A342" t="s">
        <v>13</v>
      </c>
      <c r="B342" t="s">
        <v>669</v>
      </c>
      <c r="C342" t="s">
        <v>670</v>
      </c>
      <c r="D342" t="s">
        <v>670</v>
      </c>
      <c r="E342" t="s">
        <v>670</v>
      </c>
      <c r="F342" t="s">
        <v>670</v>
      </c>
      <c r="G342" s="6">
        <v>236.13</v>
      </c>
      <c r="H342" s="6"/>
      <c r="I342" s="6">
        <f t="shared" si="25"/>
        <v>110.9811</v>
      </c>
      <c r="J342" s="6">
        <f t="shared" si="26"/>
        <v>118.065</v>
      </c>
      <c r="K342" s="6">
        <f t="shared" si="27"/>
        <v>129.8715</v>
      </c>
      <c r="L342" s="6">
        <f t="shared" si="28"/>
        <v>165.291</v>
      </c>
      <c r="M342" s="6">
        <f t="shared" si="29"/>
        <v>200.7105</v>
      </c>
    </row>
    <row r="343" spans="1:13">
      <c r="A343" t="s">
        <v>13</v>
      </c>
      <c r="B343" t="s">
        <v>671</v>
      </c>
      <c r="C343" t="s">
        <v>672</v>
      </c>
      <c r="D343" t="s">
        <v>672</v>
      </c>
      <c r="E343" t="s">
        <v>672</v>
      </c>
      <c r="F343" t="s">
        <v>672</v>
      </c>
      <c r="G343" s="6">
        <v>836.71</v>
      </c>
      <c r="H343" s="6"/>
      <c r="I343" s="6">
        <f t="shared" si="25"/>
        <v>393.2537</v>
      </c>
      <c r="J343" s="6">
        <f t="shared" si="26"/>
        <v>418.355</v>
      </c>
      <c r="K343" s="6">
        <f t="shared" si="27"/>
        <v>460.1905</v>
      </c>
      <c r="L343" s="6">
        <f t="shared" si="28"/>
        <v>585.697</v>
      </c>
      <c r="M343" s="6">
        <f t="shared" si="29"/>
        <v>711.2035</v>
      </c>
    </row>
    <row r="344" spans="1:13">
      <c r="A344" t="s">
        <v>13</v>
      </c>
      <c r="B344" t="s">
        <v>673</v>
      </c>
      <c r="C344" t="s">
        <v>674</v>
      </c>
      <c r="D344" t="s">
        <v>674</v>
      </c>
      <c r="E344" t="s">
        <v>674</v>
      </c>
      <c r="F344" t="s">
        <v>674</v>
      </c>
      <c r="G344" s="6">
        <v>792.95</v>
      </c>
      <c r="H344" s="6"/>
      <c r="I344" s="6">
        <f t="shared" si="25"/>
        <v>372.6865</v>
      </c>
      <c r="J344" s="6">
        <f t="shared" si="26"/>
        <v>396.475</v>
      </c>
      <c r="K344" s="6">
        <f t="shared" si="27"/>
        <v>436.1225</v>
      </c>
      <c r="L344" s="6">
        <f t="shared" si="28"/>
        <v>555.065</v>
      </c>
      <c r="M344" s="6">
        <f t="shared" si="29"/>
        <v>674.0075</v>
      </c>
    </row>
    <row r="345" spans="1:13">
      <c r="A345" t="s">
        <v>13</v>
      </c>
      <c r="B345" t="s">
        <v>675</v>
      </c>
      <c r="C345" t="s">
        <v>676</v>
      </c>
      <c r="D345" t="s">
        <v>676</v>
      </c>
      <c r="E345" t="s">
        <v>676</v>
      </c>
      <c r="F345" t="s">
        <v>676</v>
      </c>
      <c r="G345" s="6">
        <v>1017.35</v>
      </c>
      <c r="H345" s="6"/>
      <c r="I345" s="6">
        <f t="shared" si="25"/>
        <v>478.1545</v>
      </c>
      <c r="J345" s="6">
        <f t="shared" si="26"/>
        <v>508.675</v>
      </c>
      <c r="K345" s="6">
        <f t="shared" si="27"/>
        <v>559.5425</v>
      </c>
      <c r="L345" s="6">
        <f t="shared" si="28"/>
        <v>712.145</v>
      </c>
      <c r="M345" s="6">
        <f t="shared" si="29"/>
        <v>864.7475</v>
      </c>
    </row>
    <row r="346" spans="1:13">
      <c r="A346" t="s">
        <v>13</v>
      </c>
      <c r="B346" t="s">
        <v>677</v>
      </c>
      <c r="C346" t="s">
        <v>678</v>
      </c>
      <c r="D346" t="s">
        <v>678</v>
      </c>
      <c r="E346" t="s">
        <v>678</v>
      </c>
      <c r="F346" t="s">
        <v>678</v>
      </c>
      <c r="G346" s="6">
        <v>7.96</v>
      </c>
      <c r="H346" s="6"/>
      <c r="I346" s="6">
        <f t="shared" si="25"/>
        <v>3.7412</v>
      </c>
      <c r="J346" s="6">
        <f t="shared" si="26"/>
        <v>3.98</v>
      </c>
      <c r="K346" s="6">
        <f t="shared" si="27"/>
        <v>4.378</v>
      </c>
      <c r="L346" s="6">
        <f t="shared" si="28"/>
        <v>5.572</v>
      </c>
      <c r="M346" s="6">
        <f t="shared" si="29"/>
        <v>6.766</v>
      </c>
    </row>
    <row r="347" spans="1:13">
      <c r="A347" t="s">
        <v>13</v>
      </c>
      <c r="B347" t="s">
        <v>679</v>
      </c>
      <c r="C347" t="s">
        <v>680</v>
      </c>
      <c r="D347" t="s">
        <v>680</v>
      </c>
      <c r="E347" t="s">
        <v>680</v>
      </c>
      <c r="F347" t="s">
        <v>680</v>
      </c>
      <c r="G347" s="6">
        <v>60.49</v>
      </c>
      <c r="H347" s="6"/>
      <c r="I347" s="6">
        <f t="shared" si="25"/>
        <v>28.4303</v>
      </c>
      <c r="J347" s="6">
        <f t="shared" si="26"/>
        <v>30.245</v>
      </c>
      <c r="K347" s="6">
        <f t="shared" si="27"/>
        <v>33.2695</v>
      </c>
      <c r="L347" s="6">
        <f t="shared" si="28"/>
        <v>42.343</v>
      </c>
      <c r="M347" s="6">
        <f t="shared" si="29"/>
        <v>51.4165</v>
      </c>
    </row>
    <row r="348" spans="1:13">
      <c r="A348" t="s">
        <v>13</v>
      </c>
      <c r="B348" t="s">
        <v>681</v>
      </c>
      <c r="C348" t="s">
        <v>682</v>
      </c>
      <c r="D348" t="s">
        <v>682</v>
      </c>
      <c r="E348" t="s">
        <v>682</v>
      </c>
      <c r="F348" t="s">
        <v>682</v>
      </c>
      <c r="G348" s="6">
        <v>73.95</v>
      </c>
      <c r="H348" s="6"/>
      <c r="I348" s="6">
        <f t="shared" si="25"/>
        <v>34.7565</v>
      </c>
      <c r="J348" s="6">
        <f t="shared" si="26"/>
        <v>36.975</v>
      </c>
      <c r="K348" s="6">
        <f t="shared" si="27"/>
        <v>40.6725</v>
      </c>
      <c r="L348" s="6">
        <f t="shared" si="28"/>
        <v>51.765</v>
      </c>
      <c r="M348" s="6">
        <f t="shared" si="29"/>
        <v>62.8575</v>
      </c>
    </row>
    <row r="349" spans="1:13">
      <c r="A349" t="s">
        <v>13</v>
      </c>
      <c r="B349" t="s">
        <v>683</v>
      </c>
      <c r="C349" t="s">
        <v>684</v>
      </c>
      <c r="D349" t="s">
        <v>684</v>
      </c>
      <c r="E349" t="s">
        <v>684</v>
      </c>
      <c r="F349" t="s">
        <v>684</v>
      </c>
      <c r="G349" s="6">
        <v>100.78</v>
      </c>
      <c r="H349" s="6"/>
      <c r="I349" s="6">
        <f t="shared" si="25"/>
        <v>47.3666</v>
      </c>
      <c r="J349" s="6">
        <f t="shared" si="26"/>
        <v>50.39</v>
      </c>
      <c r="K349" s="6">
        <f t="shared" si="27"/>
        <v>55.429</v>
      </c>
      <c r="L349" s="6">
        <f t="shared" si="28"/>
        <v>70.546</v>
      </c>
      <c r="M349" s="6">
        <f t="shared" si="29"/>
        <v>85.663</v>
      </c>
    </row>
    <row r="350" spans="1:13">
      <c r="A350" t="s">
        <v>13</v>
      </c>
      <c r="B350" t="s">
        <v>685</v>
      </c>
      <c r="C350" t="s">
        <v>686</v>
      </c>
      <c r="D350" t="s">
        <v>686</v>
      </c>
      <c r="E350" t="s">
        <v>686</v>
      </c>
      <c r="F350" t="s">
        <v>686</v>
      </c>
      <c r="G350" s="6">
        <v>121.69</v>
      </c>
      <c r="H350" s="6"/>
      <c r="I350" s="6">
        <f t="shared" si="25"/>
        <v>57.1943</v>
      </c>
      <c r="J350" s="6">
        <f t="shared" si="26"/>
        <v>60.845</v>
      </c>
      <c r="K350" s="6">
        <f t="shared" si="27"/>
        <v>66.9295</v>
      </c>
      <c r="L350" s="6">
        <f t="shared" si="28"/>
        <v>85.183</v>
      </c>
      <c r="M350" s="6">
        <f t="shared" si="29"/>
        <v>103.4365</v>
      </c>
    </row>
    <row r="351" spans="1:13">
      <c r="A351" t="s">
        <v>13</v>
      </c>
      <c r="B351" t="s">
        <v>687</v>
      </c>
      <c r="C351" t="s">
        <v>688</v>
      </c>
      <c r="D351" t="s">
        <v>688</v>
      </c>
      <c r="E351" t="s">
        <v>688</v>
      </c>
      <c r="F351" t="s">
        <v>688</v>
      </c>
      <c r="G351" s="6">
        <v>58.62</v>
      </c>
      <c r="H351" s="6"/>
      <c r="I351" s="6">
        <f t="shared" si="25"/>
        <v>27.5514</v>
      </c>
      <c r="J351" s="6">
        <f t="shared" si="26"/>
        <v>29.31</v>
      </c>
      <c r="K351" s="6">
        <f t="shared" si="27"/>
        <v>32.241</v>
      </c>
      <c r="L351" s="6">
        <f t="shared" si="28"/>
        <v>41.034</v>
      </c>
      <c r="M351" s="6">
        <f t="shared" si="29"/>
        <v>49.827</v>
      </c>
    </row>
    <row r="352" spans="1:13">
      <c r="A352" t="s">
        <v>13</v>
      </c>
      <c r="B352" t="s">
        <v>689</v>
      </c>
      <c r="C352" t="s">
        <v>690</v>
      </c>
      <c r="D352" t="s">
        <v>690</v>
      </c>
      <c r="E352" t="s">
        <v>690</v>
      </c>
      <c r="F352" t="s">
        <v>690</v>
      </c>
      <c r="G352" s="6">
        <v>12.65</v>
      </c>
      <c r="H352" s="6"/>
      <c r="I352" s="6">
        <f t="shared" si="25"/>
        <v>5.9455</v>
      </c>
      <c r="J352" s="6">
        <f t="shared" si="26"/>
        <v>6.325</v>
      </c>
      <c r="K352" s="6">
        <f t="shared" si="27"/>
        <v>6.9575</v>
      </c>
      <c r="L352" s="6">
        <f t="shared" si="28"/>
        <v>8.855</v>
      </c>
      <c r="M352" s="6">
        <f t="shared" si="29"/>
        <v>10.7525</v>
      </c>
    </row>
    <row r="353" spans="1:13">
      <c r="A353" t="s">
        <v>13</v>
      </c>
      <c r="B353" t="s">
        <v>691</v>
      </c>
      <c r="C353" t="s">
        <v>692</v>
      </c>
      <c r="D353" t="s">
        <v>692</v>
      </c>
      <c r="E353" t="s">
        <v>692</v>
      </c>
      <c r="F353" t="s">
        <v>692</v>
      </c>
      <c r="G353" s="6">
        <v>22.79</v>
      </c>
      <c r="H353" s="6"/>
      <c r="I353" s="6">
        <f t="shared" si="25"/>
        <v>10.7113</v>
      </c>
      <c r="J353" s="6">
        <f t="shared" si="26"/>
        <v>11.395</v>
      </c>
      <c r="K353" s="6">
        <f t="shared" si="27"/>
        <v>12.5345</v>
      </c>
      <c r="L353" s="6">
        <f t="shared" si="28"/>
        <v>15.953</v>
      </c>
      <c r="M353" s="6">
        <f t="shared" si="29"/>
        <v>19.3715</v>
      </c>
    </row>
    <row r="354" spans="1:13">
      <c r="A354" t="s">
        <v>13</v>
      </c>
      <c r="B354" t="s">
        <v>693</v>
      </c>
      <c r="C354" t="s">
        <v>694</v>
      </c>
      <c r="D354" t="s">
        <v>694</v>
      </c>
      <c r="E354" t="s">
        <v>694</v>
      </c>
      <c r="F354" t="s">
        <v>694</v>
      </c>
      <c r="G354" s="6">
        <v>111.38</v>
      </c>
      <c r="H354" s="6"/>
      <c r="I354" s="6">
        <f t="shared" si="25"/>
        <v>52.3486</v>
      </c>
      <c r="J354" s="6">
        <f t="shared" si="26"/>
        <v>55.69</v>
      </c>
      <c r="K354" s="6">
        <f t="shared" si="27"/>
        <v>61.259</v>
      </c>
      <c r="L354" s="6">
        <f t="shared" si="28"/>
        <v>77.966</v>
      </c>
      <c r="M354" s="6">
        <f t="shared" si="29"/>
        <v>94.673</v>
      </c>
    </row>
    <row r="355" spans="1:13">
      <c r="A355" t="s">
        <v>13</v>
      </c>
      <c r="B355" t="s">
        <v>695</v>
      </c>
      <c r="C355" t="s">
        <v>696</v>
      </c>
      <c r="D355" t="s">
        <v>696</v>
      </c>
      <c r="E355" t="s">
        <v>696</v>
      </c>
      <c r="F355" t="s">
        <v>696</v>
      </c>
      <c r="G355" s="6">
        <v>46.76</v>
      </c>
      <c r="H355" s="6"/>
      <c r="I355" s="6">
        <f t="shared" si="25"/>
        <v>21.9772</v>
      </c>
      <c r="J355" s="6">
        <f t="shared" si="26"/>
        <v>23.38</v>
      </c>
      <c r="K355" s="6">
        <f t="shared" si="27"/>
        <v>25.718</v>
      </c>
      <c r="L355" s="6">
        <f t="shared" si="28"/>
        <v>32.732</v>
      </c>
      <c r="M355" s="6">
        <f t="shared" si="29"/>
        <v>39.746</v>
      </c>
    </row>
    <row r="356" spans="1:13">
      <c r="A356" t="s">
        <v>13</v>
      </c>
      <c r="B356" t="s">
        <v>697</v>
      </c>
      <c r="C356" t="s">
        <v>698</v>
      </c>
      <c r="D356" t="s">
        <v>698</v>
      </c>
      <c r="E356" t="s">
        <v>698</v>
      </c>
      <c r="F356" t="s">
        <v>698</v>
      </c>
      <c r="G356" s="6">
        <v>140.86</v>
      </c>
      <c r="H356" s="6"/>
      <c r="I356" s="6">
        <f t="shared" si="25"/>
        <v>66.2042</v>
      </c>
      <c r="J356" s="6">
        <f t="shared" si="26"/>
        <v>70.43</v>
      </c>
      <c r="K356" s="6">
        <f t="shared" si="27"/>
        <v>77.473</v>
      </c>
      <c r="L356" s="6">
        <f t="shared" si="28"/>
        <v>98.602</v>
      </c>
      <c r="M356" s="6">
        <f t="shared" si="29"/>
        <v>119.731</v>
      </c>
    </row>
    <row r="357" spans="1:13">
      <c r="A357" t="s">
        <v>13</v>
      </c>
      <c r="B357" t="s">
        <v>699</v>
      </c>
      <c r="C357" t="s">
        <v>700</v>
      </c>
      <c r="D357" t="s">
        <v>700</v>
      </c>
      <c r="E357" t="s">
        <v>700</v>
      </c>
      <c r="F357" t="s">
        <v>700</v>
      </c>
      <c r="G357" s="6">
        <v>164.53</v>
      </c>
      <c r="H357" s="6"/>
      <c r="I357" s="6">
        <f t="shared" si="25"/>
        <v>77.3291</v>
      </c>
      <c r="J357" s="6">
        <f t="shared" si="26"/>
        <v>82.265</v>
      </c>
      <c r="K357" s="6">
        <f t="shared" si="27"/>
        <v>90.4915</v>
      </c>
      <c r="L357" s="6">
        <f t="shared" si="28"/>
        <v>115.171</v>
      </c>
      <c r="M357" s="6">
        <f t="shared" si="29"/>
        <v>139.8505</v>
      </c>
    </row>
    <row r="358" spans="1:13">
      <c r="A358" t="s">
        <v>13</v>
      </c>
      <c r="B358" t="s">
        <v>701</v>
      </c>
      <c r="C358" t="s">
        <v>702</v>
      </c>
      <c r="D358" t="s">
        <v>702</v>
      </c>
      <c r="E358" t="s">
        <v>702</v>
      </c>
      <c r="F358" t="s">
        <v>702</v>
      </c>
      <c r="G358" s="6">
        <v>169.42</v>
      </c>
      <c r="H358" s="6"/>
      <c r="I358" s="6">
        <f t="shared" si="25"/>
        <v>79.6274</v>
      </c>
      <c r="J358" s="6">
        <f t="shared" si="26"/>
        <v>84.71</v>
      </c>
      <c r="K358" s="6">
        <f t="shared" si="27"/>
        <v>93.181</v>
      </c>
      <c r="L358" s="6">
        <f t="shared" si="28"/>
        <v>118.594</v>
      </c>
      <c r="M358" s="6">
        <f t="shared" si="29"/>
        <v>144.007</v>
      </c>
    </row>
    <row r="359" spans="1:13">
      <c r="A359" t="s">
        <v>13</v>
      </c>
      <c r="B359" t="s">
        <v>703</v>
      </c>
      <c r="C359" t="s">
        <v>704</v>
      </c>
      <c r="D359" t="s">
        <v>704</v>
      </c>
      <c r="E359" t="s">
        <v>704</v>
      </c>
      <c r="F359" t="s">
        <v>704</v>
      </c>
      <c r="G359" s="6">
        <v>185.13</v>
      </c>
      <c r="H359" s="6"/>
      <c r="I359" s="6">
        <f t="shared" si="25"/>
        <v>87.0111</v>
      </c>
      <c r="J359" s="6">
        <f t="shared" si="26"/>
        <v>92.565</v>
      </c>
      <c r="K359" s="6">
        <f t="shared" si="27"/>
        <v>101.8215</v>
      </c>
      <c r="L359" s="6">
        <f t="shared" si="28"/>
        <v>129.591</v>
      </c>
      <c r="M359" s="6">
        <f t="shared" si="29"/>
        <v>157.3605</v>
      </c>
    </row>
    <row r="360" spans="1:13">
      <c r="A360" t="s">
        <v>13</v>
      </c>
      <c r="B360" t="s">
        <v>705</v>
      </c>
      <c r="C360" t="s">
        <v>706</v>
      </c>
      <c r="D360" t="s">
        <v>706</v>
      </c>
      <c r="E360" t="s">
        <v>706</v>
      </c>
      <c r="F360" t="s">
        <v>706</v>
      </c>
      <c r="G360" s="6">
        <v>212.36</v>
      </c>
      <c r="H360" s="6"/>
      <c r="I360" s="6">
        <f t="shared" si="25"/>
        <v>99.8092</v>
      </c>
      <c r="J360" s="6">
        <f t="shared" si="26"/>
        <v>106.18</v>
      </c>
      <c r="K360" s="6">
        <f t="shared" si="27"/>
        <v>116.798</v>
      </c>
      <c r="L360" s="6">
        <f t="shared" si="28"/>
        <v>148.652</v>
      </c>
      <c r="M360" s="6">
        <f t="shared" si="29"/>
        <v>180.506</v>
      </c>
    </row>
    <row r="361" spans="1:13">
      <c r="A361" t="s">
        <v>13</v>
      </c>
      <c r="B361" t="s">
        <v>707</v>
      </c>
      <c r="C361" t="s">
        <v>708</v>
      </c>
      <c r="D361" t="s">
        <v>708</v>
      </c>
      <c r="E361" t="s">
        <v>708</v>
      </c>
      <c r="F361" t="s">
        <v>708</v>
      </c>
      <c r="G361" s="6">
        <v>199.31</v>
      </c>
      <c r="H361" s="6"/>
      <c r="I361" s="6">
        <f t="shared" si="25"/>
        <v>93.6757</v>
      </c>
      <c r="J361" s="6">
        <f t="shared" si="26"/>
        <v>99.655</v>
      </c>
      <c r="K361" s="6">
        <f t="shared" si="27"/>
        <v>109.6205</v>
      </c>
      <c r="L361" s="6">
        <f t="shared" si="28"/>
        <v>139.517</v>
      </c>
      <c r="M361" s="6">
        <f t="shared" si="29"/>
        <v>169.4135</v>
      </c>
    </row>
    <row r="362" spans="1:13">
      <c r="A362" t="s">
        <v>13</v>
      </c>
      <c r="B362" t="s">
        <v>709</v>
      </c>
      <c r="C362" t="s">
        <v>710</v>
      </c>
      <c r="D362" t="s">
        <v>710</v>
      </c>
      <c r="E362" t="s">
        <v>710</v>
      </c>
      <c r="F362" t="s">
        <v>710</v>
      </c>
      <c r="G362" s="6">
        <v>236.13</v>
      </c>
      <c r="H362" s="6"/>
      <c r="I362" s="6">
        <f t="shared" si="25"/>
        <v>110.9811</v>
      </c>
      <c r="J362" s="6">
        <f t="shared" si="26"/>
        <v>118.065</v>
      </c>
      <c r="K362" s="6">
        <f t="shared" si="27"/>
        <v>129.8715</v>
      </c>
      <c r="L362" s="6">
        <f t="shared" si="28"/>
        <v>165.291</v>
      </c>
      <c r="M362" s="6">
        <f t="shared" si="29"/>
        <v>200.7105</v>
      </c>
    </row>
    <row r="363" spans="1:13">
      <c r="A363" t="s">
        <v>13</v>
      </c>
      <c r="B363" t="s">
        <v>711</v>
      </c>
      <c r="C363" t="s">
        <v>712</v>
      </c>
      <c r="D363" t="s">
        <v>712</v>
      </c>
      <c r="E363" t="s">
        <v>712</v>
      </c>
      <c r="F363" t="s">
        <v>712</v>
      </c>
      <c r="G363" s="6">
        <v>228.17</v>
      </c>
      <c r="H363" s="6"/>
      <c r="I363" s="6">
        <f t="shared" si="25"/>
        <v>107.2399</v>
      </c>
      <c r="J363" s="6">
        <f t="shared" si="26"/>
        <v>114.085</v>
      </c>
      <c r="K363" s="6">
        <f t="shared" si="27"/>
        <v>125.4935</v>
      </c>
      <c r="L363" s="6">
        <f t="shared" si="28"/>
        <v>159.719</v>
      </c>
      <c r="M363" s="6">
        <f t="shared" si="29"/>
        <v>193.9445</v>
      </c>
    </row>
    <row r="364" spans="1:13">
      <c r="A364" t="s">
        <v>13</v>
      </c>
      <c r="B364" t="s">
        <v>713</v>
      </c>
      <c r="C364" t="s">
        <v>714</v>
      </c>
      <c r="D364" t="s">
        <v>714</v>
      </c>
      <c r="E364" t="s">
        <v>714</v>
      </c>
      <c r="F364" t="s">
        <v>714</v>
      </c>
      <c r="G364" s="6">
        <v>111.3</v>
      </c>
      <c r="H364" s="6"/>
      <c r="I364" s="6">
        <f t="shared" si="25"/>
        <v>52.311</v>
      </c>
      <c r="J364" s="6">
        <f t="shared" si="26"/>
        <v>55.65</v>
      </c>
      <c r="K364" s="6">
        <f t="shared" si="27"/>
        <v>61.215</v>
      </c>
      <c r="L364" s="6">
        <f t="shared" si="28"/>
        <v>77.91</v>
      </c>
      <c r="M364" s="6">
        <f t="shared" si="29"/>
        <v>94.605</v>
      </c>
    </row>
    <row r="365" spans="1:13">
      <c r="A365" t="s">
        <v>13</v>
      </c>
      <c r="B365" t="s">
        <v>715</v>
      </c>
      <c r="C365" t="s">
        <v>716</v>
      </c>
      <c r="D365" t="s">
        <v>716</v>
      </c>
      <c r="E365" t="s">
        <v>716</v>
      </c>
      <c r="F365" t="s">
        <v>716</v>
      </c>
      <c r="G365" s="6">
        <v>11.76</v>
      </c>
      <c r="H365" s="6"/>
      <c r="I365" s="6">
        <f t="shared" si="25"/>
        <v>5.5272</v>
      </c>
      <c r="J365" s="6">
        <f t="shared" si="26"/>
        <v>5.88</v>
      </c>
      <c r="K365" s="6">
        <f t="shared" si="27"/>
        <v>6.468</v>
      </c>
      <c r="L365" s="6">
        <f t="shared" si="28"/>
        <v>8.232</v>
      </c>
      <c r="M365" s="6">
        <f t="shared" si="29"/>
        <v>9.996</v>
      </c>
    </row>
    <row r="366" spans="1:13">
      <c r="A366" t="s">
        <v>13</v>
      </c>
      <c r="B366" t="s">
        <v>717</v>
      </c>
      <c r="C366" t="s">
        <v>718</v>
      </c>
      <c r="D366" t="s">
        <v>718</v>
      </c>
      <c r="E366" t="s">
        <v>718</v>
      </c>
      <c r="F366" t="s">
        <v>718</v>
      </c>
      <c r="G366" s="6">
        <v>87.01</v>
      </c>
      <c r="H366" s="6"/>
      <c r="I366" s="6">
        <f t="shared" si="25"/>
        <v>40.8947</v>
      </c>
      <c r="J366" s="6">
        <f t="shared" si="26"/>
        <v>43.505</v>
      </c>
      <c r="K366" s="6">
        <f t="shared" si="27"/>
        <v>47.8555</v>
      </c>
      <c r="L366" s="6">
        <f t="shared" si="28"/>
        <v>60.907</v>
      </c>
      <c r="M366" s="6">
        <f t="shared" si="29"/>
        <v>73.9585</v>
      </c>
    </row>
    <row r="367" spans="1:13">
      <c r="A367" t="s">
        <v>13</v>
      </c>
      <c r="B367" t="s">
        <v>719</v>
      </c>
      <c r="C367" t="s">
        <v>720</v>
      </c>
      <c r="D367" t="s">
        <v>720</v>
      </c>
      <c r="E367" t="s">
        <v>720</v>
      </c>
      <c r="F367" t="s">
        <v>720</v>
      </c>
      <c r="G367" s="6">
        <v>60.49</v>
      </c>
      <c r="H367" s="6"/>
      <c r="I367" s="6">
        <f t="shared" si="25"/>
        <v>28.4303</v>
      </c>
      <c r="J367" s="6">
        <f t="shared" si="26"/>
        <v>30.245</v>
      </c>
      <c r="K367" s="6">
        <f t="shared" si="27"/>
        <v>33.2695</v>
      </c>
      <c r="L367" s="6">
        <f t="shared" si="28"/>
        <v>42.343</v>
      </c>
      <c r="M367" s="6">
        <f t="shared" si="29"/>
        <v>51.4165</v>
      </c>
    </row>
    <row r="368" spans="1:13">
      <c r="A368" t="s">
        <v>13</v>
      </c>
      <c r="B368" t="s">
        <v>721</v>
      </c>
      <c r="C368" t="s">
        <v>722</v>
      </c>
      <c r="D368" t="s">
        <v>722</v>
      </c>
      <c r="E368" t="s">
        <v>722</v>
      </c>
      <c r="F368" t="s">
        <v>722</v>
      </c>
      <c r="G368" s="6">
        <v>75.67</v>
      </c>
      <c r="H368" s="6"/>
      <c r="I368" s="6">
        <f t="shared" si="25"/>
        <v>35.5649</v>
      </c>
      <c r="J368" s="6">
        <f t="shared" si="26"/>
        <v>37.835</v>
      </c>
      <c r="K368" s="6">
        <f t="shared" si="27"/>
        <v>41.6185</v>
      </c>
      <c r="L368" s="6">
        <f t="shared" si="28"/>
        <v>52.969</v>
      </c>
      <c r="M368" s="6">
        <f t="shared" si="29"/>
        <v>64.3195</v>
      </c>
    </row>
    <row r="369" spans="1:13">
      <c r="A369" t="s">
        <v>13</v>
      </c>
      <c r="B369" t="s">
        <v>723</v>
      </c>
      <c r="C369" t="s">
        <v>724</v>
      </c>
      <c r="D369" t="s">
        <v>724</v>
      </c>
      <c r="E369" t="s">
        <v>724</v>
      </c>
      <c r="F369" t="s">
        <v>724</v>
      </c>
      <c r="G369" s="6">
        <v>68.2</v>
      </c>
      <c r="H369" s="6"/>
      <c r="I369" s="6">
        <f t="shared" si="25"/>
        <v>32.054</v>
      </c>
      <c r="J369" s="6">
        <f t="shared" si="26"/>
        <v>34.1</v>
      </c>
      <c r="K369" s="6">
        <f t="shared" si="27"/>
        <v>37.51</v>
      </c>
      <c r="L369" s="6">
        <f t="shared" si="28"/>
        <v>47.74</v>
      </c>
      <c r="M369" s="6">
        <f t="shared" si="29"/>
        <v>57.97</v>
      </c>
    </row>
    <row r="370" spans="1:13">
      <c r="A370" t="s">
        <v>13</v>
      </c>
      <c r="B370" t="s">
        <v>725</v>
      </c>
      <c r="C370" t="s">
        <v>726</v>
      </c>
      <c r="D370" t="s">
        <v>726</v>
      </c>
      <c r="E370" t="s">
        <v>726</v>
      </c>
      <c r="F370" t="s">
        <v>726</v>
      </c>
      <c r="G370" s="6">
        <v>60.49</v>
      </c>
      <c r="H370" s="6"/>
      <c r="I370" s="6">
        <f t="shared" si="25"/>
        <v>28.4303</v>
      </c>
      <c r="J370" s="6">
        <f t="shared" si="26"/>
        <v>30.245</v>
      </c>
      <c r="K370" s="6">
        <f t="shared" si="27"/>
        <v>33.2695</v>
      </c>
      <c r="L370" s="6">
        <f t="shared" si="28"/>
        <v>42.343</v>
      </c>
      <c r="M370" s="6">
        <f t="shared" si="29"/>
        <v>51.4165</v>
      </c>
    </row>
    <row r="371" spans="1:13">
      <c r="A371" t="s">
        <v>13</v>
      </c>
      <c r="B371" t="s">
        <v>727</v>
      </c>
      <c r="C371" t="s">
        <v>728</v>
      </c>
      <c r="D371" t="s">
        <v>728</v>
      </c>
      <c r="E371" t="s">
        <v>728</v>
      </c>
      <c r="F371" t="s">
        <v>728</v>
      </c>
      <c r="G371" s="6">
        <v>88.64</v>
      </c>
      <c r="H371" s="6"/>
      <c r="I371" s="6">
        <f t="shared" si="25"/>
        <v>41.6608</v>
      </c>
      <c r="J371" s="6">
        <f t="shared" si="26"/>
        <v>44.32</v>
      </c>
      <c r="K371" s="6">
        <f t="shared" si="27"/>
        <v>48.752</v>
      </c>
      <c r="L371" s="6">
        <f t="shared" si="28"/>
        <v>62.048</v>
      </c>
      <c r="M371" s="6">
        <f t="shared" si="29"/>
        <v>75.344</v>
      </c>
    </row>
    <row r="372" spans="1:13">
      <c r="A372" t="s">
        <v>13</v>
      </c>
      <c r="B372" t="s">
        <v>729</v>
      </c>
      <c r="C372" t="s">
        <v>728</v>
      </c>
      <c r="D372" t="s">
        <v>728</v>
      </c>
      <c r="E372" t="s">
        <v>728</v>
      </c>
      <c r="F372" t="s">
        <v>728</v>
      </c>
      <c r="G372" s="6">
        <f>88.64*2</f>
        <v>177.28</v>
      </c>
      <c r="H372" s="6"/>
      <c r="I372" s="6">
        <f t="shared" si="25"/>
        <v>83.3216</v>
      </c>
      <c r="J372" s="6">
        <f t="shared" si="26"/>
        <v>88.64</v>
      </c>
      <c r="K372" s="6">
        <f t="shared" si="27"/>
        <v>97.504</v>
      </c>
      <c r="L372" s="6">
        <f t="shared" si="28"/>
        <v>124.096</v>
      </c>
      <c r="M372" s="6">
        <f t="shared" si="29"/>
        <v>150.688</v>
      </c>
    </row>
    <row r="373" spans="1:13">
      <c r="A373" t="s">
        <v>13</v>
      </c>
      <c r="B373" t="s">
        <v>730</v>
      </c>
      <c r="C373" t="s">
        <v>731</v>
      </c>
      <c r="D373" t="s">
        <v>731</v>
      </c>
      <c r="E373" t="s">
        <v>731</v>
      </c>
      <c r="F373" t="s">
        <v>731</v>
      </c>
      <c r="G373" s="6">
        <f>88.64*4</f>
        <v>354.56</v>
      </c>
      <c r="H373" s="6"/>
      <c r="I373" s="6">
        <f t="shared" si="25"/>
        <v>166.6432</v>
      </c>
      <c r="J373" s="6">
        <f t="shared" si="26"/>
        <v>177.28</v>
      </c>
      <c r="K373" s="6">
        <f t="shared" si="27"/>
        <v>195.008</v>
      </c>
      <c r="L373" s="6">
        <f t="shared" si="28"/>
        <v>248.192</v>
      </c>
      <c r="M373" s="6">
        <f t="shared" si="29"/>
        <v>301.376</v>
      </c>
    </row>
    <row r="374" spans="1:13">
      <c r="A374" t="s">
        <v>13</v>
      </c>
      <c r="B374" t="s">
        <v>732</v>
      </c>
      <c r="C374" t="s">
        <v>733</v>
      </c>
      <c r="D374" t="s">
        <v>733</v>
      </c>
      <c r="E374" t="s">
        <v>733</v>
      </c>
      <c r="F374" t="s">
        <v>733</v>
      </c>
      <c r="G374" s="6">
        <v>98.02</v>
      </c>
      <c r="H374" s="6"/>
      <c r="I374" s="6">
        <f t="shared" si="25"/>
        <v>46.0694</v>
      </c>
      <c r="J374" s="6">
        <f t="shared" si="26"/>
        <v>49.01</v>
      </c>
      <c r="K374" s="6">
        <f t="shared" si="27"/>
        <v>53.911</v>
      </c>
      <c r="L374" s="6">
        <f t="shared" si="28"/>
        <v>68.614</v>
      </c>
      <c r="M374" s="6">
        <f t="shared" si="29"/>
        <v>83.317</v>
      </c>
    </row>
    <row r="375" spans="1:13">
      <c r="A375" t="s">
        <v>13</v>
      </c>
      <c r="B375" t="s">
        <v>734</v>
      </c>
      <c r="C375" t="s">
        <v>735</v>
      </c>
      <c r="D375" t="s">
        <v>735</v>
      </c>
      <c r="E375" t="s">
        <v>735</v>
      </c>
      <c r="F375" t="s">
        <v>735</v>
      </c>
      <c r="G375" s="6">
        <v>666.45</v>
      </c>
      <c r="H375" s="6"/>
      <c r="I375" s="6">
        <f t="shared" si="25"/>
        <v>313.2315</v>
      </c>
      <c r="J375" s="6">
        <f t="shared" si="26"/>
        <v>333.225</v>
      </c>
      <c r="K375" s="6">
        <f t="shared" si="27"/>
        <v>366.5475</v>
      </c>
      <c r="L375" s="6">
        <f t="shared" si="28"/>
        <v>466.515</v>
      </c>
      <c r="M375" s="6">
        <f t="shared" si="29"/>
        <v>566.4825</v>
      </c>
    </row>
    <row r="376" spans="1:13">
      <c r="A376" t="s">
        <v>13</v>
      </c>
      <c r="B376" t="s">
        <v>736</v>
      </c>
      <c r="C376" t="s">
        <v>737</v>
      </c>
      <c r="D376" t="s">
        <v>737</v>
      </c>
      <c r="E376" t="s">
        <v>737</v>
      </c>
      <c r="F376" t="s">
        <v>737</v>
      </c>
      <c r="G376" s="6">
        <v>218.99</v>
      </c>
      <c r="H376" s="6"/>
      <c r="I376" s="6">
        <f t="shared" si="25"/>
        <v>102.9253</v>
      </c>
      <c r="J376" s="6">
        <f t="shared" si="26"/>
        <v>109.495</v>
      </c>
      <c r="K376" s="6">
        <f t="shared" si="27"/>
        <v>120.4445</v>
      </c>
      <c r="L376" s="6">
        <f t="shared" si="28"/>
        <v>153.293</v>
      </c>
      <c r="M376" s="6">
        <f t="shared" si="29"/>
        <v>186.1415</v>
      </c>
    </row>
    <row r="377" spans="1:13">
      <c r="A377" t="s">
        <v>13</v>
      </c>
      <c r="B377" t="s">
        <v>738</v>
      </c>
      <c r="C377" t="s">
        <v>739</v>
      </c>
      <c r="D377" t="s">
        <v>739</v>
      </c>
      <c r="E377" t="s">
        <v>739</v>
      </c>
      <c r="F377" t="s">
        <v>739</v>
      </c>
      <c r="G377" s="6">
        <v>120.77</v>
      </c>
      <c r="H377" s="6"/>
      <c r="I377" s="6">
        <f t="shared" si="25"/>
        <v>56.7619</v>
      </c>
      <c r="J377" s="6">
        <f t="shared" si="26"/>
        <v>60.385</v>
      </c>
      <c r="K377" s="6">
        <f t="shared" si="27"/>
        <v>66.4235</v>
      </c>
      <c r="L377" s="6">
        <f t="shared" si="28"/>
        <v>84.539</v>
      </c>
      <c r="M377" s="6">
        <f t="shared" si="29"/>
        <v>102.6545</v>
      </c>
    </row>
    <row r="378" spans="1:13">
      <c r="A378" t="s">
        <v>13</v>
      </c>
      <c r="B378" t="s">
        <v>740</v>
      </c>
      <c r="C378" t="s">
        <v>741</v>
      </c>
      <c r="D378" t="s">
        <v>741</v>
      </c>
      <c r="E378" t="s">
        <v>741</v>
      </c>
      <c r="F378" t="s">
        <v>741</v>
      </c>
      <c r="G378" s="6">
        <v>100.78</v>
      </c>
      <c r="H378" s="6"/>
      <c r="I378" s="6">
        <f t="shared" si="25"/>
        <v>47.3666</v>
      </c>
      <c r="J378" s="6">
        <f t="shared" si="26"/>
        <v>50.39</v>
      </c>
      <c r="K378" s="6">
        <f t="shared" si="27"/>
        <v>55.429</v>
      </c>
      <c r="L378" s="6">
        <f t="shared" si="28"/>
        <v>70.546</v>
      </c>
      <c r="M378" s="6">
        <f t="shared" si="29"/>
        <v>85.663</v>
      </c>
    </row>
    <row r="379" spans="1:13">
      <c r="A379" t="s">
        <v>13</v>
      </c>
      <c r="B379" t="s">
        <v>742</v>
      </c>
      <c r="C379" t="s">
        <v>743</v>
      </c>
      <c r="D379" t="s">
        <v>743</v>
      </c>
      <c r="E379" t="s">
        <v>743</v>
      </c>
      <c r="F379" t="s">
        <v>743</v>
      </c>
      <c r="G379" s="6">
        <v>6.73</v>
      </c>
      <c r="H379" s="6"/>
      <c r="I379" s="6">
        <f t="shared" si="25"/>
        <v>3.1631</v>
      </c>
      <c r="J379" s="6">
        <f t="shared" si="26"/>
        <v>3.365</v>
      </c>
      <c r="K379" s="6">
        <f t="shared" si="27"/>
        <v>3.7015</v>
      </c>
      <c r="L379" s="6">
        <f t="shared" si="28"/>
        <v>4.711</v>
      </c>
      <c r="M379" s="6">
        <f t="shared" si="29"/>
        <v>5.7205</v>
      </c>
    </row>
    <row r="380" spans="1:13">
      <c r="A380" t="s">
        <v>13</v>
      </c>
      <c r="B380" t="s">
        <v>744</v>
      </c>
      <c r="C380" t="s">
        <v>745</v>
      </c>
      <c r="D380" t="s">
        <v>745</v>
      </c>
      <c r="E380" t="s">
        <v>745</v>
      </c>
      <c r="F380" t="s">
        <v>745</v>
      </c>
      <c r="G380" s="6">
        <v>23.56</v>
      </c>
      <c r="H380" s="6"/>
      <c r="I380" s="6">
        <f t="shared" si="25"/>
        <v>11.0732</v>
      </c>
      <c r="J380" s="6">
        <f t="shared" si="26"/>
        <v>11.78</v>
      </c>
      <c r="K380" s="6">
        <f t="shared" si="27"/>
        <v>12.958</v>
      </c>
      <c r="L380" s="6">
        <f t="shared" si="28"/>
        <v>16.492</v>
      </c>
      <c r="M380" s="6">
        <f t="shared" si="29"/>
        <v>20.026</v>
      </c>
    </row>
    <row r="381" spans="1:13">
      <c r="A381" t="s">
        <v>13</v>
      </c>
      <c r="B381" t="s">
        <v>746</v>
      </c>
      <c r="C381" t="s">
        <v>747</v>
      </c>
      <c r="D381" t="s">
        <v>747</v>
      </c>
      <c r="E381" t="s">
        <v>747</v>
      </c>
      <c r="F381" t="s">
        <v>747</v>
      </c>
      <c r="G381" s="6">
        <v>169.42</v>
      </c>
      <c r="H381" s="6"/>
      <c r="I381" s="6">
        <f t="shared" si="25"/>
        <v>79.6274</v>
      </c>
      <c r="J381" s="6">
        <f t="shared" si="26"/>
        <v>84.71</v>
      </c>
      <c r="K381" s="6">
        <f t="shared" si="27"/>
        <v>93.181</v>
      </c>
      <c r="L381" s="6">
        <f t="shared" si="28"/>
        <v>118.594</v>
      </c>
      <c r="M381" s="6">
        <f t="shared" si="29"/>
        <v>144.007</v>
      </c>
    </row>
    <row r="382" spans="1:13">
      <c r="A382" t="s">
        <v>13</v>
      </c>
      <c r="B382" t="s">
        <v>748</v>
      </c>
      <c r="C382" t="s">
        <v>749</v>
      </c>
      <c r="D382" t="s">
        <v>749</v>
      </c>
      <c r="E382" t="s">
        <v>749</v>
      </c>
      <c r="F382" t="s">
        <v>749</v>
      </c>
      <c r="G382" s="6">
        <v>35.65</v>
      </c>
      <c r="H382" s="6"/>
      <c r="I382" s="6">
        <f t="shared" si="25"/>
        <v>16.7555</v>
      </c>
      <c r="J382" s="6">
        <f t="shared" si="26"/>
        <v>17.825</v>
      </c>
      <c r="K382" s="6">
        <f t="shared" si="27"/>
        <v>19.6075</v>
      </c>
      <c r="L382" s="6">
        <f t="shared" si="28"/>
        <v>24.955</v>
      </c>
      <c r="M382" s="6">
        <f t="shared" si="29"/>
        <v>30.3025</v>
      </c>
    </row>
    <row r="383" spans="1:13">
      <c r="A383" t="s">
        <v>13</v>
      </c>
      <c r="B383" t="s">
        <v>750</v>
      </c>
      <c r="C383" t="s">
        <v>751</v>
      </c>
      <c r="D383" t="s">
        <v>751</v>
      </c>
      <c r="E383" t="s">
        <v>751</v>
      </c>
      <c r="F383" t="s">
        <v>751</v>
      </c>
      <c r="G383" s="6">
        <v>215.02</v>
      </c>
      <c r="H383" s="6"/>
      <c r="I383" s="6">
        <f t="shared" si="25"/>
        <v>101.0594</v>
      </c>
      <c r="J383" s="6">
        <f t="shared" si="26"/>
        <v>107.51</v>
      </c>
      <c r="K383" s="6">
        <f t="shared" si="27"/>
        <v>118.261</v>
      </c>
      <c r="L383" s="6">
        <f t="shared" si="28"/>
        <v>150.514</v>
      </c>
      <c r="M383" s="6">
        <f t="shared" si="29"/>
        <v>182.767</v>
      </c>
    </row>
    <row r="384" spans="1:13">
      <c r="A384" t="s">
        <v>13</v>
      </c>
      <c r="B384" t="s">
        <v>752</v>
      </c>
      <c r="C384" t="s">
        <v>753</v>
      </c>
      <c r="D384" t="s">
        <v>753</v>
      </c>
      <c r="E384" t="s">
        <v>753</v>
      </c>
      <c r="F384" t="s">
        <v>753</v>
      </c>
      <c r="G384" s="6">
        <v>268.46</v>
      </c>
      <c r="H384" s="6"/>
      <c r="I384" s="6">
        <f t="shared" si="25"/>
        <v>126.1762</v>
      </c>
      <c r="J384" s="6">
        <f t="shared" si="26"/>
        <v>134.23</v>
      </c>
      <c r="K384" s="6">
        <f t="shared" si="27"/>
        <v>147.653</v>
      </c>
      <c r="L384" s="6">
        <f t="shared" si="28"/>
        <v>187.922</v>
      </c>
      <c r="M384" s="6">
        <f t="shared" si="29"/>
        <v>228.191</v>
      </c>
    </row>
    <row r="385" spans="1:13">
      <c r="A385" t="s">
        <v>13</v>
      </c>
      <c r="B385" t="s">
        <v>754</v>
      </c>
      <c r="C385" t="s">
        <v>755</v>
      </c>
      <c r="D385" t="s">
        <v>755</v>
      </c>
      <c r="E385" t="s">
        <v>755</v>
      </c>
      <c r="F385" t="s">
        <v>755</v>
      </c>
      <c r="G385" s="6">
        <v>1116.9</v>
      </c>
      <c r="H385" s="6"/>
      <c r="I385" s="6">
        <f t="shared" si="25"/>
        <v>524.943</v>
      </c>
      <c r="J385" s="6">
        <f t="shared" si="26"/>
        <v>558.45</v>
      </c>
      <c r="K385" s="6">
        <f t="shared" si="27"/>
        <v>614.295</v>
      </c>
      <c r="L385" s="6">
        <f t="shared" si="28"/>
        <v>781.83</v>
      </c>
      <c r="M385" s="6">
        <f t="shared" si="29"/>
        <v>949.365</v>
      </c>
    </row>
    <row r="386" spans="1:13">
      <c r="A386" t="s">
        <v>13</v>
      </c>
      <c r="B386" t="s">
        <v>756</v>
      </c>
      <c r="C386" t="s">
        <v>757</v>
      </c>
      <c r="D386" t="s">
        <v>757</v>
      </c>
      <c r="E386" t="s">
        <v>757</v>
      </c>
      <c r="F386" t="s">
        <v>757</v>
      </c>
      <c r="G386" s="6">
        <v>649.13</v>
      </c>
      <c r="H386" s="6"/>
      <c r="I386" s="6">
        <f t="shared" si="25"/>
        <v>305.0911</v>
      </c>
      <c r="J386" s="6">
        <f t="shared" si="26"/>
        <v>324.565</v>
      </c>
      <c r="K386" s="6">
        <f t="shared" si="27"/>
        <v>357.0215</v>
      </c>
      <c r="L386" s="6">
        <f t="shared" si="28"/>
        <v>454.391</v>
      </c>
      <c r="M386" s="6">
        <f t="shared" si="29"/>
        <v>551.7605</v>
      </c>
    </row>
    <row r="387" spans="1:13">
      <c r="A387" t="s">
        <v>13</v>
      </c>
      <c r="B387" t="s">
        <v>758</v>
      </c>
      <c r="C387" t="s">
        <v>757</v>
      </c>
      <c r="D387" t="s">
        <v>757</v>
      </c>
      <c r="E387" t="s">
        <v>757</v>
      </c>
      <c r="F387" t="s">
        <v>757</v>
      </c>
      <c r="G387" s="6">
        <v>755.82</v>
      </c>
      <c r="H387" s="6"/>
      <c r="I387" s="6">
        <f t="shared" ref="I387:I450" si="30">G387*0.47</f>
        <v>355.2354</v>
      </c>
      <c r="J387" s="6">
        <f t="shared" ref="J387:J450" si="31">G387*0.5</f>
        <v>377.91</v>
      </c>
      <c r="K387" s="6">
        <f t="shared" ref="K387:K450" si="32">G387*0.55</f>
        <v>415.701</v>
      </c>
      <c r="L387" s="6">
        <f t="shared" ref="L387:L450" si="33">G387*0.7</f>
        <v>529.074</v>
      </c>
      <c r="M387" s="6">
        <f t="shared" ref="M387:M450" si="34">G387*0.85</f>
        <v>642.447</v>
      </c>
    </row>
    <row r="388" spans="1:13">
      <c r="A388" t="s">
        <v>13</v>
      </c>
      <c r="B388" t="s">
        <v>759</v>
      </c>
      <c r="C388" t="s">
        <v>760</v>
      </c>
      <c r="D388" t="s">
        <v>760</v>
      </c>
      <c r="E388" t="s">
        <v>760</v>
      </c>
      <c r="F388" t="s">
        <v>760</v>
      </c>
      <c r="G388" s="6">
        <v>793.87</v>
      </c>
      <c r="H388" s="6"/>
      <c r="I388" s="6">
        <f t="shared" si="30"/>
        <v>373.1189</v>
      </c>
      <c r="J388" s="6">
        <f t="shared" si="31"/>
        <v>396.935</v>
      </c>
      <c r="K388" s="6">
        <f t="shared" si="32"/>
        <v>436.6285</v>
      </c>
      <c r="L388" s="6">
        <f t="shared" si="33"/>
        <v>555.709</v>
      </c>
      <c r="M388" s="6">
        <f t="shared" si="34"/>
        <v>674.7895</v>
      </c>
    </row>
    <row r="389" spans="1:13">
      <c r="A389" t="s">
        <v>13</v>
      </c>
      <c r="B389" t="s">
        <v>761</v>
      </c>
      <c r="C389" t="s">
        <v>760</v>
      </c>
      <c r="D389" t="s">
        <v>760</v>
      </c>
      <c r="E389" t="s">
        <v>760</v>
      </c>
      <c r="F389" t="s">
        <v>760</v>
      </c>
      <c r="G389" s="6">
        <v>938.3</v>
      </c>
      <c r="H389" s="6"/>
      <c r="I389" s="6">
        <f t="shared" si="30"/>
        <v>441.001</v>
      </c>
      <c r="J389" s="6">
        <f t="shared" si="31"/>
        <v>469.15</v>
      </c>
      <c r="K389" s="6">
        <f t="shared" si="32"/>
        <v>516.065</v>
      </c>
      <c r="L389" s="6">
        <f t="shared" si="33"/>
        <v>656.81</v>
      </c>
      <c r="M389" s="6">
        <f t="shared" si="34"/>
        <v>797.555</v>
      </c>
    </row>
    <row r="390" spans="1:13">
      <c r="A390" t="s">
        <v>13</v>
      </c>
      <c r="B390" t="s">
        <v>762</v>
      </c>
      <c r="C390" t="s">
        <v>763</v>
      </c>
      <c r="D390" t="s">
        <v>763</v>
      </c>
      <c r="E390" t="s">
        <v>763</v>
      </c>
      <c r="F390" t="s">
        <v>763</v>
      </c>
      <c r="G390" s="6">
        <v>98.75</v>
      </c>
      <c r="H390" s="6"/>
      <c r="I390" s="6">
        <f t="shared" si="30"/>
        <v>46.4125</v>
      </c>
      <c r="J390" s="6">
        <f t="shared" si="31"/>
        <v>49.375</v>
      </c>
      <c r="K390" s="6">
        <f t="shared" si="32"/>
        <v>54.3125</v>
      </c>
      <c r="L390" s="6">
        <f t="shared" si="33"/>
        <v>69.125</v>
      </c>
      <c r="M390" s="6">
        <f t="shared" si="34"/>
        <v>83.9375</v>
      </c>
    </row>
    <row r="391" spans="1:13">
      <c r="A391" t="s">
        <v>13</v>
      </c>
      <c r="B391" t="s">
        <v>764</v>
      </c>
      <c r="C391" t="s">
        <v>765</v>
      </c>
      <c r="D391" t="s">
        <v>765</v>
      </c>
      <c r="E391" t="s">
        <v>765</v>
      </c>
      <c r="F391" t="s">
        <v>765</v>
      </c>
      <c r="G391" s="6">
        <v>197.5</v>
      </c>
      <c r="H391" s="6"/>
      <c r="I391" s="6">
        <f t="shared" si="30"/>
        <v>92.825</v>
      </c>
      <c r="J391" s="6">
        <f t="shared" si="31"/>
        <v>98.75</v>
      </c>
      <c r="K391" s="6">
        <f t="shared" si="32"/>
        <v>108.625</v>
      </c>
      <c r="L391" s="6">
        <f t="shared" si="33"/>
        <v>138.25</v>
      </c>
      <c r="M391" s="6">
        <f t="shared" si="34"/>
        <v>167.875</v>
      </c>
    </row>
    <row r="392" spans="1:13">
      <c r="A392" t="s">
        <v>13</v>
      </c>
      <c r="B392" t="s">
        <v>766</v>
      </c>
      <c r="C392" t="s">
        <v>767</v>
      </c>
      <c r="D392" t="s">
        <v>767</v>
      </c>
      <c r="E392" t="s">
        <v>767</v>
      </c>
      <c r="F392" t="s">
        <v>767</v>
      </c>
      <c r="G392" s="6">
        <v>296.25</v>
      </c>
      <c r="H392" s="6"/>
      <c r="I392" s="6">
        <f t="shared" si="30"/>
        <v>139.2375</v>
      </c>
      <c r="J392" s="6">
        <f t="shared" si="31"/>
        <v>148.125</v>
      </c>
      <c r="K392" s="6">
        <f t="shared" si="32"/>
        <v>162.9375</v>
      </c>
      <c r="L392" s="6">
        <f t="shared" si="33"/>
        <v>207.375</v>
      </c>
      <c r="M392" s="6">
        <f t="shared" si="34"/>
        <v>251.8125</v>
      </c>
    </row>
    <row r="393" spans="1:13">
      <c r="A393" t="s">
        <v>13</v>
      </c>
      <c r="B393" t="s">
        <v>768</v>
      </c>
      <c r="C393" t="s">
        <v>769</v>
      </c>
      <c r="D393" t="s">
        <v>769</v>
      </c>
      <c r="E393" t="s">
        <v>769</v>
      </c>
      <c r="F393" t="s">
        <v>769</v>
      </c>
      <c r="G393" s="6">
        <v>108.75</v>
      </c>
      <c r="H393" s="6"/>
      <c r="I393" s="6">
        <f t="shared" si="30"/>
        <v>51.1125</v>
      </c>
      <c r="J393" s="6">
        <f t="shared" si="31"/>
        <v>54.375</v>
      </c>
      <c r="K393" s="6">
        <f t="shared" si="32"/>
        <v>59.8125</v>
      </c>
      <c r="L393" s="6">
        <f t="shared" si="33"/>
        <v>76.125</v>
      </c>
      <c r="M393" s="6">
        <f t="shared" si="34"/>
        <v>92.4375</v>
      </c>
    </row>
    <row r="394" spans="1:13">
      <c r="A394" t="s">
        <v>13</v>
      </c>
      <c r="B394" t="s">
        <v>770</v>
      </c>
      <c r="C394" t="s">
        <v>771</v>
      </c>
      <c r="D394" t="s">
        <v>771</v>
      </c>
      <c r="E394" t="s">
        <v>771</v>
      </c>
      <c r="F394" t="s">
        <v>771</v>
      </c>
      <c r="G394" s="6">
        <v>98.75</v>
      </c>
      <c r="H394" s="6"/>
      <c r="I394" s="6">
        <f t="shared" si="30"/>
        <v>46.4125</v>
      </c>
      <c r="J394" s="6">
        <f t="shared" si="31"/>
        <v>49.375</v>
      </c>
      <c r="K394" s="6">
        <f t="shared" si="32"/>
        <v>54.3125</v>
      </c>
      <c r="L394" s="6">
        <f t="shared" si="33"/>
        <v>69.125</v>
      </c>
      <c r="M394" s="6">
        <f t="shared" si="34"/>
        <v>83.9375</v>
      </c>
    </row>
    <row r="395" spans="1:13">
      <c r="A395" t="s">
        <v>13</v>
      </c>
      <c r="B395" t="s">
        <v>772</v>
      </c>
      <c r="C395" t="s">
        <v>773</v>
      </c>
      <c r="D395" t="s">
        <v>773</v>
      </c>
      <c r="E395" t="s">
        <v>773</v>
      </c>
      <c r="F395" t="s">
        <v>773</v>
      </c>
      <c r="G395" s="6">
        <v>197.5</v>
      </c>
      <c r="H395" s="6"/>
      <c r="I395" s="6">
        <f t="shared" si="30"/>
        <v>92.825</v>
      </c>
      <c r="J395" s="6">
        <f t="shared" si="31"/>
        <v>98.75</v>
      </c>
      <c r="K395" s="6">
        <f t="shared" si="32"/>
        <v>108.625</v>
      </c>
      <c r="L395" s="6">
        <f t="shared" si="33"/>
        <v>138.25</v>
      </c>
      <c r="M395" s="6">
        <f t="shared" si="34"/>
        <v>167.875</v>
      </c>
    </row>
    <row r="396" spans="1:13">
      <c r="A396" t="s">
        <v>13</v>
      </c>
      <c r="B396" t="s">
        <v>774</v>
      </c>
      <c r="C396" t="s">
        <v>775</v>
      </c>
      <c r="D396" t="s">
        <v>775</v>
      </c>
      <c r="E396" t="s">
        <v>775</v>
      </c>
      <c r="F396" t="s">
        <v>775</v>
      </c>
      <c r="G396" s="6">
        <v>296.25</v>
      </c>
      <c r="H396" s="6"/>
      <c r="I396" s="6">
        <f t="shared" si="30"/>
        <v>139.2375</v>
      </c>
      <c r="J396" s="6">
        <f t="shared" si="31"/>
        <v>148.125</v>
      </c>
      <c r="K396" s="6">
        <f t="shared" si="32"/>
        <v>162.9375</v>
      </c>
      <c r="L396" s="6">
        <f t="shared" si="33"/>
        <v>207.375</v>
      </c>
      <c r="M396" s="6">
        <f t="shared" si="34"/>
        <v>251.8125</v>
      </c>
    </row>
    <row r="397" spans="1:13">
      <c r="A397" t="s">
        <v>13</v>
      </c>
      <c r="B397" t="s">
        <v>776</v>
      </c>
      <c r="C397" t="s">
        <v>777</v>
      </c>
      <c r="D397" t="s">
        <v>777</v>
      </c>
      <c r="E397" t="s">
        <v>777</v>
      </c>
      <c r="F397" t="s">
        <v>777</v>
      </c>
      <c r="G397" s="6">
        <v>108.75</v>
      </c>
      <c r="H397" s="6"/>
      <c r="I397" s="6">
        <f t="shared" si="30"/>
        <v>51.1125</v>
      </c>
      <c r="J397" s="6">
        <f t="shared" si="31"/>
        <v>54.375</v>
      </c>
      <c r="K397" s="6">
        <f t="shared" si="32"/>
        <v>59.8125</v>
      </c>
      <c r="L397" s="6">
        <f t="shared" si="33"/>
        <v>76.125</v>
      </c>
      <c r="M397" s="6">
        <f t="shared" si="34"/>
        <v>92.4375</v>
      </c>
    </row>
    <row r="398" spans="1:13">
      <c r="A398" t="s">
        <v>13</v>
      </c>
      <c r="B398" t="s">
        <v>778</v>
      </c>
      <c r="C398" t="s">
        <v>779</v>
      </c>
      <c r="D398" t="s">
        <v>779</v>
      </c>
      <c r="E398" t="s">
        <v>779</v>
      </c>
      <c r="F398" t="s">
        <v>779</v>
      </c>
      <c r="G398" s="6">
        <v>30</v>
      </c>
      <c r="H398" s="6"/>
      <c r="I398" s="6">
        <f t="shared" si="30"/>
        <v>14.1</v>
      </c>
      <c r="J398" s="6">
        <f t="shared" si="31"/>
        <v>15</v>
      </c>
      <c r="K398" s="6">
        <f t="shared" si="32"/>
        <v>16.5</v>
      </c>
      <c r="L398" s="6">
        <f t="shared" si="33"/>
        <v>21</v>
      </c>
      <c r="M398" s="6">
        <f t="shared" si="34"/>
        <v>25.5</v>
      </c>
    </row>
    <row r="399" spans="1:13">
      <c r="A399" t="s">
        <v>13</v>
      </c>
      <c r="B399" t="s">
        <v>780</v>
      </c>
      <c r="C399" t="s">
        <v>781</v>
      </c>
      <c r="D399" t="s">
        <v>781</v>
      </c>
      <c r="E399" t="s">
        <v>781</v>
      </c>
      <c r="F399" t="s">
        <v>781</v>
      </c>
      <c r="G399" s="6">
        <v>43.78</v>
      </c>
      <c r="H399" s="6"/>
      <c r="I399" s="6">
        <f t="shared" si="30"/>
        <v>20.5766</v>
      </c>
      <c r="J399" s="6">
        <f t="shared" si="31"/>
        <v>21.89</v>
      </c>
      <c r="K399" s="6">
        <f t="shared" si="32"/>
        <v>24.079</v>
      </c>
      <c r="L399" s="6">
        <f t="shared" si="33"/>
        <v>30.646</v>
      </c>
      <c r="M399" s="6">
        <f t="shared" si="34"/>
        <v>37.213</v>
      </c>
    </row>
    <row r="400" spans="1:13">
      <c r="A400" t="s">
        <v>13</v>
      </c>
      <c r="B400" t="s">
        <v>782</v>
      </c>
      <c r="C400" t="s">
        <v>783</v>
      </c>
      <c r="D400" t="s">
        <v>783</v>
      </c>
      <c r="E400" t="s">
        <v>783</v>
      </c>
      <c r="F400" t="s">
        <v>783</v>
      </c>
      <c r="G400" s="6">
        <v>47.26</v>
      </c>
      <c r="H400" s="6"/>
      <c r="I400" s="6">
        <f t="shared" si="30"/>
        <v>22.2122</v>
      </c>
      <c r="J400" s="6">
        <f t="shared" si="31"/>
        <v>23.63</v>
      </c>
      <c r="K400" s="6">
        <f t="shared" si="32"/>
        <v>25.993</v>
      </c>
      <c r="L400" s="6">
        <f t="shared" si="33"/>
        <v>33.082</v>
      </c>
      <c r="M400" s="6">
        <f t="shared" si="34"/>
        <v>40.171</v>
      </c>
    </row>
    <row r="401" spans="1:13">
      <c r="A401" t="s">
        <v>13</v>
      </c>
      <c r="B401" t="s">
        <v>784</v>
      </c>
      <c r="C401" t="s">
        <v>785</v>
      </c>
      <c r="D401" t="s">
        <v>785</v>
      </c>
      <c r="E401" t="s">
        <v>785</v>
      </c>
      <c r="F401" t="s">
        <v>785</v>
      </c>
      <c r="G401" s="6">
        <v>43.78</v>
      </c>
      <c r="H401" s="6"/>
      <c r="I401" s="6">
        <f t="shared" si="30"/>
        <v>20.5766</v>
      </c>
      <c r="J401" s="6">
        <f t="shared" si="31"/>
        <v>21.89</v>
      </c>
      <c r="K401" s="6">
        <f t="shared" si="32"/>
        <v>24.079</v>
      </c>
      <c r="L401" s="6">
        <f t="shared" si="33"/>
        <v>30.646</v>
      </c>
      <c r="M401" s="6">
        <f t="shared" si="34"/>
        <v>37.213</v>
      </c>
    </row>
    <row r="402" spans="1:13">
      <c r="A402" t="s">
        <v>13</v>
      </c>
      <c r="B402" t="s">
        <v>786</v>
      </c>
      <c r="C402" t="s">
        <v>787</v>
      </c>
      <c r="D402" t="s">
        <v>787</v>
      </c>
      <c r="E402" t="s">
        <v>787</v>
      </c>
      <c r="F402" t="s">
        <v>787</v>
      </c>
      <c r="G402" s="6">
        <v>655.7</v>
      </c>
      <c r="H402" s="6"/>
      <c r="I402" s="6">
        <f t="shared" si="30"/>
        <v>308.179</v>
      </c>
      <c r="J402" s="6">
        <f t="shared" si="31"/>
        <v>327.85</v>
      </c>
      <c r="K402" s="6">
        <f t="shared" si="32"/>
        <v>360.635</v>
      </c>
      <c r="L402" s="6">
        <f t="shared" si="33"/>
        <v>458.99</v>
      </c>
      <c r="M402" s="6">
        <f t="shared" si="34"/>
        <v>557.345</v>
      </c>
    </row>
    <row r="403" spans="1:13">
      <c r="A403" t="s">
        <v>13</v>
      </c>
      <c r="B403" t="s">
        <v>788</v>
      </c>
      <c r="C403" t="s">
        <v>789</v>
      </c>
      <c r="D403" t="s">
        <v>789</v>
      </c>
      <c r="E403" t="s">
        <v>789</v>
      </c>
      <c r="F403" t="s">
        <v>789</v>
      </c>
      <c r="G403" s="6">
        <v>620</v>
      </c>
      <c r="H403" s="6"/>
      <c r="I403" s="6">
        <f t="shared" si="30"/>
        <v>291.4</v>
      </c>
      <c r="J403" s="6">
        <f t="shared" si="31"/>
        <v>310</v>
      </c>
      <c r="K403" s="6">
        <f t="shared" si="32"/>
        <v>341</v>
      </c>
      <c r="L403" s="6">
        <f t="shared" si="33"/>
        <v>434</v>
      </c>
      <c r="M403" s="6">
        <f t="shared" si="34"/>
        <v>527</v>
      </c>
    </row>
    <row r="404" spans="1:13">
      <c r="A404" t="s">
        <v>13</v>
      </c>
      <c r="B404" t="s">
        <v>790</v>
      </c>
      <c r="C404" t="s">
        <v>791</v>
      </c>
      <c r="D404" t="s">
        <v>791</v>
      </c>
      <c r="E404" t="s">
        <v>791</v>
      </c>
      <c r="F404" t="s">
        <v>791</v>
      </c>
      <c r="G404" s="6">
        <v>703.5</v>
      </c>
      <c r="H404" s="6"/>
      <c r="I404" s="6">
        <f t="shared" si="30"/>
        <v>330.645</v>
      </c>
      <c r="J404" s="6">
        <f t="shared" si="31"/>
        <v>351.75</v>
      </c>
      <c r="K404" s="6">
        <f t="shared" si="32"/>
        <v>386.925</v>
      </c>
      <c r="L404" s="6">
        <f t="shared" si="33"/>
        <v>492.45</v>
      </c>
      <c r="M404" s="6">
        <f t="shared" si="34"/>
        <v>597.975</v>
      </c>
    </row>
    <row r="405" spans="1:13">
      <c r="A405" t="s">
        <v>13</v>
      </c>
      <c r="B405" t="s">
        <v>792</v>
      </c>
      <c r="C405" t="s">
        <v>793</v>
      </c>
      <c r="D405" t="s">
        <v>793</v>
      </c>
      <c r="E405" t="s">
        <v>793</v>
      </c>
      <c r="F405" t="s">
        <v>793</v>
      </c>
      <c r="G405" s="6">
        <v>667.4</v>
      </c>
      <c r="H405" s="6"/>
      <c r="I405" s="6">
        <f t="shared" si="30"/>
        <v>313.678</v>
      </c>
      <c r="J405" s="6">
        <f t="shared" si="31"/>
        <v>333.7</v>
      </c>
      <c r="K405" s="6">
        <f t="shared" si="32"/>
        <v>367.07</v>
      </c>
      <c r="L405" s="6">
        <f t="shared" si="33"/>
        <v>467.18</v>
      </c>
      <c r="M405" s="6">
        <f t="shared" si="34"/>
        <v>567.29</v>
      </c>
    </row>
    <row r="406" spans="1:13">
      <c r="A406" t="s">
        <v>13</v>
      </c>
      <c r="B406" t="s">
        <v>794</v>
      </c>
      <c r="C406" t="s">
        <v>795</v>
      </c>
      <c r="D406" t="s">
        <v>795</v>
      </c>
      <c r="E406" t="s">
        <v>795</v>
      </c>
      <c r="F406" t="s">
        <v>795</v>
      </c>
      <c r="G406" s="6">
        <v>775.1</v>
      </c>
      <c r="H406" s="6"/>
      <c r="I406" s="6">
        <f t="shared" si="30"/>
        <v>364.297</v>
      </c>
      <c r="J406" s="6">
        <f t="shared" si="31"/>
        <v>387.55</v>
      </c>
      <c r="K406" s="6">
        <f t="shared" si="32"/>
        <v>426.305</v>
      </c>
      <c r="L406" s="6">
        <f t="shared" si="33"/>
        <v>542.57</v>
      </c>
      <c r="M406" s="6">
        <f t="shared" si="34"/>
        <v>658.835</v>
      </c>
    </row>
    <row r="407" spans="1:13">
      <c r="A407" t="s">
        <v>13</v>
      </c>
      <c r="B407" t="s">
        <v>796</v>
      </c>
      <c r="C407" t="s">
        <v>797</v>
      </c>
      <c r="D407" t="s">
        <v>797</v>
      </c>
      <c r="E407" t="s">
        <v>797</v>
      </c>
      <c r="F407" t="s">
        <v>797</v>
      </c>
      <c r="G407" s="6">
        <v>740</v>
      </c>
      <c r="H407" s="6"/>
      <c r="I407" s="6">
        <f t="shared" si="30"/>
        <v>347.8</v>
      </c>
      <c r="J407" s="6">
        <f t="shared" si="31"/>
        <v>370</v>
      </c>
      <c r="K407" s="6">
        <f t="shared" si="32"/>
        <v>407</v>
      </c>
      <c r="L407" s="6">
        <f t="shared" si="33"/>
        <v>518</v>
      </c>
      <c r="M407" s="6">
        <f t="shared" si="34"/>
        <v>629</v>
      </c>
    </row>
    <row r="408" spans="1:13">
      <c r="A408" t="s">
        <v>13</v>
      </c>
      <c r="B408" t="s">
        <v>798</v>
      </c>
      <c r="C408" t="s">
        <v>799</v>
      </c>
      <c r="D408" t="s">
        <v>799</v>
      </c>
      <c r="E408" t="s">
        <v>799</v>
      </c>
      <c r="F408" t="s">
        <v>799</v>
      </c>
      <c r="G408" s="6">
        <v>774.8</v>
      </c>
      <c r="H408" s="6"/>
      <c r="I408" s="6">
        <f t="shared" si="30"/>
        <v>364.156</v>
      </c>
      <c r="J408" s="6">
        <f t="shared" si="31"/>
        <v>387.4</v>
      </c>
      <c r="K408" s="6">
        <f t="shared" si="32"/>
        <v>426.14</v>
      </c>
      <c r="L408" s="6">
        <f t="shared" si="33"/>
        <v>542.36</v>
      </c>
      <c r="M408" s="6">
        <f t="shared" si="34"/>
        <v>658.58</v>
      </c>
    </row>
    <row r="409" spans="1:13">
      <c r="A409" t="s">
        <v>13</v>
      </c>
      <c r="B409" t="s">
        <v>800</v>
      </c>
      <c r="C409" t="s">
        <v>801</v>
      </c>
      <c r="D409" t="s">
        <v>801</v>
      </c>
      <c r="E409" t="s">
        <v>801</v>
      </c>
      <c r="F409" t="s">
        <v>801</v>
      </c>
      <c r="G409" s="6">
        <v>715.4</v>
      </c>
      <c r="H409" s="6"/>
      <c r="I409" s="6">
        <f t="shared" si="30"/>
        <v>336.238</v>
      </c>
      <c r="J409" s="6">
        <f t="shared" si="31"/>
        <v>357.7</v>
      </c>
      <c r="K409" s="6">
        <f t="shared" si="32"/>
        <v>393.47</v>
      </c>
      <c r="L409" s="6">
        <f t="shared" si="33"/>
        <v>500.78</v>
      </c>
      <c r="M409" s="6">
        <f t="shared" si="34"/>
        <v>608.09</v>
      </c>
    </row>
    <row r="410" spans="1:13">
      <c r="A410" t="s">
        <v>13</v>
      </c>
      <c r="B410" t="s">
        <v>802</v>
      </c>
      <c r="C410" t="s">
        <v>803</v>
      </c>
      <c r="D410" t="s">
        <v>803</v>
      </c>
      <c r="E410" t="s">
        <v>803</v>
      </c>
      <c r="F410" t="s">
        <v>803</v>
      </c>
      <c r="G410" s="6">
        <v>679.7</v>
      </c>
      <c r="H410" s="6"/>
      <c r="I410" s="6">
        <f t="shared" si="30"/>
        <v>319.459</v>
      </c>
      <c r="J410" s="6">
        <f t="shared" si="31"/>
        <v>339.85</v>
      </c>
      <c r="K410" s="6">
        <f t="shared" si="32"/>
        <v>373.835</v>
      </c>
      <c r="L410" s="6">
        <f t="shared" si="33"/>
        <v>475.79</v>
      </c>
      <c r="M410" s="6">
        <f t="shared" si="34"/>
        <v>577.745</v>
      </c>
    </row>
    <row r="411" spans="1:13">
      <c r="A411" t="s">
        <v>13</v>
      </c>
      <c r="B411" t="s">
        <v>804</v>
      </c>
      <c r="C411" t="s">
        <v>805</v>
      </c>
      <c r="D411" t="s">
        <v>805</v>
      </c>
      <c r="E411" t="s">
        <v>805</v>
      </c>
      <c r="F411" t="s">
        <v>805</v>
      </c>
      <c r="G411" s="6">
        <v>763.2</v>
      </c>
      <c r="H411" s="6"/>
      <c r="I411" s="6">
        <f t="shared" si="30"/>
        <v>358.704</v>
      </c>
      <c r="J411" s="6">
        <f t="shared" si="31"/>
        <v>381.6</v>
      </c>
      <c r="K411" s="6">
        <f t="shared" si="32"/>
        <v>419.76</v>
      </c>
      <c r="L411" s="6">
        <f t="shared" si="33"/>
        <v>534.24</v>
      </c>
      <c r="M411" s="6">
        <f t="shared" si="34"/>
        <v>648.72</v>
      </c>
    </row>
    <row r="412" spans="1:13">
      <c r="A412" t="s">
        <v>13</v>
      </c>
      <c r="B412" t="s">
        <v>806</v>
      </c>
      <c r="C412" t="s">
        <v>807</v>
      </c>
      <c r="D412" t="s">
        <v>807</v>
      </c>
      <c r="E412" t="s">
        <v>807</v>
      </c>
      <c r="F412" t="s">
        <v>807</v>
      </c>
      <c r="G412" s="6">
        <v>727.1</v>
      </c>
      <c r="H412" s="6"/>
      <c r="I412" s="6">
        <f t="shared" si="30"/>
        <v>341.737</v>
      </c>
      <c r="J412" s="6">
        <f t="shared" si="31"/>
        <v>363.55</v>
      </c>
      <c r="K412" s="6">
        <f t="shared" si="32"/>
        <v>399.905</v>
      </c>
      <c r="L412" s="6">
        <f t="shared" si="33"/>
        <v>508.97</v>
      </c>
      <c r="M412" s="6">
        <f t="shared" si="34"/>
        <v>618.035</v>
      </c>
    </row>
    <row r="413" spans="1:13">
      <c r="A413" t="s">
        <v>13</v>
      </c>
      <c r="B413" t="s">
        <v>808</v>
      </c>
      <c r="C413" t="s">
        <v>809</v>
      </c>
      <c r="D413" t="s">
        <v>809</v>
      </c>
      <c r="E413" t="s">
        <v>809</v>
      </c>
      <c r="F413" t="s">
        <v>809</v>
      </c>
      <c r="G413" s="6">
        <v>834.8</v>
      </c>
      <c r="H413" s="6"/>
      <c r="I413" s="6">
        <f t="shared" si="30"/>
        <v>392.356</v>
      </c>
      <c r="J413" s="6">
        <f t="shared" si="31"/>
        <v>417.4</v>
      </c>
      <c r="K413" s="6">
        <f t="shared" si="32"/>
        <v>459.14</v>
      </c>
      <c r="L413" s="6">
        <f t="shared" si="33"/>
        <v>584.36</v>
      </c>
      <c r="M413" s="6">
        <f t="shared" si="34"/>
        <v>709.58</v>
      </c>
    </row>
    <row r="414" spans="1:13">
      <c r="A414" t="s">
        <v>13</v>
      </c>
      <c r="B414" t="s">
        <v>810</v>
      </c>
      <c r="C414" t="s">
        <v>811</v>
      </c>
      <c r="D414" t="s">
        <v>811</v>
      </c>
      <c r="E414" t="s">
        <v>811</v>
      </c>
      <c r="F414" t="s">
        <v>811</v>
      </c>
      <c r="G414" s="6">
        <v>799.7</v>
      </c>
      <c r="H414" s="6"/>
      <c r="I414" s="6">
        <f t="shared" si="30"/>
        <v>375.859</v>
      </c>
      <c r="J414" s="6">
        <f t="shared" si="31"/>
        <v>399.85</v>
      </c>
      <c r="K414" s="6">
        <f t="shared" si="32"/>
        <v>439.835</v>
      </c>
      <c r="L414" s="6">
        <f t="shared" si="33"/>
        <v>559.79</v>
      </c>
      <c r="M414" s="6">
        <f t="shared" si="34"/>
        <v>679.745</v>
      </c>
    </row>
    <row r="415" spans="1:13">
      <c r="A415" t="s">
        <v>13</v>
      </c>
      <c r="B415" t="s">
        <v>812</v>
      </c>
      <c r="C415" t="s">
        <v>813</v>
      </c>
      <c r="D415" t="s">
        <v>813</v>
      </c>
      <c r="E415" t="s">
        <v>813</v>
      </c>
      <c r="F415" t="s">
        <v>813</v>
      </c>
      <c r="G415" s="6">
        <v>834.4</v>
      </c>
      <c r="H415" s="6"/>
      <c r="I415" s="6">
        <f t="shared" si="30"/>
        <v>392.168</v>
      </c>
      <c r="J415" s="6">
        <f t="shared" si="31"/>
        <v>417.2</v>
      </c>
      <c r="K415" s="6">
        <f t="shared" si="32"/>
        <v>458.92</v>
      </c>
      <c r="L415" s="6">
        <f t="shared" si="33"/>
        <v>584.08</v>
      </c>
      <c r="M415" s="6">
        <f t="shared" si="34"/>
        <v>709.24</v>
      </c>
    </row>
    <row r="416" spans="1:13">
      <c r="A416" t="s">
        <v>13</v>
      </c>
      <c r="B416" t="s">
        <v>814</v>
      </c>
      <c r="C416" t="s">
        <v>815</v>
      </c>
      <c r="D416" t="s">
        <v>815</v>
      </c>
      <c r="E416" t="s">
        <v>815</v>
      </c>
      <c r="F416" t="s">
        <v>815</v>
      </c>
      <c r="G416" s="6">
        <v>834.8</v>
      </c>
      <c r="H416" s="6"/>
      <c r="I416" s="6">
        <f t="shared" si="30"/>
        <v>392.356</v>
      </c>
      <c r="J416" s="6">
        <f t="shared" si="31"/>
        <v>417.4</v>
      </c>
      <c r="K416" s="6">
        <f t="shared" si="32"/>
        <v>459.14</v>
      </c>
      <c r="L416" s="6">
        <f t="shared" si="33"/>
        <v>584.36</v>
      </c>
      <c r="M416" s="6">
        <f t="shared" si="34"/>
        <v>709.58</v>
      </c>
    </row>
    <row r="417" spans="1:13">
      <c r="A417" t="s">
        <v>13</v>
      </c>
      <c r="B417" t="s">
        <v>816</v>
      </c>
      <c r="C417" t="s">
        <v>817</v>
      </c>
      <c r="D417" t="s">
        <v>817</v>
      </c>
      <c r="E417" t="s">
        <v>817</v>
      </c>
      <c r="F417" t="s">
        <v>817</v>
      </c>
      <c r="G417" s="6">
        <v>798.9</v>
      </c>
      <c r="H417" s="6"/>
      <c r="I417" s="6">
        <f t="shared" si="30"/>
        <v>375.483</v>
      </c>
      <c r="J417" s="6">
        <f t="shared" si="31"/>
        <v>399.45</v>
      </c>
      <c r="K417" s="6">
        <f t="shared" si="32"/>
        <v>439.395</v>
      </c>
      <c r="L417" s="6">
        <f t="shared" si="33"/>
        <v>559.23</v>
      </c>
      <c r="M417" s="6">
        <f t="shared" si="34"/>
        <v>679.065</v>
      </c>
    </row>
    <row r="418" spans="1:13">
      <c r="A418" t="s">
        <v>13</v>
      </c>
      <c r="B418" t="s">
        <v>818</v>
      </c>
      <c r="C418" t="s">
        <v>819</v>
      </c>
      <c r="D418" t="s">
        <v>819</v>
      </c>
      <c r="E418" t="s">
        <v>819</v>
      </c>
      <c r="F418" t="s">
        <v>819</v>
      </c>
      <c r="G418" s="6">
        <v>894.3</v>
      </c>
      <c r="H418" s="6"/>
      <c r="I418" s="6">
        <f t="shared" si="30"/>
        <v>420.321</v>
      </c>
      <c r="J418" s="6">
        <f t="shared" si="31"/>
        <v>447.15</v>
      </c>
      <c r="K418" s="6">
        <f t="shared" si="32"/>
        <v>491.865</v>
      </c>
      <c r="L418" s="6">
        <f t="shared" si="33"/>
        <v>626.01</v>
      </c>
      <c r="M418" s="6">
        <f t="shared" si="34"/>
        <v>760.155</v>
      </c>
    </row>
    <row r="419" spans="1:13">
      <c r="A419" t="s">
        <v>13</v>
      </c>
      <c r="B419" t="s">
        <v>820</v>
      </c>
      <c r="C419" t="s">
        <v>821</v>
      </c>
      <c r="D419" t="s">
        <v>821</v>
      </c>
      <c r="E419" t="s">
        <v>821</v>
      </c>
      <c r="F419" t="s">
        <v>821</v>
      </c>
      <c r="G419" s="6">
        <v>858.1</v>
      </c>
      <c r="H419" s="6"/>
      <c r="I419" s="6">
        <f t="shared" si="30"/>
        <v>403.307</v>
      </c>
      <c r="J419" s="6">
        <f t="shared" si="31"/>
        <v>429.05</v>
      </c>
      <c r="K419" s="6">
        <f t="shared" si="32"/>
        <v>471.955</v>
      </c>
      <c r="L419" s="6">
        <f t="shared" si="33"/>
        <v>600.67</v>
      </c>
      <c r="M419" s="6">
        <f t="shared" si="34"/>
        <v>729.385</v>
      </c>
    </row>
    <row r="420" spans="1:13">
      <c r="A420" t="s">
        <v>13</v>
      </c>
      <c r="B420" t="s">
        <v>822</v>
      </c>
      <c r="C420" t="s">
        <v>823</v>
      </c>
      <c r="D420" t="s">
        <v>823</v>
      </c>
      <c r="E420" t="s">
        <v>823</v>
      </c>
      <c r="F420" t="s">
        <v>823</v>
      </c>
      <c r="G420" s="6">
        <v>983.2</v>
      </c>
      <c r="H420" s="6"/>
      <c r="I420" s="6">
        <f t="shared" si="30"/>
        <v>462.104</v>
      </c>
      <c r="J420" s="6">
        <f t="shared" si="31"/>
        <v>491.6</v>
      </c>
      <c r="K420" s="6">
        <f t="shared" si="32"/>
        <v>540.76</v>
      </c>
      <c r="L420" s="6">
        <f t="shared" si="33"/>
        <v>688.24</v>
      </c>
      <c r="M420" s="6">
        <f t="shared" si="34"/>
        <v>835.72</v>
      </c>
    </row>
    <row r="421" spans="1:13">
      <c r="A421" t="s">
        <v>13</v>
      </c>
      <c r="B421" t="s">
        <v>824</v>
      </c>
      <c r="C421" t="s">
        <v>825</v>
      </c>
      <c r="D421" t="s">
        <v>825</v>
      </c>
      <c r="E421" t="s">
        <v>825</v>
      </c>
      <c r="F421" t="s">
        <v>825</v>
      </c>
      <c r="G421" s="6">
        <v>948</v>
      </c>
      <c r="H421" s="6"/>
      <c r="I421" s="6">
        <f t="shared" si="30"/>
        <v>445.56</v>
      </c>
      <c r="J421" s="6">
        <f t="shared" si="31"/>
        <v>474</v>
      </c>
      <c r="K421" s="6">
        <f t="shared" si="32"/>
        <v>521.4</v>
      </c>
      <c r="L421" s="6">
        <f t="shared" si="33"/>
        <v>663.6</v>
      </c>
      <c r="M421" s="6">
        <f t="shared" si="34"/>
        <v>805.8</v>
      </c>
    </row>
    <row r="422" spans="1:13">
      <c r="A422" t="s">
        <v>13</v>
      </c>
      <c r="B422" t="s">
        <v>826</v>
      </c>
      <c r="C422" t="s">
        <v>827</v>
      </c>
      <c r="D422" t="s">
        <v>827</v>
      </c>
      <c r="E422" t="s">
        <v>827</v>
      </c>
      <c r="F422" t="s">
        <v>827</v>
      </c>
      <c r="G422" s="6">
        <v>983.4</v>
      </c>
      <c r="H422" s="6"/>
      <c r="I422" s="6">
        <f t="shared" si="30"/>
        <v>462.198</v>
      </c>
      <c r="J422" s="6">
        <f t="shared" si="31"/>
        <v>491.7</v>
      </c>
      <c r="K422" s="6">
        <f t="shared" si="32"/>
        <v>540.87</v>
      </c>
      <c r="L422" s="6">
        <f t="shared" si="33"/>
        <v>688.38</v>
      </c>
      <c r="M422" s="6">
        <f t="shared" si="34"/>
        <v>835.89</v>
      </c>
    </row>
    <row r="423" spans="1:13">
      <c r="A423" t="s">
        <v>13</v>
      </c>
      <c r="B423" t="s">
        <v>828</v>
      </c>
      <c r="C423" t="s">
        <v>829</v>
      </c>
      <c r="D423" t="s">
        <v>829</v>
      </c>
      <c r="E423" t="s">
        <v>829</v>
      </c>
      <c r="F423" t="s">
        <v>829</v>
      </c>
      <c r="G423" s="6">
        <v>894.3</v>
      </c>
      <c r="H423" s="6"/>
      <c r="I423" s="6">
        <f t="shared" si="30"/>
        <v>420.321</v>
      </c>
      <c r="J423" s="6">
        <f t="shared" si="31"/>
        <v>447.15</v>
      </c>
      <c r="K423" s="6">
        <f t="shared" si="32"/>
        <v>491.865</v>
      </c>
      <c r="L423" s="6">
        <f t="shared" si="33"/>
        <v>626.01</v>
      </c>
      <c r="M423" s="6">
        <f t="shared" si="34"/>
        <v>760.155</v>
      </c>
    </row>
    <row r="424" spans="1:13">
      <c r="A424" t="s">
        <v>13</v>
      </c>
      <c r="B424" t="s">
        <v>830</v>
      </c>
      <c r="C424" t="s">
        <v>831</v>
      </c>
      <c r="D424" t="s">
        <v>831</v>
      </c>
      <c r="E424" t="s">
        <v>831</v>
      </c>
      <c r="F424" t="s">
        <v>831</v>
      </c>
      <c r="G424" s="6">
        <v>858.5</v>
      </c>
      <c r="H424" s="6"/>
      <c r="I424" s="6">
        <f t="shared" si="30"/>
        <v>403.495</v>
      </c>
      <c r="J424" s="6">
        <f t="shared" si="31"/>
        <v>429.25</v>
      </c>
      <c r="K424" s="6">
        <f t="shared" si="32"/>
        <v>472.175</v>
      </c>
      <c r="L424" s="6">
        <f t="shared" si="33"/>
        <v>600.95</v>
      </c>
      <c r="M424" s="6">
        <f t="shared" si="34"/>
        <v>729.725</v>
      </c>
    </row>
    <row r="425" spans="1:13">
      <c r="A425" t="s">
        <v>13</v>
      </c>
      <c r="B425" t="s">
        <v>832</v>
      </c>
      <c r="C425" t="s">
        <v>833</v>
      </c>
      <c r="D425" t="s">
        <v>833</v>
      </c>
      <c r="E425" t="s">
        <v>833</v>
      </c>
      <c r="F425" t="s">
        <v>833</v>
      </c>
      <c r="G425" s="6">
        <v>953.8</v>
      </c>
      <c r="H425" s="6"/>
      <c r="I425" s="6">
        <f t="shared" si="30"/>
        <v>448.286</v>
      </c>
      <c r="J425" s="6">
        <f t="shared" si="31"/>
        <v>476.9</v>
      </c>
      <c r="K425" s="6">
        <f t="shared" si="32"/>
        <v>524.59</v>
      </c>
      <c r="L425" s="6">
        <f t="shared" si="33"/>
        <v>667.66</v>
      </c>
      <c r="M425" s="6">
        <f t="shared" si="34"/>
        <v>810.73</v>
      </c>
    </row>
    <row r="426" spans="1:13">
      <c r="A426" t="s">
        <v>13</v>
      </c>
      <c r="B426" t="s">
        <v>834</v>
      </c>
      <c r="C426" t="s">
        <v>835</v>
      </c>
      <c r="D426" t="s">
        <v>835</v>
      </c>
      <c r="E426" t="s">
        <v>835</v>
      </c>
      <c r="F426" t="s">
        <v>835</v>
      </c>
      <c r="G426" s="6">
        <v>917.6</v>
      </c>
      <c r="H426" s="6"/>
      <c r="I426" s="6">
        <f t="shared" si="30"/>
        <v>431.272</v>
      </c>
      <c r="J426" s="6">
        <f t="shared" si="31"/>
        <v>458.8</v>
      </c>
      <c r="K426" s="6">
        <f t="shared" si="32"/>
        <v>504.68</v>
      </c>
      <c r="L426" s="6">
        <f t="shared" si="33"/>
        <v>642.32</v>
      </c>
      <c r="M426" s="6">
        <f t="shared" si="34"/>
        <v>779.96</v>
      </c>
    </row>
    <row r="427" spans="1:13">
      <c r="A427" t="s">
        <v>13</v>
      </c>
      <c r="B427" t="s">
        <v>836</v>
      </c>
      <c r="C427" t="s">
        <v>837</v>
      </c>
      <c r="D427" t="s">
        <v>837</v>
      </c>
      <c r="E427" t="s">
        <v>837</v>
      </c>
      <c r="F427" t="s">
        <v>837</v>
      </c>
      <c r="G427" s="6">
        <v>1042.7</v>
      </c>
      <c r="H427" s="6"/>
      <c r="I427" s="6">
        <f t="shared" si="30"/>
        <v>490.069</v>
      </c>
      <c r="J427" s="6">
        <f t="shared" si="31"/>
        <v>521.35</v>
      </c>
      <c r="K427" s="6">
        <f t="shared" si="32"/>
        <v>573.485</v>
      </c>
      <c r="L427" s="6">
        <f t="shared" si="33"/>
        <v>729.89</v>
      </c>
      <c r="M427" s="6">
        <f t="shared" si="34"/>
        <v>886.295</v>
      </c>
    </row>
    <row r="428" spans="1:13">
      <c r="A428" t="s">
        <v>13</v>
      </c>
      <c r="B428" t="s">
        <v>838</v>
      </c>
      <c r="C428" t="s">
        <v>839</v>
      </c>
      <c r="D428" t="s">
        <v>839</v>
      </c>
      <c r="E428" t="s">
        <v>839</v>
      </c>
      <c r="F428" t="s">
        <v>839</v>
      </c>
      <c r="G428" s="6">
        <v>1007.6</v>
      </c>
      <c r="H428" s="6"/>
      <c r="I428" s="6">
        <f t="shared" si="30"/>
        <v>473.572</v>
      </c>
      <c r="J428" s="6">
        <f t="shared" si="31"/>
        <v>503.8</v>
      </c>
      <c r="K428" s="6">
        <f t="shared" si="32"/>
        <v>554.18</v>
      </c>
      <c r="L428" s="6">
        <f t="shared" si="33"/>
        <v>705.32</v>
      </c>
      <c r="M428" s="6">
        <f t="shared" si="34"/>
        <v>856.46</v>
      </c>
    </row>
    <row r="429" spans="1:13">
      <c r="A429" t="s">
        <v>13</v>
      </c>
      <c r="B429" t="s">
        <v>840</v>
      </c>
      <c r="C429" t="s">
        <v>841</v>
      </c>
      <c r="D429" t="s">
        <v>841</v>
      </c>
      <c r="E429" t="s">
        <v>841</v>
      </c>
      <c r="F429" t="s">
        <v>841</v>
      </c>
      <c r="G429" s="6">
        <v>1042.9</v>
      </c>
      <c r="H429" s="6"/>
      <c r="I429" s="6">
        <f t="shared" si="30"/>
        <v>490.163</v>
      </c>
      <c r="J429" s="6">
        <f t="shared" si="31"/>
        <v>521.45</v>
      </c>
      <c r="K429" s="6">
        <f t="shared" si="32"/>
        <v>573.595</v>
      </c>
      <c r="L429" s="6">
        <f t="shared" si="33"/>
        <v>730.03</v>
      </c>
      <c r="M429" s="6">
        <f t="shared" si="34"/>
        <v>886.465</v>
      </c>
    </row>
    <row r="430" spans="1:13">
      <c r="A430" t="s">
        <v>13</v>
      </c>
      <c r="B430" s="8">
        <v>505.161</v>
      </c>
      <c r="C430" t="s">
        <v>842</v>
      </c>
      <c r="D430" t="s">
        <v>842</v>
      </c>
      <c r="E430" t="s">
        <v>842</v>
      </c>
      <c r="F430" t="s">
        <v>842</v>
      </c>
      <c r="G430" s="6">
        <v>1014.7</v>
      </c>
      <c r="H430" s="6"/>
      <c r="I430" s="6">
        <f t="shared" si="30"/>
        <v>476.909</v>
      </c>
      <c r="J430" s="6">
        <f t="shared" si="31"/>
        <v>507.35</v>
      </c>
      <c r="K430" s="6">
        <f t="shared" si="32"/>
        <v>558.085</v>
      </c>
      <c r="L430" s="6">
        <f t="shared" si="33"/>
        <v>710.29</v>
      </c>
      <c r="M430" s="6">
        <f t="shared" si="34"/>
        <v>862.495</v>
      </c>
    </row>
    <row r="431" spans="1:13">
      <c r="A431" t="s">
        <v>13</v>
      </c>
      <c r="B431" t="s">
        <v>843</v>
      </c>
      <c r="C431" t="s">
        <v>844</v>
      </c>
      <c r="D431" t="s">
        <v>844</v>
      </c>
      <c r="E431" t="s">
        <v>844</v>
      </c>
      <c r="F431" t="s">
        <v>844</v>
      </c>
      <c r="G431" s="6">
        <v>979.7</v>
      </c>
      <c r="H431" s="6"/>
      <c r="I431" s="6">
        <f t="shared" si="30"/>
        <v>460.459</v>
      </c>
      <c r="J431" s="6">
        <f t="shared" si="31"/>
        <v>489.85</v>
      </c>
      <c r="K431" s="6">
        <f t="shared" si="32"/>
        <v>538.835</v>
      </c>
      <c r="L431" s="6">
        <f t="shared" si="33"/>
        <v>685.79</v>
      </c>
      <c r="M431" s="6">
        <f t="shared" si="34"/>
        <v>832.745</v>
      </c>
    </row>
    <row r="432" spans="1:13">
      <c r="A432" t="s">
        <v>13</v>
      </c>
      <c r="B432" t="s">
        <v>845</v>
      </c>
      <c r="C432" t="s">
        <v>846</v>
      </c>
      <c r="D432" t="s">
        <v>846</v>
      </c>
      <c r="E432" t="s">
        <v>846</v>
      </c>
      <c r="F432" t="s">
        <v>846</v>
      </c>
      <c r="G432" s="6">
        <v>1086.5</v>
      </c>
      <c r="H432" s="6"/>
      <c r="I432" s="6">
        <f t="shared" si="30"/>
        <v>510.655</v>
      </c>
      <c r="J432" s="6">
        <f t="shared" si="31"/>
        <v>543.25</v>
      </c>
      <c r="K432" s="6">
        <f t="shared" si="32"/>
        <v>597.575</v>
      </c>
      <c r="L432" s="6">
        <f t="shared" si="33"/>
        <v>760.55</v>
      </c>
      <c r="M432" s="6">
        <f t="shared" si="34"/>
        <v>923.525</v>
      </c>
    </row>
    <row r="433" spans="1:13">
      <c r="A433" t="s">
        <v>13</v>
      </c>
      <c r="B433" t="s">
        <v>847</v>
      </c>
      <c r="C433" t="s">
        <v>848</v>
      </c>
      <c r="D433" t="s">
        <v>848</v>
      </c>
      <c r="E433" t="s">
        <v>848</v>
      </c>
      <c r="F433" t="s">
        <v>848</v>
      </c>
      <c r="G433" s="6">
        <v>1049.8</v>
      </c>
      <c r="H433" s="6"/>
      <c r="I433" s="6">
        <f t="shared" si="30"/>
        <v>493.406</v>
      </c>
      <c r="J433" s="6">
        <f t="shared" si="31"/>
        <v>524.9</v>
      </c>
      <c r="K433" s="6">
        <f t="shared" si="32"/>
        <v>577.39</v>
      </c>
      <c r="L433" s="6">
        <f t="shared" si="33"/>
        <v>734.86</v>
      </c>
      <c r="M433" s="6">
        <f t="shared" si="34"/>
        <v>892.33</v>
      </c>
    </row>
    <row r="434" spans="1:13">
      <c r="A434" t="s">
        <v>13</v>
      </c>
      <c r="B434" t="s">
        <v>849</v>
      </c>
      <c r="C434" t="s">
        <v>850</v>
      </c>
      <c r="D434" t="s">
        <v>850</v>
      </c>
      <c r="E434" t="s">
        <v>850</v>
      </c>
      <c r="F434" t="s">
        <v>850</v>
      </c>
      <c r="G434" s="6">
        <v>1190.4</v>
      </c>
      <c r="H434" s="6"/>
      <c r="I434" s="6">
        <f t="shared" si="30"/>
        <v>559.488</v>
      </c>
      <c r="J434" s="6">
        <f t="shared" si="31"/>
        <v>595.2</v>
      </c>
      <c r="K434" s="6">
        <f t="shared" si="32"/>
        <v>654.72</v>
      </c>
      <c r="L434" s="6">
        <f t="shared" si="33"/>
        <v>833.28</v>
      </c>
      <c r="M434" s="6">
        <f t="shared" si="34"/>
        <v>1011.84</v>
      </c>
    </row>
    <row r="435" spans="1:13">
      <c r="A435" t="s">
        <v>13</v>
      </c>
      <c r="B435" t="s">
        <v>851</v>
      </c>
      <c r="C435" t="s">
        <v>852</v>
      </c>
      <c r="D435" t="s">
        <v>852</v>
      </c>
      <c r="E435" t="s">
        <v>852</v>
      </c>
      <c r="F435" t="s">
        <v>852</v>
      </c>
      <c r="G435" s="6">
        <v>1155.4</v>
      </c>
      <c r="H435" s="6"/>
      <c r="I435" s="6">
        <f t="shared" si="30"/>
        <v>543.038</v>
      </c>
      <c r="J435" s="6">
        <f t="shared" si="31"/>
        <v>577.7</v>
      </c>
      <c r="K435" s="6">
        <f t="shared" si="32"/>
        <v>635.47</v>
      </c>
      <c r="L435" s="6">
        <f t="shared" si="33"/>
        <v>808.78</v>
      </c>
      <c r="M435" s="6">
        <f t="shared" si="34"/>
        <v>982.09</v>
      </c>
    </row>
    <row r="436" spans="1:13">
      <c r="A436" t="s">
        <v>13</v>
      </c>
      <c r="B436" t="s">
        <v>853</v>
      </c>
      <c r="C436" t="s">
        <v>854</v>
      </c>
      <c r="D436" t="s">
        <v>854</v>
      </c>
      <c r="E436" t="s">
        <v>854</v>
      </c>
      <c r="F436" t="s">
        <v>854</v>
      </c>
      <c r="G436" s="6">
        <v>1014.7</v>
      </c>
      <c r="H436" s="6"/>
      <c r="I436" s="6">
        <f t="shared" si="30"/>
        <v>476.909</v>
      </c>
      <c r="J436" s="6">
        <f t="shared" si="31"/>
        <v>507.35</v>
      </c>
      <c r="K436" s="6">
        <f t="shared" si="32"/>
        <v>558.085</v>
      </c>
      <c r="L436" s="6">
        <f t="shared" si="33"/>
        <v>710.29</v>
      </c>
      <c r="M436" s="6">
        <f t="shared" si="34"/>
        <v>862.495</v>
      </c>
    </row>
    <row r="437" spans="1:13">
      <c r="A437" t="s">
        <v>13</v>
      </c>
      <c r="B437" t="s">
        <v>855</v>
      </c>
      <c r="C437" t="s">
        <v>856</v>
      </c>
      <c r="D437" t="s">
        <v>856</v>
      </c>
      <c r="E437" t="s">
        <v>856</v>
      </c>
      <c r="F437" t="s">
        <v>856</v>
      </c>
      <c r="G437" s="6">
        <v>979.7</v>
      </c>
      <c r="H437" s="6"/>
      <c r="I437" s="6">
        <f t="shared" si="30"/>
        <v>460.459</v>
      </c>
      <c r="J437" s="6">
        <f t="shared" si="31"/>
        <v>489.85</v>
      </c>
      <c r="K437" s="6">
        <f t="shared" si="32"/>
        <v>538.835</v>
      </c>
      <c r="L437" s="6">
        <f t="shared" si="33"/>
        <v>685.79</v>
      </c>
      <c r="M437" s="6">
        <f t="shared" si="34"/>
        <v>832.745</v>
      </c>
    </row>
    <row r="438" spans="1:13">
      <c r="A438" t="s">
        <v>13</v>
      </c>
      <c r="B438" t="s">
        <v>857</v>
      </c>
      <c r="C438" t="s">
        <v>858</v>
      </c>
      <c r="D438" t="s">
        <v>858</v>
      </c>
      <c r="E438" t="s">
        <v>858</v>
      </c>
      <c r="F438" t="s">
        <v>858</v>
      </c>
      <c r="G438" s="6">
        <v>1086.5</v>
      </c>
      <c r="H438" s="6"/>
      <c r="I438" s="6">
        <f t="shared" si="30"/>
        <v>510.655</v>
      </c>
      <c r="J438" s="6">
        <f t="shared" si="31"/>
        <v>543.25</v>
      </c>
      <c r="K438" s="6">
        <f t="shared" si="32"/>
        <v>597.575</v>
      </c>
      <c r="L438" s="6">
        <f t="shared" si="33"/>
        <v>760.55</v>
      </c>
      <c r="M438" s="6">
        <f t="shared" si="34"/>
        <v>923.525</v>
      </c>
    </row>
    <row r="439" spans="1:13">
      <c r="A439" t="s">
        <v>13</v>
      </c>
      <c r="B439" t="s">
        <v>859</v>
      </c>
      <c r="C439" t="s">
        <v>860</v>
      </c>
      <c r="D439" t="s">
        <v>860</v>
      </c>
      <c r="E439" t="s">
        <v>860</v>
      </c>
      <c r="F439" t="s">
        <v>860</v>
      </c>
      <c r="G439" s="6">
        <v>1049.8</v>
      </c>
      <c r="H439" s="6"/>
      <c r="I439" s="6">
        <f t="shared" si="30"/>
        <v>493.406</v>
      </c>
      <c r="J439" s="6">
        <f t="shared" si="31"/>
        <v>524.9</v>
      </c>
      <c r="K439" s="6">
        <f t="shared" si="32"/>
        <v>577.39</v>
      </c>
      <c r="L439" s="6">
        <f t="shared" si="33"/>
        <v>734.86</v>
      </c>
      <c r="M439" s="6">
        <f t="shared" si="34"/>
        <v>892.33</v>
      </c>
    </row>
    <row r="440" spans="1:13">
      <c r="A440" t="s">
        <v>13</v>
      </c>
      <c r="B440" t="s">
        <v>861</v>
      </c>
      <c r="C440" t="s">
        <v>862</v>
      </c>
      <c r="D440" t="s">
        <v>862</v>
      </c>
      <c r="E440" t="s">
        <v>862</v>
      </c>
      <c r="F440" t="s">
        <v>862</v>
      </c>
      <c r="G440" s="6">
        <v>1190.4</v>
      </c>
      <c r="H440" s="6"/>
      <c r="I440" s="6">
        <f t="shared" si="30"/>
        <v>559.488</v>
      </c>
      <c r="J440" s="6">
        <f t="shared" si="31"/>
        <v>595.2</v>
      </c>
      <c r="K440" s="6">
        <f t="shared" si="32"/>
        <v>654.72</v>
      </c>
      <c r="L440" s="6">
        <f t="shared" si="33"/>
        <v>833.28</v>
      </c>
      <c r="M440" s="6">
        <f t="shared" si="34"/>
        <v>1011.84</v>
      </c>
    </row>
    <row r="441" spans="1:13">
      <c r="A441" t="s">
        <v>13</v>
      </c>
      <c r="B441" t="s">
        <v>863</v>
      </c>
      <c r="C441" t="s">
        <v>864</v>
      </c>
      <c r="D441" t="s">
        <v>864</v>
      </c>
      <c r="E441" t="s">
        <v>864</v>
      </c>
      <c r="F441" t="s">
        <v>864</v>
      </c>
      <c r="G441" s="6">
        <v>1155.4</v>
      </c>
      <c r="H441" s="6"/>
      <c r="I441" s="6">
        <f t="shared" si="30"/>
        <v>543.038</v>
      </c>
      <c r="J441" s="6">
        <f t="shared" si="31"/>
        <v>577.7</v>
      </c>
      <c r="K441" s="6">
        <f t="shared" si="32"/>
        <v>635.47</v>
      </c>
      <c r="L441" s="6">
        <f t="shared" si="33"/>
        <v>808.78</v>
      </c>
      <c r="M441" s="6">
        <f t="shared" si="34"/>
        <v>982.09</v>
      </c>
    </row>
    <row r="442" spans="1:13">
      <c r="A442" t="s">
        <v>13</v>
      </c>
      <c r="B442" t="s">
        <v>865</v>
      </c>
      <c r="C442" t="s">
        <v>866</v>
      </c>
      <c r="D442" t="s">
        <v>866</v>
      </c>
      <c r="E442" t="s">
        <v>866</v>
      </c>
      <c r="F442" t="s">
        <v>866</v>
      </c>
      <c r="G442" s="6">
        <v>701.4</v>
      </c>
      <c r="H442" s="6"/>
      <c r="I442" s="6">
        <f t="shared" si="30"/>
        <v>329.658</v>
      </c>
      <c r="J442" s="6">
        <f t="shared" si="31"/>
        <v>350.7</v>
      </c>
      <c r="K442" s="6">
        <f t="shared" si="32"/>
        <v>385.77</v>
      </c>
      <c r="L442" s="6">
        <f t="shared" si="33"/>
        <v>490.98</v>
      </c>
      <c r="M442" s="6">
        <f t="shared" si="34"/>
        <v>596.19</v>
      </c>
    </row>
    <row r="443" spans="1:13">
      <c r="A443" t="s">
        <v>13</v>
      </c>
      <c r="B443" t="s">
        <v>867</v>
      </c>
      <c r="C443" t="s">
        <v>868</v>
      </c>
      <c r="D443" t="s">
        <v>868</v>
      </c>
      <c r="E443" t="s">
        <v>868</v>
      </c>
      <c r="F443" t="s">
        <v>868</v>
      </c>
      <c r="G443" s="6">
        <v>777.4</v>
      </c>
      <c r="H443" s="6"/>
      <c r="I443" s="6">
        <f t="shared" si="30"/>
        <v>365.378</v>
      </c>
      <c r="J443" s="6">
        <f t="shared" si="31"/>
        <v>388.7</v>
      </c>
      <c r="K443" s="6">
        <f t="shared" si="32"/>
        <v>427.57</v>
      </c>
      <c r="L443" s="6">
        <f t="shared" si="33"/>
        <v>544.18</v>
      </c>
      <c r="M443" s="6">
        <f t="shared" si="34"/>
        <v>660.79</v>
      </c>
    </row>
    <row r="444" spans="1:13">
      <c r="A444" t="s">
        <v>13</v>
      </c>
      <c r="B444" t="s">
        <v>869</v>
      </c>
      <c r="C444" t="s">
        <v>870</v>
      </c>
      <c r="D444" t="s">
        <v>870</v>
      </c>
      <c r="E444" t="s">
        <v>870</v>
      </c>
      <c r="F444" t="s">
        <v>870</v>
      </c>
      <c r="G444" s="6">
        <v>759.9</v>
      </c>
      <c r="H444" s="6"/>
      <c r="I444" s="6">
        <f t="shared" si="30"/>
        <v>357.153</v>
      </c>
      <c r="J444" s="6">
        <f t="shared" si="31"/>
        <v>379.95</v>
      </c>
      <c r="K444" s="6">
        <f t="shared" si="32"/>
        <v>417.945</v>
      </c>
      <c r="L444" s="6">
        <f t="shared" si="33"/>
        <v>531.93</v>
      </c>
      <c r="M444" s="6">
        <f t="shared" si="34"/>
        <v>645.915</v>
      </c>
    </row>
    <row r="445" spans="1:13">
      <c r="A445" t="s">
        <v>13</v>
      </c>
      <c r="B445" t="s">
        <v>871</v>
      </c>
      <c r="C445" t="s">
        <v>872</v>
      </c>
      <c r="D445" t="s">
        <v>872</v>
      </c>
      <c r="E445" t="s">
        <v>872</v>
      </c>
      <c r="F445" t="s">
        <v>872</v>
      </c>
      <c r="G445" s="6">
        <v>759.9</v>
      </c>
      <c r="H445" s="6"/>
      <c r="I445" s="6">
        <f t="shared" si="30"/>
        <v>357.153</v>
      </c>
      <c r="J445" s="6">
        <f t="shared" si="31"/>
        <v>379.95</v>
      </c>
      <c r="K445" s="6">
        <f t="shared" si="32"/>
        <v>417.945</v>
      </c>
      <c r="L445" s="6">
        <f t="shared" si="33"/>
        <v>531.93</v>
      </c>
      <c r="M445" s="6">
        <f t="shared" si="34"/>
        <v>645.915</v>
      </c>
    </row>
    <row r="446" spans="1:13">
      <c r="A446" t="s">
        <v>13</v>
      </c>
      <c r="B446" t="s">
        <v>873</v>
      </c>
      <c r="C446" t="s">
        <v>874</v>
      </c>
      <c r="D446" t="s">
        <v>874</v>
      </c>
      <c r="E446" t="s">
        <v>874</v>
      </c>
      <c r="F446" t="s">
        <v>874</v>
      </c>
      <c r="G446" s="6">
        <v>847.6</v>
      </c>
      <c r="H446" s="6"/>
      <c r="I446" s="6">
        <f t="shared" si="30"/>
        <v>398.372</v>
      </c>
      <c r="J446" s="6">
        <f t="shared" si="31"/>
        <v>423.8</v>
      </c>
      <c r="K446" s="6">
        <f t="shared" si="32"/>
        <v>466.18</v>
      </c>
      <c r="L446" s="6">
        <f t="shared" si="33"/>
        <v>593.32</v>
      </c>
      <c r="M446" s="6">
        <f t="shared" si="34"/>
        <v>720.46</v>
      </c>
    </row>
    <row r="447" spans="1:13">
      <c r="A447" t="s">
        <v>13</v>
      </c>
      <c r="B447" t="s">
        <v>875</v>
      </c>
      <c r="C447" t="s">
        <v>876</v>
      </c>
      <c r="D447" t="s">
        <v>876</v>
      </c>
      <c r="E447" t="s">
        <v>876</v>
      </c>
      <c r="F447" t="s">
        <v>876</v>
      </c>
      <c r="G447" s="6">
        <v>830</v>
      </c>
      <c r="H447" s="6"/>
      <c r="I447" s="6">
        <f t="shared" si="30"/>
        <v>390.1</v>
      </c>
      <c r="J447" s="6">
        <f t="shared" si="31"/>
        <v>415</v>
      </c>
      <c r="K447" s="6">
        <f t="shared" si="32"/>
        <v>456.5</v>
      </c>
      <c r="L447" s="6">
        <f t="shared" si="33"/>
        <v>581</v>
      </c>
      <c r="M447" s="6">
        <f t="shared" si="34"/>
        <v>705.5</v>
      </c>
    </row>
    <row r="448" spans="1:13">
      <c r="A448" t="s">
        <v>13</v>
      </c>
      <c r="B448" t="s">
        <v>877</v>
      </c>
      <c r="C448" t="s">
        <v>878</v>
      </c>
      <c r="D448" t="s">
        <v>878</v>
      </c>
      <c r="E448" t="s">
        <v>878</v>
      </c>
      <c r="F448" t="s">
        <v>878</v>
      </c>
      <c r="G448" s="6">
        <v>819.5</v>
      </c>
      <c r="H448" s="6"/>
      <c r="I448" s="6">
        <f t="shared" si="30"/>
        <v>385.165</v>
      </c>
      <c r="J448" s="6">
        <f t="shared" si="31"/>
        <v>409.75</v>
      </c>
      <c r="K448" s="6">
        <f t="shared" si="32"/>
        <v>450.725</v>
      </c>
      <c r="L448" s="6">
        <f t="shared" si="33"/>
        <v>573.65</v>
      </c>
      <c r="M448" s="6">
        <f t="shared" si="34"/>
        <v>696.575</v>
      </c>
    </row>
    <row r="449" spans="1:13">
      <c r="A449" t="s">
        <v>13</v>
      </c>
      <c r="B449" t="s">
        <v>879</v>
      </c>
      <c r="C449" t="s">
        <v>880</v>
      </c>
      <c r="D449" t="s">
        <v>880</v>
      </c>
      <c r="E449" t="s">
        <v>880</v>
      </c>
      <c r="F449" t="s">
        <v>880</v>
      </c>
      <c r="G449" s="6">
        <v>914.6</v>
      </c>
      <c r="H449" s="6"/>
      <c r="I449" s="6">
        <f t="shared" si="30"/>
        <v>429.862</v>
      </c>
      <c r="J449" s="6">
        <f t="shared" si="31"/>
        <v>457.3</v>
      </c>
      <c r="K449" s="6">
        <f t="shared" si="32"/>
        <v>503.03</v>
      </c>
      <c r="L449" s="6">
        <f t="shared" si="33"/>
        <v>640.22</v>
      </c>
      <c r="M449" s="6">
        <f t="shared" si="34"/>
        <v>777.41</v>
      </c>
    </row>
    <row r="450" spans="1:13">
      <c r="A450" t="s">
        <v>13</v>
      </c>
      <c r="B450" t="s">
        <v>881</v>
      </c>
      <c r="C450" t="s">
        <v>882</v>
      </c>
      <c r="D450" t="s">
        <v>882</v>
      </c>
      <c r="E450" t="s">
        <v>882</v>
      </c>
      <c r="F450" t="s">
        <v>882</v>
      </c>
      <c r="G450" s="6">
        <v>896.2</v>
      </c>
      <c r="H450" s="6"/>
      <c r="I450" s="6">
        <f t="shared" si="30"/>
        <v>421.214</v>
      </c>
      <c r="J450" s="6">
        <f t="shared" si="31"/>
        <v>448.1</v>
      </c>
      <c r="K450" s="6">
        <f t="shared" si="32"/>
        <v>492.91</v>
      </c>
      <c r="L450" s="6">
        <f t="shared" si="33"/>
        <v>627.34</v>
      </c>
      <c r="M450" s="6">
        <f t="shared" si="34"/>
        <v>761.77</v>
      </c>
    </row>
    <row r="451" spans="1:13">
      <c r="A451" t="s">
        <v>13</v>
      </c>
      <c r="B451" t="s">
        <v>883</v>
      </c>
      <c r="C451" t="s">
        <v>884</v>
      </c>
      <c r="D451" t="s">
        <v>884</v>
      </c>
      <c r="E451" t="s">
        <v>884</v>
      </c>
      <c r="F451" t="s">
        <v>884</v>
      </c>
      <c r="G451" s="6">
        <v>125</v>
      </c>
      <c r="H451" s="6"/>
      <c r="I451" s="6">
        <f t="shared" ref="I451:I514" si="35">G451*0.47</f>
        <v>58.75</v>
      </c>
      <c r="J451" s="6">
        <f t="shared" ref="J451:J514" si="36">G451*0.5</f>
        <v>62.5</v>
      </c>
      <c r="K451" s="6">
        <f t="shared" ref="K451:K514" si="37">G451*0.55</f>
        <v>68.75</v>
      </c>
      <c r="L451" s="6">
        <f t="shared" ref="L451:L514" si="38">G451*0.7</f>
        <v>87.5</v>
      </c>
      <c r="M451" s="6">
        <f t="shared" ref="M451:M514" si="39">G451*0.85</f>
        <v>106.25</v>
      </c>
    </row>
    <row r="452" spans="1:13">
      <c r="A452" t="s">
        <v>13</v>
      </c>
      <c r="B452" t="s">
        <v>885</v>
      </c>
      <c r="C452" t="s">
        <v>886</v>
      </c>
      <c r="D452" t="s">
        <v>886</v>
      </c>
      <c r="E452" t="s">
        <v>886</v>
      </c>
      <c r="F452" t="s">
        <v>886</v>
      </c>
      <c r="G452" s="6">
        <v>130</v>
      </c>
      <c r="H452" s="6"/>
      <c r="I452" s="6">
        <f t="shared" si="35"/>
        <v>61.1</v>
      </c>
      <c r="J452" s="6">
        <f t="shared" si="36"/>
        <v>65</v>
      </c>
      <c r="K452" s="6">
        <f t="shared" si="37"/>
        <v>71.5</v>
      </c>
      <c r="L452" s="6">
        <f t="shared" si="38"/>
        <v>91</v>
      </c>
      <c r="M452" s="6">
        <f t="shared" si="39"/>
        <v>110.5</v>
      </c>
    </row>
    <row r="453" spans="1:13">
      <c r="A453" t="s">
        <v>13</v>
      </c>
      <c r="B453" t="s">
        <v>887</v>
      </c>
      <c r="C453" t="s">
        <v>888</v>
      </c>
      <c r="D453" t="s">
        <v>888</v>
      </c>
      <c r="E453" t="s">
        <v>888</v>
      </c>
      <c r="F453" t="s">
        <v>888</v>
      </c>
      <c r="G453" s="6">
        <v>135</v>
      </c>
      <c r="H453" s="6"/>
      <c r="I453" s="6">
        <f t="shared" si="35"/>
        <v>63.45</v>
      </c>
      <c r="J453" s="6">
        <f t="shared" si="36"/>
        <v>67.5</v>
      </c>
      <c r="K453" s="6">
        <f t="shared" si="37"/>
        <v>74.25</v>
      </c>
      <c r="L453" s="6">
        <f t="shared" si="38"/>
        <v>94.5</v>
      </c>
      <c r="M453" s="6">
        <f t="shared" si="39"/>
        <v>114.75</v>
      </c>
    </row>
    <row r="454" spans="1:13">
      <c r="A454" t="s">
        <v>13</v>
      </c>
      <c r="B454" t="s">
        <v>889</v>
      </c>
      <c r="C454" t="s">
        <v>890</v>
      </c>
      <c r="D454" t="s">
        <v>890</v>
      </c>
      <c r="E454" t="s">
        <v>890</v>
      </c>
      <c r="F454" t="s">
        <v>890</v>
      </c>
      <c r="G454" s="6">
        <v>200</v>
      </c>
      <c r="H454" s="6"/>
      <c r="I454" s="6">
        <f t="shared" si="35"/>
        <v>94</v>
      </c>
      <c r="J454" s="6">
        <f t="shared" si="36"/>
        <v>100</v>
      </c>
      <c r="K454" s="6">
        <f t="shared" si="37"/>
        <v>110</v>
      </c>
      <c r="L454" s="6">
        <f t="shared" si="38"/>
        <v>140</v>
      </c>
      <c r="M454" s="6">
        <f t="shared" si="39"/>
        <v>170</v>
      </c>
    </row>
    <row r="455" spans="1:13">
      <c r="A455" t="s">
        <v>13</v>
      </c>
      <c r="B455" t="s">
        <v>891</v>
      </c>
      <c r="C455" t="s">
        <v>892</v>
      </c>
      <c r="D455" t="s">
        <v>892</v>
      </c>
      <c r="E455" t="s">
        <v>892</v>
      </c>
      <c r="F455" t="s">
        <v>892</v>
      </c>
      <c r="G455" s="6">
        <v>242.5</v>
      </c>
      <c r="H455" s="6"/>
      <c r="I455" s="6">
        <f t="shared" si="35"/>
        <v>113.975</v>
      </c>
      <c r="J455" s="6">
        <f t="shared" si="36"/>
        <v>121.25</v>
      </c>
      <c r="K455" s="6">
        <f t="shared" si="37"/>
        <v>133.375</v>
      </c>
      <c r="L455" s="6">
        <f t="shared" si="38"/>
        <v>169.75</v>
      </c>
      <c r="M455" s="6">
        <f t="shared" si="39"/>
        <v>206.125</v>
      </c>
    </row>
    <row r="456" spans="1:13">
      <c r="A456" t="s">
        <v>13</v>
      </c>
      <c r="B456" t="s">
        <v>893</v>
      </c>
      <c r="C456" t="s">
        <v>894</v>
      </c>
      <c r="D456" t="s">
        <v>894</v>
      </c>
      <c r="E456" t="s">
        <v>894</v>
      </c>
      <c r="F456" t="s">
        <v>894</v>
      </c>
      <c r="G456" s="6">
        <v>270</v>
      </c>
      <c r="H456" s="6"/>
      <c r="I456" s="6">
        <f t="shared" si="35"/>
        <v>126.9</v>
      </c>
      <c r="J456" s="6">
        <f t="shared" si="36"/>
        <v>135</v>
      </c>
      <c r="K456" s="6">
        <f t="shared" si="37"/>
        <v>148.5</v>
      </c>
      <c r="L456" s="6">
        <f t="shared" si="38"/>
        <v>189</v>
      </c>
      <c r="M456" s="6">
        <f t="shared" si="39"/>
        <v>229.5</v>
      </c>
    </row>
    <row r="457" spans="1:13">
      <c r="A457" t="s">
        <v>13</v>
      </c>
      <c r="B457" t="s">
        <v>895</v>
      </c>
      <c r="C457" t="s">
        <v>896</v>
      </c>
      <c r="D457" t="s">
        <v>896</v>
      </c>
      <c r="E457" t="s">
        <v>896</v>
      </c>
      <c r="F457" t="s">
        <v>896</v>
      </c>
      <c r="G457" s="6">
        <v>337.4</v>
      </c>
      <c r="H457" s="6"/>
      <c r="I457" s="6">
        <f t="shared" si="35"/>
        <v>158.578</v>
      </c>
      <c r="J457" s="6">
        <f t="shared" si="36"/>
        <v>168.7</v>
      </c>
      <c r="K457" s="6">
        <f t="shared" si="37"/>
        <v>185.57</v>
      </c>
      <c r="L457" s="6">
        <f t="shared" si="38"/>
        <v>236.18</v>
      </c>
      <c r="M457" s="6">
        <f t="shared" si="39"/>
        <v>286.79</v>
      </c>
    </row>
    <row r="458" spans="1:13">
      <c r="A458" t="s">
        <v>13</v>
      </c>
      <c r="B458" t="s">
        <v>897</v>
      </c>
      <c r="C458" t="s">
        <v>898</v>
      </c>
      <c r="D458" t="s">
        <v>898</v>
      </c>
      <c r="E458" t="s">
        <v>898</v>
      </c>
      <c r="F458" t="s">
        <v>898</v>
      </c>
      <c r="G458" s="6">
        <v>378.2</v>
      </c>
      <c r="H458" s="6"/>
      <c r="I458" s="6">
        <f t="shared" si="35"/>
        <v>177.754</v>
      </c>
      <c r="J458" s="6">
        <f t="shared" si="36"/>
        <v>189.1</v>
      </c>
      <c r="K458" s="6">
        <f t="shared" si="37"/>
        <v>208.01</v>
      </c>
      <c r="L458" s="6">
        <f t="shared" si="38"/>
        <v>264.74</v>
      </c>
      <c r="M458" s="6">
        <f t="shared" si="39"/>
        <v>321.47</v>
      </c>
    </row>
    <row r="459" spans="1:13">
      <c r="A459" t="s">
        <v>13</v>
      </c>
      <c r="B459" t="s">
        <v>899</v>
      </c>
      <c r="C459" t="s">
        <v>900</v>
      </c>
      <c r="D459" t="s">
        <v>900</v>
      </c>
      <c r="E459" t="s">
        <v>900</v>
      </c>
      <c r="F459" t="s">
        <v>900</v>
      </c>
      <c r="G459" s="6">
        <v>378.2</v>
      </c>
      <c r="H459" s="6"/>
      <c r="I459" s="6">
        <f t="shared" si="35"/>
        <v>177.754</v>
      </c>
      <c r="J459" s="6">
        <f t="shared" si="36"/>
        <v>189.1</v>
      </c>
      <c r="K459" s="6">
        <f t="shared" si="37"/>
        <v>208.01</v>
      </c>
      <c r="L459" s="6">
        <f t="shared" si="38"/>
        <v>264.74</v>
      </c>
      <c r="M459" s="6">
        <f t="shared" si="39"/>
        <v>321.47</v>
      </c>
    </row>
    <row r="460" spans="1:13">
      <c r="A460" t="s">
        <v>13</v>
      </c>
      <c r="B460" t="s">
        <v>901</v>
      </c>
      <c r="C460" t="s">
        <v>902</v>
      </c>
      <c r="D460" t="s">
        <v>902</v>
      </c>
      <c r="E460" t="s">
        <v>902</v>
      </c>
      <c r="F460" t="s">
        <v>902</v>
      </c>
      <c r="G460" s="6">
        <v>378.2</v>
      </c>
      <c r="H460" s="6"/>
      <c r="I460" s="6">
        <f t="shared" si="35"/>
        <v>177.754</v>
      </c>
      <c r="J460" s="6">
        <f t="shared" si="36"/>
        <v>189.1</v>
      </c>
      <c r="K460" s="6">
        <f t="shared" si="37"/>
        <v>208.01</v>
      </c>
      <c r="L460" s="6">
        <f t="shared" si="38"/>
        <v>264.74</v>
      </c>
      <c r="M460" s="6">
        <f t="shared" si="39"/>
        <v>321.47</v>
      </c>
    </row>
    <row r="461" spans="1:13">
      <c r="A461" t="s">
        <v>13</v>
      </c>
      <c r="B461" t="s">
        <v>903</v>
      </c>
      <c r="C461" t="s">
        <v>904</v>
      </c>
      <c r="D461" t="s">
        <v>904</v>
      </c>
      <c r="E461" t="s">
        <v>904</v>
      </c>
      <c r="F461" t="s">
        <v>904</v>
      </c>
      <c r="G461" s="6">
        <v>378.2</v>
      </c>
      <c r="H461" s="6"/>
      <c r="I461" s="6">
        <f t="shared" si="35"/>
        <v>177.754</v>
      </c>
      <c r="J461" s="6">
        <f t="shared" si="36"/>
        <v>189.1</v>
      </c>
      <c r="K461" s="6">
        <f t="shared" si="37"/>
        <v>208.01</v>
      </c>
      <c r="L461" s="6">
        <f t="shared" si="38"/>
        <v>264.74</v>
      </c>
      <c r="M461" s="6">
        <f t="shared" si="39"/>
        <v>321.47</v>
      </c>
    </row>
    <row r="462" spans="1:13">
      <c r="A462" t="s">
        <v>13</v>
      </c>
      <c r="B462" t="s">
        <v>905</v>
      </c>
      <c r="C462" t="s">
        <v>906</v>
      </c>
      <c r="D462" t="s">
        <v>906</v>
      </c>
      <c r="E462" t="s">
        <v>906</v>
      </c>
      <c r="F462" t="s">
        <v>906</v>
      </c>
      <c r="G462" s="6">
        <v>378.2</v>
      </c>
      <c r="H462" s="6"/>
      <c r="I462" s="6">
        <f t="shared" si="35"/>
        <v>177.754</v>
      </c>
      <c r="J462" s="6">
        <f t="shared" si="36"/>
        <v>189.1</v>
      </c>
      <c r="K462" s="6">
        <f t="shared" si="37"/>
        <v>208.01</v>
      </c>
      <c r="L462" s="6">
        <f t="shared" si="38"/>
        <v>264.74</v>
      </c>
      <c r="M462" s="6">
        <f t="shared" si="39"/>
        <v>321.47</v>
      </c>
    </row>
    <row r="463" spans="1:13">
      <c r="A463" t="s">
        <v>13</v>
      </c>
      <c r="B463" t="s">
        <v>907</v>
      </c>
      <c r="C463" t="s">
        <v>908</v>
      </c>
      <c r="D463" t="s">
        <v>908</v>
      </c>
      <c r="E463" t="s">
        <v>908</v>
      </c>
      <c r="F463" t="s">
        <v>908</v>
      </c>
      <c r="G463" s="6">
        <v>378.2</v>
      </c>
      <c r="H463" s="6"/>
      <c r="I463" s="6">
        <f t="shared" si="35"/>
        <v>177.754</v>
      </c>
      <c r="J463" s="6">
        <f t="shared" si="36"/>
        <v>189.1</v>
      </c>
      <c r="K463" s="6">
        <f t="shared" si="37"/>
        <v>208.01</v>
      </c>
      <c r="L463" s="6">
        <f t="shared" si="38"/>
        <v>264.74</v>
      </c>
      <c r="M463" s="6">
        <f t="shared" si="39"/>
        <v>321.47</v>
      </c>
    </row>
    <row r="464" spans="1:13">
      <c r="A464" t="s">
        <v>13</v>
      </c>
      <c r="B464" t="s">
        <v>909</v>
      </c>
      <c r="C464" t="s">
        <v>910</v>
      </c>
      <c r="D464" t="s">
        <v>910</v>
      </c>
      <c r="E464" t="s">
        <v>910</v>
      </c>
      <c r="F464" t="s">
        <v>910</v>
      </c>
      <c r="G464" s="6">
        <v>681.2</v>
      </c>
      <c r="H464" s="6"/>
      <c r="I464" s="6">
        <f t="shared" si="35"/>
        <v>320.164</v>
      </c>
      <c r="J464" s="6">
        <f t="shared" si="36"/>
        <v>340.6</v>
      </c>
      <c r="K464" s="6">
        <f t="shared" si="37"/>
        <v>374.66</v>
      </c>
      <c r="L464" s="6">
        <f t="shared" si="38"/>
        <v>476.84</v>
      </c>
      <c r="M464" s="6">
        <f t="shared" si="39"/>
        <v>579.02</v>
      </c>
    </row>
    <row r="465" spans="1:13">
      <c r="A465" t="s">
        <v>13</v>
      </c>
      <c r="B465" t="s">
        <v>911</v>
      </c>
      <c r="C465" t="s">
        <v>912</v>
      </c>
      <c r="D465" t="s">
        <v>912</v>
      </c>
      <c r="E465" t="s">
        <v>912</v>
      </c>
      <c r="F465" t="s">
        <v>912</v>
      </c>
      <c r="G465" s="6">
        <v>1020.9</v>
      </c>
      <c r="H465" s="6"/>
      <c r="I465" s="6">
        <f t="shared" si="35"/>
        <v>479.823</v>
      </c>
      <c r="J465" s="6">
        <f t="shared" si="36"/>
        <v>510.45</v>
      </c>
      <c r="K465" s="6">
        <f t="shared" si="37"/>
        <v>561.495</v>
      </c>
      <c r="L465" s="6">
        <f t="shared" si="38"/>
        <v>714.63</v>
      </c>
      <c r="M465" s="6">
        <f t="shared" si="39"/>
        <v>867.765</v>
      </c>
    </row>
    <row r="466" spans="1:13">
      <c r="A466" t="s">
        <v>13</v>
      </c>
      <c r="B466" t="s">
        <v>913</v>
      </c>
      <c r="C466" t="s">
        <v>914</v>
      </c>
      <c r="D466" t="s">
        <v>914</v>
      </c>
      <c r="E466" t="s">
        <v>914</v>
      </c>
      <c r="F466" t="s">
        <v>914</v>
      </c>
      <c r="G466" s="6">
        <v>378.2</v>
      </c>
      <c r="H466" s="6"/>
      <c r="I466" s="6">
        <f t="shared" si="35"/>
        <v>177.754</v>
      </c>
      <c r="J466" s="6">
        <f t="shared" si="36"/>
        <v>189.1</v>
      </c>
      <c r="K466" s="6">
        <f t="shared" si="37"/>
        <v>208.01</v>
      </c>
      <c r="L466" s="6">
        <f t="shared" si="38"/>
        <v>264.74</v>
      </c>
      <c r="M466" s="6">
        <f t="shared" si="39"/>
        <v>321.47</v>
      </c>
    </row>
    <row r="467" spans="1:13">
      <c r="A467" t="s">
        <v>13</v>
      </c>
      <c r="B467" t="s">
        <v>915</v>
      </c>
      <c r="C467" t="s">
        <v>916</v>
      </c>
      <c r="D467" t="s">
        <v>916</v>
      </c>
      <c r="E467" t="s">
        <v>916</v>
      </c>
      <c r="F467" t="s">
        <v>916</v>
      </c>
      <c r="G467" s="6">
        <v>681.2</v>
      </c>
      <c r="H467" s="6"/>
      <c r="I467" s="6">
        <f t="shared" si="35"/>
        <v>320.164</v>
      </c>
      <c r="J467" s="6">
        <f t="shared" si="36"/>
        <v>340.6</v>
      </c>
      <c r="K467" s="6">
        <f t="shared" si="37"/>
        <v>374.66</v>
      </c>
      <c r="L467" s="6">
        <f t="shared" si="38"/>
        <v>476.84</v>
      </c>
      <c r="M467" s="6">
        <f t="shared" si="39"/>
        <v>579.02</v>
      </c>
    </row>
    <row r="468" spans="1:13">
      <c r="A468" t="s">
        <v>13</v>
      </c>
      <c r="B468" t="s">
        <v>917</v>
      </c>
      <c r="C468" t="s">
        <v>918</v>
      </c>
      <c r="D468" t="s">
        <v>918</v>
      </c>
      <c r="E468" t="s">
        <v>918</v>
      </c>
      <c r="F468" t="s">
        <v>918</v>
      </c>
      <c r="G468" s="6">
        <v>1020.9</v>
      </c>
      <c r="H468" s="6"/>
      <c r="I468" s="6">
        <f t="shared" si="35"/>
        <v>479.823</v>
      </c>
      <c r="J468" s="6">
        <f t="shared" si="36"/>
        <v>510.45</v>
      </c>
      <c r="K468" s="6">
        <f t="shared" si="37"/>
        <v>561.495</v>
      </c>
      <c r="L468" s="6">
        <f t="shared" si="38"/>
        <v>714.63</v>
      </c>
      <c r="M468" s="6">
        <f t="shared" si="39"/>
        <v>867.765</v>
      </c>
    </row>
    <row r="469" spans="1:13">
      <c r="A469" t="s">
        <v>13</v>
      </c>
      <c r="B469" t="s">
        <v>919</v>
      </c>
      <c r="C469" t="s">
        <v>920</v>
      </c>
      <c r="D469" t="s">
        <v>920</v>
      </c>
      <c r="E469" t="s">
        <v>920</v>
      </c>
      <c r="F469" t="s">
        <v>920</v>
      </c>
      <c r="G469" s="6">
        <v>378.2</v>
      </c>
      <c r="H469" s="6"/>
      <c r="I469" s="6">
        <f t="shared" si="35"/>
        <v>177.754</v>
      </c>
      <c r="J469" s="6">
        <f t="shared" si="36"/>
        <v>189.1</v>
      </c>
      <c r="K469" s="6">
        <f t="shared" si="37"/>
        <v>208.01</v>
      </c>
      <c r="L469" s="6">
        <f t="shared" si="38"/>
        <v>264.74</v>
      </c>
      <c r="M469" s="6">
        <f t="shared" si="39"/>
        <v>321.47</v>
      </c>
    </row>
    <row r="470" spans="1:13">
      <c r="A470" t="s">
        <v>13</v>
      </c>
      <c r="B470" t="s">
        <v>921</v>
      </c>
      <c r="C470" t="s">
        <v>922</v>
      </c>
      <c r="D470" t="s">
        <v>922</v>
      </c>
      <c r="E470" t="s">
        <v>922</v>
      </c>
      <c r="F470" t="s">
        <v>922</v>
      </c>
      <c r="G470" s="6">
        <v>681.2</v>
      </c>
      <c r="H470" s="6"/>
      <c r="I470" s="6">
        <f t="shared" si="35"/>
        <v>320.164</v>
      </c>
      <c r="J470" s="6">
        <f t="shared" si="36"/>
        <v>340.6</v>
      </c>
      <c r="K470" s="6">
        <f t="shared" si="37"/>
        <v>374.66</v>
      </c>
      <c r="L470" s="6">
        <f t="shared" si="38"/>
        <v>476.84</v>
      </c>
      <c r="M470" s="6">
        <f t="shared" si="39"/>
        <v>579.02</v>
      </c>
    </row>
    <row r="471" spans="1:13">
      <c r="A471" t="s">
        <v>13</v>
      </c>
      <c r="B471" t="s">
        <v>923</v>
      </c>
      <c r="C471" t="s">
        <v>924</v>
      </c>
      <c r="D471" t="s">
        <v>924</v>
      </c>
      <c r="E471" t="s">
        <v>924</v>
      </c>
      <c r="F471" t="s">
        <v>924</v>
      </c>
      <c r="G471" s="6">
        <v>1020.9</v>
      </c>
      <c r="H471" s="6"/>
      <c r="I471" s="6">
        <f t="shared" si="35"/>
        <v>479.823</v>
      </c>
      <c r="J471" s="6">
        <f t="shared" si="36"/>
        <v>510.45</v>
      </c>
      <c r="K471" s="6">
        <f t="shared" si="37"/>
        <v>561.495</v>
      </c>
      <c r="L471" s="6">
        <f t="shared" si="38"/>
        <v>714.63</v>
      </c>
      <c r="M471" s="6">
        <f t="shared" si="39"/>
        <v>867.765</v>
      </c>
    </row>
    <row r="472" spans="1:13">
      <c r="A472" t="s">
        <v>13</v>
      </c>
      <c r="B472" t="s">
        <v>925</v>
      </c>
      <c r="C472" t="s">
        <v>926</v>
      </c>
      <c r="D472" t="s">
        <v>926</v>
      </c>
      <c r="E472" t="s">
        <v>926</v>
      </c>
      <c r="F472" t="s">
        <v>926</v>
      </c>
      <c r="G472" s="6">
        <v>101.2</v>
      </c>
      <c r="H472" s="6"/>
      <c r="I472" s="6">
        <f t="shared" si="35"/>
        <v>47.564</v>
      </c>
      <c r="J472" s="6">
        <f t="shared" si="36"/>
        <v>50.6</v>
      </c>
      <c r="K472" s="6">
        <f t="shared" si="37"/>
        <v>55.66</v>
      </c>
      <c r="L472" s="6">
        <f t="shared" si="38"/>
        <v>70.84</v>
      </c>
      <c r="M472" s="6">
        <f t="shared" si="39"/>
        <v>86.02</v>
      </c>
    </row>
    <row r="473" spans="1:13">
      <c r="A473" t="s">
        <v>13</v>
      </c>
      <c r="B473" t="s">
        <v>927</v>
      </c>
      <c r="C473" t="s">
        <v>928</v>
      </c>
      <c r="D473" t="s">
        <v>928</v>
      </c>
      <c r="E473" t="s">
        <v>928</v>
      </c>
      <c r="F473" t="s">
        <v>928</v>
      </c>
      <c r="G473" s="6">
        <v>123.75</v>
      </c>
      <c r="H473" s="6"/>
      <c r="I473" s="6">
        <f t="shared" si="35"/>
        <v>58.1625</v>
      </c>
      <c r="J473" s="6">
        <f t="shared" si="36"/>
        <v>61.875</v>
      </c>
      <c r="K473" s="6">
        <f t="shared" si="37"/>
        <v>68.0625</v>
      </c>
      <c r="L473" s="6">
        <f t="shared" si="38"/>
        <v>86.625</v>
      </c>
      <c r="M473" s="6">
        <f t="shared" si="39"/>
        <v>105.1875</v>
      </c>
    </row>
    <row r="474" spans="1:13">
      <c r="A474" t="s">
        <v>13</v>
      </c>
      <c r="B474" t="s">
        <v>929</v>
      </c>
      <c r="C474" t="s">
        <v>930</v>
      </c>
      <c r="D474" t="s">
        <v>930</v>
      </c>
      <c r="E474" t="s">
        <v>930</v>
      </c>
      <c r="F474" t="s">
        <v>930</v>
      </c>
      <c r="G474" s="6">
        <v>101.2</v>
      </c>
      <c r="H474" s="6"/>
      <c r="I474" s="6">
        <f t="shared" si="35"/>
        <v>47.564</v>
      </c>
      <c r="J474" s="6">
        <f t="shared" si="36"/>
        <v>50.6</v>
      </c>
      <c r="K474" s="6">
        <f t="shared" si="37"/>
        <v>55.66</v>
      </c>
      <c r="L474" s="6">
        <f t="shared" si="38"/>
        <v>70.84</v>
      </c>
      <c r="M474" s="6">
        <f t="shared" si="39"/>
        <v>86.02</v>
      </c>
    </row>
    <row r="475" spans="1:13">
      <c r="A475" t="s">
        <v>13</v>
      </c>
      <c r="B475" t="s">
        <v>931</v>
      </c>
      <c r="C475" t="s">
        <v>932</v>
      </c>
      <c r="D475" t="s">
        <v>932</v>
      </c>
      <c r="E475" t="s">
        <v>932</v>
      </c>
      <c r="F475" t="s">
        <v>932</v>
      </c>
      <c r="G475" s="6">
        <v>123.75</v>
      </c>
      <c r="H475" s="6"/>
      <c r="I475" s="6">
        <f t="shared" si="35"/>
        <v>58.1625</v>
      </c>
      <c r="J475" s="6">
        <f t="shared" si="36"/>
        <v>61.875</v>
      </c>
      <c r="K475" s="6">
        <f t="shared" si="37"/>
        <v>68.0625</v>
      </c>
      <c r="L475" s="6">
        <f t="shared" si="38"/>
        <v>86.625</v>
      </c>
      <c r="M475" s="6">
        <f t="shared" si="39"/>
        <v>105.1875</v>
      </c>
    </row>
    <row r="476" spans="1:13">
      <c r="A476" t="s">
        <v>13</v>
      </c>
      <c r="B476" t="s">
        <v>933</v>
      </c>
      <c r="C476" t="s">
        <v>934</v>
      </c>
      <c r="D476" t="s">
        <v>934</v>
      </c>
      <c r="E476" t="s">
        <v>934</v>
      </c>
      <c r="F476" t="s">
        <v>934</v>
      </c>
      <c r="G476" s="6">
        <v>101.2</v>
      </c>
      <c r="H476" s="6"/>
      <c r="I476" s="6">
        <f t="shared" si="35"/>
        <v>47.564</v>
      </c>
      <c r="J476" s="6">
        <f t="shared" si="36"/>
        <v>50.6</v>
      </c>
      <c r="K476" s="6">
        <f t="shared" si="37"/>
        <v>55.66</v>
      </c>
      <c r="L476" s="6">
        <f t="shared" si="38"/>
        <v>70.84</v>
      </c>
      <c r="M476" s="6">
        <f t="shared" si="39"/>
        <v>86.02</v>
      </c>
    </row>
    <row r="477" spans="1:13">
      <c r="A477" t="s">
        <v>13</v>
      </c>
      <c r="B477" t="s">
        <v>935</v>
      </c>
      <c r="C477" t="s">
        <v>936</v>
      </c>
      <c r="D477" t="s">
        <v>936</v>
      </c>
      <c r="E477" t="s">
        <v>936</v>
      </c>
      <c r="F477" t="s">
        <v>936</v>
      </c>
      <c r="G477" s="6">
        <v>123.75</v>
      </c>
      <c r="H477" s="6"/>
      <c r="I477" s="6">
        <f t="shared" si="35"/>
        <v>58.1625</v>
      </c>
      <c r="J477" s="6">
        <f t="shared" si="36"/>
        <v>61.875</v>
      </c>
      <c r="K477" s="6">
        <f t="shared" si="37"/>
        <v>68.0625</v>
      </c>
      <c r="L477" s="6">
        <f t="shared" si="38"/>
        <v>86.625</v>
      </c>
      <c r="M477" s="6">
        <f t="shared" si="39"/>
        <v>105.1875</v>
      </c>
    </row>
    <row r="478" spans="1:13">
      <c r="A478" t="s">
        <v>13</v>
      </c>
      <c r="B478" t="s">
        <v>937</v>
      </c>
      <c r="C478" t="s">
        <v>938</v>
      </c>
      <c r="D478" t="s">
        <v>938</v>
      </c>
      <c r="E478" t="s">
        <v>938</v>
      </c>
      <c r="F478" t="s">
        <v>938</v>
      </c>
      <c r="G478" s="6">
        <v>179.95</v>
      </c>
      <c r="H478" s="6"/>
      <c r="I478" s="6">
        <f t="shared" si="35"/>
        <v>84.5765</v>
      </c>
      <c r="J478" s="6">
        <f t="shared" si="36"/>
        <v>89.975</v>
      </c>
      <c r="K478" s="6">
        <f t="shared" si="37"/>
        <v>98.9725</v>
      </c>
      <c r="L478" s="6">
        <f t="shared" si="38"/>
        <v>125.965</v>
      </c>
      <c r="M478" s="6">
        <f t="shared" si="39"/>
        <v>152.9575</v>
      </c>
    </row>
    <row r="479" spans="1:13">
      <c r="A479" t="s">
        <v>13</v>
      </c>
      <c r="B479" t="s">
        <v>939</v>
      </c>
      <c r="C479" t="s">
        <v>940</v>
      </c>
      <c r="D479" t="s">
        <v>940</v>
      </c>
      <c r="E479" t="s">
        <v>940</v>
      </c>
      <c r="F479" t="s">
        <v>940</v>
      </c>
      <c r="G479" s="6">
        <v>179.95</v>
      </c>
      <c r="H479" s="6"/>
      <c r="I479" s="6">
        <f t="shared" si="35"/>
        <v>84.5765</v>
      </c>
      <c r="J479" s="6">
        <f t="shared" si="36"/>
        <v>89.975</v>
      </c>
      <c r="K479" s="6">
        <f t="shared" si="37"/>
        <v>98.9725</v>
      </c>
      <c r="L479" s="6">
        <f t="shared" si="38"/>
        <v>125.965</v>
      </c>
      <c r="M479" s="6">
        <f t="shared" si="39"/>
        <v>152.9575</v>
      </c>
    </row>
    <row r="480" spans="1:13">
      <c r="A480" t="s">
        <v>13</v>
      </c>
      <c r="B480" t="s">
        <v>941</v>
      </c>
      <c r="C480" t="s">
        <v>942</v>
      </c>
      <c r="D480" t="s">
        <v>942</v>
      </c>
      <c r="E480" t="s">
        <v>942</v>
      </c>
      <c r="F480" t="s">
        <v>942</v>
      </c>
      <c r="G480" s="6">
        <v>179.95</v>
      </c>
      <c r="H480" s="6"/>
      <c r="I480" s="6">
        <f t="shared" si="35"/>
        <v>84.5765</v>
      </c>
      <c r="J480" s="6">
        <f t="shared" si="36"/>
        <v>89.975</v>
      </c>
      <c r="K480" s="6">
        <f t="shared" si="37"/>
        <v>98.9725</v>
      </c>
      <c r="L480" s="6">
        <f t="shared" si="38"/>
        <v>125.965</v>
      </c>
      <c r="M480" s="6">
        <f t="shared" si="39"/>
        <v>152.9575</v>
      </c>
    </row>
    <row r="481" spans="1:13">
      <c r="A481" t="s">
        <v>13</v>
      </c>
      <c r="B481" t="s">
        <v>943</v>
      </c>
      <c r="C481" t="s">
        <v>944</v>
      </c>
      <c r="D481" t="s">
        <v>944</v>
      </c>
      <c r="E481" t="s">
        <v>944</v>
      </c>
      <c r="F481" t="s">
        <v>944</v>
      </c>
      <c r="G481" s="6">
        <v>258.6</v>
      </c>
      <c r="H481" s="6"/>
      <c r="I481" s="6">
        <f t="shared" si="35"/>
        <v>121.542</v>
      </c>
      <c r="J481" s="6">
        <f t="shared" si="36"/>
        <v>129.3</v>
      </c>
      <c r="K481" s="6">
        <f t="shared" si="37"/>
        <v>142.23</v>
      </c>
      <c r="L481" s="6">
        <f t="shared" si="38"/>
        <v>181.02</v>
      </c>
      <c r="M481" s="6">
        <f t="shared" si="39"/>
        <v>219.81</v>
      </c>
    </row>
    <row r="482" spans="1:13">
      <c r="A482" t="s">
        <v>13</v>
      </c>
      <c r="B482" t="s">
        <v>945</v>
      </c>
      <c r="C482" t="s">
        <v>946</v>
      </c>
      <c r="D482" t="s">
        <v>946</v>
      </c>
      <c r="E482" t="s">
        <v>946</v>
      </c>
      <c r="F482" t="s">
        <v>946</v>
      </c>
      <c r="G482" s="6">
        <v>258.6</v>
      </c>
      <c r="H482" s="6"/>
      <c r="I482" s="6">
        <f t="shared" si="35"/>
        <v>121.542</v>
      </c>
      <c r="J482" s="6">
        <f t="shared" si="36"/>
        <v>129.3</v>
      </c>
      <c r="K482" s="6">
        <f t="shared" si="37"/>
        <v>142.23</v>
      </c>
      <c r="L482" s="6">
        <f t="shared" si="38"/>
        <v>181.02</v>
      </c>
      <c r="M482" s="6">
        <f t="shared" si="39"/>
        <v>219.81</v>
      </c>
    </row>
    <row r="483" spans="1:13">
      <c r="A483" t="s">
        <v>13</v>
      </c>
      <c r="B483" t="s">
        <v>947</v>
      </c>
      <c r="C483" t="s">
        <v>948</v>
      </c>
      <c r="D483" t="s">
        <v>948</v>
      </c>
      <c r="E483" t="s">
        <v>948</v>
      </c>
      <c r="F483" t="s">
        <v>948</v>
      </c>
      <c r="G483" s="6">
        <v>258.6</v>
      </c>
      <c r="H483" s="6"/>
      <c r="I483" s="6">
        <f t="shared" si="35"/>
        <v>121.542</v>
      </c>
      <c r="J483" s="6">
        <f t="shared" si="36"/>
        <v>129.3</v>
      </c>
      <c r="K483" s="6">
        <f t="shared" si="37"/>
        <v>142.23</v>
      </c>
      <c r="L483" s="6">
        <f t="shared" si="38"/>
        <v>181.02</v>
      </c>
      <c r="M483" s="6">
        <f t="shared" si="39"/>
        <v>219.81</v>
      </c>
    </row>
    <row r="484" spans="1:13">
      <c r="A484" t="s">
        <v>13</v>
      </c>
      <c r="B484" t="s">
        <v>949</v>
      </c>
      <c r="C484" t="s">
        <v>950</v>
      </c>
      <c r="D484" t="s">
        <v>950</v>
      </c>
      <c r="E484" t="s">
        <v>950</v>
      </c>
      <c r="F484" t="s">
        <v>950</v>
      </c>
      <c r="G484" s="6">
        <v>344.4</v>
      </c>
      <c r="H484" s="6"/>
      <c r="I484" s="6">
        <f t="shared" si="35"/>
        <v>161.868</v>
      </c>
      <c r="J484" s="6">
        <f t="shared" si="36"/>
        <v>172.2</v>
      </c>
      <c r="K484" s="6">
        <f t="shared" si="37"/>
        <v>189.42</v>
      </c>
      <c r="L484" s="6">
        <f t="shared" si="38"/>
        <v>241.08</v>
      </c>
      <c r="M484" s="6">
        <f t="shared" si="39"/>
        <v>292.74</v>
      </c>
    </row>
    <row r="485" spans="1:13">
      <c r="A485" t="s">
        <v>13</v>
      </c>
      <c r="B485" t="s">
        <v>951</v>
      </c>
      <c r="C485" t="s">
        <v>952</v>
      </c>
      <c r="D485" t="s">
        <v>952</v>
      </c>
      <c r="E485" t="s">
        <v>952</v>
      </c>
      <c r="F485" t="s">
        <v>952</v>
      </c>
      <c r="G485" s="6">
        <v>344.4</v>
      </c>
      <c r="H485" s="6"/>
      <c r="I485" s="6">
        <f t="shared" si="35"/>
        <v>161.868</v>
      </c>
      <c r="J485" s="6">
        <f t="shared" si="36"/>
        <v>172.2</v>
      </c>
      <c r="K485" s="6">
        <f t="shared" si="37"/>
        <v>189.42</v>
      </c>
      <c r="L485" s="6">
        <f t="shared" si="38"/>
        <v>241.08</v>
      </c>
      <c r="M485" s="6">
        <f t="shared" si="39"/>
        <v>292.74</v>
      </c>
    </row>
    <row r="486" spans="1:13">
      <c r="A486" t="s">
        <v>13</v>
      </c>
      <c r="B486" t="s">
        <v>953</v>
      </c>
      <c r="C486" t="s">
        <v>954</v>
      </c>
      <c r="D486" t="s">
        <v>954</v>
      </c>
      <c r="E486" t="s">
        <v>954</v>
      </c>
      <c r="F486" t="s">
        <v>954</v>
      </c>
      <c r="G486" s="6">
        <v>344.4</v>
      </c>
      <c r="H486" s="6"/>
      <c r="I486" s="6">
        <f t="shared" si="35"/>
        <v>161.868</v>
      </c>
      <c r="J486" s="6">
        <f t="shared" si="36"/>
        <v>172.2</v>
      </c>
      <c r="K486" s="6">
        <f t="shared" si="37"/>
        <v>189.42</v>
      </c>
      <c r="L486" s="6">
        <f t="shared" si="38"/>
        <v>241.08</v>
      </c>
      <c r="M486" s="6">
        <f t="shared" si="39"/>
        <v>292.74</v>
      </c>
    </row>
    <row r="487" spans="1:13">
      <c r="A487" t="s">
        <v>13</v>
      </c>
      <c r="B487" t="s">
        <v>955</v>
      </c>
      <c r="C487" t="s">
        <v>956</v>
      </c>
      <c r="D487" t="s">
        <v>956</v>
      </c>
      <c r="E487" t="s">
        <v>956</v>
      </c>
      <c r="F487" t="s">
        <v>956</v>
      </c>
      <c r="G487" s="6">
        <v>136.25</v>
      </c>
      <c r="H487" s="6"/>
      <c r="I487" s="6">
        <f t="shared" si="35"/>
        <v>64.0375</v>
      </c>
      <c r="J487" s="6">
        <f t="shared" si="36"/>
        <v>68.125</v>
      </c>
      <c r="K487" s="6">
        <f t="shared" si="37"/>
        <v>74.9375</v>
      </c>
      <c r="L487" s="6">
        <f t="shared" si="38"/>
        <v>95.375</v>
      </c>
      <c r="M487" s="6">
        <f t="shared" si="39"/>
        <v>115.8125</v>
      </c>
    </row>
    <row r="488" spans="1:13">
      <c r="A488" t="s">
        <v>13</v>
      </c>
      <c r="B488" t="s">
        <v>957</v>
      </c>
      <c r="C488" t="s">
        <v>958</v>
      </c>
      <c r="D488" t="s">
        <v>958</v>
      </c>
      <c r="E488" t="s">
        <v>958</v>
      </c>
      <c r="F488" t="s">
        <v>958</v>
      </c>
      <c r="G488" s="6">
        <v>143.75</v>
      </c>
      <c r="H488" s="6"/>
      <c r="I488" s="6">
        <f t="shared" si="35"/>
        <v>67.5625</v>
      </c>
      <c r="J488" s="6">
        <f t="shared" si="36"/>
        <v>71.875</v>
      </c>
      <c r="K488" s="6">
        <f t="shared" si="37"/>
        <v>79.0625</v>
      </c>
      <c r="L488" s="6">
        <f t="shared" si="38"/>
        <v>100.625</v>
      </c>
      <c r="M488" s="6">
        <f t="shared" si="39"/>
        <v>122.1875</v>
      </c>
    </row>
    <row r="489" spans="1:13">
      <c r="A489" t="s">
        <v>13</v>
      </c>
      <c r="B489" t="s">
        <v>959</v>
      </c>
      <c r="C489" t="s">
        <v>960</v>
      </c>
      <c r="D489" t="s">
        <v>960</v>
      </c>
      <c r="E489" t="s">
        <v>960</v>
      </c>
      <c r="F489" t="s">
        <v>960</v>
      </c>
      <c r="G489" s="6">
        <v>143.75</v>
      </c>
      <c r="H489" s="6"/>
      <c r="I489" s="6">
        <f t="shared" si="35"/>
        <v>67.5625</v>
      </c>
      <c r="J489" s="6">
        <f t="shared" si="36"/>
        <v>71.875</v>
      </c>
      <c r="K489" s="6">
        <f t="shared" si="37"/>
        <v>79.0625</v>
      </c>
      <c r="L489" s="6">
        <f t="shared" si="38"/>
        <v>100.625</v>
      </c>
      <c r="M489" s="6">
        <f t="shared" si="39"/>
        <v>122.1875</v>
      </c>
    </row>
    <row r="490" spans="1:13">
      <c r="A490" t="s">
        <v>13</v>
      </c>
      <c r="B490" t="s">
        <v>961</v>
      </c>
      <c r="C490" t="s">
        <v>962</v>
      </c>
      <c r="D490" t="s">
        <v>962</v>
      </c>
      <c r="E490" t="s">
        <v>962</v>
      </c>
      <c r="F490" t="s">
        <v>962</v>
      </c>
      <c r="G490" s="6">
        <v>138.75</v>
      </c>
      <c r="H490" s="6"/>
      <c r="I490" s="6">
        <f t="shared" si="35"/>
        <v>65.2125</v>
      </c>
      <c r="J490" s="6">
        <f t="shared" si="36"/>
        <v>69.375</v>
      </c>
      <c r="K490" s="6">
        <f t="shared" si="37"/>
        <v>76.3125</v>
      </c>
      <c r="L490" s="6">
        <f t="shared" si="38"/>
        <v>97.125</v>
      </c>
      <c r="M490" s="6">
        <f t="shared" si="39"/>
        <v>117.9375</v>
      </c>
    </row>
    <row r="491" spans="1:13">
      <c r="A491" t="s">
        <v>13</v>
      </c>
      <c r="B491" t="s">
        <v>963</v>
      </c>
      <c r="C491" t="s">
        <v>964</v>
      </c>
      <c r="D491" t="s">
        <v>964</v>
      </c>
      <c r="E491" t="s">
        <v>964</v>
      </c>
      <c r="F491" t="s">
        <v>964</v>
      </c>
      <c r="G491" s="6">
        <v>146.25</v>
      </c>
      <c r="H491" s="6"/>
      <c r="I491" s="6">
        <f t="shared" si="35"/>
        <v>68.7375</v>
      </c>
      <c r="J491" s="6">
        <f t="shared" si="36"/>
        <v>73.125</v>
      </c>
      <c r="K491" s="6">
        <f t="shared" si="37"/>
        <v>80.4375</v>
      </c>
      <c r="L491" s="6">
        <f t="shared" si="38"/>
        <v>102.375</v>
      </c>
      <c r="M491" s="6">
        <f t="shared" si="39"/>
        <v>124.3125</v>
      </c>
    </row>
    <row r="492" spans="1:13">
      <c r="A492" t="s">
        <v>13</v>
      </c>
      <c r="B492" t="s">
        <v>965</v>
      </c>
      <c r="C492" t="s">
        <v>966</v>
      </c>
      <c r="D492" t="s">
        <v>966</v>
      </c>
      <c r="E492" t="s">
        <v>966</v>
      </c>
      <c r="F492" t="s">
        <v>966</v>
      </c>
      <c r="G492" s="6">
        <v>146.25</v>
      </c>
      <c r="H492" s="6"/>
      <c r="I492" s="6">
        <f t="shared" si="35"/>
        <v>68.7375</v>
      </c>
      <c r="J492" s="6">
        <f t="shared" si="36"/>
        <v>73.125</v>
      </c>
      <c r="K492" s="6">
        <f t="shared" si="37"/>
        <v>80.4375</v>
      </c>
      <c r="L492" s="6">
        <f t="shared" si="38"/>
        <v>102.375</v>
      </c>
      <c r="M492" s="6">
        <f t="shared" si="39"/>
        <v>124.3125</v>
      </c>
    </row>
    <row r="493" spans="1:13">
      <c r="A493" t="s">
        <v>13</v>
      </c>
      <c r="B493" t="s">
        <v>967</v>
      </c>
      <c r="C493" t="s">
        <v>968</v>
      </c>
      <c r="D493" t="s">
        <v>968</v>
      </c>
      <c r="E493" t="s">
        <v>968</v>
      </c>
      <c r="F493" t="s">
        <v>968</v>
      </c>
      <c r="G493" s="6">
        <v>141.25</v>
      </c>
      <c r="H493" s="6"/>
      <c r="I493" s="6">
        <f t="shared" si="35"/>
        <v>66.3875</v>
      </c>
      <c r="J493" s="6">
        <f t="shared" si="36"/>
        <v>70.625</v>
      </c>
      <c r="K493" s="6">
        <f t="shared" si="37"/>
        <v>77.6875</v>
      </c>
      <c r="L493" s="6">
        <f t="shared" si="38"/>
        <v>98.875</v>
      </c>
      <c r="M493" s="6">
        <f t="shared" si="39"/>
        <v>120.0625</v>
      </c>
    </row>
    <row r="494" spans="1:13">
      <c r="A494" t="s">
        <v>13</v>
      </c>
      <c r="B494" t="s">
        <v>969</v>
      </c>
      <c r="C494" t="s">
        <v>970</v>
      </c>
      <c r="D494" t="s">
        <v>970</v>
      </c>
      <c r="E494" t="s">
        <v>970</v>
      </c>
      <c r="F494" t="s">
        <v>970</v>
      </c>
      <c r="G494" s="6">
        <v>151.25</v>
      </c>
      <c r="H494" s="6"/>
      <c r="I494" s="6">
        <f t="shared" si="35"/>
        <v>71.0875</v>
      </c>
      <c r="J494" s="6">
        <f t="shared" si="36"/>
        <v>75.625</v>
      </c>
      <c r="K494" s="6">
        <f t="shared" si="37"/>
        <v>83.1875</v>
      </c>
      <c r="L494" s="6">
        <f t="shared" si="38"/>
        <v>105.875</v>
      </c>
      <c r="M494" s="6">
        <f t="shared" si="39"/>
        <v>128.5625</v>
      </c>
    </row>
    <row r="495" spans="1:13">
      <c r="A495" t="s">
        <v>13</v>
      </c>
      <c r="B495" t="s">
        <v>971</v>
      </c>
      <c r="C495" t="s">
        <v>972</v>
      </c>
      <c r="D495" t="s">
        <v>972</v>
      </c>
      <c r="E495" t="s">
        <v>972</v>
      </c>
      <c r="F495" t="s">
        <v>972</v>
      </c>
      <c r="G495" s="6">
        <v>151.25</v>
      </c>
      <c r="H495" s="6"/>
      <c r="I495" s="6">
        <f t="shared" si="35"/>
        <v>71.0875</v>
      </c>
      <c r="J495" s="6">
        <f t="shared" si="36"/>
        <v>75.625</v>
      </c>
      <c r="K495" s="6">
        <f t="shared" si="37"/>
        <v>83.1875</v>
      </c>
      <c r="L495" s="6">
        <f t="shared" si="38"/>
        <v>105.875</v>
      </c>
      <c r="M495" s="6">
        <f t="shared" si="39"/>
        <v>128.5625</v>
      </c>
    </row>
    <row r="496" spans="1:13">
      <c r="A496" t="s">
        <v>13</v>
      </c>
      <c r="B496" t="s">
        <v>973</v>
      </c>
      <c r="C496" t="s">
        <v>974</v>
      </c>
      <c r="D496" t="s">
        <v>974</v>
      </c>
      <c r="E496" t="s">
        <v>974</v>
      </c>
      <c r="F496" t="s">
        <v>974</v>
      </c>
      <c r="G496" s="6">
        <v>272.5</v>
      </c>
      <c r="H496" s="6"/>
      <c r="I496" s="6">
        <f t="shared" si="35"/>
        <v>128.075</v>
      </c>
      <c r="J496" s="6">
        <f t="shared" si="36"/>
        <v>136.25</v>
      </c>
      <c r="K496" s="6">
        <f t="shared" si="37"/>
        <v>149.875</v>
      </c>
      <c r="L496" s="6">
        <f t="shared" si="38"/>
        <v>190.75</v>
      </c>
      <c r="M496" s="6">
        <f t="shared" si="39"/>
        <v>231.625</v>
      </c>
    </row>
    <row r="497" spans="1:13">
      <c r="A497" t="s">
        <v>13</v>
      </c>
      <c r="B497" t="s">
        <v>975</v>
      </c>
      <c r="C497" t="s">
        <v>976</v>
      </c>
      <c r="D497" t="s">
        <v>976</v>
      </c>
      <c r="E497" t="s">
        <v>976</v>
      </c>
      <c r="F497" t="s">
        <v>976</v>
      </c>
      <c r="G497" s="6">
        <v>277.5</v>
      </c>
      <c r="H497" s="6"/>
      <c r="I497" s="6">
        <f t="shared" si="35"/>
        <v>130.425</v>
      </c>
      <c r="J497" s="6">
        <f t="shared" si="36"/>
        <v>138.75</v>
      </c>
      <c r="K497" s="6">
        <f t="shared" si="37"/>
        <v>152.625</v>
      </c>
      <c r="L497" s="6">
        <f t="shared" si="38"/>
        <v>194.25</v>
      </c>
      <c r="M497" s="6">
        <f t="shared" si="39"/>
        <v>235.875</v>
      </c>
    </row>
    <row r="498" spans="1:13">
      <c r="A498" t="s">
        <v>13</v>
      </c>
      <c r="B498" t="s">
        <v>977</v>
      </c>
      <c r="C498" t="s">
        <v>978</v>
      </c>
      <c r="D498" t="s">
        <v>978</v>
      </c>
      <c r="E498" t="s">
        <v>978</v>
      </c>
      <c r="F498" t="s">
        <v>978</v>
      </c>
      <c r="G498" s="6">
        <v>282.5</v>
      </c>
      <c r="H498" s="6"/>
      <c r="I498" s="6">
        <f t="shared" si="35"/>
        <v>132.775</v>
      </c>
      <c r="J498" s="6">
        <f t="shared" si="36"/>
        <v>141.25</v>
      </c>
      <c r="K498" s="6">
        <f t="shared" si="37"/>
        <v>155.375</v>
      </c>
      <c r="L498" s="6">
        <f t="shared" si="38"/>
        <v>197.75</v>
      </c>
      <c r="M498" s="6">
        <f t="shared" si="39"/>
        <v>240.125</v>
      </c>
    </row>
    <row r="499" spans="1:13">
      <c r="A499" t="s">
        <v>13</v>
      </c>
      <c r="B499" t="s">
        <v>979</v>
      </c>
      <c r="C499" t="s">
        <v>980</v>
      </c>
      <c r="D499" t="s">
        <v>980</v>
      </c>
      <c r="E499" t="s">
        <v>980</v>
      </c>
      <c r="F499" t="s">
        <v>980</v>
      </c>
      <c r="G499" s="6">
        <v>408.75</v>
      </c>
      <c r="H499" s="6"/>
      <c r="I499" s="6">
        <f t="shared" si="35"/>
        <v>192.1125</v>
      </c>
      <c r="J499" s="6">
        <f t="shared" si="36"/>
        <v>204.375</v>
      </c>
      <c r="K499" s="6">
        <f t="shared" si="37"/>
        <v>224.8125</v>
      </c>
      <c r="L499" s="6">
        <f t="shared" si="38"/>
        <v>286.125</v>
      </c>
      <c r="M499" s="6">
        <f t="shared" si="39"/>
        <v>347.4375</v>
      </c>
    </row>
    <row r="500" spans="1:13">
      <c r="A500" t="s">
        <v>13</v>
      </c>
      <c r="B500" t="s">
        <v>981</v>
      </c>
      <c r="C500" t="s">
        <v>982</v>
      </c>
      <c r="D500" t="s">
        <v>982</v>
      </c>
      <c r="E500" t="s">
        <v>982</v>
      </c>
      <c r="F500" t="s">
        <v>982</v>
      </c>
      <c r="G500" s="6">
        <v>416.25</v>
      </c>
      <c r="H500" s="6"/>
      <c r="I500" s="6">
        <f t="shared" si="35"/>
        <v>195.6375</v>
      </c>
      <c r="J500" s="6">
        <f t="shared" si="36"/>
        <v>208.125</v>
      </c>
      <c r="K500" s="6">
        <f t="shared" si="37"/>
        <v>228.9375</v>
      </c>
      <c r="L500" s="6">
        <f t="shared" si="38"/>
        <v>291.375</v>
      </c>
      <c r="M500" s="6">
        <f t="shared" si="39"/>
        <v>353.8125</v>
      </c>
    </row>
    <row r="501" spans="1:13">
      <c r="A501" t="s">
        <v>13</v>
      </c>
      <c r="B501" t="s">
        <v>983</v>
      </c>
      <c r="C501" t="s">
        <v>984</v>
      </c>
      <c r="D501" t="s">
        <v>984</v>
      </c>
      <c r="E501" t="s">
        <v>984</v>
      </c>
      <c r="F501" t="s">
        <v>984</v>
      </c>
      <c r="G501" s="6">
        <v>423.75</v>
      </c>
      <c r="H501" s="6"/>
      <c r="I501" s="6">
        <f t="shared" si="35"/>
        <v>199.1625</v>
      </c>
      <c r="J501" s="6">
        <f t="shared" si="36"/>
        <v>211.875</v>
      </c>
      <c r="K501" s="6">
        <f t="shared" si="37"/>
        <v>233.0625</v>
      </c>
      <c r="L501" s="6">
        <f t="shared" si="38"/>
        <v>296.625</v>
      </c>
      <c r="M501" s="6">
        <f t="shared" si="39"/>
        <v>360.1875</v>
      </c>
    </row>
    <row r="502" spans="1:13">
      <c r="A502" t="s">
        <v>13</v>
      </c>
      <c r="B502" t="s">
        <v>985</v>
      </c>
      <c r="C502" t="s">
        <v>986</v>
      </c>
      <c r="D502" t="s">
        <v>986</v>
      </c>
      <c r="E502" t="s">
        <v>986</v>
      </c>
      <c r="F502" t="s">
        <v>986</v>
      </c>
      <c r="G502" s="6">
        <v>545</v>
      </c>
      <c r="H502" s="6"/>
      <c r="I502" s="6">
        <f t="shared" si="35"/>
        <v>256.15</v>
      </c>
      <c r="J502" s="6">
        <f t="shared" si="36"/>
        <v>272.5</v>
      </c>
      <c r="K502" s="6">
        <f t="shared" si="37"/>
        <v>299.75</v>
      </c>
      <c r="L502" s="6">
        <f t="shared" si="38"/>
        <v>381.5</v>
      </c>
      <c r="M502" s="6">
        <f t="shared" si="39"/>
        <v>463.25</v>
      </c>
    </row>
    <row r="503" spans="1:13">
      <c r="A503" t="s">
        <v>13</v>
      </c>
      <c r="B503" t="s">
        <v>987</v>
      </c>
      <c r="C503" t="s">
        <v>988</v>
      </c>
      <c r="D503" t="s">
        <v>988</v>
      </c>
      <c r="E503" t="s">
        <v>988</v>
      </c>
      <c r="F503" t="s">
        <v>988</v>
      </c>
      <c r="G503" s="6">
        <v>555</v>
      </c>
      <c r="H503" s="6"/>
      <c r="I503" s="6">
        <f t="shared" si="35"/>
        <v>260.85</v>
      </c>
      <c r="J503" s="6">
        <f t="shared" si="36"/>
        <v>277.5</v>
      </c>
      <c r="K503" s="6">
        <f t="shared" si="37"/>
        <v>305.25</v>
      </c>
      <c r="L503" s="6">
        <f t="shared" si="38"/>
        <v>388.5</v>
      </c>
      <c r="M503" s="6">
        <f t="shared" si="39"/>
        <v>471.75</v>
      </c>
    </row>
    <row r="504" spans="1:13">
      <c r="A504" t="s">
        <v>13</v>
      </c>
      <c r="B504" t="s">
        <v>989</v>
      </c>
      <c r="C504" t="s">
        <v>990</v>
      </c>
      <c r="D504" t="s">
        <v>990</v>
      </c>
      <c r="E504" t="s">
        <v>990</v>
      </c>
      <c r="F504" t="s">
        <v>990</v>
      </c>
      <c r="G504" s="6">
        <v>565</v>
      </c>
      <c r="H504" s="6"/>
      <c r="I504" s="6">
        <f t="shared" si="35"/>
        <v>265.55</v>
      </c>
      <c r="J504" s="6">
        <f t="shared" si="36"/>
        <v>282.5</v>
      </c>
      <c r="K504" s="6">
        <f t="shared" si="37"/>
        <v>310.75</v>
      </c>
      <c r="L504" s="6">
        <f t="shared" si="38"/>
        <v>395.5</v>
      </c>
      <c r="M504" s="6">
        <f t="shared" si="39"/>
        <v>480.25</v>
      </c>
    </row>
    <row r="505" spans="1:13">
      <c r="A505" t="s">
        <v>13</v>
      </c>
      <c r="B505" t="s">
        <v>991</v>
      </c>
      <c r="C505" t="s">
        <v>992</v>
      </c>
      <c r="D505" t="s">
        <v>992</v>
      </c>
      <c r="E505" t="s">
        <v>992</v>
      </c>
      <c r="F505" t="s">
        <v>992</v>
      </c>
      <c r="G505" s="6">
        <v>525.8</v>
      </c>
      <c r="H505" s="6"/>
      <c r="I505" s="6">
        <f t="shared" si="35"/>
        <v>247.126</v>
      </c>
      <c r="J505" s="6">
        <f t="shared" si="36"/>
        <v>262.9</v>
      </c>
      <c r="K505" s="6">
        <f t="shared" si="37"/>
        <v>289.19</v>
      </c>
      <c r="L505" s="6">
        <f t="shared" si="38"/>
        <v>368.06</v>
      </c>
      <c r="M505" s="6">
        <f t="shared" si="39"/>
        <v>446.93</v>
      </c>
    </row>
    <row r="506" spans="1:13">
      <c r="A506" t="s">
        <v>13</v>
      </c>
      <c r="B506" t="s">
        <v>993</v>
      </c>
      <c r="C506" t="s">
        <v>994</v>
      </c>
      <c r="D506" t="s">
        <v>994</v>
      </c>
      <c r="E506" t="s">
        <v>994</v>
      </c>
      <c r="F506" t="s">
        <v>994</v>
      </c>
      <c r="G506" s="6">
        <v>69</v>
      </c>
      <c r="H506" s="6"/>
      <c r="I506" s="6">
        <f t="shared" si="35"/>
        <v>32.43</v>
      </c>
      <c r="J506" s="6">
        <f t="shared" si="36"/>
        <v>34.5</v>
      </c>
      <c r="K506" s="6">
        <f t="shared" si="37"/>
        <v>37.95</v>
      </c>
      <c r="L506" s="6">
        <f t="shared" si="38"/>
        <v>48.3</v>
      </c>
      <c r="M506" s="6">
        <f t="shared" si="39"/>
        <v>58.65</v>
      </c>
    </row>
    <row r="507" spans="1:13">
      <c r="A507" t="s">
        <v>13</v>
      </c>
      <c r="B507" t="s">
        <v>995</v>
      </c>
      <c r="C507" t="s">
        <v>996</v>
      </c>
      <c r="D507" t="s">
        <v>996</v>
      </c>
      <c r="E507" t="s">
        <v>996</v>
      </c>
      <c r="F507" t="s">
        <v>996</v>
      </c>
      <c r="G507" s="6">
        <v>79.13</v>
      </c>
      <c r="H507" s="6"/>
      <c r="I507" s="6">
        <f t="shared" si="35"/>
        <v>37.1911</v>
      </c>
      <c r="J507" s="6">
        <f t="shared" si="36"/>
        <v>39.565</v>
      </c>
      <c r="K507" s="6">
        <f t="shared" si="37"/>
        <v>43.5215</v>
      </c>
      <c r="L507" s="6">
        <f t="shared" si="38"/>
        <v>55.391</v>
      </c>
      <c r="M507" s="6">
        <f t="shared" si="39"/>
        <v>67.2605</v>
      </c>
    </row>
    <row r="508" spans="1:13">
      <c r="A508" t="s">
        <v>13</v>
      </c>
      <c r="B508" t="s">
        <v>997</v>
      </c>
      <c r="C508" t="s">
        <v>998</v>
      </c>
      <c r="D508" t="s">
        <v>998</v>
      </c>
      <c r="E508" t="s">
        <v>998</v>
      </c>
      <c r="F508" t="s">
        <v>998</v>
      </c>
      <c r="G508" s="6">
        <v>145</v>
      </c>
      <c r="H508" s="6"/>
      <c r="I508" s="6">
        <f t="shared" si="35"/>
        <v>68.15</v>
      </c>
      <c r="J508" s="6">
        <f t="shared" si="36"/>
        <v>72.5</v>
      </c>
      <c r="K508" s="6">
        <f t="shared" si="37"/>
        <v>79.75</v>
      </c>
      <c r="L508" s="6">
        <f t="shared" si="38"/>
        <v>101.5</v>
      </c>
      <c r="M508" s="6">
        <f t="shared" si="39"/>
        <v>123.25</v>
      </c>
    </row>
    <row r="509" spans="1:13">
      <c r="A509" t="s">
        <v>13</v>
      </c>
      <c r="B509" t="s">
        <v>999</v>
      </c>
      <c r="C509" t="s">
        <v>1000</v>
      </c>
      <c r="D509" t="s">
        <v>1000</v>
      </c>
      <c r="E509" t="s">
        <v>1000</v>
      </c>
      <c r="F509" t="s">
        <v>1000</v>
      </c>
      <c r="G509" s="6">
        <v>225</v>
      </c>
      <c r="H509" s="6"/>
      <c r="I509" s="6">
        <f t="shared" si="35"/>
        <v>105.75</v>
      </c>
      <c r="J509" s="6">
        <f t="shared" si="36"/>
        <v>112.5</v>
      </c>
      <c r="K509" s="6">
        <f t="shared" si="37"/>
        <v>123.75</v>
      </c>
      <c r="L509" s="6">
        <f t="shared" si="38"/>
        <v>157.5</v>
      </c>
      <c r="M509" s="6">
        <f t="shared" si="39"/>
        <v>191.25</v>
      </c>
    </row>
    <row r="510" spans="1:13">
      <c r="A510" t="s">
        <v>13</v>
      </c>
      <c r="B510" t="s">
        <v>1001</v>
      </c>
      <c r="C510" t="s">
        <v>1002</v>
      </c>
      <c r="D510" t="s">
        <v>1002</v>
      </c>
      <c r="E510" t="s">
        <v>1002</v>
      </c>
      <c r="F510" t="s">
        <v>1002</v>
      </c>
      <c r="G510" s="6">
        <v>95</v>
      </c>
      <c r="H510" s="6"/>
      <c r="I510" s="6">
        <f t="shared" si="35"/>
        <v>44.65</v>
      </c>
      <c r="J510" s="6">
        <f t="shared" si="36"/>
        <v>47.5</v>
      </c>
      <c r="K510" s="6">
        <f t="shared" si="37"/>
        <v>52.25</v>
      </c>
      <c r="L510" s="6">
        <f t="shared" si="38"/>
        <v>66.5</v>
      </c>
      <c r="M510" s="6">
        <f t="shared" si="39"/>
        <v>80.75</v>
      </c>
    </row>
    <row r="511" spans="1:13">
      <c r="A511" t="s">
        <v>13</v>
      </c>
      <c r="B511" t="s">
        <v>1003</v>
      </c>
      <c r="C511" t="s">
        <v>1004</v>
      </c>
      <c r="D511" t="s">
        <v>1004</v>
      </c>
      <c r="E511" t="s">
        <v>1004</v>
      </c>
      <c r="F511" t="s">
        <v>1004</v>
      </c>
      <c r="G511" s="6">
        <v>85.22</v>
      </c>
      <c r="H511" s="6"/>
      <c r="I511" s="6">
        <f t="shared" si="35"/>
        <v>40.0534</v>
      </c>
      <c r="J511" s="6">
        <f t="shared" si="36"/>
        <v>42.61</v>
      </c>
      <c r="K511" s="6">
        <f t="shared" si="37"/>
        <v>46.871</v>
      </c>
      <c r="L511" s="6">
        <f t="shared" si="38"/>
        <v>59.654</v>
      </c>
      <c r="M511" s="6">
        <f t="shared" si="39"/>
        <v>72.437</v>
      </c>
    </row>
    <row r="512" spans="1:13">
      <c r="A512" t="s">
        <v>13</v>
      </c>
      <c r="B512" t="s">
        <v>1005</v>
      </c>
      <c r="C512" t="s">
        <v>1006</v>
      </c>
      <c r="D512" t="s">
        <v>1006</v>
      </c>
      <c r="E512" t="s">
        <v>1006</v>
      </c>
      <c r="F512" t="s">
        <v>1006</v>
      </c>
      <c r="G512" s="6">
        <v>5.94</v>
      </c>
      <c r="H512" s="6"/>
      <c r="I512" s="6">
        <f t="shared" si="35"/>
        <v>2.7918</v>
      </c>
      <c r="J512" s="6">
        <f t="shared" si="36"/>
        <v>2.97</v>
      </c>
      <c r="K512" s="6">
        <f t="shared" si="37"/>
        <v>3.267</v>
      </c>
      <c r="L512" s="6">
        <f t="shared" si="38"/>
        <v>4.158</v>
      </c>
      <c r="M512" s="6">
        <f t="shared" si="39"/>
        <v>5.049</v>
      </c>
    </row>
    <row r="513" spans="1:13">
      <c r="A513" t="s">
        <v>13</v>
      </c>
      <c r="B513" t="s">
        <v>1007</v>
      </c>
      <c r="C513" t="s">
        <v>1008</v>
      </c>
      <c r="D513" t="s">
        <v>1008</v>
      </c>
      <c r="E513" t="s">
        <v>1008</v>
      </c>
      <c r="F513" t="s">
        <v>1008</v>
      </c>
      <c r="G513" s="6">
        <v>5.94</v>
      </c>
      <c r="H513" s="6"/>
      <c r="I513" s="6">
        <f t="shared" si="35"/>
        <v>2.7918</v>
      </c>
      <c r="J513" s="6">
        <f t="shared" si="36"/>
        <v>2.97</v>
      </c>
      <c r="K513" s="6">
        <f t="shared" si="37"/>
        <v>3.267</v>
      </c>
      <c r="L513" s="6">
        <f t="shared" si="38"/>
        <v>4.158</v>
      </c>
      <c r="M513" s="6">
        <f t="shared" si="39"/>
        <v>5.049</v>
      </c>
    </row>
    <row r="514" spans="1:13">
      <c r="A514" t="s">
        <v>13</v>
      </c>
      <c r="B514" t="s">
        <v>1009</v>
      </c>
      <c r="C514" t="s">
        <v>1010</v>
      </c>
      <c r="D514" t="s">
        <v>1010</v>
      </c>
      <c r="E514" t="s">
        <v>1010</v>
      </c>
      <c r="F514" t="s">
        <v>1010</v>
      </c>
      <c r="G514" s="6">
        <v>5.94</v>
      </c>
      <c r="H514" s="6"/>
      <c r="I514" s="6">
        <f t="shared" si="35"/>
        <v>2.7918</v>
      </c>
      <c r="J514" s="6">
        <f t="shared" si="36"/>
        <v>2.97</v>
      </c>
      <c r="K514" s="6">
        <f t="shared" si="37"/>
        <v>3.267</v>
      </c>
      <c r="L514" s="6">
        <f t="shared" si="38"/>
        <v>4.158</v>
      </c>
      <c r="M514" s="6">
        <f t="shared" si="39"/>
        <v>5.049</v>
      </c>
    </row>
    <row r="515" spans="1:13">
      <c r="A515" t="s">
        <v>13</v>
      </c>
      <c r="B515" t="s">
        <v>1011</v>
      </c>
      <c r="C515" t="s">
        <v>1012</v>
      </c>
      <c r="D515" t="s">
        <v>1012</v>
      </c>
      <c r="E515" t="s">
        <v>1012</v>
      </c>
      <c r="F515" t="s">
        <v>1012</v>
      </c>
      <c r="G515" s="6">
        <v>91.29</v>
      </c>
      <c r="H515" s="6"/>
      <c r="I515" s="6">
        <f t="shared" ref="I515:I578" si="40">G515*0.47</f>
        <v>42.9063</v>
      </c>
      <c r="J515" s="6">
        <f t="shared" ref="J515:J578" si="41">G515*0.5</f>
        <v>45.645</v>
      </c>
      <c r="K515" s="6">
        <f t="shared" ref="K515:K578" si="42">G515*0.55</f>
        <v>50.2095</v>
      </c>
      <c r="L515" s="6">
        <f t="shared" ref="L515:L578" si="43">G515*0.7</f>
        <v>63.903</v>
      </c>
      <c r="M515" s="6">
        <f t="shared" ref="M515:M578" si="44">G515*0.85</f>
        <v>77.5965</v>
      </c>
    </row>
    <row r="516" spans="1:13">
      <c r="A516" t="s">
        <v>13</v>
      </c>
      <c r="B516" t="s">
        <v>1013</v>
      </c>
      <c r="C516" t="s">
        <v>1014</v>
      </c>
      <c r="D516" t="s">
        <v>1014</v>
      </c>
      <c r="E516" t="s">
        <v>1014</v>
      </c>
      <c r="F516" t="s">
        <v>1014</v>
      </c>
      <c r="G516" s="6">
        <v>106.28</v>
      </c>
      <c r="H516" s="6"/>
      <c r="I516" s="6">
        <f t="shared" si="40"/>
        <v>49.9516</v>
      </c>
      <c r="J516" s="6">
        <f t="shared" si="41"/>
        <v>53.14</v>
      </c>
      <c r="K516" s="6">
        <f t="shared" si="42"/>
        <v>58.454</v>
      </c>
      <c r="L516" s="6">
        <f t="shared" si="43"/>
        <v>74.396</v>
      </c>
      <c r="M516" s="6">
        <f t="shared" si="44"/>
        <v>90.338</v>
      </c>
    </row>
    <row r="517" spans="1:13">
      <c r="A517" t="s">
        <v>13</v>
      </c>
      <c r="B517" s="9" t="s">
        <v>1015</v>
      </c>
      <c r="C517" t="s">
        <v>1016</v>
      </c>
      <c r="D517" t="s">
        <v>1016</v>
      </c>
      <c r="E517" t="s">
        <v>1016</v>
      </c>
      <c r="F517" t="s">
        <v>1016</v>
      </c>
      <c r="G517" s="6">
        <v>1245.52</v>
      </c>
      <c r="H517" s="6"/>
      <c r="I517" s="6">
        <f t="shared" si="40"/>
        <v>585.3944</v>
      </c>
      <c r="J517" s="6">
        <f t="shared" si="41"/>
        <v>622.76</v>
      </c>
      <c r="K517" s="6">
        <f t="shared" si="42"/>
        <v>685.036</v>
      </c>
      <c r="L517" s="6">
        <f t="shared" si="43"/>
        <v>871.864</v>
      </c>
      <c r="M517" s="6">
        <f t="shared" si="44"/>
        <v>1058.692</v>
      </c>
    </row>
    <row r="518" spans="1:13">
      <c r="A518" t="s">
        <v>13</v>
      </c>
      <c r="B518" t="s">
        <v>1017</v>
      </c>
      <c r="C518" t="s">
        <v>1018</v>
      </c>
      <c r="D518" t="s">
        <v>1018</v>
      </c>
      <c r="E518" t="s">
        <v>1018</v>
      </c>
      <c r="F518" t="s">
        <v>1018</v>
      </c>
      <c r="G518" s="6">
        <v>1604.46</v>
      </c>
      <c r="H518" s="6"/>
      <c r="I518" s="6">
        <f t="shared" si="40"/>
        <v>754.0962</v>
      </c>
      <c r="J518" s="6">
        <f t="shared" si="41"/>
        <v>802.23</v>
      </c>
      <c r="K518" s="6">
        <f t="shared" si="42"/>
        <v>882.453</v>
      </c>
      <c r="L518" s="6">
        <f t="shared" si="43"/>
        <v>1123.122</v>
      </c>
      <c r="M518" s="6">
        <f t="shared" si="44"/>
        <v>1363.791</v>
      </c>
    </row>
    <row r="519" spans="1:13">
      <c r="A519" t="s">
        <v>13</v>
      </c>
      <c r="B519" t="s">
        <v>1019</v>
      </c>
      <c r="C519" t="s">
        <v>1020</v>
      </c>
      <c r="D519" t="s">
        <v>1020</v>
      </c>
      <c r="E519" t="s">
        <v>1020</v>
      </c>
      <c r="F519" t="s">
        <v>1020</v>
      </c>
      <c r="G519" s="6">
        <v>156.47</v>
      </c>
      <c r="H519" s="6"/>
      <c r="I519" s="6">
        <f t="shared" si="40"/>
        <v>73.5409</v>
      </c>
      <c r="J519" s="6">
        <f t="shared" si="41"/>
        <v>78.235</v>
      </c>
      <c r="K519" s="6">
        <f t="shared" si="42"/>
        <v>86.0585</v>
      </c>
      <c r="L519" s="6">
        <f t="shared" si="43"/>
        <v>109.529</v>
      </c>
      <c r="M519" s="6">
        <f t="shared" si="44"/>
        <v>132.9995</v>
      </c>
    </row>
    <row r="520" spans="1:13">
      <c r="A520" t="s">
        <v>13</v>
      </c>
      <c r="B520" t="s">
        <v>1021</v>
      </c>
      <c r="C520" t="s">
        <v>1022</v>
      </c>
      <c r="D520" t="s">
        <v>1022</v>
      </c>
      <c r="E520" t="s">
        <v>1022</v>
      </c>
      <c r="F520" t="s">
        <v>1022</v>
      </c>
      <c r="G520" s="6">
        <v>62.1</v>
      </c>
      <c r="H520" s="6"/>
      <c r="I520" s="6">
        <f t="shared" si="40"/>
        <v>29.187</v>
      </c>
      <c r="J520" s="6">
        <f t="shared" si="41"/>
        <v>31.05</v>
      </c>
      <c r="K520" s="6">
        <f t="shared" si="42"/>
        <v>34.155</v>
      </c>
      <c r="L520" s="6">
        <f t="shared" si="43"/>
        <v>43.47</v>
      </c>
      <c r="M520" s="6">
        <f t="shared" si="44"/>
        <v>52.785</v>
      </c>
    </row>
    <row r="521" spans="1:13">
      <c r="A521" t="s">
        <v>13</v>
      </c>
      <c r="B521" t="s">
        <v>1023</v>
      </c>
      <c r="C521" t="s">
        <v>1024</v>
      </c>
      <c r="D521" t="s">
        <v>1024</v>
      </c>
      <c r="E521" t="s">
        <v>1024</v>
      </c>
      <c r="F521" t="s">
        <v>1024</v>
      </c>
      <c r="G521" s="6">
        <v>308.04</v>
      </c>
      <c r="H521" s="6"/>
      <c r="I521" s="6">
        <f t="shared" si="40"/>
        <v>144.7788</v>
      </c>
      <c r="J521" s="6">
        <f t="shared" si="41"/>
        <v>154.02</v>
      </c>
      <c r="K521" s="6">
        <f t="shared" si="42"/>
        <v>169.422</v>
      </c>
      <c r="L521" s="6">
        <f t="shared" si="43"/>
        <v>215.628</v>
      </c>
      <c r="M521" s="6">
        <f t="shared" si="44"/>
        <v>261.834</v>
      </c>
    </row>
    <row r="522" spans="1:13">
      <c r="A522" t="s">
        <v>13</v>
      </c>
      <c r="B522" t="s">
        <v>1025</v>
      </c>
      <c r="C522" t="s">
        <v>1026</v>
      </c>
      <c r="D522" t="s">
        <v>1026</v>
      </c>
      <c r="E522" t="s">
        <v>1026</v>
      </c>
      <c r="F522" t="s">
        <v>1026</v>
      </c>
      <c r="G522" s="6">
        <v>194.21</v>
      </c>
      <c r="H522" s="6"/>
      <c r="I522" s="6">
        <f t="shared" si="40"/>
        <v>91.2787</v>
      </c>
      <c r="J522" s="6">
        <f t="shared" si="41"/>
        <v>97.105</v>
      </c>
      <c r="K522" s="6">
        <f t="shared" si="42"/>
        <v>106.8155</v>
      </c>
      <c r="L522" s="6">
        <f t="shared" si="43"/>
        <v>135.947</v>
      </c>
      <c r="M522" s="6">
        <f t="shared" si="44"/>
        <v>165.0785</v>
      </c>
    </row>
    <row r="523" spans="1:13">
      <c r="A523" t="s">
        <v>13</v>
      </c>
      <c r="B523" t="s">
        <v>1027</v>
      </c>
      <c r="C523" t="s">
        <v>1028</v>
      </c>
      <c r="D523" t="s">
        <v>1028</v>
      </c>
      <c r="E523" t="s">
        <v>1028</v>
      </c>
      <c r="F523" t="s">
        <v>1028</v>
      </c>
      <c r="G523" s="6">
        <v>194.21</v>
      </c>
      <c r="H523" s="6"/>
      <c r="I523" s="6">
        <f t="shared" si="40"/>
        <v>91.2787</v>
      </c>
      <c r="J523" s="6">
        <f t="shared" si="41"/>
        <v>97.105</v>
      </c>
      <c r="K523" s="6">
        <f t="shared" si="42"/>
        <v>106.8155</v>
      </c>
      <c r="L523" s="6">
        <f t="shared" si="43"/>
        <v>135.947</v>
      </c>
      <c r="M523" s="6">
        <f t="shared" si="44"/>
        <v>165.0785</v>
      </c>
    </row>
    <row r="524" spans="1:13">
      <c r="A524" t="s">
        <v>13</v>
      </c>
      <c r="B524" t="s">
        <v>1029</v>
      </c>
      <c r="C524" t="s">
        <v>1030</v>
      </c>
      <c r="D524" t="s">
        <v>1030</v>
      </c>
      <c r="E524" t="s">
        <v>1030</v>
      </c>
      <c r="F524" t="s">
        <v>1030</v>
      </c>
      <c r="G524" s="6">
        <v>257.96</v>
      </c>
      <c r="H524" s="6"/>
      <c r="I524" s="6">
        <f t="shared" si="40"/>
        <v>121.2412</v>
      </c>
      <c r="J524" s="6">
        <f t="shared" si="41"/>
        <v>128.98</v>
      </c>
      <c r="K524" s="6">
        <f t="shared" si="42"/>
        <v>141.878</v>
      </c>
      <c r="L524" s="6">
        <f t="shared" si="43"/>
        <v>180.572</v>
      </c>
      <c r="M524" s="6">
        <f t="shared" si="44"/>
        <v>219.266</v>
      </c>
    </row>
    <row r="525" spans="1:13">
      <c r="A525" t="s">
        <v>13</v>
      </c>
      <c r="B525" t="s">
        <v>1031</v>
      </c>
      <c r="C525" t="s">
        <v>1032</v>
      </c>
      <c r="D525" t="s">
        <v>1032</v>
      </c>
      <c r="E525" t="s">
        <v>1032</v>
      </c>
      <c r="F525" t="s">
        <v>1032</v>
      </c>
      <c r="G525" s="6">
        <v>257.96</v>
      </c>
      <c r="H525" s="6"/>
      <c r="I525" s="6">
        <f t="shared" si="40"/>
        <v>121.2412</v>
      </c>
      <c r="J525" s="6">
        <f t="shared" si="41"/>
        <v>128.98</v>
      </c>
      <c r="K525" s="6">
        <f t="shared" si="42"/>
        <v>141.878</v>
      </c>
      <c r="L525" s="6">
        <f t="shared" si="43"/>
        <v>180.572</v>
      </c>
      <c r="M525" s="6">
        <f t="shared" si="44"/>
        <v>219.266</v>
      </c>
    </row>
    <row r="526" spans="1:13">
      <c r="A526" t="s">
        <v>13</v>
      </c>
      <c r="B526" t="s">
        <v>1033</v>
      </c>
      <c r="C526" t="s">
        <v>1034</v>
      </c>
      <c r="D526" t="s">
        <v>1034</v>
      </c>
      <c r="E526" t="s">
        <v>1034</v>
      </c>
      <c r="F526" t="s">
        <v>1034</v>
      </c>
      <c r="G526" s="6">
        <v>322.01</v>
      </c>
      <c r="H526" s="6"/>
      <c r="I526" s="6">
        <f t="shared" si="40"/>
        <v>151.3447</v>
      </c>
      <c r="J526" s="6">
        <f t="shared" si="41"/>
        <v>161.005</v>
      </c>
      <c r="K526" s="6">
        <f t="shared" si="42"/>
        <v>177.1055</v>
      </c>
      <c r="L526" s="6">
        <f t="shared" si="43"/>
        <v>225.407</v>
      </c>
      <c r="M526" s="6">
        <f t="shared" si="44"/>
        <v>273.7085</v>
      </c>
    </row>
    <row r="527" spans="1:13">
      <c r="A527" t="s">
        <v>13</v>
      </c>
      <c r="B527" t="s">
        <v>1035</v>
      </c>
      <c r="C527" t="s">
        <v>1036</v>
      </c>
      <c r="D527" t="s">
        <v>1036</v>
      </c>
      <c r="E527" t="s">
        <v>1036</v>
      </c>
      <c r="F527" t="s">
        <v>1036</v>
      </c>
      <c r="G527" s="6">
        <v>322.01</v>
      </c>
      <c r="H527" s="6"/>
      <c r="I527" s="6">
        <f t="shared" si="40"/>
        <v>151.3447</v>
      </c>
      <c r="J527" s="6">
        <f t="shared" si="41"/>
        <v>161.005</v>
      </c>
      <c r="K527" s="6">
        <f t="shared" si="42"/>
        <v>177.1055</v>
      </c>
      <c r="L527" s="6">
        <f t="shared" si="43"/>
        <v>225.407</v>
      </c>
      <c r="M527" s="6">
        <f t="shared" si="44"/>
        <v>273.7085</v>
      </c>
    </row>
    <row r="528" spans="1:13">
      <c r="A528" t="s">
        <v>13</v>
      </c>
      <c r="B528" t="s">
        <v>1037</v>
      </c>
      <c r="C528" t="s">
        <v>1038</v>
      </c>
      <c r="D528" t="s">
        <v>1038</v>
      </c>
      <c r="E528" t="s">
        <v>1038</v>
      </c>
      <c r="F528" t="s">
        <v>1038</v>
      </c>
      <c r="G528" s="6">
        <v>378.01</v>
      </c>
      <c r="H528" s="6"/>
      <c r="I528" s="6">
        <f t="shared" si="40"/>
        <v>177.6647</v>
      </c>
      <c r="J528" s="6">
        <f t="shared" si="41"/>
        <v>189.005</v>
      </c>
      <c r="K528" s="6">
        <f t="shared" si="42"/>
        <v>207.9055</v>
      </c>
      <c r="L528" s="6">
        <f t="shared" si="43"/>
        <v>264.607</v>
      </c>
      <c r="M528" s="6">
        <f t="shared" si="44"/>
        <v>321.3085</v>
      </c>
    </row>
    <row r="529" spans="1:13">
      <c r="A529" t="s">
        <v>13</v>
      </c>
      <c r="B529" t="s">
        <v>1039</v>
      </c>
      <c r="C529" t="s">
        <v>1040</v>
      </c>
      <c r="D529" t="s">
        <v>1040</v>
      </c>
      <c r="E529" t="s">
        <v>1040</v>
      </c>
      <c r="F529" t="s">
        <v>1040</v>
      </c>
      <c r="G529" s="6">
        <v>378.01</v>
      </c>
      <c r="H529" s="6"/>
      <c r="I529" s="6">
        <f t="shared" si="40"/>
        <v>177.6647</v>
      </c>
      <c r="J529" s="6">
        <f t="shared" si="41"/>
        <v>189.005</v>
      </c>
      <c r="K529" s="6">
        <f t="shared" si="42"/>
        <v>207.9055</v>
      </c>
      <c r="L529" s="6">
        <f t="shared" si="43"/>
        <v>264.607</v>
      </c>
      <c r="M529" s="6">
        <f t="shared" si="44"/>
        <v>321.3085</v>
      </c>
    </row>
    <row r="530" spans="1:13">
      <c r="A530" t="s">
        <v>13</v>
      </c>
      <c r="B530" t="s">
        <v>1041</v>
      </c>
      <c r="C530" t="s">
        <v>1042</v>
      </c>
      <c r="D530" t="s">
        <v>1042</v>
      </c>
      <c r="E530" t="s">
        <v>1042</v>
      </c>
      <c r="F530" t="s">
        <v>1042</v>
      </c>
      <c r="G530" s="6">
        <v>69.55</v>
      </c>
      <c r="H530" s="6"/>
      <c r="I530" s="6">
        <f t="shared" si="40"/>
        <v>32.6885</v>
      </c>
      <c r="J530" s="6">
        <f t="shared" si="41"/>
        <v>34.775</v>
      </c>
      <c r="K530" s="6">
        <f t="shared" si="42"/>
        <v>38.2525</v>
      </c>
      <c r="L530" s="6">
        <f t="shared" si="43"/>
        <v>48.685</v>
      </c>
      <c r="M530" s="6">
        <f t="shared" si="44"/>
        <v>59.1175</v>
      </c>
    </row>
    <row r="531" spans="1:13">
      <c r="A531" t="s">
        <v>13</v>
      </c>
      <c r="B531" t="s">
        <v>1043</v>
      </c>
      <c r="C531" t="s">
        <v>1044</v>
      </c>
      <c r="D531" t="s">
        <v>1044</v>
      </c>
      <c r="E531" t="s">
        <v>1044</v>
      </c>
      <c r="F531" t="s">
        <v>1044</v>
      </c>
      <c r="G531" s="6">
        <v>85.57</v>
      </c>
      <c r="H531" s="6"/>
      <c r="I531" s="6">
        <f t="shared" si="40"/>
        <v>40.2179</v>
      </c>
      <c r="J531" s="6">
        <f t="shared" si="41"/>
        <v>42.785</v>
      </c>
      <c r="K531" s="6">
        <f t="shared" si="42"/>
        <v>47.0635</v>
      </c>
      <c r="L531" s="6">
        <f t="shared" si="43"/>
        <v>59.899</v>
      </c>
      <c r="M531" s="6">
        <f t="shared" si="44"/>
        <v>72.7345</v>
      </c>
    </row>
    <row r="532" spans="1:13">
      <c r="A532" t="s">
        <v>13</v>
      </c>
      <c r="B532" t="s">
        <v>1045</v>
      </c>
      <c r="C532" t="s">
        <v>1046</v>
      </c>
      <c r="D532" t="s">
        <v>1046</v>
      </c>
      <c r="E532" t="s">
        <v>1046</v>
      </c>
      <c r="F532" t="s">
        <v>1046</v>
      </c>
      <c r="G532" s="6">
        <v>101.31</v>
      </c>
      <c r="H532" s="6"/>
      <c r="I532" s="6">
        <f t="shared" si="40"/>
        <v>47.6157</v>
      </c>
      <c r="J532" s="6">
        <f t="shared" si="41"/>
        <v>50.655</v>
      </c>
      <c r="K532" s="6">
        <f t="shared" si="42"/>
        <v>55.7205</v>
      </c>
      <c r="L532" s="6">
        <f t="shared" si="43"/>
        <v>70.917</v>
      </c>
      <c r="M532" s="6">
        <f t="shared" si="44"/>
        <v>86.1135</v>
      </c>
    </row>
    <row r="533" spans="1:13">
      <c r="A533" t="s">
        <v>13</v>
      </c>
      <c r="B533" t="s">
        <v>1047</v>
      </c>
      <c r="C533" t="s">
        <v>1048</v>
      </c>
      <c r="D533" t="s">
        <v>1048</v>
      </c>
      <c r="E533" t="s">
        <v>1048</v>
      </c>
      <c r="F533" t="s">
        <v>1048</v>
      </c>
      <c r="G533" s="6">
        <v>118.8</v>
      </c>
      <c r="H533" s="6"/>
      <c r="I533" s="6">
        <f t="shared" si="40"/>
        <v>55.836</v>
      </c>
      <c r="J533" s="6">
        <f t="shared" si="41"/>
        <v>59.4</v>
      </c>
      <c r="K533" s="6">
        <f t="shared" si="42"/>
        <v>65.34</v>
      </c>
      <c r="L533" s="6">
        <f t="shared" si="43"/>
        <v>83.16</v>
      </c>
      <c r="M533" s="6">
        <f t="shared" si="44"/>
        <v>100.98</v>
      </c>
    </row>
    <row r="534" spans="1:13">
      <c r="A534" t="s">
        <v>13</v>
      </c>
      <c r="B534" t="s">
        <v>1049</v>
      </c>
      <c r="C534" t="s">
        <v>1050</v>
      </c>
      <c r="D534" t="s">
        <v>1050</v>
      </c>
      <c r="E534" t="s">
        <v>1050</v>
      </c>
      <c r="F534" t="s">
        <v>1050</v>
      </c>
      <c r="G534" s="6">
        <v>107.5</v>
      </c>
      <c r="H534" s="6"/>
      <c r="I534" s="6">
        <f t="shared" si="40"/>
        <v>50.525</v>
      </c>
      <c r="J534" s="6">
        <f t="shared" si="41"/>
        <v>53.75</v>
      </c>
      <c r="K534" s="6">
        <f t="shared" si="42"/>
        <v>59.125</v>
      </c>
      <c r="L534" s="6">
        <f t="shared" si="43"/>
        <v>75.25</v>
      </c>
      <c r="M534" s="6">
        <f t="shared" si="44"/>
        <v>91.375</v>
      </c>
    </row>
    <row r="535" spans="1:13">
      <c r="A535" t="s">
        <v>13</v>
      </c>
      <c r="B535" t="s">
        <v>1051</v>
      </c>
      <c r="C535" t="s">
        <v>1052</v>
      </c>
      <c r="D535" t="s">
        <v>1052</v>
      </c>
      <c r="E535" t="s">
        <v>1052</v>
      </c>
      <c r="F535" t="s">
        <v>1052</v>
      </c>
      <c r="G535" s="6">
        <v>207.5</v>
      </c>
      <c r="H535" s="6"/>
      <c r="I535" s="6">
        <f t="shared" si="40"/>
        <v>97.525</v>
      </c>
      <c r="J535" s="6">
        <f t="shared" si="41"/>
        <v>103.75</v>
      </c>
      <c r="K535" s="6">
        <f t="shared" si="42"/>
        <v>114.125</v>
      </c>
      <c r="L535" s="6">
        <f t="shared" si="43"/>
        <v>145.25</v>
      </c>
      <c r="M535" s="6">
        <f t="shared" si="44"/>
        <v>176.375</v>
      </c>
    </row>
    <row r="536" spans="1:13">
      <c r="A536" t="s">
        <v>13</v>
      </c>
      <c r="B536" t="s">
        <v>1053</v>
      </c>
      <c r="C536" t="s">
        <v>1054</v>
      </c>
      <c r="D536" t="s">
        <v>1054</v>
      </c>
      <c r="E536" t="s">
        <v>1054</v>
      </c>
      <c r="F536" t="s">
        <v>1054</v>
      </c>
      <c r="G536" s="6">
        <v>310</v>
      </c>
      <c r="H536" s="6"/>
      <c r="I536" s="6">
        <f t="shared" si="40"/>
        <v>145.7</v>
      </c>
      <c r="J536" s="6">
        <f t="shared" si="41"/>
        <v>155</v>
      </c>
      <c r="K536" s="6">
        <f t="shared" si="42"/>
        <v>170.5</v>
      </c>
      <c r="L536" s="6">
        <f t="shared" si="43"/>
        <v>217</v>
      </c>
      <c r="M536" s="6">
        <f t="shared" si="44"/>
        <v>263.5</v>
      </c>
    </row>
    <row r="537" spans="1:13">
      <c r="A537" t="s">
        <v>13</v>
      </c>
      <c r="B537" t="s">
        <v>1055</v>
      </c>
      <c r="C537" t="s">
        <v>1056</v>
      </c>
      <c r="D537" t="s">
        <v>1056</v>
      </c>
      <c r="E537" t="s">
        <v>1056</v>
      </c>
      <c r="F537" t="s">
        <v>1056</v>
      </c>
      <c r="G537" s="6">
        <v>120</v>
      </c>
      <c r="H537" s="6"/>
      <c r="I537" s="6">
        <f t="shared" si="40"/>
        <v>56.4</v>
      </c>
      <c r="J537" s="6">
        <f t="shared" si="41"/>
        <v>60</v>
      </c>
      <c r="K537" s="6">
        <f t="shared" si="42"/>
        <v>66</v>
      </c>
      <c r="L537" s="6">
        <f t="shared" si="43"/>
        <v>84</v>
      </c>
      <c r="M537" s="6">
        <f t="shared" si="44"/>
        <v>102</v>
      </c>
    </row>
    <row r="538" spans="1:13">
      <c r="A538" t="s">
        <v>13</v>
      </c>
      <c r="B538" t="s">
        <v>1057</v>
      </c>
      <c r="C538" t="s">
        <v>1058</v>
      </c>
      <c r="D538" t="s">
        <v>1058</v>
      </c>
      <c r="E538" t="s">
        <v>1058</v>
      </c>
      <c r="F538" t="s">
        <v>1058</v>
      </c>
      <c r="G538" s="6">
        <v>107.5</v>
      </c>
      <c r="H538" s="6"/>
      <c r="I538" s="6">
        <f t="shared" si="40"/>
        <v>50.525</v>
      </c>
      <c r="J538" s="6">
        <f t="shared" si="41"/>
        <v>53.75</v>
      </c>
      <c r="K538" s="6">
        <f t="shared" si="42"/>
        <v>59.125</v>
      </c>
      <c r="L538" s="6">
        <f t="shared" si="43"/>
        <v>75.25</v>
      </c>
      <c r="M538" s="6">
        <f t="shared" si="44"/>
        <v>91.375</v>
      </c>
    </row>
    <row r="539" spans="1:13">
      <c r="A539" t="s">
        <v>13</v>
      </c>
      <c r="B539" t="s">
        <v>1059</v>
      </c>
      <c r="C539" t="s">
        <v>1060</v>
      </c>
      <c r="D539" t="s">
        <v>1060</v>
      </c>
      <c r="E539" t="s">
        <v>1060</v>
      </c>
      <c r="F539" t="s">
        <v>1060</v>
      </c>
      <c r="G539" s="6">
        <v>207.5</v>
      </c>
      <c r="H539" s="6"/>
      <c r="I539" s="6">
        <f t="shared" si="40"/>
        <v>97.525</v>
      </c>
      <c r="J539" s="6">
        <f t="shared" si="41"/>
        <v>103.75</v>
      </c>
      <c r="K539" s="6">
        <f t="shared" si="42"/>
        <v>114.125</v>
      </c>
      <c r="L539" s="6">
        <f t="shared" si="43"/>
        <v>145.25</v>
      </c>
      <c r="M539" s="6">
        <f t="shared" si="44"/>
        <v>176.375</v>
      </c>
    </row>
    <row r="540" spans="1:13">
      <c r="A540" t="s">
        <v>13</v>
      </c>
      <c r="B540" t="s">
        <v>1061</v>
      </c>
      <c r="C540" t="s">
        <v>1062</v>
      </c>
      <c r="D540" t="s">
        <v>1062</v>
      </c>
      <c r="E540" t="s">
        <v>1062</v>
      </c>
      <c r="F540" t="s">
        <v>1062</v>
      </c>
      <c r="G540" s="6">
        <v>310</v>
      </c>
      <c r="H540" s="6"/>
      <c r="I540" s="6">
        <f t="shared" si="40"/>
        <v>145.7</v>
      </c>
      <c r="J540" s="6">
        <f t="shared" si="41"/>
        <v>155</v>
      </c>
      <c r="K540" s="6">
        <f t="shared" si="42"/>
        <v>170.5</v>
      </c>
      <c r="L540" s="6">
        <f t="shared" si="43"/>
        <v>217</v>
      </c>
      <c r="M540" s="6">
        <f t="shared" si="44"/>
        <v>263.5</v>
      </c>
    </row>
    <row r="541" spans="1:13">
      <c r="A541" t="s">
        <v>13</v>
      </c>
      <c r="B541" t="s">
        <v>1063</v>
      </c>
      <c r="C541" t="s">
        <v>1064</v>
      </c>
      <c r="D541" t="s">
        <v>1064</v>
      </c>
      <c r="E541" t="s">
        <v>1064</v>
      </c>
      <c r="F541" t="s">
        <v>1064</v>
      </c>
      <c r="G541" s="6">
        <v>120</v>
      </c>
      <c r="H541" s="6"/>
      <c r="I541" s="6">
        <f t="shared" si="40"/>
        <v>56.4</v>
      </c>
      <c r="J541" s="6">
        <f t="shared" si="41"/>
        <v>60</v>
      </c>
      <c r="K541" s="6">
        <f t="shared" si="42"/>
        <v>66</v>
      </c>
      <c r="L541" s="6">
        <f t="shared" si="43"/>
        <v>84</v>
      </c>
      <c r="M541" s="6">
        <f t="shared" si="44"/>
        <v>102</v>
      </c>
    </row>
    <row r="542" spans="1:13">
      <c r="A542" t="s">
        <v>13</v>
      </c>
      <c r="B542" t="s">
        <v>1065</v>
      </c>
      <c r="C542" t="s">
        <v>1066</v>
      </c>
      <c r="D542" t="s">
        <v>1066</v>
      </c>
      <c r="E542" t="s">
        <v>1066</v>
      </c>
      <c r="F542" t="s">
        <v>1066</v>
      </c>
      <c r="G542" s="6">
        <v>100</v>
      </c>
      <c r="H542" s="6"/>
      <c r="I542" s="6">
        <f t="shared" si="40"/>
        <v>47</v>
      </c>
      <c r="J542" s="6">
        <f t="shared" si="41"/>
        <v>50</v>
      </c>
      <c r="K542" s="6">
        <f t="shared" si="42"/>
        <v>55</v>
      </c>
      <c r="L542" s="6">
        <f t="shared" si="43"/>
        <v>70</v>
      </c>
      <c r="M542" s="6">
        <f t="shared" si="44"/>
        <v>85</v>
      </c>
    </row>
    <row r="543" spans="1:13">
      <c r="A543" t="s">
        <v>13</v>
      </c>
      <c r="B543" t="s">
        <v>1067</v>
      </c>
      <c r="C543" t="s">
        <v>1068</v>
      </c>
      <c r="D543" t="s">
        <v>1068</v>
      </c>
      <c r="E543" t="s">
        <v>1068</v>
      </c>
      <c r="F543" t="s">
        <v>1068</v>
      </c>
      <c r="G543" s="6">
        <v>185</v>
      </c>
      <c r="H543" s="6"/>
      <c r="I543" s="6">
        <f t="shared" si="40"/>
        <v>86.95</v>
      </c>
      <c r="J543" s="6">
        <f t="shared" si="41"/>
        <v>92.5</v>
      </c>
      <c r="K543" s="6">
        <f t="shared" si="42"/>
        <v>101.75</v>
      </c>
      <c r="L543" s="6">
        <f t="shared" si="43"/>
        <v>129.5</v>
      </c>
      <c r="M543" s="6">
        <f t="shared" si="44"/>
        <v>157.25</v>
      </c>
    </row>
    <row r="544" spans="1:13">
      <c r="A544" t="s">
        <v>13</v>
      </c>
      <c r="B544" t="s">
        <v>1069</v>
      </c>
      <c r="C544" t="s">
        <v>1070</v>
      </c>
      <c r="D544" t="s">
        <v>1070</v>
      </c>
      <c r="E544" t="s">
        <v>1070</v>
      </c>
      <c r="F544" t="s">
        <v>1070</v>
      </c>
      <c r="G544" s="6">
        <v>277.5</v>
      </c>
      <c r="H544" s="6"/>
      <c r="I544" s="6">
        <f t="shared" si="40"/>
        <v>130.425</v>
      </c>
      <c r="J544" s="6">
        <f t="shared" si="41"/>
        <v>138.75</v>
      </c>
      <c r="K544" s="6">
        <f t="shared" si="42"/>
        <v>152.625</v>
      </c>
      <c r="L544" s="6">
        <f t="shared" si="43"/>
        <v>194.25</v>
      </c>
      <c r="M544" s="6">
        <f t="shared" si="44"/>
        <v>235.875</v>
      </c>
    </row>
    <row r="545" spans="1:13">
      <c r="A545" t="s">
        <v>13</v>
      </c>
      <c r="B545" t="s">
        <v>1071</v>
      </c>
      <c r="C545" t="s">
        <v>1072</v>
      </c>
      <c r="D545" t="s">
        <v>1072</v>
      </c>
      <c r="E545" t="s">
        <v>1072</v>
      </c>
      <c r="F545" t="s">
        <v>1072</v>
      </c>
      <c r="G545" s="6">
        <v>120</v>
      </c>
      <c r="H545" s="6"/>
      <c r="I545" s="6">
        <f t="shared" si="40"/>
        <v>56.4</v>
      </c>
      <c r="J545" s="6">
        <f t="shared" si="41"/>
        <v>60</v>
      </c>
      <c r="K545" s="6">
        <f t="shared" si="42"/>
        <v>66</v>
      </c>
      <c r="L545" s="6">
        <f t="shared" si="43"/>
        <v>84</v>
      </c>
      <c r="M545" s="6">
        <f t="shared" si="44"/>
        <v>102</v>
      </c>
    </row>
    <row r="546" spans="1:13">
      <c r="A546" t="s">
        <v>13</v>
      </c>
      <c r="B546" t="s">
        <v>1073</v>
      </c>
      <c r="C546" t="s">
        <v>1074</v>
      </c>
      <c r="D546" t="s">
        <v>1074</v>
      </c>
      <c r="E546" t="s">
        <v>1074</v>
      </c>
      <c r="F546" t="s">
        <v>1074</v>
      </c>
      <c r="G546" s="6">
        <v>109.55</v>
      </c>
      <c r="H546" s="6"/>
      <c r="I546" s="6">
        <f t="shared" si="40"/>
        <v>51.4885</v>
      </c>
      <c r="J546" s="6">
        <f t="shared" si="41"/>
        <v>54.775</v>
      </c>
      <c r="K546" s="6">
        <f t="shared" si="42"/>
        <v>60.2525</v>
      </c>
      <c r="L546" s="6">
        <f t="shared" si="43"/>
        <v>76.685</v>
      </c>
      <c r="M546" s="6">
        <f t="shared" si="44"/>
        <v>93.1175</v>
      </c>
    </row>
    <row r="547" spans="1:13">
      <c r="A547" t="s">
        <v>13</v>
      </c>
      <c r="B547" t="s">
        <v>1075</v>
      </c>
      <c r="C547" t="s">
        <v>1076</v>
      </c>
      <c r="D547" t="s">
        <v>1076</v>
      </c>
      <c r="E547" t="s">
        <v>1076</v>
      </c>
      <c r="F547" t="s">
        <v>1076</v>
      </c>
      <c r="G547" s="6">
        <v>142.23</v>
      </c>
      <c r="H547" s="6"/>
      <c r="I547" s="6">
        <f t="shared" si="40"/>
        <v>66.8481</v>
      </c>
      <c r="J547" s="6">
        <f t="shared" si="41"/>
        <v>71.115</v>
      </c>
      <c r="K547" s="6">
        <f t="shared" si="42"/>
        <v>78.2265</v>
      </c>
      <c r="L547" s="6">
        <f t="shared" si="43"/>
        <v>99.561</v>
      </c>
      <c r="M547" s="6">
        <f t="shared" si="44"/>
        <v>120.8955</v>
      </c>
    </row>
    <row r="548" spans="1:13">
      <c r="A548" t="s">
        <v>13</v>
      </c>
      <c r="B548" t="s">
        <v>1077</v>
      </c>
      <c r="C548" t="s">
        <v>1078</v>
      </c>
      <c r="D548" t="s">
        <v>1078</v>
      </c>
      <c r="E548" t="s">
        <v>1078</v>
      </c>
      <c r="F548" t="s">
        <v>1078</v>
      </c>
      <c r="G548" s="6">
        <v>109.55</v>
      </c>
      <c r="H548" s="6"/>
      <c r="I548" s="6">
        <f t="shared" si="40"/>
        <v>51.4885</v>
      </c>
      <c r="J548" s="6">
        <f t="shared" si="41"/>
        <v>54.775</v>
      </c>
      <c r="K548" s="6">
        <f t="shared" si="42"/>
        <v>60.2525</v>
      </c>
      <c r="L548" s="6">
        <f t="shared" si="43"/>
        <v>76.685</v>
      </c>
      <c r="M548" s="6">
        <f t="shared" si="44"/>
        <v>93.1175</v>
      </c>
    </row>
    <row r="549" spans="1:13">
      <c r="A549" t="s">
        <v>13</v>
      </c>
      <c r="B549" t="s">
        <v>1079</v>
      </c>
      <c r="C549" t="s">
        <v>1080</v>
      </c>
      <c r="D549" t="s">
        <v>1080</v>
      </c>
      <c r="E549" t="s">
        <v>1080</v>
      </c>
      <c r="F549" t="s">
        <v>1080</v>
      </c>
      <c r="G549" s="6">
        <v>142.23</v>
      </c>
      <c r="H549" s="6"/>
      <c r="I549" s="6">
        <f t="shared" si="40"/>
        <v>66.8481</v>
      </c>
      <c r="J549" s="6">
        <f t="shared" si="41"/>
        <v>71.115</v>
      </c>
      <c r="K549" s="6">
        <f t="shared" si="42"/>
        <v>78.2265</v>
      </c>
      <c r="L549" s="6">
        <f t="shared" si="43"/>
        <v>99.561</v>
      </c>
      <c r="M549" s="6">
        <f t="shared" si="44"/>
        <v>120.8955</v>
      </c>
    </row>
    <row r="550" spans="1:13">
      <c r="A550" t="s">
        <v>13</v>
      </c>
      <c r="B550" t="s">
        <v>1081</v>
      </c>
      <c r="C550" t="s">
        <v>1082</v>
      </c>
      <c r="D550" t="s">
        <v>1082</v>
      </c>
      <c r="E550" t="s">
        <v>1082</v>
      </c>
      <c r="F550" t="s">
        <v>1082</v>
      </c>
      <c r="G550" s="6">
        <v>109.55</v>
      </c>
      <c r="H550" s="6"/>
      <c r="I550" s="6">
        <f t="shared" si="40"/>
        <v>51.4885</v>
      </c>
      <c r="J550" s="6">
        <f t="shared" si="41"/>
        <v>54.775</v>
      </c>
      <c r="K550" s="6">
        <f t="shared" si="42"/>
        <v>60.2525</v>
      </c>
      <c r="L550" s="6">
        <f t="shared" si="43"/>
        <v>76.685</v>
      </c>
      <c r="M550" s="6">
        <f t="shared" si="44"/>
        <v>93.1175</v>
      </c>
    </row>
    <row r="551" spans="1:13">
      <c r="A551" t="s">
        <v>13</v>
      </c>
      <c r="B551" t="s">
        <v>1083</v>
      </c>
      <c r="C551" t="s">
        <v>1084</v>
      </c>
      <c r="D551" t="s">
        <v>1084</v>
      </c>
      <c r="E551" t="s">
        <v>1084</v>
      </c>
      <c r="F551" t="s">
        <v>1084</v>
      </c>
      <c r="G551" s="6">
        <v>142.23</v>
      </c>
      <c r="H551" s="6"/>
      <c r="I551" s="6">
        <f t="shared" si="40"/>
        <v>66.8481</v>
      </c>
      <c r="J551" s="6">
        <f t="shared" si="41"/>
        <v>71.115</v>
      </c>
      <c r="K551" s="6">
        <f t="shared" si="42"/>
        <v>78.2265</v>
      </c>
      <c r="L551" s="6">
        <f t="shared" si="43"/>
        <v>99.561</v>
      </c>
      <c r="M551" s="6">
        <f t="shared" si="44"/>
        <v>120.8955</v>
      </c>
    </row>
    <row r="552" spans="1:13">
      <c r="A552" t="s">
        <v>13</v>
      </c>
      <c r="B552" t="s">
        <v>1085</v>
      </c>
      <c r="C552" t="s">
        <v>1086</v>
      </c>
      <c r="D552" t="s">
        <v>1086</v>
      </c>
      <c r="E552" t="s">
        <v>1086</v>
      </c>
      <c r="F552" t="s">
        <v>1086</v>
      </c>
      <c r="G552" s="6">
        <v>196.58</v>
      </c>
      <c r="H552" s="6"/>
      <c r="I552" s="6">
        <f t="shared" si="40"/>
        <v>92.3926</v>
      </c>
      <c r="J552" s="6">
        <f t="shared" si="41"/>
        <v>98.29</v>
      </c>
      <c r="K552" s="6">
        <f t="shared" si="42"/>
        <v>108.119</v>
      </c>
      <c r="L552" s="6">
        <f t="shared" si="43"/>
        <v>137.606</v>
      </c>
      <c r="M552" s="6">
        <f t="shared" si="44"/>
        <v>167.093</v>
      </c>
    </row>
    <row r="553" spans="1:13">
      <c r="A553" t="s">
        <v>13</v>
      </c>
      <c r="B553" t="s">
        <v>1087</v>
      </c>
      <c r="C553" t="s">
        <v>1088</v>
      </c>
      <c r="D553" t="s">
        <v>1088</v>
      </c>
      <c r="E553" t="s">
        <v>1088</v>
      </c>
      <c r="F553" t="s">
        <v>1088</v>
      </c>
      <c r="G553" s="6">
        <v>196.58</v>
      </c>
      <c r="H553" s="6"/>
      <c r="I553" s="6">
        <f t="shared" si="40"/>
        <v>92.3926</v>
      </c>
      <c r="J553" s="6">
        <f t="shared" si="41"/>
        <v>98.29</v>
      </c>
      <c r="K553" s="6">
        <f t="shared" si="42"/>
        <v>108.119</v>
      </c>
      <c r="L553" s="6">
        <f t="shared" si="43"/>
        <v>137.606</v>
      </c>
      <c r="M553" s="6">
        <f t="shared" si="44"/>
        <v>167.093</v>
      </c>
    </row>
    <row r="554" spans="1:13">
      <c r="A554" t="s">
        <v>13</v>
      </c>
      <c r="B554" t="s">
        <v>1089</v>
      </c>
      <c r="C554" t="s">
        <v>1090</v>
      </c>
      <c r="D554" t="s">
        <v>1090</v>
      </c>
      <c r="E554" t="s">
        <v>1090</v>
      </c>
      <c r="F554" t="s">
        <v>1090</v>
      </c>
      <c r="G554" s="6">
        <v>196.58</v>
      </c>
      <c r="H554" s="6"/>
      <c r="I554" s="6">
        <f t="shared" si="40"/>
        <v>92.3926</v>
      </c>
      <c r="J554" s="6">
        <f t="shared" si="41"/>
        <v>98.29</v>
      </c>
      <c r="K554" s="6">
        <f t="shared" si="42"/>
        <v>108.119</v>
      </c>
      <c r="L554" s="6">
        <f t="shared" si="43"/>
        <v>137.606</v>
      </c>
      <c r="M554" s="6">
        <f t="shared" si="44"/>
        <v>167.093</v>
      </c>
    </row>
    <row r="555" spans="1:13">
      <c r="A555" t="s">
        <v>13</v>
      </c>
      <c r="B555" t="s">
        <v>1091</v>
      </c>
      <c r="C555" t="s">
        <v>1092</v>
      </c>
      <c r="D555" t="s">
        <v>1092</v>
      </c>
      <c r="E555" t="s">
        <v>1092</v>
      </c>
      <c r="F555" t="s">
        <v>1092</v>
      </c>
      <c r="G555" s="6">
        <v>283.58</v>
      </c>
      <c r="H555" s="6"/>
      <c r="I555" s="6">
        <f t="shared" si="40"/>
        <v>133.2826</v>
      </c>
      <c r="J555" s="6">
        <f t="shared" si="41"/>
        <v>141.79</v>
      </c>
      <c r="K555" s="6">
        <f t="shared" si="42"/>
        <v>155.969</v>
      </c>
      <c r="L555" s="6">
        <f t="shared" si="43"/>
        <v>198.506</v>
      </c>
      <c r="M555" s="6">
        <f t="shared" si="44"/>
        <v>241.043</v>
      </c>
    </row>
    <row r="556" spans="1:13">
      <c r="A556" t="s">
        <v>13</v>
      </c>
      <c r="B556" t="s">
        <v>1093</v>
      </c>
      <c r="C556" t="s">
        <v>1094</v>
      </c>
      <c r="D556" t="s">
        <v>1094</v>
      </c>
      <c r="E556" t="s">
        <v>1094</v>
      </c>
      <c r="F556" t="s">
        <v>1094</v>
      </c>
      <c r="G556" s="6">
        <v>283.58</v>
      </c>
      <c r="H556" s="6"/>
      <c r="I556" s="6">
        <f t="shared" si="40"/>
        <v>133.2826</v>
      </c>
      <c r="J556" s="6">
        <f t="shared" si="41"/>
        <v>141.79</v>
      </c>
      <c r="K556" s="6">
        <f t="shared" si="42"/>
        <v>155.969</v>
      </c>
      <c r="L556" s="6">
        <f t="shared" si="43"/>
        <v>198.506</v>
      </c>
      <c r="M556" s="6">
        <f t="shared" si="44"/>
        <v>241.043</v>
      </c>
    </row>
    <row r="557" spans="1:13">
      <c r="A557" t="s">
        <v>13</v>
      </c>
      <c r="B557" t="s">
        <v>1095</v>
      </c>
      <c r="C557" t="s">
        <v>1096</v>
      </c>
      <c r="D557" t="s">
        <v>1096</v>
      </c>
      <c r="E557" t="s">
        <v>1096</v>
      </c>
      <c r="F557" t="s">
        <v>1096</v>
      </c>
      <c r="G557" s="6">
        <v>283.58</v>
      </c>
      <c r="H557" s="6"/>
      <c r="I557" s="6">
        <f t="shared" si="40"/>
        <v>133.2826</v>
      </c>
      <c r="J557" s="6">
        <f t="shared" si="41"/>
        <v>141.79</v>
      </c>
      <c r="K557" s="6">
        <f t="shared" si="42"/>
        <v>155.969</v>
      </c>
      <c r="L557" s="6">
        <f t="shared" si="43"/>
        <v>198.506</v>
      </c>
      <c r="M557" s="6">
        <f t="shared" si="44"/>
        <v>241.043</v>
      </c>
    </row>
    <row r="558" spans="1:13">
      <c r="A558" t="s">
        <v>13</v>
      </c>
      <c r="B558" t="s">
        <v>1097</v>
      </c>
      <c r="C558" t="s">
        <v>1098</v>
      </c>
      <c r="D558" t="s">
        <v>1098</v>
      </c>
      <c r="E558" t="s">
        <v>1098</v>
      </c>
      <c r="F558" t="s">
        <v>1098</v>
      </c>
      <c r="G558" s="6">
        <v>420</v>
      </c>
      <c r="H558" s="6"/>
      <c r="I558" s="6">
        <f t="shared" si="40"/>
        <v>197.4</v>
      </c>
      <c r="J558" s="6">
        <f t="shared" si="41"/>
        <v>210</v>
      </c>
      <c r="K558" s="6">
        <f t="shared" si="42"/>
        <v>231</v>
      </c>
      <c r="L558" s="6">
        <f t="shared" si="43"/>
        <v>294</v>
      </c>
      <c r="M558" s="6">
        <f t="shared" si="44"/>
        <v>357</v>
      </c>
    </row>
    <row r="559" spans="1:13">
      <c r="A559" t="s">
        <v>13</v>
      </c>
      <c r="B559" t="s">
        <v>1099</v>
      </c>
      <c r="C559" t="s">
        <v>1100</v>
      </c>
      <c r="D559" t="s">
        <v>1100</v>
      </c>
      <c r="E559" t="s">
        <v>1100</v>
      </c>
      <c r="F559" t="s">
        <v>1100</v>
      </c>
      <c r="G559" s="6">
        <v>420</v>
      </c>
      <c r="H559" s="6"/>
      <c r="I559" s="6">
        <f t="shared" si="40"/>
        <v>197.4</v>
      </c>
      <c r="J559" s="6">
        <f t="shared" si="41"/>
        <v>210</v>
      </c>
      <c r="K559" s="6">
        <f t="shared" si="42"/>
        <v>231</v>
      </c>
      <c r="L559" s="6">
        <f t="shared" si="43"/>
        <v>294</v>
      </c>
      <c r="M559" s="6">
        <f t="shared" si="44"/>
        <v>357</v>
      </c>
    </row>
    <row r="560" spans="1:13">
      <c r="A560" t="s">
        <v>13</v>
      </c>
      <c r="B560" t="s">
        <v>1101</v>
      </c>
      <c r="C560" t="s">
        <v>1102</v>
      </c>
      <c r="D560" t="s">
        <v>1102</v>
      </c>
      <c r="E560" t="s">
        <v>1102</v>
      </c>
      <c r="F560" t="s">
        <v>1102</v>
      </c>
      <c r="G560" s="6">
        <v>420</v>
      </c>
      <c r="H560" s="6"/>
      <c r="I560" s="6">
        <f t="shared" si="40"/>
        <v>197.4</v>
      </c>
      <c r="J560" s="6">
        <f t="shared" si="41"/>
        <v>210</v>
      </c>
      <c r="K560" s="6">
        <f t="shared" si="42"/>
        <v>231</v>
      </c>
      <c r="L560" s="6">
        <f t="shared" si="43"/>
        <v>294</v>
      </c>
      <c r="M560" s="6">
        <f t="shared" si="44"/>
        <v>357</v>
      </c>
    </row>
    <row r="561" spans="1:13">
      <c r="A561" t="s">
        <v>13</v>
      </c>
      <c r="B561" t="s">
        <v>1103</v>
      </c>
      <c r="C561" t="s">
        <v>1104</v>
      </c>
      <c r="D561" t="s">
        <v>1104</v>
      </c>
      <c r="E561" t="s">
        <v>1104</v>
      </c>
      <c r="F561" t="s">
        <v>1104</v>
      </c>
      <c r="G561" s="6">
        <v>55.08</v>
      </c>
      <c r="H561" s="6"/>
      <c r="I561" s="6">
        <f t="shared" si="40"/>
        <v>25.8876</v>
      </c>
      <c r="J561" s="6">
        <f t="shared" si="41"/>
        <v>27.54</v>
      </c>
      <c r="K561" s="6">
        <f t="shared" si="42"/>
        <v>30.294</v>
      </c>
      <c r="L561" s="6">
        <f t="shared" si="43"/>
        <v>38.556</v>
      </c>
      <c r="M561" s="6">
        <f t="shared" si="44"/>
        <v>46.818</v>
      </c>
    </row>
    <row r="562" spans="1:13">
      <c r="A562" t="s">
        <v>13</v>
      </c>
      <c r="B562" t="s">
        <v>1105</v>
      </c>
      <c r="C562" t="s">
        <v>1106</v>
      </c>
      <c r="D562" t="s">
        <v>1106</v>
      </c>
      <c r="E562" t="s">
        <v>1106</v>
      </c>
      <c r="F562" t="s">
        <v>1106</v>
      </c>
      <c r="G562" s="6">
        <v>147.29</v>
      </c>
      <c r="H562" s="6"/>
      <c r="I562" s="6">
        <f t="shared" si="40"/>
        <v>69.2263</v>
      </c>
      <c r="J562" s="6">
        <f t="shared" si="41"/>
        <v>73.645</v>
      </c>
      <c r="K562" s="6">
        <f t="shared" si="42"/>
        <v>81.0095</v>
      </c>
      <c r="L562" s="6">
        <f t="shared" si="43"/>
        <v>103.103</v>
      </c>
      <c r="M562" s="6">
        <f t="shared" si="44"/>
        <v>125.1965</v>
      </c>
    </row>
    <row r="563" spans="1:13">
      <c r="A563" t="s">
        <v>13</v>
      </c>
      <c r="B563" t="s">
        <v>1107</v>
      </c>
      <c r="C563" t="s">
        <v>1108</v>
      </c>
      <c r="D563" t="s">
        <v>1108</v>
      </c>
      <c r="E563" t="s">
        <v>1108</v>
      </c>
      <c r="F563" t="s">
        <v>1108</v>
      </c>
      <c r="G563" s="6">
        <v>291.11</v>
      </c>
      <c r="H563" s="6"/>
      <c r="I563" s="6">
        <f t="shared" si="40"/>
        <v>136.8217</v>
      </c>
      <c r="J563" s="6">
        <f t="shared" si="41"/>
        <v>145.555</v>
      </c>
      <c r="K563" s="6">
        <f t="shared" si="42"/>
        <v>160.1105</v>
      </c>
      <c r="L563" s="6">
        <f t="shared" si="43"/>
        <v>203.777</v>
      </c>
      <c r="M563" s="6">
        <f t="shared" si="44"/>
        <v>247.4435</v>
      </c>
    </row>
    <row r="564" spans="1:13">
      <c r="A564" t="s">
        <v>13</v>
      </c>
      <c r="B564" t="s">
        <v>1109</v>
      </c>
      <c r="C564" t="s">
        <v>1110</v>
      </c>
      <c r="D564" t="s">
        <v>1110</v>
      </c>
      <c r="E564" t="s">
        <v>1110</v>
      </c>
      <c r="F564" t="s">
        <v>1110</v>
      </c>
      <c r="G564" s="6">
        <v>191.05</v>
      </c>
      <c r="H564" s="6"/>
      <c r="I564" s="6">
        <f t="shared" si="40"/>
        <v>89.7935</v>
      </c>
      <c r="J564" s="6">
        <f t="shared" si="41"/>
        <v>95.525</v>
      </c>
      <c r="K564" s="6">
        <f t="shared" si="42"/>
        <v>105.0775</v>
      </c>
      <c r="L564" s="6">
        <f t="shared" si="43"/>
        <v>133.735</v>
      </c>
      <c r="M564" s="6">
        <f t="shared" si="44"/>
        <v>162.3925</v>
      </c>
    </row>
    <row r="565" spans="1:13">
      <c r="A565" t="s">
        <v>13</v>
      </c>
      <c r="B565" t="s">
        <v>1111</v>
      </c>
      <c r="C565" t="s">
        <v>1112</v>
      </c>
      <c r="D565" t="s">
        <v>1112</v>
      </c>
      <c r="E565" t="s">
        <v>1112</v>
      </c>
      <c r="F565" t="s">
        <v>1112</v>
      </c>
      <c r="G565" s="6">
        <v>73.95</v>
      </c>
      <c r="H565" s="6"/>
      <c r="I565" s="6">
        <f t="shared" si="40"/>
        <v>34.7565</v>
      </c>
      <c r="J565" s="6">
        <f t="shared" si="41"/>
        <v>36.975</v>
      </c>
      <c r="K565" s="6">
        <f t="shared" si="42"/>
        <v>40.6725</v>
      </c>
      <c r="L565" s="6">
        <f t="shared" si="43"/>
        <v>51.765</v>
      </c>
      <c r="M565" s="6">
        <f t="shared" si="44"/>
        <v>62.8575</v>
      </c>
    </row>
    <row r="566" spans="1:13">
      <c r="A566" t="s">
        <v>13</v>
      </c>
      <c r="B566" t="s">
        <v>1113</v>
      </c>
      <c r="C566" t="s">
        <v>1114</v>
      </c>
      <c r="D566" t="s">
        <v>1114</v>
      </c>
      <c r="E566" t="s">
        <v>1114</v>
      </c>
      <c r="F566" t="s">
        <v>1114</v>
      </c>
      <c r="G566" s="6">
        <v>171.97</v>
      </c>
      <c r="H566" s="6"/>
      <c r="I566" s="6">
        <f t="shared" si="40"/>
        <v>80.8259</v>
      </c>
      <c r="J566" s="6">
        <f t="shared" si="41"/>
        <v>85.985</v>
      </c>
      <c r="K566" s="6">
        <f t="shared" si="42"/>
        <v>94.5835</v>
      </c>
      <c r="L566" s="6">
        <f t="shared" si="43"/>
        <v>120.379</v>
      </c>
      <c r="M566" s="6">
        <f t="shared" si="44"/>
        <v>146.1745</v>
      </c>
    </row>
    <row r="567" spans="1:13">
      <c r="A567" t="s">
        <v>13</v>
      </c>
      <c r="B567" t="s">
        <v>1115</v>
      </c>
      <c r="C567" t="s">
        <v>1116</v>
      </c>
      <c r="D567" t="s">
        <v>1116</v>
      </c>
      <c r="E567" t="s">
        <v>1116</v>
      </c>
      <c r="F567" t="s">
        <v>1116</v>
      </c>
      <c r="G567" s="6">
        <v>44.37</v>
      </c>
      <c r="H567" s="6"/>
      <c r="I567" s="6">
        <f t="shared" si="40"/>
        <v>20.8539</v>
      </c>
      <c r="J567" s="6">
        <f t="shared" si="41"/>
        <v>22.185</v>
      </c>
      <c r="K567" s="6">
        <f t="shared" si="42"/>
        <v>24.4035</v>
      </c>
      <c r="L567" s="6">
        <f t="shared" si="43"/>
        <v>31.059</v>
      </c>
      <c r="M567" s="6">
        <f t="shared" si="44"/>
        <v>37.7145</v>
      </c>
    </row>
    <row r="568" spans="1:13">
      <c r="A568" t="s">
        <v>13</v>
      </c>
      <c r="B568" t="s">
        <v>1117</v>
      </c>
      <c r="C568" t="s">
        <v>1118</v>
      </c>
      <c r="D568" t="s">
        <v>1118</v>
      </c>
      <c r="E568" t="s">
        <v>1118</v>
      </c>
      <c r="F568" t="s">
        <v>1118</v>
      </c>
      <c r="G568" s="6">
        <v>51.1</v>
      </c>
      <c r="H568" s="6"/>
      <c r="I568" s="6">
        <f t="shared" si="40"/>
        <v>24.017</v>
      </c>
      <c r="J568" s="6">
        <f t="shared" si="41"/>
        <v>25.55</v>
      </c>
      <c r="K568" s="6">
        <f t="shared" si="42"/>
        <v>28.105</v>
      </c>
      <c r="L568" s="6">
        <f t="shared" si="43"/>
        <v>35.77</v>
      </c>
      <c r="M568" s="6">
        <f t="shared" si="44"/>
        <v>43.435</v>
      </c>
    </row>
    <row r="569" spans="1:13">
      <c r="A569" t="s">
        <v>13</v>
      </c>
      <c r="B569" t="s">
        <v>1119</v>
      </c>
      <c r="C569" t="s">
        <v>1120</v>
      </c>
      <c r="D569" t="s">
        <v>1120</v>
      </c>
      <c r="E569" t="s">
        <v>1120</v>
      </c>
      <c r="F569" t="s">
        <v>1120</v>
      </c>
      <c r="G569" s="6">
        <v>55.08</v>
      </c>
      <c r="H569" s="6"/>
      <c r="I569" s="6">
        <f t="shared" si="40"/>
        <v>25.8876</v>
      </c>
      <c r="J569" s="6">
        <f t="shared" si="41"/>
        <v>27.54</v>
      </c>
      <c r="K569" s="6">
        <f t="shared" si="42"/>
        <v>30.294</v>
      </c>
      <c r="L569" s="6">
        <f t="shared" si="43"/>
        <v>38.556</v>
      </c>
      <c r="M569" s="6">
        <f t="shared" si="44"/>
        <v>46.818</v>
      </c>
    </row>
    <row r="570" spans="1:13">
      <c r="A570" t="s">
        <v>13</v>
      </c>
      <c r="B570" t="s">
        <v>1121</v>
      </c>
      <c r="C570" t="s">
        <v>1122</v>
      </c>
      <c r="D570" t="s">
        <v>1122</v>
      </c>
      <c r="E570" t="s">
        <v>1122</v>
      </c>
      <c r="F570" t="s">
        <v>1122</v>
      </c>
      <c r="G570" s="6">
        <v>63.34</v>
      </c>
      <c r="H570" s="6"/>
      <c r="I570" s="6">
        <f t="shared" si="40"/>
        <v>29.7698</v>
      </c>
      <c r="J570" s="6">
        <f t="shared" si="41"/>
        <v>31.67</v>
      </c>
      <c r="K570" s="6">
        <f t="shared" si="42"/>
        <v>34.837</v>
      </c>
      <c r="L570" s="6">
        <f t="shared" si="43"/>
        <v>44.338</v>
      </c>
      <c r="M570" s="6">
        <f t="shared" si="44"/>
        <v>53.839</v>
      </c>
    </row>
    <row r="571" spans="1:13">
      <c r="A571" t="s">
        <v>13</v>
      </c>
      <c r="B571" t="s">
        <v>1123</v>
      </c>
      <c r="C571" t="s">
        <v>1124</v>
      </c>
      <c r="D571" t="s">
        <v>1124</v>
      </c>
      <c r="E571" t="s">
        <v>1124</v>
      </c>
      <c r="F571" t="s">
        <v>1124</v>
      </c>
      <c r="G571" s="6">
        <v>33.76</v>
      </c>
      <c r="H571" s="6"/>
      <c r="I571" s="6">
        <f t="shared" si="40"/>
        <v>15.8672</v>
      </c>
      <c r="J571" s="6">
        <f t="shared" si="41"/>
        <v>16.88</v>
      </c>
      <c r="K571" s="6">
        <f t="shared" si="42"/>
        <v>18.568</v>
      </c>
      <c r="L571" s="6">
        <f t="shared" si="43"/>
        <v>23.632</v>
      </c>
      <c r="M571" s="6">
        <f t="shared" si="44"/>
        <v>28.696</v>
      </c>
    </row>
    <row r="572" spans="1:13">
      <c r="A572" t="s">
        <v>13</v>
      </c>
      <c r="B572" t="s">
        <v>1125</v>
      </c>
      <c r="C572" t="s">
        <v>1126</v>
      </c>
      <c r="D572" t="s">
        <v>1126</v>
      </c>
      <c r="E572" t="s">
        <v>1126</v>
      </c>
      <c r="F572" t="s">
        <v>1126</v>
      </c>
      <c r="G572" s="6">
        <v>40.6</v>
      </c>
      <c r="H572" s="6"/>
      <c r="I572" s="6">
        <f t="shared" si="40"/>
        <v>19.082</v>
      </c>
      <c r="J572" s="6">
        <f t="shared" si="41"/>
        <v>20.3</v>
      </c>
      <c r="K572" s="6">
        <f t="shared" si="42"/>
        <v>22.33</v>
      </c>
      <c r="L572" s="6">
        <f t="shared" si="43"/>
        <v>28.42</v>
      </c>
      <c r="M572" s="6">
        <f t="shared" si="44"/>
        <v>34.51</v>
      </c>
    </row>
    <row r="573" spans="1:13">
      <c r="A573" t="s">
        <v>13</v>
      </c>
      <c r="B573" t="s">
        <v>1127</v>
      </c>
      <c r="C573" t="s">
        <v>1128</v>
      </c>
      <c r="D573" t="s">
        <v>1128</v>
      </c>
      <c r="E573" t="s">
        <v>1128</v>
      </c>
      <c r="F573" t="s">
        <v>1128</v>
      </c>
      <c r="G573" s="6">
        <v>59.26</v>
      </c>
      <c r="H573" s="6"/>
      <c r="I573" s="6">
        <f t="shared" si="40"/>
        <v>27.8522</v>
      </c>
      <c r="J573" s="6">
        <f t="shared" si="41"/>
        <v>29.63</v>
      </c>
      <c r="K573" s="6">
        <f t="shared" si="42"/>
        <v>32.593</v>
      </c>
      <c r="L573" s="6">
        <f t="shared" si="43"/>
        <v>41.482</v>
      </c>
      <c r="M573" s="6">
        <f t="shared" si="44"/>
        <v>50.371</v>
      </c>
    </row>
    <row r="574" spans="1:13">
      <c r="A574" t="s">
        <v>13</v>
      </c>
      <c r="B574" t="s">
        <v>1129</v>
      </c>
      <c r="C574" t="s">
        <v>1130</v>
      </c>
      <c r="D574" t="s">
        <v>1130</v>
      </c>
      <c r="E574" t="s">
        <v>1130</v>
      </c>
      <c r="F574" t="s">
        <v>1130</v>
      </c>
      <c r="G574" s="6">
        <v>67.12</v>
      </c>
      <c r="H574" s="6"/>
      <c r="I574" s="6">
        <f t="shared" si="40"/>
        <v>31.5464</v>
      </c>
      <c r="J574" s="6">
        <f t="shared" si="41"/>
        <v>33.56</v>
      </c>
      <c r="K574" s="6">
        <f t="shared" si="42"/>
        <v>36.916</v>
      </c>
      <c r="L574" s="6">
        <f t="shared" si="43"/>
        <v>46.984</v>
      </c>
      <c r="M574" s="6">
        <f t="shared" si="44"/>
        <v>57.052</v>
      </c>
    </row>
    <row r="575" spans="1:13">
      <c r="B575" t="s">
        <v>1131</v>
      </c>
      <c r="C575" t="s">
        <v>1132</v>
      </c>
      <c r="D575" t="s">
        <v>1132</v>
      </c>
      <c r="E575" t="s">
        <v>1132</v>
      </c>
      <c r="F575" t="s">
        <v>1132</v>
      </c>
      <c r="G575" s="6"/>
      <c r="H575" s="6"/>
      <c r="I575" s="6"/>
      <c r="J575" s="6"/>
      <c r="K575" s="6"/>
      <c r="L575" s="6"/>
      <c r="M575" s="6"/>
    </row>
    <row r="576" spans="1:13">
      <c r="A576" t="s">
        <v>13</v>
      </c>
      <c r="B576" t="s">
        <v>1133</v>
      </c>
      <c r="C576" t="s">
        <v>1134</v>
      </c>
      <c r="D576" t="s">
        <v>1134</v>
      </c>
      <c r="E576" t="s">
        <v>1134</v>
      </c>
      <c r="F576" t="s">
        <v>1134</v>
      </c>
      <c r="G576" s="6">
        <v>73.95</v>
      </c>
      <c r="H576" s="6"/>
      <c r="I576" s="6">
        <f>G576*0.47</f>
        <v>34.7565</v>
      </c>
      <c r="J576" s="6">
        <f>G576*0.5</f>
        <v>36.975</v>
      </c>
      <c r="K576" s="6">
        <f>G576*0.55</f>
        <v>40.6725</v>
      </c>
      <c r="L576" s="6">
        <f>G576*0.7</f>
        <v>51.765</v>
      </c>
      <c r="M576" s="6">
        <f>G576*0.85</f>
        <v>62.8575</v>
      </c>
    </row>
    <row r="577" spans="1:13">
      <c r="A577" t="s">
        <v>13</v>
      </c>
      <c r="B577" t="s">
        <v>1135</v>
      </c>
      <c r="C577" t="s">
        <v>1136</v>
      </c>
      <c r="D577" t="s">
        <v>1136</v>
      </c>
      <c r="E577" t="s">
        <v>1136</v>
      </c>
      <c r="F577" t="s">
        <v>1136</v>
      </c>
      <c r="G577" s="6">
        <v>81.91</v>
      </c>
      <c r="H577" s="6"/>
      <c r="I577" s="6">
        <f>G577*0.47</f>
        <v>38.4977</v>
      </c>
      <c r="J577" s="6">
        <f>G577*0.5</f>
        <v>40.955</v>
      </c>
      <c r="K577" s="6">
        <f>G577*0.55</f>
        <v>45.0505</v>
      </c>
      <c r="L577" s="6">
        <f>G577*0.7</f>
        <v>57.337</v>
      </c>
      <c r="M577" s="6">
        <f>G577*0.85</f>
        <v>69.6235</v>
      </c>
    </row>
    <row r="578" spans="1:13">
      <c r="A578" t="s">
        <v>13</v>
      </c>
      <c r="B578" t="s">
        <v>1137</v>
      </c>
      <c r="C578" t="s">
        <v>1138</v>
      </c>
      <c r="D578" t="s">
        <v>1138</v>
      </c>
      <c r="E578" t="s">
        <v>1138</v>
      </c>
      <c r="F578" t="s">
        <v>1138</v>
      </c>
      <c r="G578" s="6">
        <f>81.91*2</f>
        <v>163.82</v>
      </c>
      <c r="H578" s="6"/>
      <c r="I578" s="6">
        <f>G578*0.47</f>
        <v>76.9954</v>
      </c>
      <c r="J578" s="6">
        <f>G578*0.5</f>
        <v>81.91</v>
      </c>
      <c r="K578" s="6">
        <f>G578*0.55</f>
        <v>90.101</v>
      </c>
      <c r="L578" s="6">
        <f>G578*0.7</f>
        <v>114.674</v>
      </c>
      <c r="M578" s="6">
        <f>G578*0.85</f>
        <v>139.247</v>
      </c>
    </row>
    <row r="579" spans="1:13">
      <c r="A579" t="s">
        <v>13</v>
      </c>
      <c r="B579" t="s">
        <v>1139</v>
      </c>
      <c r="C579" t="s">
        <v>1140</v>
      </c>
      <c r="D579" t="s">
        <v>1140</v>
      </c>
      <c r="E579" t="s">
        <v>1140</v>
      </c>
      <c r="F579" t="s">
        <v>1140</v>
      </c>
      <c r="G579" s="6">
        <v>91.29</v>
      </c>
      <c r="H579" s="6"/>
      <c r="I579" s="6">
        <f>G579*0.47</f>
        <v>42.9063</v>
      </c>
      <c r="J579" s="6">
        <f>G579*0.5</f>
        <v>45.645</v>
      </c>
      <c r="K579" s="6">
        <f>G579*0.55</f>
        <v>50.2095</v>
      </c>
      <c r="L579" s="6">
        <f>G579*0.7</f>
        <v>63.903</v>
      </c>
      <c r="M579" s="6">
        <f>G579*0.85</f>
        <v>77.5965</v>
      </c>
    </row>
    <row r="580" spans="1:13">
      <c r="A580" t="s">
        <v>13</v>
      </c>
      <c r="B580" t="s">
        <v>1141</v>
      </c>
      <c r="C580" t="s">
        <v>1142</v>
      </c>
      <c r="D580" t="s">
        <v>1142</v>
      </c>
      <c r="E580" t="s">
        <v>1142</v>
      </c>
      <c r="F580" t="s">
        <v>1142</v>
      </c>
      <c r="G580" s="6">
        <f>G579*1.5</f>
        <v>136.935</v>
      </c>
      <c r="H580" s="6"/>
      <c r="I580" s="6">
        <f t="shared" ref="I580:I643" si="45">G580*0.47</f>
        <v>64.35945</v>
      </c>
      <c r="J580" s="6">
        <f t="shared" ref="J580:J643" si="46">G580*0.5</f>
        <v>68.4675</v>
      </c>
      <c r="K580" s="6">
        <f t="shared" ref="K580:K643" si="47">G580*0.55</f>
        <v>75.31425</v>
      </c>
      <c r="L580" s="6">
        <f t="shared" ref="L580:L643" si="48">G580*0.7</f>
        <v>95.8545</v>
      </c>
      <c r="M580" s="6">
        <f t="shared" ref="M580:M643" si="49">G580*0.85</f>
        <v>116.39475</v>
      </c>
    </row>
    <row r="581" spans="1:13">
      <c r="A581" t="s">
        <v>13</v>
      </c>
      <c r="B581" t="s">
        <v>1143</v>
      </c>
      <c r="C581" t="s">
        <v>1144</v>
      </c>
      <c r="D581" t="s">
        <v>1144</v>
      </c>
      <c r="E581" t="s">
        <v>1144</v>
      </c>
      <c r="F581" t="s">
        <v>1144</v>
      </c>
      <c r="G581" s="6">
        <v>182.58</v>
      </c>
      <c r="H581" s="6"/>
      <c r="I581" s="6">
        <f t="shared" si="45"/>
        <v>85.8126</v>
      </c>
      <c r="J581" s="6">
        <f t="shared" si="46"/>
        <v>91.29</v>
      </c>
      <c r="K581" s="6">
        <f t="shared" si="47"/>
        <v>100.419</v>
      </c>
      <c r="L581" s="6">
        <f t="shared" si="48"/>
        <v>127.806</v>
      </c>
      <c r="M581" s="6">
        <f t="shared" si="49"/>
        <v>155.193</v>
      </c>
    </row>
    <row r="582" spans="1:13">
      <c r="A582" t="s">
        <v>13</v>
      </c>
      <c r="B582" t="s">
        <v>1145</v>
      </c>
      <c r="C582" t="s">
        <v>1146</v>
      </c>
      <c r="D582" t="s">
        <v>1146</v>
      </c>
      <c r="E582" t="s">
        <v>1146</v>
      </c>
      <c r="F582" t="s">
        <v>1146</v>
      </c>
      <c r="G582" s="6">
        <v>100.37</v>
      </c>
      <c r="H582" s="6"/>
      <c r="I582" s="6">
        <f t="shared" si="45"/>
        <v>47.1739</v>
      </c>
      <c r="J582" s="6">
        <f t="shared" si="46"/>
        <v>50.185</v>
      </c>
      <c r="K582" s="6">
        <f t="shared" si="47"/>
        <v>55.2035</v>
      </c>
      <c r="L582" s="6">
        <f t="shared" si="48"/>
        <v>70.259</v>
      </c>
      <c r="M582" s="6">
        <f t="shared" si="49"/>
        <v>85.3145</v>
      </c>
    </row>
    <row r="583" spans="1:13">
      <c r="A583" t="s">
        <v>13</v>
      </c>
      <c r="B583" t="s">
        <v>1147</v>
      </c>
      <c r="C583" t="s">
        <v>1148</v>
      </c>
      <c r="D583" t="s">
        <v>1148</v>
      </c>
      <c r="E583" t="s">
        <v>1148</v>
      </c>
      <c r="F583" t="s">
        <v>1148</v>
      </c>
      <c r="G583" s="6">
        <v>109.45</v>
      </c>
      <c r="H583" s="6"/>
      <c r="I583" s="6">
        <f t="shared" si="45"/>
        <v>51.4415</v>
      </c>
      <c r="J583" s="6">
        <f t="shared" si="46"/>
        <v>54.725</v>
      </c>
      <c r="K583" s="6">
        <f t="shared" si="47"/>
        <v>60.1975</v>
      </c>
      <c r="L583" s="6">
        <f t="shared" si="48"/>
        <v>76.615</v>
      </c>
      <c r="M583" s="6">
        <f t="shared" si="49"/>
        <v>93.0325</v>
      </c>
    </row>
    <row r="584" spans="1:13">
      <c r="A584" t="s">
        <v>13</v>
      </c>
      <c r="B584" t="s">
        <v>1149</v>
      </c>
      <c r="C584" t="s">
        <v>417</v>
      </c>
      <c r="D584" t="s">
        <v>417</v>
      </c>
      <c r="E584" t="s">
        <v>417</v>
      </c>
      <c r="F584" t="s">
        <v>417</v>
      </c>
      <c r="G584" s="6">
        <v>120.46</v>
      </c>
      <c r="H584" s="6"/>
      <c r="I584" s="6">
        <f t="shared" si="45"/>
        <v>56.6162</v>
      </c>
      <c r="J584" s="6">
        <f t="shared" si="46"/>
        <v>60.23</v>
      </c>
      <c r="K584" s="6">
        <f t="shared" si="47"/>
        <v>66.253</v>
      </c>
      <c r="L584" s="6">
        <f t="shared" si="48"/>
        <v>84.322</v>
      </c>
      <c r="M584" s="6">
        <f t="shared" si="49"/>
        <v>102.391</v>
      </c>
    </row>
    <row r="585" spans="1:13">
      <c r="A585" t="s">
        <v>13</v>
      </c>
      <c r="B585" t="s">
        <v>1150</v>
      </c>
      <c r="C585" t="s">
        <v>1151</v>
      </c>
      <c r="D585" t="s">
        <v>1151</v>
      </c>
      <c r="E585" t="s">
        <v>1151</v>
      </c>
      <c r="F585" t="s">
        <v>1151</v>
      </c>
      <c r="G585" s="6">
        <v>100.57</v>
      </c>
      <c r="H585" s="6"/>
      <c r="I585" s="6">
        <f t="shared" si="45"/>
        <v>47.2679</v>
      </c>
      <c r="J585" s="6">
        <f t="shared" si="46"/>
        <v>50.285</v>
      </c>
      <c r="K585" s="6">
        <f t="shared" si="47"/>
        <v>55.3135</v>
      </c>
      <c r="L585" s="6">
        <f t="shared" si="48"/>
        <v>70.399</v>
      </c>
      <c r="M585" s="6">
        <f t="shared" si="49"/>
        <v>85.4845</v>
      </c>
    </row>
    <row r="586" spans="1:13">
      <c r="A586" t="s">
        <v>13</v>
      </c>
      <c r="B586" t="s">
        <v>1152</v>
      </c>
      <c r="C586" t="s">
        <v>1153</v>
      </c>
      <c r="D586" t="s">
        <v>1153</v>
      </c>
      <c r="E586" t="s">
        <v>1153</v>
      </c>
      <c r="F586" t="s">
        <v>1153</v>
      </c>
      <c r="G586" s="6">
        <v>135.56</v>
      </c>
      <c r="H586" s="6"/>
      <c r="I586" s="6">
        <f t="shared" si="45"/>
        <v>63.7132</v>
      </c>
      <c r="J586" s="6">
        <f t="shared" si="46"/>
        <v>67.78</v>
      </c>
      <c r="K586" s="6">
        <f t="shared" si="47"/>
        <v>74.558</v>
      </c>
      <c r="L586" s="6">
        <f t="shared" si="48"/>
        <v>94.892</v>
      </c>
      <c r="M586" s="6">
        <f t="shared" si="49"/>
        <v>115.226</v>
      </c>
    </row>
    <row r="587" spans="1:13">
      <c r="A587" t="s">
        <v>13</v>
      </c>
      <c r="B587" t="s">
        <v>1154</v>
      </c>
      <c r="C587" t="s">
        <v>1155</v>
      </c>
      <c r="D587" t="s">
        <v>1155</v>
      </c>
      <c r="E587" t="s">
        <v>1155</v>
      </c>
      <c r="F587" t="s">
        <v>1155</v>
      </c>
      <c r="G587" s="6">
        <v>70.48</v>
      </c>
      <c r="H587" s="6"/>
      <c r="I587" s="6">
        <f t="shared" si="45"/>
        <v>33.1256</v>
      </c>
      <c r="J587" s="6">
        <f t="shared" si="46"/>
        <v>35.24</v>
      </c>
      <c r="K587" s="6">
        <f t="shared" si="47"/>
        <v>38.764</v>
      </c>
      <c r="L587" s="6">
        <f t="shared" si="48"/>
        <v>49.336</v>
      </c>
      <c r="M587" s="6">
        <f t="shared" si="49"/>
        <v>59.908</v>
      </c>
    </row>
    <row r="588" spans="1:13">
      <c r="A588" t="s">
        <v>13</v>
      </c>
      <c r="B588" t="s">
        <v>1156</v>
      </c>
      <c r="C588" t="s">
        <v>1157</v>
      </c>
      <c r="D588" t="s">
        <v>1157</v>
      </c>
      <c r="E588" t="s">
        <v>1157</v>
      </c>
      <c r="F588" t="s">
        <v>1157</v>
      </c>
      <c r="G588" s="6">
        <v>80.68</v>
      </c>
      <c r="H588" s="6"/>
      <c r="I588" s="6">
        <f t="shared" si="45"/>
        <v>37.9196</v>
      </c>
      <c r="J588" s="6">
        <f t="shared" si="46"/>
        <v>40.34</v>
      </c>
      <c r="K588" s="6">
        <f t="shared" si="47"/>
        <v>44.374</v>
      </c>
      <c r="L588" s="6">
        <f t="shared" si="48"/>
        <v>56.476</v>
      </c>
      <c r="M588" s="6">
        <f t="shared" si="49"/>
        <v>68.578</v>
      </c>
    </row>
    <row r="589" spans="1:13">
      <c r="A589" t="s">
        <v>13</v>
      </c>
      <c r="B589" t="s">
        <v>1158</v>
      </c>
      <c r="C589" t="s">
        <v>1159</v>
      </c>
      <c r="D589" t="s">
        <v>1159</v>
      </c>
      <c r="E589" t="s">
        <v>1159</v>
      </c>
      <c r="F589" t="s">
        <v>1159</v>
      </c>
      <c r="G589" s="6">
        <v>80.68</v>
      </c>
      <c r="H589" s="6"/>
      <c r="I589" s="6">
        <f t="shared" si="45"/>
        <v>37.9196</v>
      </c>
      <c r="J589" s="6">
        <f t="shared" si="46"/>
        <v>40.34</v>
      </c>
      <c r="K589" s="6">
        <f t="shared" si="47"/>
        <v>44.374</v>
      </c>
      <c r="L589" s="6">
        <f t="shared" si="48"/>
        <v>56.476</v>
      </c>
      <c r="M589" s="6">
        <f t="shared" si="49"/>
        <v>68.578</v>
      </c>
    </row>
    <row r="590" spans="1:13">
      <c r="A590" t="s">
        <v>13</v>
      </c>
      <c r="B590" t="s">
        <v>1160</v>
      </c>
      <c r="C590" t="s">
        <v>1161</v>
      </c>
      <c r="D590" t="s">
        <v>1161</v>
      </c>
      <c r="E590" t="s">
        <v>1161</v>
      </c>
      <c r="F590" t="s">
        <v>1161</v>
      </c>
      <c r="G590" s="6">
        <v>49.24</v>
      </c>
      <c r="H590" s="6"/>
      <c r="I590" s="6">
        <f t="shared" si="45"/>
        <v>23.1428</v>
      </c>
      <c r="J590" s="6">
        <f t="shared" si="46"/>
        <v>24.62</v>
      </c>
      <c r="K590" s="6">
        <f t="shared" si="47"/>
        <v>27.082</v>
      </c>
      <c r="L590" s="6">
        <f t="shared" si="48"/>
        <v>34.468</v>
      </c>
      <c r="M590" s="6">
        <f t="shared" si="49"/>
        <v>41.854</v>
      </c>
    </row>
    <row r="591" spans="1:13">
      <c r="A591" t="s">
        <v>13</v>
      </c>
      <c r="B591" t="s">
        <v>1162</v>
      </c>
      <c r="C591" t="s">
        <v>1163</v>
      </c>
      <c r="D591" t="s">
        <v>1163</v>
      </c>
      <c r="E591" t="s">
        <v>1163</v>
      </c>
      <c r="F591" t="s">
        <v>1163</v>
      </c>
      <c r="G591" s="6">
        <v>216.34</v>
      </c>
      <c r="H591" s="6"/>
      <c r="I591" s="6">
        <f t="shared" si="45"/>
        <v>101.6798</v>
      </c>
      <c r="J591" s="6">
        <f t="shared" si="46"/>
        <v>108.17</v>
      </c>
      <c r="K591" s="6">
        <f t="shared" si="47"/>
        <v>118.987</v>
      </c>
      <c r="L591" s="6">
        <f t="shared" si="48"/>
        <v>151.438</v>
      </c>
      <c r="M591" s="6">
        <f t="shared" si="49"/>
        <v>183.889</v>
      </c>
    </row>
    <row r="592" spans="1:13">
      <c r="A592" t="s">
        <v>13</v>
      </c>
      <c r="B592" t="s">
        <v>1164</v>
      </c>
      <c r="C592" t="s">
        <v>1165</v>
      </c>
      <c r="D592" t="s">
        <v>1165</v>
      </c>
      <c r="E592" t="s">
        <v>1165</v>
      </c>
      <c r="F592" t="s">
        <v>1165</v>
      </c>
      <c r="G592" s="6">
        <v>216.34</v>
      </c>
      <c r="H592" s="6"/>
      <c r="I592" s="6">
        <f t="shared" si="45"/>
        <v>101.6798</v>
      </c>
      <c r="J592" s="6">
        <f t="shared" si="46"/>
        <v>108.17</v>
      </c>
      <c r="K592" s="6">
        <f t="shared" si="47"/>
        <v>118.987</v>
      </c>
      <c r="L592" s="6">
        <f t="shared" si="48"/>
        <v>151.438</v>
      </c>
      <c r="M592" s="6">
        <f t="shared" si="49"/>
        <v>183.889</v>
      </c>
    </row>
    <row r="593" spans="1:13">
      <c r="A593" t="s">
        <v>13</v>
      </c>
      <c r="B593" t="s">
        <v>1166</v>
      </c>
      <c r="C593" t="s">
        <v>1167</v>
      </c>
      <c r="D593" t="s">
        <v>1167</v>
      </c>
      <c r="E593" t="s">
        <v>1167</v>
      </c>
      <c r="F593" t="s">
        <v>1167</v>
      </c>
      <c r="G593" s="6">
        <v>216.34</v>
      </c>
      <c r="H593" s="6"/>
      <c r="I593" s="6">
        <f t="shared" si="45"/>
        <v>101.6798</v>
      </c>
      <c r="J593" s="6">
        <f t="shared" si="46"/>
        <v>108.17</v>
      </c>
      <c r="K593" s="6">
        <f t="shared" si="47"/>
        <v>118.987</v>
      </c>
      <c r="L593" s="6">
        <f t="shared" si="48"/>
        <v>151.438</v>
      </c>
      <c r="M593" s="6">
        <f t="shared" si="49"/>
        <v>183.889</v>
      </c>
    </row>
    <row r="594" spans="1:13">
      <c r="A594" t="s">
        <v>13</v>
      </c>
      <c r="B594" t="s">
        <v>1168</v>
      </c>
      <c r="C594" t="s">
        <v>1169</v>
      </c>
      <c r="D594" t="s">
        <v>1169</v>
      </c>
      <c r="E594" t="s">
        <v>1169</v>
      </c>
      <c r="F594" t="s">
        <v>1169</v>
      </c>
      <c r="G594" s="6">
        <v>65.97</v>
      </c>
      <c r="H594" s="6"/>
      <c r="I594" s="6">
        <f t="shared" si="45"/>
        <v>31.0059</v>
      </c>
      <c r="J594" s="6">
        <f t="shared" si="46"/>
        <v>32.985</v>
      </c>
      <c r="K594" s="6">
        <f t="shared" si="47"/>
        <v>36.2835</v>
      </c>
      <c r="L594" s="6">
        <f t="shared" si="48"/>
        <v>46.179</v>
      </c>
      <c r="M594" s="6">
        <f t="shared" si="49"/>
        <v>56.0745</v>
      </c>
    </row>
    <row r="595" spans="1:13">
      <c r="A595" t="s">
        <v>13</v>
      </c>
      <c r="B595" t="s">
        <v>1170</v>
      </c>
      <c r="C595" t="s">
        <v>1171</v>
      </c>
      <c r="D595" t="s">
        <v>1171</v>
      </c>
      <c r="E595" t="s">
        <v>1171</v>
      </c>
      <c r="F595" t="s">
        <v>1171</v>
      </c>
      <c r="G595" s="6">
        <v>233.27</v>
      </c>
      <c r="H595" s="6"/>
      <c r="I595" s="6">
        <f t="shared" si="45"/>
        <v>109.6369</v>
      </c>
      <c r="J595" s="6">
        <f t="shared" si="46"/>
        <v>116.635</v>
      </c>
      <c r="K595" s="6">
        <f t="shared" si="47"/>
        <v>128.2985</v>
      </c>
      <c r="L595" s="6">
        <f t="shared" si="48"/>
        <v>163.289</v>
      </c>
      <c r="M595" s="6">
        <f t="shared" si="49"/>
        <v>198.2795</v>
      </c>
    </row>
    <row r="596" spans="1:13">
      <c r="A596" t="s">
        <v>13</v>
      </c>
      <c r="B596" t="s">
        <v>1172</v>
      </c>
      <c r="C596" t="s">
        <v>1173</v>
      </c>
      <c r="D596" t="s">
        <v>1173</v>
      </c>
      <c r="E596" t="s">
        <v>1173</v>
      </c>
      <c r="F596" t="s">
        <v>1173</v>
      </c>
      <c r="G596" s="6">
        <v>233.27</v>
      </c>
      <c r="H596" s="6"/>
      <c r="I596" s="6">
        <f t="shared" si="45"/>
        <v>109.6369</v>
      </c>
      <c r="J596" s="6">
        <f t="shared" si="46"/>
        <v>116.635</v>
      </c>
      <c r="K596" s="6">
        <f t="shared" si="47"/>
        <v>128.2985</v>
      </c>
      <c r="L596" s="6">
        <f t="shared" si="48"/>
        <v>163.289</v>
      </c>
      <c r="M596" s="6">
        <f t="shared" si="49"/>
        <v>198.2795</v>
      </c>
    </row>
    <row r="597" spans="1:13">
      <c r="A597" t="s">
        <v>13</v>
      </c>
      <c r="B597" t="s">
        <v>1174</v>
      </c>
      <c r="C597" t="s">
        <v>1175</v>
      </c>
      <c r="D597" t="s">
        <v>1175</v>
      </c>
      <c r="E597" t="s">
        <v>1175</v>
      </c>
      <c r="F597" t="s">
        <v>1175</v>
      </c>
      <c r="G597" s="6">
        <v>233.27</v>
      </c>
      <c r="H597" s="6"/>
      <c r="I597" s="6">
        <f t="shared" si="45"/>
        <v>109.6369</v>
      </c>
      <c r="J597" s="6">
        <f t="shared" si="46"/>
        <v>116.635</v>
      </c>
      <c r="K597" s="6">
        <f t="shared" si="47"/>
        <v>128.2985</v>
      </c>
      <c r="L597" s="6">
        <f t="shared" si="48"/>
        <v>163.289</v>
      </c>
      <c r="M597" s="6">
        <f t="shared" si="49"/>
        <v>198.2795</v>
      </c>
    </row>
    <row r="598" spans="1:13">
      <c r="A598" t="s">
        <v>13</v>
      </c>
      <c r="B598" t="s">
        <v>1176</v>
      </c>
      <c r="C598" t="s">
        <v>1177</v>
      </c>
      <c r="D598" t="s">
        <v>1177</v>
      </c>
      <c r="E598" t="s">
        <v>1177</v>
      </c>
      <c r="F598" t="s">
        <v>1177</v>
      </c>
      <c r="G598" s="6">
        <v>83.63</v>
      </c>
      <c r="H598" s="6"/>
      <c r="I598" s="6">
        <f t="shared" si="45"/>
        <v>39.3061</v>
      </c>
      <c r="J598" s="6">
        <f t="shared" si="46"/>
        <v>41.815</v>
      </c>
      <c r="K598" s="6">
        <f t="shared" si="47"/>
        <v>45.9965</v>
      </c>
      <c r="L598" s="6">
        <f t="shared" si="48"/>
        <v>58.541</v>
      </c>
      <c r="M598" s="6">
        <f t="shared" si="49"/>
        <v>71.0855</v>
      </c>
    </row>
    <row r="599" spans="1:13">
      <c r="A599" t="s">
        <v>13</v>
      </c>
      <c r="B599" t="s">
        <v>1178</v>
      </c>
      <c r="C599" t="s">
        <v>1179</v>
      </c>
      <c r="D599" t="s">
        <v>1179</v>
      </c>
      <c r="E599" t="s">
        <v>1179</v>
      </c>
      <c r="F599" t="s">
        <v>1179</v>
      </c>
      <c r="G599" s="6">
        <v>281.32</v>
      </c>
      <c r="H599" s="6"/>
      <c r="I599" s="6">
        <f t="shared" si="45"/>
        <v>132.2204</v>
      </c>
      <c r="J599" s="6">
        <f t="shared" si="46"/>
        <v>140.66</v>
      </c>
      <c r="K599" s="6">
        <f t="shared" si="47"/>
        <v>154.726</v>
      </c>
      <c r="L599" s="6">
        <f t="shared" si="48"/>
        <v>196.924</v>
      </c>
      <c r="M599" s="6">
        <f t="shared" si="49"/>
        <v>239.122</v>
      </c>
    </row>
    <row r="600" spans="1:13">
      <c r="A600" t="s">
        <v>13</v>
      </c>
      <c r="B600" t="s">
        <v>1180</v>
      </c>
      <c r="C600" t="s">
        <v>1181</v>
      </c>
      <c r="D600" t="s">
        <v>1181</v>
      </c>
      <c r="E600" t="s">
        <v>1181</v>
      </c>
      <c r="F600" t="s">
        <v>1181</v>
      </c>
      <c r="G600" s="6">
        <v>281.32</v>
      </c>
      <c r="H600" s="6"/>
      <c r="I600" s="6">
        <f t="shared" si="45"/>
        <v>132.2204</v>
      </c>
      <c r="J600" s="6">
        <f t="shared" si="46"/>
        <v>140.66</v>
      </c>
      <c r="K600" s="6">
        <f t="shared" si="47"/>
        <v>154.726</v>
      </c>
      <c r="L600" s="6">
        <f t="shared" si="48"/>
        <v>196.924</v>
      </c>
      <c r="M600" s="6">
        <f t="shared" si="49"/>
        <v>239.122</v>
      </c>
    </row>
    <row r="601" spans="1:13">
      <c r="A601" t="s">
        <v>13</v>
      </c>
      <c r="B601" t="s">
        <v>1182</v>
      </c>
      <c r="C601" t="s">
        <v>1183</v>
      </c>
      <c r="D601" t="s">
        <v>1183</v>
      </c>
      <c r="E601" t="s">
        <v>1183</v>
      </c>
      <c r="F601" t="s">
        <v>1183</v>
      </c>
      <c r="G601" s="6">
        <v>281.32</v>
      </c>
      <c r="H601" s="6"/>
      <c r="I601" s="6">
        <f t="shared" si="45"/>
        <v>132.2204</v>
      </c>
      <c r="J601" s="6">
        <f t="shared" si="46"/>
        <v>140.66</v>
      </c>
      <c r="K601" s="6">
        <f t="shared" si="47"/>
        <v>154.726</v>
      </c>
      <c r="L601" s="6">
        <f t="shared" si="48"/>
        <v>196.924</v>
      </c>
      <c r="M601" s="6">
        <f t="shared" si="49"/>
        <v>239.122</v>
      </c>
    </row>
    <row r="602" spans="1:13">
      <c r="A602" t="s">
        <v>13</v>
      </c>
      <c r="B602" t="s">
        <v>1184</v>
      </c>
      <c r="C602" t="s">
        <v>1185</v>
      </c>
      <c r="D602" t="s">
        <v>1185</v>
      </c>
      <c r="E602" t="s">
        <v>1185</v>
      </c>
      <c r="F602" t="s">
        <v>1185</v>
      </c>
      <c r="G602" s="6">
        <v>102.58</v>
      </c>
      <c r="H602" s="6"/>
      <c r="I602" s="6">
        <f t="shared" si="45"/>
        <v>48.2126</v>
      </c>
      <c r="J602" s="6">
        <f t="shared" si="46"/>
        <v>51.29</v>
      </c>
      <c r="K602" s="6">
        <f t="shared" si="47"/>
        <v>56.419</v>
      </c>
      <c r="L602" s="6">
        <f t="shared" si="48"/>
        <v>71.806</v>
      </c>
      <c r="M602" s="6">
        <f t="shared" si="49"/>
        <v>87.193</v>
      </c>
    </row>
    <row r="603" spans="1:13">
      <c r="A603" t="s">
        <v>13</v>
      </c>
      <c r="B603" t="s">
        <v>1186</v>
      </c>
      <c r="C603" t="s">
        <v>1187</v>
      </c>
      <c r="D603" t="s">
        <v>1187</v>
      </c>
      <c r="E603" t="s">
        <v>1187</v>
      </c>
      <c r="F603" t="s">
        <v>1187</v>
      </c>
      <c r="G603" s="6">
        <v>360.98</v>
      </c>
      <c r="H603" s="6"/>
      <c r="I603" s="6">
        <f t="shared" si="45"/>
        <v>169.6606</v>
      </c>
      <c r="J603" s="6">
        <f t="shared" si="46"/>
        <v>180.49</v>
      </c>
      <c r="K603" s="6">
        <f t="shared" si="47"/>
        <v>198.539</v>
      </c>
      <c r="L603" s="6">
        <f t="shared" si="48"/>
        <v>252.686</v>
      </c>
      <c r="M603" s="6">
        <f t="shared" si="49"/>
        <v>306.833</v>
      </c>
    </row>
    <row r="604" spans="1:13">
      <c r="A604" t="s">
        <v>13</v>
      </c>
      <c r="B604" t="s">
        <v>1188</v>
      </c>
      <c r="C604" t="s">
        <v>1189</v>
      </c>
      <c r="D604" t="s">
        <v>1189</v>
      </c>
      <c r="E604" t="s">
        <v>1189</v>
      </c>
      <c r="F604" t="s">
        <v>1189</v>
      </c>
      <c r="G604" s="6">
        <v>360.98</v>
      </c>
      <c r="H604" s="6"/>
      <c r="I604" s="6">
        <f t="shared" si="45"/>
        <v>169.6606</v>
      </c>
      <c r="J604" s="6">
        <f t="shared" si="46"/>
        <v>180.49</v>
      </c>
      <c r="K604" s="6">
        <f t="shared" si="47"/>
        <v>198.539</v>
      </c>
      <c r="L604" s="6">
        <f t="shared" si="48"/>
        <v>252.686</v>
      </c>
      <c r="M604" s="6">
        <f t="shared" si="49"/>
        <v>306.833</v>
      </c>
    </row>
    <row r="605" spans="1:13">
      <c r="A605" t="s">
        <v>13</v>
      </c>
      <c r="B605" t="s">
        <v>1190</v>
      </c>
      <c r="C605" t="s">
        <v>1191</v>
      </c>
      <c r="D605" t="s">
        <v>1191</v>
      </c>
      <c r="E605" t="s">
        <v>1191</v>
      </c>
      <c r="F605" t="s">
        <v>1191</v>
      </c>
      <c r="G605" s="6">
        <v>215.93</v>
      </c>
      <c r="H605" s="6"/>
      <c r="I605" s="6">
        <f t="shared" si="45"/>
        <v>101.4871</v>
      </c>
      <c r="J605" s="6">
        <f t="shared" si="46"/>
        <v>107.965</v>
      </c>
      <c r="K605" s="6">
        <f t="shared" si="47"/>
        <v>118.7615</v>
      </c>
      <c r="L605" s="6">
        <f t="shared" si="48"/>
        <v>151.151</v>
      </c>
      <c r="M605" s="6">
        <f t="shared" si="49"/>
        <v>183.5405</v>
      </c>
    </row>
    <row r="606" spans="1:13">
      <c r="A606" t="s">
        <v>13</v>
      </c>
      <c r="B606" t="s">
        <v>1192</v>
      </c>
      <c r="C606" t="s">
        <v>1193</v>
      </c>
      <c r="D606" t="s">
        <v>1193</v>
      </c>
      <c r="E606" t="s">
        <v>1193</v>
      </c>
      <c r="F606" t="s">
        <v>1193</v>
      </c>
      <c r="G606" s="6">
        <v>215.93</v>
      </c>
      <c r="H606" s="6"/>
      <c r="I606" s="6">
        <f t="shared" si="45"/>
        <v>101.4871</v>
      </c>
      <c r="J606" s="6">
        <f t="shared" si="46"/>
        <v>107.965</v>
      </c>
      <c r="K606" s="6">
        <f t="shared" si="47"/>
        <v>118.7615</v>
      </c>
      <c r="L606" s="6">
        <f t="shared" si="48"/>
        <v>151.151</v>
      </c>
      <c r="M606" s="6">
        <f t="shared" si="49"/>
        <v>183.5405</v>
      </c>
    </row>
    <row r="607" spans="1:13">
      <c r="A607" t="s">
        <v>13</v>
      </c>
      <c r="B607" t="s">
        <v>1194</v>
      </c>
      <c r="C607" t="s">
        <v>1195</v>
      </c>
      <c r="D607" t="s">
        <v>1195</v>
      </c>
      <c r="E607" t="s">
        <v>1195</v>
      </c>
      <c r="F607" t="s">
        <v>1195</v>
      </c>
      <c r="G607" s="6">
        <v>36.31</v>
      </c>
      <c r="H607" s="6"/>
      <c r="I607" s="6">
        <f t="shared" si="45"/>
        <v>17.0657</v>
      </c>
      <c r="J607" s="6">
        <f t="shared" si="46"/>
        <v>18.155</v>
      </c>
      <c r="K607" s="6">
        <f t="shared" si="47"/>
        <v>19.9705</v>
      </c>
      <c r="L607" s="6">
        <f t="shared" si="48"/>
        <v>25.417</v>
      </c>
      <c r="M607" s="6">
        <f t="shared" si="49"/>
        <v>30.8635</v>
      </c>
    </row>
    <row r="608" spans="1:13">
      <c r="A608" t="s">
        <v>13</v>
      </c>
      <c r="B608" t="s">
        <v>1196</v>
      </c>
      <c r="C608" t="s">
        <v>1197</v>
      </c>
      <c r="D608" t="s">
        <v>1197</v>
      </c>
      <c r="E608" t="s">
        <v>1197</v>
      </c>
      <c r="F608" t="s">
        <v>1197</v>
      </c>
      <c r="G608" s="6">
        <v>36.31</v>
      </c>
      <c r="H608" s="6"/>
      <c r="I608" s="6">
        <f t="shared" si="45"/>
        <v>17.0657</v>
      </c>
      <c r="J608" s="6">
        <f t="shared" si="46"/>
        <v>18.155</v>
      </c>
      <c r="K608" s="6">
        <f t="shared" si="47"/>
        <v>19.9705</v>
      </c>
      <c r="L608" s="6">
        <f t="shared" si="48"/>
        <v>25.417</v>
      </c>
      <c r="M608" s="6">
        <f t="shared" si="49"/>
        <v>30.8635</v>
      </c>
    </row>
    <row r="609" spans="1:13">
      <c r="A609" t="s">
        <v>13</v>
      </c>
      <c r="B609" t="s">
        <v>1198</v>
      </c>
      <c r="C609" t="s">
        <v>1199</v>
      </c>
      <c r="D609" t="s">
        <v>1199</v>
      </c>
      <c r="E609" t="s">
        <v>1199</v>
      </c>
      <c r="F609" t="s">
        <v>1199</v>
      </c>
      <c r="G609" s="6">
        <v>1785.19</v>
      </c>
      <c r="H609" s="6"/>
      <c r="I609" s="6">
        <f t="shared" si="45"/>
        <v>839.0393</v>
      </c>
      <c r="J609" s="6">
        <f t="shared" si="46"/>
        <v>892.595</v>
      </c>
      <c r="K609" s="6">
        <f t="shared" si="47"/>
        <v>981.8545</v>
      </c>
      <c r="L609" s="6">
        <f t="shared" si="48"/>
        <v>1249.633</v>
      </c>
      <c r="M609" s="6">
        <f t="shared" si="49"/>
        <v>1517.4115</v>
      </c>
    </row>
    <row r="610" spans="1:13">
      <c r="A610" t="s">
        <v>13</v>
      </c>
      <c r="B610" t="s">
        <v>1200</v>
      </c>
      <c r="C610" t="s">
        <v>1201</v>
      </c>
      <c r="D610" t="s">
        <v>1201</v>
      </c>
      <c r="E610" t="s">
        <v>1201</v>
      </c>
      <c r="F610" t="s">
        <v>1201</v>
      </c>
      <c r="G610" s="6">
        <v>2517.35</v>
      </c>
      <c r="H610" s="6"/>
      <c r="I610" s="6">
        <f t="shared" si="45"/>
        <v>1183.1545</v>
      </c>
      <c r="J610" s="6">
        <f t="shared" si="46"/>
        <v>1258.675</v>
      </c>
      <c r="K610" s="6">
        <f t="shared" si="47"/>
        <v>1384.5425</v>
      </c>
      <c r="L610" s="6">
        <f t="shared" si="48"/>
        <v>1762.145</v>
      </c>
      <c r="M610" s="6">
        <f t="shared" si="49"/>
        <v>2139.7475</v>
      </c>
    </row>
    <row r="611" spans="1:13">
      <c r="A611" t="s">
        <v>13</v>
      </c>
      <c r="B611" t="s">
        <v>1202</v>
      </c>
      <c r="C611" t="s">
        <v>1203</v>
      </c>
      <c r="D611" t="s">
        <v>1203</v>
      </c>
      <c r="E611" t="s">
        <v>1203</v>
      </c>
      <c r="F611" t="s">
        <v>1203</v>
      </c>
      <c r="G611" s="6">
        <v>1869.12</v>
      </c>
      <c r="H611" s="6"/>
      <c r="I611" s="6">
        <f t="shared" si="45"/>
        <v>878.4864</v>
      </c>
      <c r="J611" s="6">
        <f t="shared" si="46"/>
        <v>934.56</v>
      </c>
      <c r="K611" s="6">
        <f t="shared" si="47"/>
        <v>1028.016</v>
      </c>
      <c r="L611" s="6">
        <f t="shared" si="48"/>
        <v>1308.384</v>
      </c>
      <c r="M611" s="6">
        <f t="shared" si="49"/>
        <v>1588.752</v>
      </c>
    </row>
    <row r="612" spans="1:13">
      <c r="A612" t="s">
        <v>13</v>
      </c>
      <c r="B612" t="s">
        <v>1204</v>
      </c>
      <c r="C612" t="s">
        <v>1203</v>
      </c>
      <c r="D612" t="s">
        <v>1203</v>
      </c>
      <c r="E612" t="s">
        <v>1203</v>
      </c>
      <c r="F612" t="s">
        <v>1203</v>
      </c>
      <c r="G612" s="6">
        <v>2460.26</v>
      </c>
      <c r="H612" s="6"/>
      <c r="I612" s="6">
        <f t="shared" si="45"/>
        <v>1156.3222</v>
      </c>
      <c r="J612" s="6">
        <f t="shared" si="46"/>
        <v>1230.13</v>
      </c>
      <c r="K612" s="6">
        <f t="shared" si="47"/>
        <v>1353.143</v>
      </c>
      <c r="L612" s="6">
        <f t="shared" si="48"/>
        <v>1722.182</v>
      </c>
      <c r="M612" s="6">
        <f t="shared" si="49"/>
        <v>2091.221</v>
      </c>
    </row>
    <row r="613" spans="1:13">
      <c r="A613" t="s">
        <v>13</v>
      </c>
      <c r="B613" t="s">
        <v>1205</v>
      </c>
      <c r="C613" t="s">
        <v>1203</v>
      </c>
      <c r="D613" t="s">
        <v>1203</v>
      </c>
      <c r="E613" t="s">
        <v>1203</v>
      </c>
      <c r="F613" t="s">
        <v>1203</v>
      </c>
      <c r="G613" s="6">
        <v>1996.17</v>
      </c>
      <c r="H613" s="6"/>
      <c r="I613" s="6">
        <f t="shared" si="45"/>
        <v>938.1999</v>
      </c>
      <c r="J613" s="6">
        <f t="shared" si="46"/>
        <v>998.085</v>
      </c>
      <c r="K613" s="6">
        <f t="shared" si="47"/>
        <v>1097.8935</v>
      </c>
      <c r="L613" s="6">
        <f t="shared" si="48"/>
        <v>1397.319</v>
      </c>
      <c r="M613" s="6">
        <f t="shared" si="49"/>
        <v>1696.7445</v>
      </c>
    </row>
    <row r="614" spans="1:13">
      <c r="A614" t="s">
        <v>13</v>
      </c>
      <c r="B614" t="s">
        <v>1206</v>
      </c>
      <c r="C614" t="s">
        <v>1203</v>
      </c>
      <c r="D614" t="s">
        <v>1203</v>
      </c>
      <c r="E614" t="s">
        <v>1203</v>
      </c>
      <c r="F614" t="s">
        <v>1203</v>
      </c>
      <c r="G614" s="6">
        <v>2587.31</v>
      </c>
      <c r="H614" s="6"/>
      <c r="I614" s="6">
        <f t="shared" si="45"/>
        <v>1216.0357</v>
      </c>
      <c r="J614" s="6">
        <f t="shared" si="46"/>
        <v>1293.655</v>
      </c>
      <c r="K614" s="6">
        <f t="shared" si="47"/>
        <v>1423.0205</v>
      </c>
      <c r="L614" s="6">
        <f t="shared" si="48"/>
        <v>1811.117</v>
      </c>
      <c r="M614" s="6">
        <f t="shared" si="49"/>
        <v>2199.2135</v>
      </c>
    </row>
    <row r="615" spans="1:13">
      <c r="A615" t="s">
        <v>13</v>
      </c>
      <c r="B615" t="s">
        <v>1207</v>
      </c>
      <c r="C615" t="s">
        <v>1208</v>
      </c>
      <c r="D615" t="s">
        <v>1208</v>
      </c>
      <c r="E615" t="s">
        <v>1208</v>
      </c>
      <c r="F615" t="s">
        <v>1208</v>
      </c>
      <c r="G615" s="6">
        <v>2066.13</v>
      </c>
      <c r="H615" s="6"/>
      <c r="I615" s="6">
        <f t="shared" si="45"/>
        <v>971.0811</v>
      </c>
      <c r="J615" s="6">
        <f t="shared" si="46"/>
        <v>1033.065</v>
      </c>
      <c r="K615" s="6">
        <f t="shared" si="47"/>
        <v>1136.3715</v>
      </c>
      <c r="L615" s="6">
        <f t="shared" si="48"/>
        <v>1446.291</v>
      </c>
      <c r="M615" s="6">
        <f t="shared" si="49"/>
        <v>1756.2105</v>
      </c>
    </row>
    <row r="616" spans="1:13">
      <c r="A616" t="s">
        <v>13</v>
      </c>
      <c r="B616" t="s">
        <v>1209</v>
      </c>
      <c r="C616" t="s">
        <v>1208</v>
      </c>
      <c r="D616" t="s">
        <v>1208</v>
      </c>
      <c r="E616" t="s">
        <v>1208</v>
      </c>
      <c r="F616" t="s">
        <v>1208</v>
      </c>
      <c r="G616" s="6">
        <v>2656.17</v>
      </c>
      <c r="H616" s="6"/>
      <c r="I616" s="6">
        <f t="shared" si="45"/>
        <v>1248.3999</v>
      </c>
      <c r="J616" s="6">
        <f t="shared" si="46"/>
        <v>1328.085</v>
      </c>
      <c r="K616" s="6">
        <f t="shared" si="47"/>
        <v>1460.8935</v>
      </c>
      <c r="L616" s="6">
        <f t="shared" si="48"/>
        <v>1859.319</v>
      </c>
      <c r="M616" s="6">
        <f t="shared" si="49"/>
        <v>2257.7445</v>
      </c>
    </row>
    <row r="617" spans="1:13">
      <c r="A617" t="s">
        <v>13</v>
      </c>
      <c r="B617" t="s">
        <v>1210</v>
      </c>
      <c r="C617" t="s">
        <v>1211</v>
      </c>
      <c r="D617" t="s">
        <v>1211</v>
      </c>
      <c r="E617" t="s">
        <v>1211</v>
      </c>
      <c r="F617" t="s">
        <v>1211</v>
      </c>
      <c r="G617" s="6">
        <v>1645.27</v>
      </c>
      <c r="H617" s="6"/>
      <c r="I617" s="6">
        <f t="shared" si="45"/>
        <v>773.2769</v>
      </c>
      <c r="J617" s="6">
        <f t="shared" si="46"/>
        <v>822.635</v>
      </c>
      <c r="K617" s="6">
        <f t="shared" si="47"/>
        <v>904.8985</v>
      </c>
      <c r="L617" s="6">
        <f t="shared" si="48"/>
        <v>1151.689</v>
      </c>
      <c r="M617" s="6">
        <f t="shared" si="49"/>
        <v>1398.4795</v>
      </c>
    </row>
    <row r="618" spans="1:13">
      <c r="A618" t="s">
        <v>13</v>
      </c>
      <c r="B618" t="s">
        <v>1212</v>
      </c>
      <c r="C618" t="s">
        <v>1213</v>
      </c>
      <c r="D618" t="s">
        <v>1213</v>
      </c>
      <c r="E618" t="s">
        <v>1213</v>
      </c>
      <c r="F618" t="s">
        <v>1213</v>
      </c>
      <c r="G618" s="6">
        <v>2361.15</v>
      </c>
      <c r="H618" s="6"/>
      <c r="I618" s="6">
        <f t="shared" si="45"/>
        <v>1109.7405</v>
      </c>
      <c r="J618" s="6">
        <f t="shared" si="46"/>
        <v>1180.575</v>
      </c>
      <c r="K618" s="6">
        <f t="shared" si="47"/>
        <v>1298.6325</v>
      </c>
      <c r="L618" s="6">
        <f t="shared" si="48"/>
        <v>1652.805</v>
      </c>
      <c r="M618" s="6">
        <f t="shared" si="49"/>
        <v>2006.9775</v>
      </c>
    </row>
    <row r="619" spans="1:13">
      <c r="A619" t="s">
        <v>13</v>
      </c>
      <c r="B619" t="s">
        <v>1214</v>
      </c>
      <c r="C619" t="s">
        <v>1215</v>
      </c>
      <c r="D619" t="s">
        <v>1215</v>
      </c>
      <c r="E619" t="s">
        <v>1215</v>
      </c>
      <c r="F619" t="s">
        <v>1215</v>
      </c>
      <c r="G619" s="6">
        <v>3248.52</v>
      </c>
      <c r="H619" s="6"/>
      <c r="I619" s="6">
        <f t="shared" si="45"/>
        <v>1526.8044</v>
      </c>
      <c r="J619" s="6">
        <f t="shared" si="46"/>
        <v>1624.26</v>
      </c>
      <c r="K619" s="6">
        <f t="shared" si="47"/>
        <v>1786.686</v>
      </c>
      <c r="L619" s="6">
        <f t="shared" si="48"/>
        <v>2273.964</v>
      </c>
      <c r="M619" s="6">
        <f t="shared" si="49"/>
        <v>2761.242</v>
      </c>
    </row>
    <row r="620" spans="1:13">
      <c r="A620" t="s">
        <v>13</v>
      </c>
      <c r="B620" t="s">
        <v>1216</v>
      </c>
      <c r="C620" t="s">
        <v>1213</v>
      </c>
      <c r="D620" t="s">
        <v>1213</v>
      </c>
      <c r="E620" t="s">
        <v>1213</v>
      </c>
      <c r="F620" t="s">
        <v>1213</v>
      </c>
      <c r="G620" s="6">
        <v>2488.2</v>
      </c>
      <c r="H620" s="6"/>
      <c r="I620" s="6">
        <f t="shared" si="45"/>
        <v>1169.454</v>
      </c>
      <c r="J620" s="6">
        <f t="shared" si="46"/>
        <v>1244.1</v>
      </c>
      <c r="K620" s="6">
        <f t="shared" si="47"/>
        <v>1368.51</v>
      </c>
      <c r="L620" s="6">
        <f t="shared" si="48"/>
        <v>1741.74</v>
      </c>
      <c r="M620" s="6">
        <f t="shared" si="49"/>
        <v>2114.97</v>
      </c>
    </row>
    <row r="621" spans="1:13">
      <c r="A621" t="s">
        <v>13</v>
      </c>
      <c r="B621" t="s">
        <v>1217</v>
      </c>
      <c r="C621" t="s">
        <v>1213</v>
      </c>
      <c r="D621" t="s">
        <v>1213</v>
      </c>
      <c r="E621" t="s">
        <v>1213</v>
      </c>
      <c r="F621" t="s">
        <v>1213</v>
      </c>
      <c r="G621" s="6">
        <v>3374.36</v>
      </c>
      <c r="H621" s="6"/>
      <c r="I621" s="6">
        <f t="shared" si="45"/>
        <v>1585.9492</v>
      </c>
      <c r="J621" s="6">
        <f t="shared" si="46"/>
        <v>1687.18</v>
      </c>
      <c r="K621" s="6">
        <f t="shared" si="47"/>
        <v>1855.898</v>
      </c>
      <c r="L621" s="6">
        <f t="shared" si="48"/>
        <v>2362.052</v>
      </c>
      <c r="M621" s="6">
        <f t="shared" si="49"/>
        <v>2868.206</v>
      </c>
    </row>
    <row r="622" spans="1:13">
      <c r="A622" t="s">
        <v>13</v>
      </c>
      <c r="B622" t="s">
        <v>1218</v>
      </c>
      <c r="C622" t="s">
        <v>1219</v>
      </c>
      <c r="D622" t="s">
        <v>1219</v>
      </c>
      <c r="E622" t="s">
        <v>1219</v>
      </c>
      <c r="F622" t="s">
        <v>1219</v>
      </c>
      <c r="G622" s="6">
        <v>2530.22</v>
      </c>
      <c r="H622" s="6"/>
      <c r="I622" s="6">
        <f t="shared" si="45"/>
        <v>1189.2034</v>
      </c>
      <c r="J622" s="6">
        <f t="shared" si="46"/>
        <v>1265.11</v>
      </c>
      <c r="K622" s="6">
        <f t="shared" si="47"/>
        <v>1391.621</v>
      </c>
      <c r="L622" s="6">
        <f t="shared" si="48"/>
        <v>1771.154</v>
      </c>
      <c r="M622" s="6">
        <f t="shared" si="49"/>
        <v>2150.687</v>
      </c>
    </row>
    <row r="623" spans="1:13">
      <c r="A623" t="s">
        <v>13</v>
      </c>
      <c r="B623" t="s">
        <v>1220</v>
      </c>
      <c r="C623" t="s">
        <v>1219</v>
      </c>
      <c r="D623" t="s">
        <v>1219</v>
      </c>
      <c r="E623" t="s">
        <v>1219</v>
      </c>
      <c r="F623" t="s">
        <v>1219</v>
      </c>
      <c r="G623" s="6">
        <v>3712.5</v>
      </c>
      <c r="H623" s="6"/>
      <c r="I623" s="6">
        <f t="shared" si="45"/>
        <v>1744.875</v>
      </c>
      <c r="J623" s="6">
        <f t="shared" si="46"/>
        <v>1856.25</v>
      </c>
      <c r="K623" s="6">
        <f t="shared" si="47"/>
        <v>2041.875</v>
      </c>
      <c r="L623" s="6">
        <f t="shared" si="48"/>
        <v>2598.75</v>
      </c>
      <c r="M623" s="6">
        <f t="shared" si="49"/>
        <v>3155.625</v>
      </c>
    </row>
    <row r="624" spans="1:13">
      <c r="A624" t="s">
        <v>13</v>
      </c>
      <c r="B624" t="s">
        <v>1221</v>
      </c>
      <c r="C624" t="s">
        <v>1219</v>
      </c>
      <c r="D624" t="s">
        <v>1219</v>
      </c>
      <c r="E624" t="s">
        <v>1219</v>
      </c>
      <c r="F624" t="s">
        <v>1219</v>
      </c>
      <c r="G624" s="6">
        <v>2642.2</v>
      </c>
      <c r="H624" s="6"/>
      <c r="I624" s="6">
        <f t="shared" si="45"/>
        <v>1241.834</v>
      </c>
      <c r="J624" s="6">
        <f t="shared" si="46"/>
        <v>1321.1</v>
      </c>
      <c r="K624" s="6">
        <f t="shared" si="47"/>
        <v>1453.21</v>
      </c>
      <c r="L624" s="6">
        <f t="shared" si="48"/>
        <v>1849.54</v>
      </c>
      <c r="M624" s="6">
        <f t="shared" si="49"/>
        <v>2245.87</v>
      </c>
    </row>
    <row r="625" spans="1:13">
      <c r="A625" t="s">
        <v>13</v>
      </c>
      <c r="B625" t="s">
        <v>1222</v>
      </c>
      <c r="C625" t="s">
        <v>1219</v>
      </c>
      <c r="D625" t="s">
        <v>1219</v>
      </c>
      <c r="E625" t="s">
        <v>1219</v>
      </c>
      <c r="F625" t="s">
        <v>1219</v>
      </c>
      <c r="G625" s="6">
        <v>3824.48</v>
      </c>
      <c r="H625" s="6"/>
      <c r="I625" s="6">
        <f t="shared" si="45"/>
        <v>1797.5056</v>
      </c>
      <c r="J625" s="6">
        <f t="shared" si="46"/>
        <v>1912.24</v>
      </c>
      <c r="K625" s="6">
        <f t="shared" si="47"/>
        <v>2103.464</v>
      </c>
      <c r="L625" s="6">
        <f t="shared" si="48"/>
        <v>2677.136</v>
      </c>
      <c r="M625" s="6">
        <f t="shared" si="49"/>
        <v>3250.808</v>
      </c>
    </row>
    <row r="626" spans="1:13">
      <c r="A626" t="s">
        <v>13</v>
      </c>
      <c r="B626" t="s">
        <v>1223</v>
      </c>
      <c r="C626" t="s">
        <v>1224</v>
      </c>
      <c r="D626" t="s">
        <v>1224</v>
      </c>
      <c r="E626" t="s">
        <v>1224</v>
      </c>
      <c r="F626" t="s">
        <v>1224</v>
      </c>
      <c r="G626" s="6">
        <v>2136.09</v>
      </c>
      <c r="H626" s="6"/>
      <c r="I626" s="6">
        <f t="shared" si="45"/>
        <v>1003.9623</v>
      </c>
      <c r="J626" s="6">
        <f t="shared" si="46"/>
        <v>1068.045</v>
      </c>
      <c r="K626" s="6">
        <f t="shared" si="47"/>
        <v>1174.8495</v>
      </c>
      <c r="L626" s="6">
        <f t="shared" si="48"/>
        <v>1495.263</v>
      </c>
      <c r="M626" s="6">
        <f t="shared" si="49"/>
        <v>1815.6765</v>
      </c>
    </row>
    <row r="627" spans="1:13">
      <c r="A627" t="s">
        <v>13</v>
      </c>
      <c r="B627" t="s">
        <v>1225</v>
      </c>
      <c r="C627" t="s">
        <v>1226</v>
      </c>
      <c r="D627" t="s">
        <v>1226</v>
      </c>
      <c r="E627" t="s">
        <v>1226</v>
      </c>
      <c r="F627" t="s">
        <v>1226</v>
      </c>
      <c r="G627" s="6">
        <v>2825.24</v>
      </c>
      <c r="H627" s="6"/>
      <c r="I627" s="6">
        <f t="shared" si="45"/>
        <v>1327.8628</v>
      </c>
      <c r="J627" s="6">
        <f t="shared" si="46"/>
        <v>1412.62</v>
      </c>
      <c r="K627" s="6">
        <f t="shared" si="47"/>
        <v>1553.882</v>
      </c>
      <c r="L627" s="6">
        <f t="shared" si="48"/>
        <v>1977.668</v>
      </c>
      <c r="M627" s="6">
        <f t="shared" si="49"/>
        <v>2401.454</v>
      </c>
    </row>
    <row r="628" spans="1:13">
      <c r="A628" t="s">
        <v>13</v>
      </c>
      <c r="B628" t="s">
        <v>1227</v>
      </c>
      <c r="C628" t="s">
        <v>1228</v>
      </c>
      <c r="D628" t="s">
        <v>1228</v>
      </c>
      <c r="E628" t="s">
        <v>1228</v>
      </c>
      <c r="F628" t="s">
        <v>1228</v>
      </c>
      <c r="G628" s="6">
        <v>4007.52</v>
      </c>
      <c r="H628" s="6"/>
      <c r="I628" s="6">
        <f t="shared" si="45"/>
        <v>1883.5344</v>
      </c>
      <c r="J628" s="6">
        <f t="shared" si="46"/>
        <v>2003.76</v>
      </c>
      <c r="K628" s="6">
        <f t="shared" si="47"/>
        <v>2204.136</v>
      </c>
      <c r="L628" s="6">
        <f t="shared" si="48"/>
        <v>2805.264</v>
      </c>
      <c r="M628" s="6">
        <f t="shared" si="49"/>
        <v>3406.392</v>
      </c>
    </row>
    <row r="629" spans="1:13">
      <c r="A629" t="s">
        <v>13</v>
      </c>
      <c r="B629" t="s">
        <v>1229</v>
      </c>
      <c r="C629" t="s">
        <v>1230</v>
      </c>
      <c r="D629" t="s">
        <v>1230</v>
      </c>
      <c r="E629" t="s">
        <v>1230</v>
      </c>
      <c r="F629" t="s">
        <v>1230</v>
      </c>
      <c r="G629" s="6">
        <v>2938.32</v>
      </c>
      <c r="H629" s="6"/>
      <c r="I629" s="6">
        <f t="shared" si="45"/>
        <v>1381.0104</v>
      </c>
      <c r="J629" s="6">
        <f t="shared" si="46"/>
        <v>1469.16</v>
      </c>
      <c r="K629" s="6">
        <f t="shared" si="47"/>
        <v>1616.076</v>
      </c>
      <c r="L629" s="6">
        <f t="shared" si="48"/>
        <v>2056.824</v>
      </c>
      <c r="M629" s="6">
        <f t="shared" si="49"/>
        <v>2497.572</v>
      </c>
    </row>
    <row r="630" spans="1:13">
      <c r="A630" t="s">
        <v>13</v>
      </c>
      <c r="B630" t="s">
        <v>1231</v>
      </c>
      <c r="C630" t="s">
        <v>1232</v>
      </c>
      <c r="D630" t="s">
        <v>1232</v>
      </c>
      <c r="E630" t="s">
        <v>1232</v>
      </c>
      <c r="F630" t="s">
        <v>1232</v>
      </c>
      <c r="G630" s="6">
        <v>4120.6</v>
      </c>
      <c r="H630" s="6"/>
      <c r="I630" s="6">
        <f t="shared" si="45"/>
        <v>1936.682</v>
      </c>
      <c r="J630" s="6">
        <f t="shared" si="46"/>
        <v>2060.3</v>
      </c>
      <c r="K630" s="6">
        <f t="shared" si="47"/>
        <v>2266.33</v>
      </c>
      <c r="L630" s="6">
        <f t="shared" si="48"/>
        <v>2884.42</v>
      </c>
      <c r="M630" s="6">
        <f t="shared" si="49"/>
        <v>3502.51</v>
      </c>
    </row>
    <row r="631" spans="1:13">
      <c r="A631" t="s">
        <v>13</v>
      </c>
      <c r="B631" t="s">
        <v>1233</v>
      </c>
      <c r="C631" t="s">
        <v>1234</v>
      </c>
      <c r="D631" t="s">
        <v>1234</v>
      </c>
      <c r="E631" t="s">
        <v>1234</v>
      </c>
      <c r="F631" t="s">
        <v>1234</v>
      </c>
      <c r="G631" s="6">
        <v>2938.32</v>
      </c>
      <c r="H631" s="6"/>
      <c r="I631" s="6">
        <f t="shared" si="45"/>
        <v>1381.0104</v>
      </c>
      <c r="J631" s="6">
        <f t="shared" si="46"/>
        <v>1469.16</v>
      </c>
      <c r="K631" s="6">
        <f t="shared" si="47"/>
        <v>1616.076</v>
      </c>
      <c r="L631" s="6">
        <f t="shared" si="48"/>
        <v>2056.824</v>
      </c>
      <c r="M631" s="6">
        <f t="shared" si="49"/>
        <v>2497.572</v>
      </c>
    </row>
    <row r="632" spans="1:13">
      <c r="A632" t="s">
        <v>13</v>
      </c>
      <c r="B632" t="s">
        <v>1235</v>
      </c>
      <c r="C632" t="s">
        <v>1236</v>
      </c>
      <c r="D632" t="s">
        <v>1236</v>
      </c>
      <c r="E632" t="s">
        <v>1236</v>
      </c>
      <c r="F632" t="s">
        <v>1236</v>
      </c>
      <c r="G632" s="6">
        <v>4711.85</v>
      </c>
      <c r="H632" s="6"/>
      <c r="I632" s="6">
        <f t="shared" si="45"/>
        <v>2214.5695</v>
      </c>
      <c r="J632" s="6">
        <f t="shared" si="46"/>
        <v>2355.925</v>
      </c>
      <c r="K632" s="6">
        <f t="shared" si="47"/>
        <v>2591.5175</v>
      </c>
      <c r="L632" s="6">
        <f t="shared" si="48"/>
        <v>3298.295</v>
      </c>
      <c r="M632" s="6">
        <f t="shared" si="49"/>
        <v>4005.0725</v>
      </c>
    </row>
    <row r="633" spans="1:13">
      <c r="A633" t="s">
        <v>13</v>
      </c>
      <c r="B633" t="s">
        <v>1237</v>
      </c>
      <c r="C633" t="s">
        <v>1238</v>
      </c>
      <c r="D633" t="s">
        <v>1238</v>
      </c>
      <c r="E633" t="s">
        <v>1238</v>
      </c>
      <c r="F633" t="s">
        <v>1238</v>
      </c>
      <c r="G633" s="6">
        <v>3064.27</v>
      </c>
      <c r="H633" s="6"/>
      <c r="I633" s="6">
        <f t="shared" si="45"/>
        <v>1440.2069</v>
      </c>
      <c r="J633" s="6">
        <f t="shared" si="46"/>
        <v>1532.135</v>
      </c>
      <c r="K633" s="6">
        <f t="shared" si="47"/>
        <v>1685.3485</v>
      </c>
      <c r="L633" s="6">
        <f t="shared" si="48"/>
        <v>2144.989</v>
      </c>
      <c r="M633" s="6">
        <f t="shared" si="49"/>
        <v>2604.6295</v>
      </c>
    </row>
    <row r="634" spans="1:13">
      <c r="A634" t="s">
        <v>13</v>
      </c>
      <c r="B634" t="s">
        <v>1239</v>
      </c>
      <c r="C634" t="s">
        <v>1240</v>
      </c>
      <c r="D634" t="s">
        <v>1240</v>
      </c>
      <c r="E634" t="s">
        <v>1240</v>
      </c>
      <c r="F634" t="s">
        <v>1240</v>
      </c>
      <c r="G634" s="6">
        <v>4838.9</v>
      </c>
      <c r="H634" s="6"/>
      <c r="I634" s="6">
        <f t="shared" si="45"/>
        <v>2274.283</v>
      </c>
      <c r="J634" s="6">
        <f t="shared" si="46"/>
        <v>2419.45</v>
      </c>
      <c r="K634" s="6">
        <f t="shared" si="47"/>
        <v>2661.395</v>
      </c>
      <c r="L634" s="6">
        <f t="shared" si="48"/>
        <v>3387.23</v>
      </c>
      <c r="M634" s="6">
        <f t="shared" si="49"/>
        <v>4113.065</v>
      </c>
    </row>
    <row r="635" spans="1:13">
      <c r="A635" t="s">
        <v>13</v>
      </c>
      <c r="B635" t="s">
        <v>1241</v>
      </c>
      <c r="C635" t="s">
        <v>1242</v>
      </c>
      <c r="D635" t="s">
        <v>1242</v>
      </c>
      <c r="E635" t="s">
        <v>1242</v>
      </c>
      <c r="F635" t="s">
        <v>1242</v>
      </c>
      <c r="G635" s="6">
        <v>2628.12</v>
      </c>
      <c r="H635" s="6"/>
      <c r="I635" s="6">
        <f t="shared" si="45"/>
        <v>1235.2164</v>
      </c>
      <c r="J635" s="6">
        <f t="shared" si="46"/>
        <v>1314.06</v>
      </c>
      <c r="K635" s="6">
        <f t="shared" si="47"/>
        <v>1445.466</v>
      </c>
      <c r="L635" s="6">
        <f t="shared" si="48"/>
        <v>1839.684</v>
      </c>
      <c r="M635" s="6">
        <f t="shared" si="49"/>
        <v>2233.902</v>
      </c>
    </row>
    <row r="636" spans="1:13">
      <c r="A636" t="s">
        <v>13</v>
      </c>
      <c r="B636" t="s">
        <v>1243</v>
      </c>
      <c r="C636" t="s">
        <v>1244</v>
      </c>
      <c r="D636" t="s">
        <v>1244</v>
      </c>
      <c r="E636" t="s">
        <v>1244</v>
      </c>
      <c r="F636" t="s">
        <v>1244</v>
      </c>
      <c r="G636" s="6">
        <v>199.31</v>
      </c>
      <c r="H636" s="6"/>
      <c r="I636" s="6">
        <f t="shared" si="45"/>
        <v>93.6757</v>
      </c>
      <c r="J636" s="6">
        <f t="shared" si="46"/>
        <v>99.655</v>
      </c>
      <c r="K636" s="6">
        <f t="shared" si="47"/>
        <v>109.6205</v>
      </c>
      <c r="L636" s="6">
        <f t="shared" si="48"/>
        <v>139.517</v>
      </c>
      <c r="M636" s="6">
        <f t="shared" si="49"/>
        <v>169.4135</v>
      </c>
    </row>
    <row r="637" spans="1:13">
      <c r="A637" t="s">
        <v>13</v>
      </c>
      <c r="B637" t="s">
        <v>1245</v>
      </c>
      <c r="C637" t="s">
        <v>1246</v>
      </c>
      <c r="D637" t="s">
        <v>1246</v>
      </c>
      <c r="E637" t="s">
        <v>1246</v>
      </c>
      <c r="F637" t="s">
        <v>1246</v>
      </c>
      <c r="G637" s="6">
        <v>173.28</v>
      </c>
      <c r="H637" s="6"/>
      <c r="I637" s="6">
        <f t="shared" si="45"/>
        <v>81.4416</v>
      </c>
      <c r="J637" s="6">
        <f t="shared" si="46"/>
        <v>86.64</v>
      </c>
      <c r="K637" s="6">
        <f t="shared" si="47"/>
        <v>95.304</v>
      </c>
      <c r="L637" s="6">
        <f t="shared" si="48"/>
        <v>121.296</v>
      </c>
      <c r="M637" s="6">
        <f t="shared" si="49"/>
        <v>147.288</v>
      </c>
    </row>
    <row r="638" spans="1:13">
      <c r="A638" t="s">
        <v>13</v>
      </c>
      <c r="B638" t="s">
        <v>1247</v>
      </c>
      <c r="C638" t="s">
        <v>1248</v>
      </c>
      <c r="D638" t="s">
        <v>1248</v>
      </c>
      <c r="E638" t="s">
        <v>1248</v>
      </c>
      <c r="F638" t="s">
        <v>1248</v>
      </c>
      <c r="G638" s="6">
        <v>95.94</v>
      </c>
      <c r="H638" s="6"/>
      <c r="I638" s="6">
        <f t="shared" si="45"/>
        <v>45.0918</v>
      </c>
      <c r="J638" s="6">
        <f t="shared" si="46"/>
        <v>47.97</v>
      </c>
      <c r="K638" s="6">
        <f t="shared" si="47"/>
        <v>52.767</v>
      </c>
      <c r="L638" s="6">
        <f t="shared" si="48"/>
        <v>67.158</v>
      </c>
      <c r="M638" s="6">
        <f t="shared" si="49"/>
        <v>81.549</v>
      </c>
    </row>
    <row r="639" spans="1:13">
      <c r="A639" t="s">
        <v>13</v>
      </c>
      <c r="B639" t="s">
        <v>1249</v>
      </c>
      <c r="C639" t="s">
        <v>1250</v>
      </c>
      <c r="D639" t="s">
        <v>1250</v>
      </c>
      <c r="E639" t="s">
        <v>1250</v>
      </c>
      <c r="F639" t="s">
        <v>1250</v>
      </c>
      <c r="G639" s="6">
        <v>97.31</v>
      </c>
      <c r="H639" s="6"/>
      <c r="I639" s="6">
        <f t="shared" si="45"/>
        <v>45.7357</v>
      </c>
      <c r="J639" s="6">
        <f t="shared" si="46"/>
        <v>48.655</v>
      </c>
      <c r="K639" s="6">
        <f t="shared" si="47"/>
        <v>53.5205</v>
      </c>
      <c r="L639" s="6">
        <f t="shared" si="48"/>
        <v>68.117</v>
      </c>
      <c r="M639" s="6">
        <f t="shared" si="49"/>
        <v>82.7135</v>
      </c>
    </row>
    <row r="640" spans="1:13">
      <c r="A640" t="s">
        <v>13</v>
      </c>
      <c r="B640" t="s">
        <v>1251</v>
      </c>
      <c r="C640" t="s">
        <v>1252</v>
      </c>
      <c r="D640" t="s">
        <v>1252</v>
      </c>
      <c r="E640" t="s">
        <v>1252</v>
      </c>
      <c r="F640" t="s">
        <v>1252</v>
      </c>
      <c r="G640" s="6">
        <v>176.46</v>
      </c>
      <c r="H640" s="6"/>
      <c r="I640" s="6">
        <f t="shared" si="45"/>
        <v>82.9362</v>
      </c>
      <c r="J640" s="6">
        <f t="shared" si="46"/>
        <v>88.23</v>
      </c>
      <c r="K640" s="6">
        <f t="shared" si="47"/>
        <v>97.053</v>
      </c>
      <c r="L640" s="6">
        <f t="shared" si="48"/>
        <v>123.522</v>
      </c>
      <c r="M640" s="6">
        <f t="shared" si="49"/>
        <v>149.991</v>
      </c>
    </row>
    <row r="641" spans="1:13">
      <c r="A641" t="s">
        <v>13</v>
      </c>
      <c r="B641" t="s">
        <v>1253</v>
      </c>
      <c r="C641" t="s">
        <v>1254</v>
      </c>
      <c r="D641" t="s">
        <v>1254</v>
      </c>
      <c r="E641" t="s">
        <v>1254</v>
      </c>
      <c r="F641" t="s">
        <v>1254</v>
      </c>
      <c r="G641" s="6">
        <v>165.55</v>
      </c>
      <c r="H641" s="6"/>
      <c r="I641" s="6">
        <f t="shared" si="45"/>
        <v>77.8085</v>
      </c>
      <c r="J641" s="6">
        <f t="shared" si="46"/>
        <v>82.775</v>
      </c>
      <c r="K641" s="6">
        <f t="shared" si="47"/>
        <v>91.0525</v>
      </c>
      <c r="L641" s="6">
        <f t="shared" si="48"/>
        <v>115.885</v>
      </c>
      <c r="M641" s="6">
        <f t="shared" si="49"/>
        <v>140.7175</v>
      </c>
    </row>
    <row r="642" spans="1:13">
      <c r="A642" t="s">
        <v>13</v>
      </c>
      <c r="B642" t="s">
        <v>1255</v>
      </c>
      <c r="C642" t="s">
        <v>1256</v>
      </c>
      <c r="D642" t="s">
        <v>1256</v>
      </c>
      <c r="E642" t="s">
        <v>1256</v>
      </c>
      <c r="F642" t="s">
        <v>1256</v>
      </c>
      <c r="G642" s="6">
        <v>143.51</v>
      </c>
      <c r="H642" s="6"/>
      <c r="I642" s="6">
        <f t="shared" si="45"/>
        <v>67.4497</v>
      </c>
      <c r="J642" s="6">
        <f t="shared" si="46"/>
        <v>71.755</v>
      </c>
      <c r="K642" s="6">
        <f t="shared" si="47"/>
        <v>78.9305</v>
      </c>
      <c r="L642" s="6">
        <f t="shared" si="48"/>
        <v>100.457</v>
      </c>
      <c r="M642" s="6">
        <f t="shared" si="49"/>
        <v>121.9835</v>
      </c>
    </row>
    <row r="643" spans="1:13">
      <c r="A643" t="s">
        <v>13</v>
      </c>
      <c r="B643" t="s">
        <v>1257</v>
      </c>
      <c r="C643" t="s">
        <v>1258</v>
      </c>
      <c r="D643" t="s">
        <v>1258</v>
      </c>
      <c r="E643" t="s">
        <v>1258</v>
      </c>
      <c r="F643" t="s">
        <v>1258</v>
      </c>
      <c r="G643" s="6">
        <v>113.83</v>
      </c>
      <c r="H643" s="6"/>
      <c r="I643" s="6">
        <f t="shared" si="45"/>
        <v>53.5001</v>
      </c>
      <c r="J643" s="6">
        <f t="shared" si="46"/>
        <v>56.915</v>
      </c>
      <c r="K643" s="6">
        <f t="shared" si="47"/>
        <v>62.6065</v>
      </c>
      <c r="L643" s="6">
        <f t="shared" si="48"/>
        <v>79.681</v>
      </c>
      <c r="M643" s="6">
        <f t="shared" si="49"/>
        <v>96.7555</v>
      </c>
    </row>
    <row r="644" spans="1:13">
      <c r="A644" t="s">
        <v>13</v>
      </c>
      <c r="B644" t="s">
        <v>1259</v>
      </c>
      <c r="C644" t="s">
        <v>1260</v>
      </c>
      <c r="D644" t="s">
        <v>1260</v>
      </c>
      <c r="E644" t="s">
        <v>1260</v>
      </c>
      <c r="F644" t="s">
        <v>1260</v>
      </c>
      <c r="G644" s="6">
        <v>470.53</v>
      </c>
      <c r="H644" s="6"/>
      <c r="I644" s="6">
        <f t="shared" ref="I644:I707" si="50">G644*0.47</f>
        <v>221.1491</v>
      </c>
      <c r="J644" s="6">
        <f t="shared" ref="J644:J707" si="51">G644*0.5</f>
        <v>235.265</v>
      </c>
      <c r="K644" s="6">
        <f t="shared" ref="K644:K707" si="52">G644*0.55</f>
        <v>258.7915</v>
      </c>
      <c r="L644" s="6">
        <f t="shared" ref="L644:L707" si="53">G644*0.7</f>
        <v>329.371</v>
      </c>
      <c r="M644" s="6">
        <f t="shared" ref="M644:M707" si="54">G644*0.85</f>
        <v>399.9505</v>
      </c>
    </row>
    <row r="645" spans="1:13">
      <c r="A645" t="s">
        <v>13</v>
      </c>
      <c r="B645" t="s">
        <v>1261</v>
      </c>
      <c r="C645" t="s">
        <v>1262</v>
      </c>
      <c r="D645" t="s">
        <v>1262</v>
      </c>
      <c r="E645" t="s">
        <v>1262</v>
      </c>
      <c r="F645" t="s">
        <v>1262</v>
      </c>
      <c r="G645" s="6">
        <v>243.78</v>
      </c>
      <c r="H645" s="6"/>
      <c r="I645" s="6">
        <f t="shared" si="50"/>
        <v>114.5766</v>
      </c>
      <c r="J645" s="6">
        <f t="shared" si="51"/>
        <v>121.89</v>
      </c>
      <c r="K645" s="6">
        <f t="shared" si="52"/>
        <v>134.079</v>
      </c>
      <c r="L645" s="6">
        <f t="shared" si="53"/>
        <v>170.646</v>
      </c>
      <c r="M645" s="6">
        <f t="shared" si="54"/>
        <v>207.213</v>
      </c>
    </row>
    <row r="646" spans="1:13">
      <c r="A646" t="s">
        <v>13</v>
      </c>
      <c r="B646" t="s">
        <v>1263</v>
      </c>
      <c r="C646" t="s">
        <v>1262</v>
      </c>
      <c r="D646" t="s">
        <v>1262</v>
      </c>
      <c r="E646" t="s">
        <v>1262</v>
      </c>
      <c r="F646" t="s">
        <v>1262</v>
      </c>
      <c r="G646" s="6">
        <v>243.78</v>
      </c>
      <c r="H646" s="6"/>
      <c r="I646" s="6">
        <f t="shared" si="50"/>
        <v>114.5766</v>
      </c>
      <c r="J646" s="6">
        <f t="shared" si="51"/>
        <v>121.89</v>
      </c>
      <c r="K646" s="6">
        <f t="shared" si="52"/>
        <v>134.079</v>
      </c>
      <c r="L646" s="6">
        <f t="shared" si="53"/>
        <v>170.646</v>
      </c>
      <c r="M646" s="6">
        <f t="shared" si="54"/>
        <v>207.213</v>
      </c>
    </row>
    <row r="647" spans="1:13">
      <c r="A647" t="s">
        <v>13</v>
      </c>
      <c r="B647" t="s">
        <v>1264</v>
      </c>
      <c r="C647" t="s">
        <v>1262</v>
      </c>
      <c r="D647" t="s">
        <v>1262</v>
      </c>
      <c r="E647" t="s">
        <v>1262</v>
      </c>
      <c r="F647" t="s">
        <v>1262</v>
      </c>
      <c r="G647" s="6">
        <v>632.5</v>
      </c>
      <c r="H647" s="6"/>
      <c r="I647" s="6">
        <f t="shared" si="50"/>
        <v>297.275</v>
      </c>
      <c r="J647" s="6">
        <f t="shared" si="51"/>
        <v>316.25</v>
      </c>
      <c r="K647" s="6">
        <f t="shared" si="52"/>
        <v>347.875</v>
      </c>
      <c r="L647" s="6">
        <f t="shared" si="53"/>
        <v>442.75</v>
      </c>
      <c r="M647" s="6">
        <f t="shared" si="54"/>
        <v>537.625</v>
      </c>
    </row>
    <row r="648" spans="1:13">
      <c r="A648" t="s">
        <v>13</v>
      </c>
      <c r="B648" t="s">
        <v>1265</v>
      </c>
      <c r="C648" t="s">
        <v>1266</v>
      </c>
      <c r="D648" t="s">
        <v>1266</v>
      </c>
      <c r="E648" t="s">
        <v>1266</v>
      </c>
      <c r="F648" t="s">
        <v>1266</v>
      </c>
      <c r="G648" s="6">
        <v>1007.35</v>
      </c>
      <c r="H648" s="6"/>
      <c r="I648" s="6">
        <f t="shared" si="50"/>
        <v>473.4545</v>
      </c>
      <c r="J648" s="6">
        <f t="shared" si="51"/>
        <v>503.675</v>
      </c>
      <c r="K648" s="6">
        <f t="shared" si="52"/>
        <v>554.0425</v>
      </c>
      <c r="L648" s="6">
        <f t="shared" si="53"/>
        <v>705.145</v>
      </c>
      <c r="M648" s="6">
        <f t="shared" si="54"/>
        <v>856.2475</v>
      </c>
    </row>
    <row r="649" spans="1:13">
      <c r="A649" t="s">
        <v>13</v>
      </c>
      <c r="B649" t="s">
        <v>1267</v>
      </c>
      <c r="C649" t="s">
        <v>1268</v>
      </c>
      <c r="D649" t="s">
        <v>1268</v>
      </c>
      <c r="E649" t="s">
        <v>1268</v>
      </c>
      <c r="F649" t="s">
        <v>1268</v>
      </c>
      <c r="G649" s="6">
        <v>1554.38</v>
      </c>
      <c r="H649" s="6"/>
      <c r="I649" s="6">
        <f t="shared" si="50"/>
        <v>730.5586</v>
      </c>
      <c r="J649" s="6">
        <f t="shared" si="51"/>
        <v>777.19</v>
      </c>
      <c r="K649" s="6">
        <f t="shared" si="52"/>
        <v>854.909</v>
      </c>
      <c r="L649" s="6">
        <f t="shared" si="53"/>
        <v>1088.066</v>
      </c>
      <c r="M649" s="6">
        <f t="shared" si="54"/>
        <v>1321.223</v>
      </c>
    </row>
    <row r="650" spans="1:13">
      <c r="A650" t="s">
        <v>13</v>
      </c>
      <c r="B650" t="s">
        <v>1269</v>
      </c>
      <c r="C650" t="s">
        <v>1266</v>
      </c>
      <c r="D650" t="s">
        <v>1266</v>
      </c>
      <c r="E650" t="s">
        <v>1266</v>
      </c>
      <c r="F650" t="s">
        <v>1266</v>
      </c>
      <c r="G650" s="6">
        <v>1315.8</v>
      </c>
      <c r="H650" s="6"/>
      <c r="I650" s="6">
        <f t="shared" si="50"/>
        <v>618.426</v>
      </c>
      <c r="J650" s="6">
        <f t="shared" si="51"/>
        <v>657.9</v>
      </c>
      <c r="K650" s="6">
        <f t="shared" si="52"/>
        <v>723.69</v>
      </c>
      <c r="L650" s="6">
        <f t="shared" si="53"/>
        <v>921.06</v>
      </c>
      <c r="M650" s="6">
        <f t="shared" si="54"/>
        <v>1118.43</v>
      </c>
    </row>
    <row r="651" spans="1:13">
      <c r="A651" t="s">
        <v>13</v>
      </c>
      <c r="B651" t="s">
        <v>1270</v>
      </c>
      <c r="C651" t="s">
        <v>1271</v>
      </c>
      <c r="D651" t="s">
        <v>1271</v>
      </c>
      <c r="E651" t="s">
        <v>1271</v>
      </c>
      <c r="F651" t="s">
        <v>1271</v>
      </c>
      <c r="G651" s="6">
        <v>1977.37</v>
      </c>
      <c r="H651" s="6"/>
      <c r="I651" s="6">
        <f t="shared" si="50"/>
        <v>929.3639</v>
      </c>
      <c r="J651" s="6">
        <f t="shared" si="51"/>
        <v>988.685</v>
      </c>
      <c r="K651" s="6">
        <f t="shared" si="52"/>
        <v>1087.5535</v>
      </c>
      <c r="L651" s="6">
        <f t="shared" si="53"/>
        <v>1384.159</v>
      </c>
      <c r="M651" s="6">
        <f t="shared" si="54"/>
        <v>1680.7645</v>
      </c>
    </row>
    <row r="652" spans="1:13">
      <c r="A652" t="s">
        <v>13</v>
      </c>
      <c r="B652" t="s">
        <v>1272</v>
      </c>
      <c r="C652" t="s">
        <v>1266</v>
      </c>
      <c r="D652" t="s">
        <v>1266</v>
      </c>
      <c r="E652" t="s">
        <v>1266</v>
      </c>
      <c r="F652" t="s">
        <v>1266</v>
      </c>
      <c r="G652" s="6">
        <v>1733.18</v>
      </c>
      <c r="H652" s="6"/>
      <c r="I652" s="6">
        <f t="shared" si="50"/>
        <v>814.5946</v>
      </c>
      <c r="J652" s="6">
        <f t="shared" si="51"/>
        <v>866.59</v>
      </c>
      <c r="K652" s="6">
        <f t="shared" si="52"/>
        <v>953.249</v>
      </c>
      <c r="L652" s="6">
        <f t="shared" si="53"/>
        <v>1213.226</v>
      </c>
      <c r="M652" s="6">
        <f t="shared" si="54"/>
        <v>1473.203</v>
      </c>
    </row>
    <row r="653" spans="1:13">
      <c r="A653" t="s">
        <v>13</v>
      </c>
      <c r="B653" t="s">
        <v>1273</v>
      </c>
      <c r="C653" t="s">
        <v>1274</v>
      </c>
      <c r="D653" t="s">
        <v>1274</v>
      </c>
      <c r="E653" t="s">
        <v>1274</v>
      </c>
      <c r="F653" t="s">
        <v>1274</v>
      </c>
      <c r="G653" s="6">
        <v>2390.47</v>
      </c>
      <c r="H653" s="6"/>
      <c r="I653" s="6">
        <f t="shared" si="50"/>
        <v>1123.5209</v>
      </c>
      <c r="J653" s="6">
        <f t="shared" si="51"/>
        <v>1195.235</v>
      </c>
      <c r="K653" s="6">
        <f t="shared" si="52"/>
        <v>1314.7585</v>
      </c>
      <c r="L653" s="6">
        <f t="shared" si="53"/>
        <v>1673.329</v>
      </c>
      <c r="M653" s="6">
        <f t="shared" si="54"/>
        <v>2031.8995</v>
      </c>
    </row>
    <row r="654" spans="1:13">
      <c r="A654" t="s">
        <v>13</v>
      </c>
      <c r="B654" t="s">
        <v>1275</v>
      </c>
      <c r="C654" t="s">
        <v>1276</v>
      </c>
      <c r="D654" t="s">
        <v>1276</v>
      </c>
      <c r="E654" t="s">
        <v>1276</v>
      </c>
      <c r="F654" t="s">
        <v>1276</v>
      </c>
      <c r="G654" s="6">
        <v>194.21</v>
      </c>
      <c r="H654" s="6"/>
      <c r="I654" s="6">
        <f t="shared" si="50"/>
        <v>91.2787</v>
      </c>
      <c r="J654" s="6">
        <f t="shared" si="51"/>
        <v>97.105</v>
      </c>
      <c r="K654" s="6">
        <f t="shared" si="52"/>
        <v>106.8155</v>
      </c>
      <c r="L654" s="6">
        <f t="shared" si="53"/>
        <v>135.947</v>
      </c>
      <c r="M654" s="6">
        <f t="shared" si="54"/>
        <v>165.0785</v>
      </c>
    </row>
    <row r="655" spans="1:13">
      <c r="A655" t="s">
        <v>13</v>
      </c>
      <c r="B655" t="s">
        <v>1277</v>
      </c>
      <c r="C655" t="s">
        <v>1278</v>
      </c>
      <c r="D655" t="s">
        <v>1278</v>
      </c>
      <c r="E655" t="s">
        <v>1278</v>
      </c>
      <c r="F655" t="s">
        <v>1278</v>
      </c>
      <c r="G655" s="6">
        <v>163.57</v>
      </c>
      <c r="H655" s="6"/>
      <c r="I655" s="6">
        <f t="shared" si="50"/>
        <v>76.8779</v>
      </c>
      <c r="J655" s="6">
        <f t="shared" si="51"/>
        <v>81.785</v>
      </c>
      <c r="K655" s="6">
        <f t="shared" si="52"/>
        <v>89.9635</v>
      </c>
      <c r="L655" s="6">
        <f t="shared" si="53"/>
        <v>114.499</v>
      </c>
      <c r="M655" s="6">
        <f t="shared" si="54"/>
        <v>139.0345</v>
      </c>
    </row>
    <row r="656" spans="1:13">
      <c r="A656" t="s">
        <v>13</v>
      </c>
      <c r="B656" t="s">
        <v>1279</v>
      </c>
      <c r="C656" t="s">
        <v>1280</v>
      </c>
      <c r="D656" t="s">
        <v>1280</v>
      </c>
      <c r="E656" t="s">
        <v>1280</v>
      </c>
      <c r="F656" t="s">
        <v>1280</v>
      </c>
      <c r="G656" s="6">
        <v>524.59</v>
      </c>
      <c r="H656" s="6"/>
      <c r="I656" s="6">
        <f t="shared" si="50"/>
        <v>246.5573</v>
      </c>
      <c r="J656" s="6">
        <f t="shared" si="51"/>
        <v>262.295</v>
      </c>
      <c r="K656" s="6">
        <f t="shared" si="52"/>
        <v>288.5245</v>
      </c>
      <c r="L656" s="6">
        <f t="shared" si="53"/>
        <v>367.213</v>
      </c>
      <c r="M656" s="6">
        <f t="shared" si="54"/>
        <v>445.9015</v>
      </c>
    </row>
    <row r="657" spans="1:13">
      <c r="A657" t="s">
        <v>13</v>
      </c>
      <c r="B657" t="s">
        <v>1281</v>
      </c>
      <c r="C657" t="s">
        <v>1282</v>
      </c>
      <c r="D657" t="s">
        <v>1282</v>
      </c>
      <c r="E657" t="s">
        <v>1282</v>
      </c>
      <c r="F657" t="s">
        <v>1282</v>
      </c>
      <c r="G657" s="6">
        <v>345.47</v>
      </c>
      <c r="H657" s="6"/>
      <c r="I657" s="6">
        <f t="shared" si="50"/>
        <v>162.3709</v>
      </c>
      <c r="J657" s="6">
        <f t="shared" si="51"/>
        <v>172.735</v>
      </c>
      <c r="K657" s="6">
        <f t="shared" si="52"/>
        <v>190.0085</v>
      </c>
      <c r="L657" s="6">
        <f t="shared" si="53"/>
        <v>241.829</v>
      </c>
      <c r="M657" s="6">
        <f t="shared" si="54"/>
        <v>293.6495</v>
      </c>
    </row>
    <row r="658" spans="1:13">
      <c r="A658" t="s">
        <v>13</v>
      </c>
      <c r="B658" t="s">
        <v>1283</v>
      </c>
      <c r="C658" t="s">
        <v>1284</v>
      </c>
      <c r="D658" t="s">
        <v>1284</v>
      </c>
      <c r="E658" t="s">
        <v>1284</v>
      </c>
      <c r="F658" t="s">
        <v>1284</v>
      </c>
      <c r="G658" s="6">
        <v>807.74</v>
      </c>
      <c r="H658" s="6"/>
      <c r="I658" s="6">
        <f t="shared" si="50"/>
        <v>379.6378</v>
      </c>
      <c r="J658" s="6">
        <f t="shared" si="51"/>
        <v>403.87</v>
      </c>
      <c r="K658" s="6">
        <f t="shared" si="52"/>
        <v>444.257</v>
      </c>
      <c r="L658" s="6">
        <f t="shared" si="53"/>
        <v>565.418</v>
      </c>
      <c r="M658" s="6">
        <f t="shared" si="54"/>
        <v>686.579</v>
      </c>
    </row>
    <row r="659" spans="1:13">
      <c r="A659" t="s">
        <v>13</v>
      </c>
      <c r="B659" t="s">
        <v>1285</v>
      </c>
      <c r="C659" t="s">
        <v>1286</v>
      </c>
      <c r="D659" t="s">
        <v>1286</v>
      </c>
      <c r="E659" t="s">
        <v>1286</v>
      </c>
      <c r="F659" t="s">
        <v>1286</v>
      </c>
      <c r="G659" s="6">
        <v>299.57</v>
      </c>
      <c r="H659" s="6"/>
      <c r="I659" s="6">
        <f t="shared" si="50"/>
        <v>140.7979</v>
      </c>
      <c r="J659" s="6">
        <f t="shared" si="51"/>
        <v>149.785</v>
      </c>
      <c r="K659" s="6">
        <f t="shared" si="52"/>
        <v>164.7635</v>
      </c>
      <c r="L659" s="6">
        <f t="shared" si="53"/>
        <v>209.699</v>
      </c>
      <c r="M659" s="6">
        <f t="shared" si="54"/>
        <v>254.6345</v>
      </c>
    </row>
    <row r="660" spans="1:13">
      <c r="A660" t="s">
        <v>13</v>
      </c>
      <c r="B660" t="s">
        <v>1287</v>
      </c>
      <c r="C660" t="s">
        <v>1288</v>
      </c>
      <c r="D660" t="s">
        <v>1288</v>
      </c>
      <c r="E660" t="s">
        <v>1288</v>
      </c>
      <c r="F660" t="s">
        <v>1288</v>
      </c>
      <c r="G660" s="6">
        <v>309.98</v>
      </c>
      <c r="H660" s="6"/>
      <c r="I660" s="6">
        <f t="shared" si="50"/>
        <v>145.6906</v>
      </c>
      <c r="J660" s="6">
        <f t="shared" si="51"/>
        <v>154.99</v>
      </c>
      <c r="K660" s="6">
        <f t="shared" si="52"/>
        <v>170.489</v>
      </c>
      <c r="L660" s="6">
        <f t="shared" si="53"/>
        <v>216.986</v>
      </c>
      <c r="M660" s="6">
        <f t="shared" si="54"/>
        <v>263.483</v>
      </c>
    </row>
    <row r="661" spans="1:13">
      <c r="A661" t="s">
        <v>13</v>
      </c>
      <c r="B661" t="s">
        <v>1289</v>
      </c>
      <c r="C661" t="s">
        <v>1290</v>
      </c>
      <c r="D661" t="s">
        <v>1290</v>
      </c>
      <c r="E661" t="s">
        <v>1290</v>
      </c>
      <c r="F661" t="s">
        <v>1290</v>
      </c>
      <c r="G661" s="6">
        <v>457.57</v>
      </c>
      <c r="H661" s="6"/>
      <c r="I661" s="6">
        <f t="shared" si="50"/>
        <v>215.0579</v>
      </c>
      <c r="J661" s="6">
        <f t="shared" si="51"/>
        <v>228.785</v>
      </c>
      <c r="K661" s="6">
        <f t="shared" si="52"/>
        <v>251.6635</v>
      </c>
      <c r="L661" s="6">
        <f t="shared" si="53"/>
        <v>320.299</v>
      </c>
      <c r="M661" s="6">
        <f t="shared" si="54"/>
        <v>388.9345</v>
      </c>
    </row>
    <row r="662" spans="1:13">
      <c r="A662" t="s">
        <v>13</v>
      </c>
      <c r="B662" s="9" t="s">
        <v>1291</v>
      </c>
      <c r="C662" t="s">
        <v>1292</v>
      </c>
      <c r="D662" t="s">
        <v>1292</v>
      </c>
      <c r="E662" t="s">
        <v>1292</v>
      </c>
      <c r="F662" t="s">
        <v>1292</v>
      </c>
      <c r="G662" s="6">
        <v>607.9</v>
      </c>
      <c r="H662" s="6"/>
      <c r="I662" s="6">
        <f t="shared" si="50"/>
        <v>285.713</v>
      </c>
      <c r="J662" s="6">
        <f t="shared" si="51"/>
        <v>303.95</v>
      </c>
      <c r="K662" s="6">
        <f t="shared" si="52"/>
        <v>334.345</v>
      </c>
      <c r="L662" s="6">
        <f t="shared" si="53"/>
        <v>425.53</v>
      </c>
      <c r="M662" s="6">
        <f t="shared" si="54"/>
        <v>516.715</v>
      </c>
    </row>
    <row r="663" spans="1:13">
      <c r="A663" t="s">
        <v>13</v>
      </c>
      <c r="B663" s="9" t="s">
        <v>1293</v>
      </c>
      <c r="C663" t="s">
        <v>1292</v>
      </c>
      <c r="D663" t="s">
        <v>1292</v>
      </c>
      <c r="E663" t="s">
        <v>1292</v>
      </c>
      <c r="F663" t="s">
        <v>1292</v>
      </c>
      <c r="G663" s="6">
        <v>607.9</v>
      </c>
      <c r="H663" s="6"/>
      <c r="I663" s="6">
        <f t="shared" si="50"/>
        <v>285.713</v>
      </c>
      <c r="J663" s="6">
        <f t="shared" si="51"/>
        <v>303.95</v>
      </c>
      <c r="K663" s="6">
        <f t="shared" si="52"/>
        <v>334.345</v>
      </c>
      <c r="L663" s="6">
        <f t="shared" si="53"/>
        <v>425.53</v>
      </c>
      <c r="M663" s="6">
        <f t="shared" si="54"/>
        <v>516.715</v>
      </c>
    </row>
    <row r="664" spans="1:13">
      <c r="A664" t="s">
        <v>13</v>
      </c>
      <c r="B664" t="s">
        <v>1294</v>
      </c>
      <c r="C664" t="s">
        <v>1295</v>
      </c>
      <c r="D664" t="s">
        <v>1295</v>
      </c>
      <c r="E664" t="s">
        <v>1295</v>
      </c>
      <c r="F664" t="s">
        <v>1295</v>
      </c>
      <c r="G664" s="6">
        <v>629.1</v>
      </c>
      <c r="H664" s="6"/>
      <c r="I664" s="6">
        <f t="shared" si="50"/>
        <v>295.677</v>
      </c>
      <c r="J664" s="6">
        <f t="shared" si="51"/>
        <v>314.55</v>
      </c>
      <c r="K664" s="6">
        <f t="shared" si="52"/>
        <v>346.005</v>
      </c>
      <c r="L664" s="6">
        <f t="shared" si="53"/>
        <v>440.37</v>
      </c>
      <c r="M664" s="6">
        <f t="shared" si="54"/>
        <v>534.735</v>
      </c>
    </row>
    <row r="665" spans="1:13">
      <c r="A665" t="s">
        <v>13</v>
      </c>
      <c r="B665" t="s">
        <v>1296</v>
      </c>
      <c r="C665" t="s">
        <v>1297</v>
      </c>
      <c r="D665" t="s">
        <v>1297</v>
      </c>
      <c r="E665" t="s">
        <v>1297</v>
      </c>
      <c r="F665" t="s">
        <v>1297</v>
      </c>
      <c r="G665" s="6">
        <v>263.16</v>
      </c>
      <c r="H665" s="6"/>
      <c r="I665" s="6">
        <f t="shared" si="50"/>
        <v>123.6852</v>
      </c>
      <c r="J665" s="6">
        <f t="shared" si="51"/>
        <v>131.58</v>
      </c>
      <c r="K665" s="6">
        <f t="shared" si="52"/>
        <v>144.738</v>
      </c>
      <c r="L665" s="6">
        <f t="shared" si="53"/>
        <v>184.212</v>
      </c>
      <c r="M665" s="6">
        <f t="shared" si="54"/>
        <v>223.686</v>
      </c>
    </row>
    <row r="666" spans="1:13">
      <c r="A666" t="s">
        <v>13</v>
      </c>
      <c r="B666" t="s">
        <v>1298</v>
      </c>
      <c r="C666" t="s">
        <v>1299</v>
      </c>
      <c r="D666" t="s">
        <v>1299</v>
      </c>
      <c r="E666" t="s">
        <v>1299</v>
      </c>
      <c r="F666" t="s">
        <v>1299</v>
      </c>
      <c r="G666" s="6">
        <v>353.12</v>
      </c>
      <c r="H666" s="6"/>
      <c r="I666" s="6">
        <f t="shared" si="50"/>
        <v>165.9664</v>
      </c>
      <c r="J666" s="6">
        <f t="shared" si="51"/>
        <v>176.56</v>
      </c>
      <c r="K666" s="6">
        <f t="shared" si="52"/>
        <v>194.216</v>
      </c>
      <c r="L666" s="6">
        <f t="shared" si="53"/>
        <v>247.184</v>
      </c>
      <c r="M666" s="6">
        <f t="shared" si="54"/>
        <v>300.152</v>
      </c>
    </row>
    <row r="667" spans="1:13">
      <c r="A667" t="s">
        <v>13</v>
      </c>
      <c r="B667" t="s">
        <v>1300</v>
      </c>
      <c r="C667" t="s">
        <v>1301</v>
      </c>
      <c r="D667" t="s">
        <v>1301</v>
      </c>
      <c r="E667" t="s">
        <v>1301</v>
      </c>
      <c r="F667" t="s">
        <v>1301</v>
      </c>
      <c r="G667" s="6">
        <v>510.71</v>
      </c>
      <c r="H667" s="6"/>
      <c r="I667" s="6">
        <f t="shared" si="50"/>
        <v>240.0337</v>
      </c>
      <c r="J667" s="6">
        <f t="shared" si="51"/>
        <v>255.355</v>
      </c>
      <c r="K667" s="6">
        <f t="shared" si="52"/>
        <v>280.8905</v>
      </c>
      <c r="L667" s="6">
        <f t="shared" si="53"/>
        <v>357.497</v>
      </c>
      <c r="M667" s="6">
        <f t="shared" si="54"/>
        <v>434.1035</v>
      </c>
    </row>
    <row r="668" spans="1:13">
      <c r="A668" t="s">
        <v>13</v>
      </c>
      <c r="B668" t="s">
        <v>1302</v>
      </c>
      <c r="C668" t="s">
        <v>1303</v>
      </c>
      <c r="D668" t="s">
        <v>1303</v>
      </c>
      <c r="E668" t="s">
        <v>1303</v>
      </c>
      <c r="F668" t="s">
        <v>1303</v>
      </c>
      <c r="G668" s="6">
        <v>846.6</v>
      </c>
      <c r="H668" s="6"/>
      <c r="I668" s="6">
        <f t="shared" si="50"/>
        <v>397.902</v>
      </c>
      <c r="J668" s="6">
        <f t="shared" si="51"/>
        <v>423.3</v>
      </c>
      <c r="K668" s="6">
        <f t="shared" si="52"/>
        <v>465.63</v>
      </c>
      <c r="L668" s="6">
        <f t="shared" si="53"/>
        <v>592.62</v>
      </c>
      <c r="M668" s="6">
        <f t="shared" si="54"/>
        <v>719.61</v>
      </c>
    </row>
    <row r="669" spans="1:13">
      <c r="A669" t="s">
        <v>13</v>
      </c>
      <c r="B669" t="s">
        <v>1304</v>
      </c>
      <c r="C669" t="s">
        <v>1305</v>
      </c>
      <c r="D669" t="s">
        <v>1305</v>
      </c>
      <c r="E669" t="s">
        <v>1305</v>
      </c>
      <c r="F669" t="s">
        <v>1305</v>
      </c>
      <c r="G669" s="6">
        <v>79.15</v>
      </c>
      <c r="H669" s="6"/>
      <c r="I669" s="6">
        <f t="shared" si="50"/>
        <v>37.2005</v>
      </c>
      <c r="J669" s="6">
        <f t="shared" si="51"/>
        <v>39.575</v>
      </c>
      <c r="K669" s="6">
        <f t="shared" si="52"/>
        <v>43.5325</v>
      </c>
      <c r="L669" s="6">
        <f t="shared" si="53"/>
        <v>55.405</v>
      </c>
      <c r="M669" s="6">
        <f t="shared" si="54"/>
        <v>67.2775</v>
      </c>
    </row>
    <row r="670" spans="1:13">
      <c r="A670" t="s">
        <v>13</v>
      </c>
      <c r="B670" t="s">
        <v>1306</v>
      </c>
      <c r="C670" t="s">
        <v>1307</v>
      </c>
      <c r="D670" t="s">
        <v>1307</v>
      </c>
      <c r="E670" t="s">
        <v>1307</v>
      </c>
      <c r="F670" t="s">
        <v>1307</v>
      </c>
      <c r="G670" s="6">
        <v>115.46</v>
      </c>
      <c r="H670" s="6"/>
      <c r="I670" s="6">
        <f t="shared" si="50"/>
        <v>54.2662</v>
      </c>
      <c r="J670" s="6">
        <f t="shared" si="51"/>
        <v>57.73</v>
      </c>
      <c r="K670" s="6">
        <f t="shared" si="52"/>
        <v>63.503</v>
      </c>
      <c r="L670" s="6">
        <f t="shared" si="53"/>
        <v>80.822</v>
      </c>
      <c r="M670" s="6">
        <f t="shared" si="54"/>
        <v>98.141</v>
      </c>
    </row>
    <row r="671" spans="1:13">
      <c r="A671" t="s">
        <v>13</v>
      </c>
      <c r="B671" t="s">
        <v>1308</v>
      </c>
      <c r="C671" t="s">
        <v>1309</v>
      </c>
      <c r="D671" t="s">
        <v>1309</v>
      </c>
      <c r="E671" t="s">
        <v>1309</v>
      </c>
      <c r="F671" t="s">
        <v>1309</v>
      </c>
      <c r="G671" s="6">
        <v>115.46</v>
      </c>
      <c r="H671" s="6"/>
      <c r="I671" s="6">
        <f t="shared" si="50"/>
        <v>54.2662</v>
      </c>
      <c r="J671" s="6">
        <f t="shared" si="51"/>
        <v>57.73</v>
      </c>
      <c r="K671" s="6">
        <f t="shared" si="52"/>
        <v>63.503</v>
      </c>
      <c r="L671" s="6">
        <f t="shared" si="53"/>
        <v>80.822</v>
      </c>
      <c r="M671" s="6">
        <f t="shared" si="54"/>
        <v>98.141</v>
      </c>
    </row>
    <row r="672" spans="1:13">
      <c r="A672" t="s">
        <v>13</v>
      </c>
      <c r="B672" t="s">
        <v>1310</v>
      </c>
      <c r="C672" t="s">
        <v>1311</v>
      </c>
      <c r="D672" t="s">
        <v>1311</v>
      </c>
      <c r="E672" t="s">
        <v>1311</v>
      </c>
      <c r="F672" t="s">
        <v>1311</v>
      </c>
      <c r="G672" s="6">
        <v>170.34</v>
      </c>
      <c r="H672" s="6"/>
      <c r="I672" s="6">
        <f t="shared" si="50"/>
        <v>80.0598</v>
      </c>
      <c r="J672" s="6">
        <f t="shared" si="51"/>
        <v>85.17</v>
      </c>
      <c r="K672" s="6">
        <f t="shared" si="52"/>
        <v>93.687</v>
      </c>
      <c r="L672" s="6">
        <f t="shared" si="53"/>
        <v>119.238</v>
      </c>
      <c r="M672" s="6">
        <f t="shared" si="54"/>
        <v>144.789</v>
      </c>
    </row>
    <row r="673" spans="1:13">
      <c r="A673" t="s">
        <v>13</v>
      </c>
      <c r="B673" t="s">
        <v>1312</v>
      </c>
      <c r="C673" t="s">
        <v>1313</v>
      </c>
      <c r="D673" t="s">
        <v>1313</v>
      </c>
      <c r="E673" t="s">
        <v>1313</v>
      </c>
      <c r="F673" t="s">
        <v>1313</v>
      </c>
      <c r="G673" s="6">
        <v>188.6</v>
      </c>
      <c r="H673" s="6"/>
      <c r="I673" s="6">
        <f t="shared" si="50"/>
        <v>88.642</v>
      </c>
      <c r="J673" s="6">
        <f t="shared" si="51"/>
        <v>94.3</v>
      </c>
      <c r="K673" s="6">
        <f t="shared" si="52"/>
        <v>103.73</v>
      </c>
      <c r="L673" s="6">
        <f t="shared" si="53"/>
        <v>132.02</v>
      </c>
      <c r="M673" s="6">
        <f t="shared" si="54"/>
        <v>160.31</v>
      </c>
    </row>
    <row r="674" spans="1:13">
      <c r="A674" t="s">
        <v>13</v>
      </c>
      <c r="B674" t="s">
        <v>1314</v>
      </c>
      <c r="C674" t="s">
        <v>1315</v>
      </c>
      <c r="D674" t="s">
        <v>1315</v>
      </c>
      <c r="E674" t="s">
        <v>1315</v>
      </c>
      <c r="F674" t="s">
        <v>1315</v>
      </c>
      <c r="G674" s="6">
        <v>248.17</v>
      </c>
      <c r="H674" s="6"/>
      <c r="I674" s="6">
        <f t="shared" si="50"/>
        <v>116.6399</v>
      </c>
      <c r="J674" s="6">
        <f t="shared" si="51"/>
        <v>124.085</v>
      </c>
      <c r="K674" s="6">
        <f t="shared" si="52"/>
        <v>136.4935</v>
      </c>
      <c r="L674" s="6">
        <f t="shared" si="53"/>
        <v>173.719</v>
      </c>
      <c r="M674" s="6">
        <f t="shared" si="54"/>
        <v>210.9445</v>
      </c>
    </row>
    <row r="675" spans="1:13">
      <c r="A675" t="s">
        <v>13</v>
      </c>
      <c r="B675" t="s">
        <v>1316</v>
      </c>
      <c r="C675" t="s">
        <v>1317</v>
      </c>
      <c r="D675" t="s">
        <v>1317</v>
      </c>
      <c r="E675" t="s">
        <v>1317</v>
      </c>
      <c r="F675" t="s">
        <v>1317</v>
      </c>
      <c r="G675" s="6">
        <v>5.41</v>
      </c>
      <c r="H675" s="6"/>
      <c r="I675" s="6">
        <f t="shared" si="50"/>
        <v>2.5427</v>
      </c>
      <c r="J675" s="6">
        <f t="shared" si="51"/>
        <v>2.705</v>
      </c>
      <c r="K675" s="6">
        <f t="shared" si="52"/>
        <v>2.9755</v>
      </c>
      <c r="L675" s="6">
        <f t="shared" si="53"/>
        <v>3.787</v>
      </c>
      <c r="M675" s="6">
        <f t="shared" si="54"/>
        <v>4.5985</v>
      </c>
    </row>
    <row r="676" spans="1:13">
      <c r="A676" t="s">
        <v>13</v>
      </c>
      <c r="B676" t="s">
        <v>1318</v>
      </c>
      <c r="C676" t="s">
        <v>1319</v>
      </c>
      <c r="D676" t="s">
        <v>1319</v>
      </c>
      <c r="E676" t="s">
        <v>1319</v>
      </c>
      <c r="F676" t="s">
        <v>1319</v>
      </c>
      <c r="G676" s="6">
        <v>5.41</v>
      </c>
      <c r="H676" s="6"/>
      <c r="I676" s="6">
        <f t="shared" si="50"/>
        <v>2.5427</v>
      </c>
      <c r="J676" s="6">
        <f t="shared" si="51"/>
        <v>2.705</v>
      </c>
      <c r="K676" s="6">
        <f t="shared" si="52"/>
        <v>2.9755</v>
      </c>
      <c r="L676" s="6">
        <f t="shared" si="53"/>
        <v>3.787</v>
      </c>
      <c r="M676" s="6">
        <f t="shared" si="54"/>
        <v>4.5985</v>
      </c>
    </row>
    <row r="677" spans="1:13">
      <c r="A677" t="s">
        <v>13</v>
      </c>
      <c r="B677" t="s">
        <v>1320</v>
      </c>
      <c r="C677" t="s">
        <v>1321</v>
      </c>
      <c r="D677" t="s">
        <v>1321</v>
      </c>
      <c r="E677" t="s">
        <v>1321</v>
      </c>
      <c r="F677" t="s">
        <v>1321</v>
      </c>
      <c r="G677" s="6">
        <v>23.15</v>
      </c>
      <c r="H677" s="6"/>
      <c r="I677" s="6">
        <f t="shared" si="50"/>
        <v>10.8805</v>
      </c>
      <c r="J677" s="6">
        <f t="shared" si="51"/>
        <v>11.575</v>
      </c>
      <c r="K677" s="6">
        <f t="shared" si="52"/>
        <v>12.7325</v>
      </c>
      <c r="L677" s="6">
        <f t="shared" si="53"/>
        <v>16.205</v>
      </c>
      <c r="M677" s="6">
        <f t="shared" si="54"/>
        <v>19.6775</v>
      </c>
    </row>
    <row r="678" spans="1:13">
      <c r="A678" t="s">
        <v>13</v>
      </c>
      <c r="B678" t="s">
        <v>1322</v>
      </c>
      <c r="C678" t="s">
        <v>1323</v>
      </c>
      <c r="D678" t="s">
        <v>1323</v>
      </c>
      <c r="E678" t="s">
        <v>1323</v>
      </c>
      <c r="F678" t="s">
        <v>1323</v>
      </c>
      <c r="G678" s="6">
        <v>23.15</v>
      </c>
      <c r="H678" s="6"/>
      <c r="I678" s="6">
        <f t="shared" si="50"/>
        <v>10.8805</v>
      </c>
      <c r="J678" s="6">
        <f t="shared" si="51"/>
        <v>11.575</v>
      </c>
      <c r="K678" s="6">
        <f t="shared" si="52"/>
        <v>12.7325</v>
      </c>
      <c r="L678" s="6">
        <f t="shared" si="53"/>
        <v>16.205</v>
      </c>
      <c r="M678" s="6">
        <f t="shared" si="54"/>
        <v>19.6775</v>
      </c>
    </row>
    <row r="679" spans="1:13">
      <c r="A679" t="s">
        <v>13</v>
      </c>
      <c r="B679" s="8">
        <v>691.341</v>
      </c>
      <c r="C679" t="s">
        <v>1324</v>
      </c>
      <c r="D679" t="s">
        <v>1324</v>
      </c>
      <c r="E679" t="s">
        <v>1324</v>
      </c>
      <c r="F679" t="s">
        <v>1324</v>
      </c>
      <c r="G679" s="6">
        <v>6.73</v>
      </c>
      <c r="H679" s="6"/>
      <c r="I679" s="6">
        <f t="shared" si="50"/>
        <v>3.1631</v>
      </c>
      <c r="J679" s="6">
        <f t="shared" si="51"/>
        <v>3.365</v>
      </c>
      <c r="K679" s="6">
        <f t="shared" si="52"/>
        <v>3.7015</v>
      </c>
      <c r="L679" s="6">
        <f t="shared" si="53"/>
        <v>4.711</v>
      </c>
      <c r="M679" s="6">
        <f t="shared" si="54"/>
        <v>5.7205</v>
      </c>
    </row>
    <row r="680" spans="1:13">
      <c r="A680" t="s">
        <v>13</v>
      </c>
      <c r="B680" t="s">
        <v>1325</v>
      </c>
      <c r="C680" t="s">
        <v>1326</v>
      </c>
      <c r="D680" t="s">
        <v>1326</v>
      </c>
      <c r="E680" t="s">
        <v>1326</v>
      </c>
      <c r="F680" t="s">
        <v>1326</v>
      </c>
      <c r="G680" s="6">
        <v>29.58</v>
      </c>
      <c r="H680" s="6"/>
      <c r="I680" s="6">
        <f t="shared" si="50"/>
        <v>13.9026</v>
      </c>
      <c r="J680" s="6">
        <f t="shared" si="51"/>
        <v>14.79</v>
      </c>
      <c r="K680" s="6">
        <f t="shared" si="52"/>
        <v>16.269</v>
      </c>
      <c r="L680" s="6">
        <f t="shared" si="53"/>
        <v>20.706</v>
      </c>
      <c r="M680" s="6">
        <f t="shared" si="54"/>
        <v>25.143</v>
      </c>
    </row>
    <row r="681" spans="1:13">
      <c r="A681" t="s">
        <v>13</v>
      </c>
      <c r="B681" t="s">
        <v>1327</v>
      </c>
      <c r="C681" t="s">
        <v>1328</v>
      </c>
      <c r="D681" t="s">
        <v>1328</v>
      </c>
      <c r="E681" t="s">
        <v>1328</v>
      </c>
      <c r="F681" t="s">
        <v>1328</v>
      </c>
      <c r="G681" s="6">
        <v>29.58</v>
      </c>
      <c r="H681" s="6"/>
      <c r="I681" s="6">
        <f t="shared" si="50"/>
        <v>13.9026</v>
      </c>
      <c r="J681" s="6">
        <f t="shared" si="51"/>
        <v>14.79</v>
      </c>
      <c r="K681" s="6">
        <f t="shared" si="52"/>
        <v>16.269</v>
      </c>
      <c r="L681" s="6">
        <f t="shared" si="53"/>
        <v>20.706</v>
      </c>
      <c r="M681" s="6">
        <f t="shared" si="54"/>
        <v>25.143</v>
      </c>
    </row>
    <row r="682" spans="1:13">
      <c r="A682" t="s">
        <v>13</v>
      </c>
      <c r="B682" t="s">
        <v>1329</v>
      </c>
      <c r="C682" t="s">
        <v>1330</v>
      </c>
      <c r="D682" t="s">
        <v>1330</v>
      </c>
      <c r="E682" t="s">
        <v>1330</v>
      </c>
      <c r="F682" t="s">
        <v>1330</v>
      </c>
      <c r="G682" s="6">
        <v>64.57</v>
      </c>
      <c r="H682" s="6"/>
      <c r="I682" s="6">
        <f t="shared" si="50"/>
        <v>30.3479</v>
      </c>
      <c r="J682" s="6">
        <f t="shared" si="51"/>
        <v>32.285</v>
      </c>
      <c r="K682" s="6">
        <f t="shared" si="52"/>
        <v>35.5135</v>
      </c>
      <c r="L682" s="6">
        <f t="shared" si="53"/>
        <v>45.199</v>
      </c>
      <c r="M682" s="6">
        <f t="shared" si="54"/>
        <v>54.8845</v>
      </c>
    </row>
    <row r="683" spans="1:13">
      <c r="A683" t="s">
        <v>13</v>
      </c>
      <c r="B683" t="s">
        <v>1331</v>
      </c>
      <c r="C683" t="s">
        <v>1332</v>
      </c>
      <c r="D683" t="s">
        <v>1332</v>
      </c>
      <c r="E683" t="s">
        <v>1332</v>
      </c>
      <c r="F683" t="s">
        <v>1332</v>
      </c>
      <c r="G683" s="6">
        <v>296</v>
      </c>
      <c r="H683" s="6"/>
      <c r="I683" s="6">
        <f t="shared" si="50"/>
        <v>139.12</v>
      </c>
      <c r="J683" s="6">
        <f t="shared" si="51"/>
        <v>148</v>
      </c>
      <c r="K683" s="6">
        <f t="shared" si="52"/>
        <v>162.8</v>
      </c>
      <c r="L683" s="6">
        <f t="shared" si="53"/>
        <v>207.2</v>
      </c>
      <c r="M683" s="6">
        <f t="shared" si="54"/>
        <v>251.6</v>
      </c>
    </row>
    <row r="684" spans="1:13">
      <c r="A684" t="s">
        <v>13</v>
      </c>
      <c r="B684" t="s">
        <v>1333</v>
      </c>
      <c r="C684" t="s">
        <v>1334</v>
      </c>
      <c r="D684" t="s">
        <v>1334</v>
      </c>
      <c r="E684" t="s">
        <v>1334</v>
      </c>
      <c r="F684" t="s">
        <v>1334</v>
      </c>
      <c r="G684" s="6">
        <v>396.17</v>
      </c>
      <c r="H684" s="6"/>
      <c r="I684" s="6">
        <f t="shared" si="50"/>
        <v>186.1999</v>
      </c>
      <c r="J684" s="6">
        <f t="shared" si="51"/>
        <v>198.085</v>
      </c>
      <c r="K684" s="6">
        <f t="shared" si="52"/>
        <v>217.8935</v>
      </c>
      <c r="L684" s="6">
        <f t="shared" si="53"/>
        <v>277.319</v>
      </c>
      <c r="M684" s="6">
        <f t="shared" si="54"/>
        <v>336.7445</v>
      </c>
    </row>
    <row r="685" spans="1:13">
      <c r="A685" t="s">
        <v>13</v>
      </c>
      <c r="B685" s="10" t="s">
        <v>1335</v>
      </c>
      <c r="C685" t="s">
        <v>1336</v>
      </c>
      <c r="D685" t="s">
        <v>1336</v>
      </c>
      <c r="E685" t="s">
        <v>1336</v>
      </c>
      <c r="F685" t="s">
        <v>1336</v>
      </c>
      <c r="G685" s="6">
        <v>100.78</v>
      </c>
      <c r="H685" s="6"/>
      <c r="I685" s="6">
        <f t="shared" si="50"/>
        <v>47.3666</v>
      </c>
      <c r="J685" s="6">
        <f t="shared" si="51"/>
        <v>50.39</v>
      </c>
      <c r="K685" s="6">
        <f t="shared" si="52"/>
        <v>55.429</v>
      </c>
      <c r="L685" s="6">
        <f t="shared" si="53"/>
        <v>70.546</v>
      </c>
      <c r="M685" s="6">
        <f t="shared" si="54"/>
        <v>85.663</v>
      </c>
    </row>
    <row r="686" spans="1:13">
      <c r="A686" t="s">
        <v>13</v>
      </c>
      <c r="B686" s="9" t="s">
        <v>1337</v>
      </c>
      <c r="C686" t="s">
        <v>1338</v>
      </c>
      <c r="D686" t="s">
        <v>1338</v>
      </c>
      <c r="E686" t="s">
        <v>1338</v>
      </c>
      <c r="F686" t="s">
        <v>1338</v>
      </c>
      <c r="G686" s="6">
        <v>297.23</v>
      </c>
      <c r="H686" s="6"/>
      <c r="I686" s="6">
        <f t="shared" si="50"/>
        <v>139.6981</v>
      </c>
      <c r="J686" s="6">
        <f t="shared" si="51"/>
        <v>148.615</v>
      </c>
      <c r="K686" s="6">
        <f t="shared" si="52"/>
        <v>163.4765</v>
      </c>
      <c r="L686" s="6">
        <f t="shared" si="53"/>
        <v>208.061</v>
      </c>
      <c r="M686" s="6">
        <f t="shared" si="54"/>
        <v>252.6455</v>
      </c>
    </row>
    <row r="687" spans="1:13">
      <c r="A687" t="s">
        <v>13</v>
      </c>
      <c r="B687" t="s">
        <v>1339</v>
      </c>
      <c r="C687" t="s">
        <v>1340</v>
      </c>
      <c r="D687" t="s">
        <v>1340</v>
      </c>
      <c r="E687" t="s">
        <v>1340</v>
      </c>
      <c r="F687" t="s">
        <v>1340</v>
      </c>
      <c r="G687" s="6">
        <v>297.22</v>
      </c>
      <c r="H687" s="6"/>
      <c r="I687" s="6">
        <f t="shared" si="50"/>
        <v>139.6934</v>
      </c>
      <c r="J687" s="6">
        <f t="shared" si="51"/>
        <v>148.61</v>
      </c>
      <c r="K687" s="6">
        <f t="shared" si="52"/>
        <v>163.471</v>
      </c>
      <c r="L687" s="6">
        <f t="shared" si="53"/>
        <v>208.054</v>
      </c>
      <c r="M687" s="6">
        <f t="shared" si="54"/>
        <v>252.637</v>
      </c>
    </row>
    <row r="688" spans="1:13">
      <c r="A688" t="s">
        <v>13</v>
      </c>
      <c r="B688" t="s">
        <v>1341</v>
      </c>
      <c r="C688" t="s">
        <v>1342</v>
      </c>
      <c r="D688" t="s">
        <v>1342</v>
      </c>
      <c r="E688" t="s">
        <v>1342</v>
      </c>
      <c r="F688" t="s">
        <v>1342</v>
      </c>
      <c r="G688" s="6">
        <v>297.22</v>
      </c>
      <c r="H688" s="6"/>
      <c r="I688" s="6">
        <f t="shared" si="50"/>
        <v>139.6934</v>
      </c>
      <c r="J688" s="6">
        <f t="shared" si="51"/>
        <v>148.61</v>
      </c>
      <c r="K688" s="6">
        <f t="shared" si="52"/>
        <v>163.471</v>
      </c>
      <c r="L688" s="6">
        <f t="shared" si="53"/>
        <v>208.054</v>
      </c>
      <c r="M688" s="6">
        <f t="shared" si="54"/>
        <v>252.637</v>
      </c>
    </row>
    <row r="689" spans="1:13">
      <c r="A689" t="s">
        <v>13</v>
      </c>
      <c r="B689" s="9" t="s">
        <v>1343</v>
      </c>
      <c r="C689" t="s">
        <v>1344</v>
      </c>
      <c r="D689" t="s">
        <v>1344</v>
      </c>
      <c r="E689" t="s">
        <v>1344</v>
      </c>
      <c r="F689" t="s">
        <v>1344</v>
      </c>
      <c r="G689" s="6">
        <v>394.94</v>
      </c>
      <c r="H689" s="6"/>
      <c r="I689" s="6">
        <f t="shared" si="50"/>
        <v>185.6218</v>
      </c>
      <c r="J689" s="6">
        <f t="shared" si="51"/>
        <v>197.47</v>
      </c>
      <c r="K689" s="6">
        <f t="shared" si="52"/>
        <v>217.217</v>
      </c>
      <c r="L689" s="6">
        <f t="shared" si="53"/>
        <v>276.458</v>
      </c>
      <c r="M689" s="6">
        <f t="shared" si="54"/>
        <v>335.699</v>
      </c>
    </row>
    <row r="690" spans="1:13">
      <c r="A690" t="s">
        <v>13</v>
      </c>
      <c r="B690" t="s">
        <v>1345</v>
      </c>
      <c r="C690" t="s">
        <v>1346</v>
      </c>
      <c r="D690" t="s">
        <v>1346</v>
      </c>
      <c r="E690" t="s">
        <v>1346</v>
      </c>
      <c r="F690" t="s">
        <v>1346</v>
      </c>
      <c r="G690" s="6">
        <v>131.68</v>
      </c>
      <c r="H690" s="6"/>
      <c r="I690" s="6">
        <f t="shared" si="50"/>
        <v>61.8896</v>
      </c>
      <c r="J690" s="6">
        <f t="shared" si="51"/>
        <v>65.84</v>
      </c>
      <c r="K690" s="6">
        <f t="shared" si="52"/>
        <v>72.424</v>
      </c>
      <c r="L690" s="6">
        <f t="shared" si="53"/>
        <v>92.176</v>
      </c>
      <c r="M690" s="6">
        <f t="shared" si="54"/>
        <v>111.928</v>
      </c>
    </row>
    <row r="691" spans="1:13">
      <c r="A691" t="s">
        <v>13</v>
      </c>
      <c r="B691" t="s">
        <v>1347</v>
      </c>
      <c r="C691" t="s">
        <v>1348</v>
      </c>
      <c r="D691" t="s">
        <v>1348</v>
      </c>
      <c r="E691" t="s">
        <v>1348</v>
      </c>
      <c r="F691" t="s">
        <v>1348</v>
      </c>
      <c r="G691" s="6">
        <v>385.87</v>
      </c>
      <c r="H691" s="6"/>
      <c r="I691" s="6">
        <f t="shared" si="50"/>
        <v>181.3589</v>
      </c>
      <c r="J691" s="6">
        <f t="shared" si="51"/>
        <v>192.935</v>
      </c>
      <c r="K691" s="6">
        <f t="shared" si="52"/>
        <v>212.2285</v>
      </c>
      <c r="L691" s="6">
        <f t="shared" si="53"/>
        <v>270.109</v>
      </c>
      <c r="M691" s="6">
        <f t="shared" si="54"/>
        <v>327.9895</v>
      </c>
    </row>
    <row r="692" spans="1:13">
      <c r="A692" t="s">
        <v>13</v>
      </c>
      <c r="B692" t="s">
        <v>1349</v>
      </c>
      <c r="C692" t="s">
        <v>1350</v>
      </c>
      <c r="D692" t="s">
        <v>1350</v>
      </c>
      <c r="E692" t="s">
        <v>1350</v>
      </c>
      <c r="F692" t="s">
        <v>1350</v>
      </c>
      <c r="G692" s="6">
        <v>512.45</v>
      </c>
      <c r="H692" s="6"/>
      <c r="I692" s="6">
        <f t="shared" si="50"/>
        <v>240.8515</v>
      </c>
      <c r="J692" s="6">
        <f t="shared" si="51"/>
        <v>256.225</v>
      </c>
      <c r="K692" s="6">
        <f t="shared" si="52"/>
        <v>281.8475</v>
      </c>
      <c r="L692" s="6">
        <f t="shared" si="53"/>
        <v>358.715</v>
      </c>
      <c r="M692" s="6">
        <f t="shared" si="54"/>
        <v>435.5825</v>
      </c>
    </row>
    <row r="693" spans="1:13">
      <c r="A693" t="s">
        <v>13</v>
      </c>
      <c r="B693" t="s">
        <v>1351</v>
      </c>
      <c r="C693" t="s">
        <v>1352</v>
      </c>
      <c r="D693" t="s">
        <v>1352</v>
      </c>
      <c r="E693" t="s">
        <v>1352</v>
      </c>
      <c r="F693" t="s">
        <v>1352</v>
      </c>
      <c r="G693" s="6">
        <v>218.99</v>
      </c>
      <c r="H693" s="6"/>
      <c r="I693" s="6">
        <f t="shared" si="50"/>
        <v>102.9253</v>
      </c>
      <c r="J693" s="6">
        <f t="shared" si="51"/>
        <v>109.495</v>
      </c>
      <c r="K693" s="6">
        <f t="shared" si="52"/>
        <v>120.4445</v>
      </c>
      <c r="L693" s="6">
        <f t="shared" si="53"/>
        <v>153.293</v>
      </c>
      <c r="M693" s="6">
        <f t="shared" si="54"/>
        <v>186.1415</v>
      </c>
    </row>
    <row r="694" spans="1:13">
      <c r="A694" t="s">
        <v>13</v>
      </c>
      <c r="B694" s="8">
        <v>691.822</v>
      </c>
      <c r="C694" t="s">
        <v>1353</v>
      </c>
      <c r="D694" t="s">
        <v>1353</v>
      </c>
      <c r="E694" t="s">
        <v>1353</v>
      </c>
      <c r="F694" t="s">
        <v>1353</v>
      </c>
      <c r="G694" s="6">
        <v>265.71</v>
      </c>
      <c r="H694" s="6"/>
      <c r="I694" s="6">
        <f t="shared" si="50"/>
        <v>124.8837</v>
      </c>
      <c r="J694" s="6">
        <f t="shared" si="51"/>
        <v>132.855</v>
      </c>
      <c r="K694" s="6">
        <f t="shared" si="52"/>
        <v>146.1405</v>
      </c>
      <c r="L694" s="6">
        <f t="shared" si="53"/>
        <v>185.997</v>
      </c>
      <c r="M694" s="6">
        <f t="shared" si="54"/>
        <v>225.8535</v>
      </c>
    </row>
    <row r="695" spans="1:13">
      <c r="A695" t="s">
        <v>13</v>
      </c>
      <c r="B695" t="s">
        <v>1354</v>
      </c>
      <c r="C695" t="s">
        <v>1355</v>
      </c>
      <c r="D695" t="s">
        <v>1355</v>
      </c>
      <c r="E695" t="s">
        <v>1355</v>
      </c>
      <c r="F695" t="s">
        <v>1355</v>
      </c>
      <c r="G695" s="6">
        <v>32.95</v>
      </c>
      <c r="H695" s="6"/>
      <c r="I695" s="6">
        <f t="shared" si="50"/>
        <v>15.4865</v>
      </c>
      <c r="J695" s="6">
        <f t="shared" si="51"/>
        <v>16.475</v>
      </c>
      <c r="K695" s="6">
        <f t="shared" si="52"/>
        <v>18.1225</v>
      </c>
      <c r="L695" s="6">
        <f t="shared" si="53"/>
        <v>23.065</v>
      </c>
      <c r="M695" s="6">
        <f t="shared" si="54"/>
        <v>28.0075</v>
      </c>
    </row>
    <row r="696" spans="1:13">
      <c r="A696" t="s">
        <v>13</v>
      </c>
      <c r="B696" t="s">
        <v>1356</v>
      </c>
      <c r="C696" t="s">
        <v>1357</v>
      </c>
      <c r="D696" t="s">
        <v>1357</v>
      </c>
      <c r="E696" t="s">
        <v>1357</v>
      </c>
      <c r="F696" t="s">
        <v>1357</v>
      </c>
      <c r="G696" s="6">
        <v>39.78</v>
      </c>
      <c r="H696" s="6"/>
      <c r="I696" s="6">
        <f t="shared" si="50"/>
        <v>18.6966</v>
      </c>
      <c r="J696" s="6">
        <f t="shared" si="51"/>
        <v>19.89</v>
      </c>
      <c r="K696" s="6">
        <f t="shared" si="52"/>
        <v>21.879</v>
      </c>
      <c r="L696" s="6">
        <f t="shared" si="53"/>
        <v>27.846</v>
      </c>
      <c r="M696" s="6">
        <f t="shared" si="54"/>
        <v>33.813</v>
      </c>
    </row>
    <row r="697" spans="1:13">
      <c r="A697" t="s">
        <v>13</v>
      </c>
      <c r="B697" t="s">
        <v>1358</v>
      </c>
      <c r="C697" t="s">
        <v>1359</v>
      </c>
      <c r="D697" t="s">
        <v>1359</v>
      </c>
      <c r="E697" t="s">
        <v>1359</v>
      </c>
      <c r="F697" t="s">
        <v>1359</v>
      </c>
      <c r="G697" s="6">
        <v>46.72</v>
      </c>
      <c r="H697" s="6"/>
      <c r="I697" s="6">
        <f t="shared" si="50"/>
        <v>21.9584</v>
      </c>
      <c r="J697" s="6">
        <f t="shared" si="51"/>
        <v>23.36</v>
      </c>
      <c r="K697" s="6">
        <f t="shared" si="52"/>
        <v>25.696</v>
      </c>
      <c r="L697" s="6">
        <f t="shared" si="53"/>
        <v>32.704</v>
      </c>
      <c r="M697" s="6">
        <f t="shared" si="54"/>
        <v>39.712</v>
      </c>
    </row>
    <row r="698" spans="1:13">
      <c r="A698" t="s">
        <v>13</v>
      </c>
      <c r="B698" t="s">
        <v>1360</v>
      </c>
      <c r="C698" t="s">
        <v>1361</v>
      </c>
      <c r="D698" t="s">
        <v>1361</v>
      </c>
      <c r="E698" t="s">
        <v>1361</v>
      </c>
      <c r="F698" t="s">
        <v>1361</v>
      </c>
      <c r="G698" s="6">
        <v>50.69</v>
      </c>
      <c r="H698" s="6"/>
      <c r="I698" s="6">
        <f t="shared" si="50"/>
        <v>23.8243</v>
      </c>
      <c r="J698" s="6">
        <f t="shared" si="51"/>
        <v>25.345</v>
      </c>
      <c r="K698" s="6">
        <f t="shared" si="52"/>
        <v>27.8795</v>
      </c>
      <c r="L698" s="6">
        <f t="shared" si="53"/>
        <v>35.483</v>
      </c>
      <c r="M698" s="6">
        <f t="shared" si="54"/>
        <v>43.0865</v>
      </c>
    </row>
    <row r="699" spans="1:13">
      <c r="A699" t="s">
        <v>13</v>
      </c>
      <c r="B699" t="s">
        <v>1362</v>
      </c>
      <c r="C699" t="s">
        <v>1363</v>
      </c>
      <c r="D699" t="s">
        <v>1363</v>
      </c>
      <c r="E699" t="s">
        <v>1363</v>
      </c>
      <c r="F699" t="s">
        <v>1363</v>
      </c>
      <c r="G699" s="6">
        <v>66.5</v>
      </c>
      <c r="H699" s="6"/>
      <c r="I699" s="6">
        <f t="shared" si="50"/>
        <v>31.255</v>
      </c>
      <c r="J699" s="6">
        <f t="shared" si="51"/>
        <v>33.25</v>
      </c>
      <c r="K699" s="6">
        <f t="shared" si="52"/>
        <v>36.575</v>
      </c>
      <c r="L699" s="6">
        <f t="shared" si="53"/>
        <v>46.55</v>
      </c>
      <c r="M699" s="6">
        <f t="shared" si="54"/>
        <v>56.525</v>
      </c>
    </row>
    <row r="700" spans="1:13">
      <c r="A700" t="s">
        <v>13</v>
      </c>
      <c r="B700" t="s">
        <v>1364</v>
      </c>
      <c r="C700" t="s">
        <v>1365</v>
      </c>
      <c r="D700" t="s">
        <v>1365</v>
      </c>
      <c r="E700" t="s">
        <v>1365</v>
      </c>
      <c r="F700" t="s">
        <v>1365</v>
      </c>
      <c r="G700" s="6">
        <v>82.21</v>
      </c>
      <c r="H700" s="6"/>
      <c r="I700" s="6">
        <f t="shared" si="50"/>
        <v>38.6387</v>
      </c>
      <c r="J700" s="6">
        <f t="shared" si="51"/>
        <v>41.105</v>
      </c>
      <c r="K700" s="6">
        <f t="shared" si="52"/>
        <v>45.2155</v>
      </c>
      <c r="L700" s="6">
        <f t="shared" si="53"/>
        <v>57.547</v>
      </c>
      <c r="M700" s="6">
        <f t="shared" si="54"/>
        <v>69.8785</v>
      </c>
    </row>
    <row r="701" spans="1:13">
      <c r="A701" t="s">
        <v>13</v>
      </c>
      <c r="B701" t="s">
        <v>1366</v>
      </c>
      <c r="C701" t="s">
        <v>1367</v>
      </c>
      <c r="D701" t="s">
        <v>1367</v>
      </c>
      <c r="E701" t="s">
        <v>1367</v>
      </c>
      <c r="F701" t="s">
        <v>1367</v>
      </c>
      <c r="G701" s="6">
        <v>93.13</v>
      </c>
      <c r="H701" s="6"/>
      <c r="I701" s="6">
        <f t="shared" si="50"/>
        <v>43.7711</v>
      </c>
      <c r="J701" s="6">
        <f t="shared" si="51"/>
        <v>46.565</v>
      </c>
      <c r="K701" s="6">
        <f t="shared" si="52"/>
        <v>51.2215</v>
      </c>
      <c r="L701" s="6">
        <f t="shared" si="53"/>
        <v>65.191</v>
      </c>
      <c r="M701" s="6">
        <f t="shared" si="54"/>
        <v>79.1605</v>
      </c>
    </row>
    <row r="702" spans="1:13">
      <c r="A702" t="s">
        <v>13</v>
      </c>
      <c r="B702" t="s">
        <v>1368</v>
      </c>
      <c r="C702" t="s">
        <v>1369</v>
      </c>
      <c r="D702" t="s">
        <v>1369</v>
      </c>
      <c r="E702" t="s">
        <v>1369</v>
      </c>
      <c r="F702" t="s">
        <v>1369</v>
      </c>
      <c r="G702" s="6">
        <v>104.04</v>
      </c>
      <c r="H702" s="6"/>
      <c r="I702" s="6">
        <f t="shared" si="50"/>
        <v>48.8988</v>
      </c>
      <c r="J702" s="6">
        <f t="shared" si="51"/>
        <v>52.02</v>
      </c>
      <c r="K702" s="6">
        <f t="shared" si="52"/>
        <v>57.222</v>
      </c>
      <c r="L702" s="6">
        <f t="shared" si="53"/>
        <v>72.828</v>
      </c>
      <c r="M702" s="6">
        <f t="shared" si="54"/>
        <v>88.434</v>
      </c>
    </row>
    <row r="703" spans="1:13">
      <c r="A703" t="s">
        <v>13</v>
      </c>
      <c r="B703" t="s">
        <v>1370</v>
      </c>
      <c r="C703" t="s">
        <v>1371</v>
      </c>
      <c r="D703" t="s">
        <v>1371</v>
      </c>
      <c r="E703" t="s">
        <v>1371</v>
      </c>
      <c r="F703" t="s">
        <v>1371</v>
      </c>
      <c r="G703" s="6">
        <v>128.62</v>
      </c>
      <c r="H703" s="6"/>
      <c r="I703" s="6">
        <f t="shared" si="50"/>
        <v>60.4514</v>
      </c>
      <c r="J703" s="6">
        <f t="shared" si="51"/>
        <v>64.31</v>
      </c>
      <c r="K703" s="6">
        <f t="shared" si="52"/>
        <v>70.741</v>
      </c>
      <c r="L703" s="6">
        <f t="shared" si="53"/>
        <v>90.034</v>
      </c>
      <c r="M703" s="6">
        <f t="shared" si="54"/>
        <v>109.327</v>
      </c>
    </row>
    <row r="704" spans="1:13">
      <c r="A704" t="s">
        <v>13</v>
      </c>
      <c r="B704" t="s">
        <v>1372</v>
      </c>
      <c r="C704" t="s">
        <v>1373</v>
      </c>
      <c r="D704" t="s">
        <v>1373</v>
      </c>
      <c r="E704" t="s">
        <v>1373</v>
      </c>
      <c r="F704" t="s">
        <v>1373</v>
      </c>
      <c r="G704" s="6">
        <v>173.91</v>
      </c>
      <c r="H704" s="6"/>
      <c r="I704" s="6">
        <f t="shared" si="50"/>
        <v>81.7377</v>
      </c>
      <c r="J704" s="6">
        <f t="shared" si="51"/>
        <v>86.955</v>
      </c>
      <c r="K704" s="6">
        <f t="shared" si="52"/>
        <v>95.6505</v>
      </c>
      <c r="L704" s="6">
        <f t="shared" si="53"/>
        <v>121.737</v>
      </c>
      <c r="M704" s="6">
        <f t="shared" si="54"/>
        <v>147.8235</v>
      </c>
    </row>
    <row r="705" spans="1:13">
      <c r="A705" t="s">
        <v>13</v>
      </c>
      <c r="B705">
        <v>7220</v>
      </c>
      <c r="C705" t="s">
        <v>1374</v>
      </c>
      <c r="D705" t="s">
        <v>1374</v>
      </c>
      <c r="E705" t="s">
        <v>1374</v>
      </c>
      <c r="F705" t="s">
        <v>1374</v>
      </c>
      <c r="G705" s="6">
        <v>240.52</v>
      </c>
      <c r="H705" s="6"/>
      <c r="I705" s="6">
        <f t="shared" si="50"/>
        <v>113.0444</v>
      </c>
      <c r="J705" s="6">
        <f t="shared" si="51"/>
        <v>120.26</v>
      </c>
      <c r="K705" s="6">
        <f t="shared" si="52"/>
        <v>132.286</v>
      </c>
      <c r="L705" s="6">
        <f t="shared" si="53"/>
        <v>168.364</v>
      </c>
      <c r="M705" s="6">
        <f t="shared" si="54"/>
        <v>204.442</v>
      </c>
    </row>
    <row r="706" spans="1:13">
      <c r="A706" t="s">
        <v>13</v>
      </c>
      <c r="B706" t="s">
        <v>1375</v>
      </c>
      <c r="C706" t="s">
        <v>1376</v>
      </c>
      <c r="D706" t="s">
        <v>1376</v>
      </c>
      <c r="E706" t="s">
        <v>1376</v>
      </c>
      <c r="F706" t="s">
        <v>1376</v>
      </c>
      <c r="G706" s="6">
        <v>112.3</v>
      </c>
      <c r="H706" s="6"/>
      <c r="I706" s="6">
        <f t="shared" si="50"/>
        <v>52.781</v>
      </c>
      <c r="J706" s="6">
        <f t="shared" si="51"/>
        <v>56.15</v>
      </c>
      <c r="K706" s="6">
        <f t="shared" si="52"/>
        <v>61.765</v>
      </c>
      <c r="L706" s="6">
        <f t="shared" si="53"/>
        <v>78.61</v>
      </c>
      <c r="M706" s="6">
        <f t="shared" si="54"/>
        <v>95.455</v>
      </c>
    </row>
    <row r="707" spans="1:13">
      <c r="A707" t="s">
        <v>13</v>
      </c>
      <c r="B707" t="s">
        <v>1377</v>
      </c>
      <c r="C707" t="s">
        <v>1378</v>
      </c>
      <c r="D707" t="s">
        <v>1378</v>
      </c>
      <c r="E707" t="s">
        <v>1378</v>
      </c>
      <c r="F707" t="s">
        <v>1378</v>
      </c>
      <c r="G707" s="6">
        <v>260.3</v>
      </c>
      <c r="H707" s="6"/>
      <c r="I707" s="6">
        <f t="shared" si="50"/>
        <v>122.341</v>
      </c>
      <c r="J707" s="6">
        <f t="shared" si="51"/>
        <v>130.15</v>
      </c>
      <c r="K707" s="6">
        <f t="shared" si="52"/>
        <v>143.165</v>
      </c>
      <c r="L707" s="6">
        <f t="shared" si="53"/>
        <v>182.21</v>
      </c>
      <c r="M707" s="6">
        <f t="shared" si="54"/>
        <v>221.255</v>
      </c>
    </row>
    <row r="708" spans="1:13">
      <c r="A708" t="s">
        <v>13</v>
      </c>
      <c r="B708" t="s">
        <v>1379</v>
      </c>
      <c r="C708" t="s">
        <v>1380</v>
      </c>
      <c r="D708" t="s">
        <v>1380</v>
      </c>
      <c r="E708" t="s">
        <v>1380</v>
      </c>
      <c r="F708" t="s">
        <v>1380</v>
      </c>
      <c r="G708" s="6">
        <v>272.34</v>
      </c>
      <c r="H708" s="6"/>
      <c r="I708" s="6">
        <f t="shared" ref="I708:I771" si="55">G708*0.47</f>
        <v>127.9998</v>
      </c>
      <c r="J708" s="6">
        <f t="shared" ref="J708:J771" si="56">G708*0.5</f>
        <v>136.17</v>
      </c>
      <c r="K708" s="6">
        <f t="shared" ref="K708:K771" si="57">G708*0.55</f>
        <v>149.787</v>
      </c>
      <c r="L708" s="6">
        <f t="shared" ref="L708:L771" si="58">G708*0.7</f>
        <v>190.638</v>
      </c>
      <c r="M708" s="6">
        <f t="shared" ref="M708:M771" si="59">G708*0.85</f>
        <v>231.489</v>
      </c>
    </row>
    <row r="709" spans="1:13">
      <c r="A709" t="s">
        <v>13</v>
      </c>
      <c r="B709" t="s">
        <v>1381</v>
      </c>
      <c r="C709" t="s">
        <v>1382</v>
      </c>
      <c r="D709" t="s">
        <v>1382</v>
      </c>
      <c r="E709" t="s">
        <v>1382</v>
      </c>
      <c r="F709" t="s">
        <v>1382</v>
      </c>
      <c r="G709" s="6">
        <v>305.29</v>
      </c>
      <c r="H709" s="6"/>
      <c r="I709" s="6">
        <f t="shared" si="55"/>
        <v>143.4863</v>
      </c>
      <c r="J709" s="6">
        <f t="shared" si="56"/>
        <v>152.645</v>
      </c>
      <c r="K709" s="6">
        <f t="shared" si="57"/>
        <v>167.9095</v>
      </c>
      <c r="L709" s="6">
        <f t="shared" si="58"/>
        <v>213.703</v>
      </c>
      <c r="M709" s="6">
        <f t="shared" si="59"/>
        <v>259.4965</v>
      </c>
    </row>
    <row r="710" spans="1:13">
      <c r="A710" t="s">
        <v>13</v>
      </c>
      <c r="B710" t="s">
        <v>1383</v>
      </c>
      <c r="C710" t="s">
        <v>1384</v>
      </c>
      <c r="D710" t="s">
        <v>1384</v>
      </c>
      <c r="E710" t="s">
        <v>1384</v>
      </c>
      <c r="F710" t="s">
        <v>1384</v>
      </c>
      <c r="G710" s="6">
        <v>329.15</v>
      </c>
      <c r="H710" s="6"/>
      <c r="I710" s="6">
        <f t="shared" si="55"/>
        <v>154.7005</v>
      </c>
      <c r="J710" s="6">
        <f t="shared" si="56"/>
        <v>164.575</v>
      </c>
      <c r="K710" s="6">
        <f t="shared" si="57"/>
        <v>181.0325</v>
      </c>
      <c r="L710" s="6">
        <f t="shared" si="58"/>
        <v>230.405</v>
      </c>
      <c r="M710" s="6">
        <f t="shared" si="59"/>
        <v>279.7775</v>
      </c>
    </row>
    <row r="711" spans="1:13">
      <c r="A711" t="s">
        <v>13</v>
      </c>
      <c r="B711" t="s">
        <v>1385</v>
      </c>
      <c r="C711" t="s">
        <v>1386</v>
      </c>
      <c r="D711" t="s">
        <v>1386</v>
      </c>
      <c r="E711" t="s">
        <v>1386</v>
      </c>
      <c r="F711" t="s">
        <v>1386</v>
      </c>
      <c r="G711" s="6">
        <v>486.03</v>
      </c>
      <c r="H711" s="6"/>
      <c r="I711" s="6">
        <f t="shared" si="55"/>
        <v>228.4341</v>
      </c>
      <c r="J711" s="6">
        <f t="shared" si="56"/>
        <v>243.015</v>
      </c>
      <c r="K711" s="6">
        <f t="shared" si="57"/>
        <v>267.3165</v>
      </c>
      <c r="L711" s="6">
        <f t="shared" si="58"/>
        <v>340.221</v>
      </c>
      <c r="M711" s="6">
        <f t="shared" si="59"/>
        <v>413.1255</v>
      </c>
    </row>
    <row r="712" spans="1:13">
      <c r="A712" t="s">
        <v>13</v>
      </c>
      <c r="B712" t="s">
        <v>1387</v>
      </c>
      <c r="C712" t="s">
        <v>1388</v>
      </c>
      <c r="D712" t="s">
        <v>1388</v>
      </c>
      <c r="E712" t="s">
        <v>1388</v>
      </c>
      <c r="F712" t="s">
        <v>1388</v>
      </c>
      <c r="G712" s="6">
        <v>46.41</v>
      </c>
      <c r="H712" s="6"/>
      <c r="I712" s="6">
        <f t="shared" si="55"/>
        <v>21.8127</v>
      </c>
      <c r="J712" s="6">
        <f t="shared" si="56"/>
        <v>23.205</v>
      </c>
      <c r="K712" s="6">
        <f t="shared" si="57"/>
        <v>25.5255</v>
      </c>
      <c r="L712" s="6">
        <f t="shared" si="58"/>
        <v>32.487</v>
      </c>
      <c r="M712" s="6">
        <f t="shared" si="59"/>
        <v>39.4485</v>
      </c>
    </row>
    <row r="713" spans="1:13">
      <c r="A713" t="s">
        <v>13</v>
      </c>
      <c r="B713" t="s">
        <v>1389</v>
      </c>
      <c r="C713" t="s">
        <v>1390</v>
      </c>
      <c r="D713" t="s">
        <v>1390</v>
      </c>
      <c r="E713" t="s">
        <v>1390</v>
      </c>
      <c r="F713" t="s">
        <v>1390</v>
      </c>
      <c r="G713" s="6">
        <v>58.45</v>
      </c>
      <c r="H713" s="6"/>
      <c r="I713" s="6">
        <f t="shared" si="55"/>
        <v>27.4715</v>
      </c>
      <c r="J713" s="6">
        <f t="shared" si="56"/>
        <v>29.225</v>
      </c>
      <c r="K713" s="6">
        <f t="shared" si="57"/>
        <v>32.1475</v>
      </c>
      <c r="L713" s="6">
        <f t="shared" si="58"/>
        <v>40.915</v>
      </c>
      <c r="M713" s="6">
        <f t="shared" si="59"/>
        <v>49.6825</v>
      </c>
    </row>
    <row r="714" spans="1:13">
      <c r="A714" t="s">
        <v>13</v>
      </c>
      <c r="B714" t="s">
        <v>1391</v>
      </c>
      <c r="C714" t="s">
        <v>1392</v>
      </c>
      <c r="D714" t="s">
        <v>1392</v>
      </c>
      <c r="E714" t="s">
        <v>1392</v>
      </c>
      <c r="F714" t="s">
        <v>1392</v>
      </c>
      <c r="G714" s="6">
        <v>73.03</v>
      </c>
      <c r="H714" s="6"/>
      <c r="I714" s="6">
        <f t="shared" si="55"/>
        <v>34.3241</v>
      </c>
      <c r="J714" s="6">
        <f t="shared" si="56"/>
        <v>36.515</v>
      </c>
      <c r="K714" s="6">
        <f t="shared" si="57"/>
        <v>40.1665</v>
      </c>
      <c r="L714" s="6">
        <f t="shared" si="58"/>
        <v>51.121</v>
      </c>
      <c r="M714" s="6">
        <f t="shared" si="59"/>
        <v>62.0755</v>
      </c>
    </row>
    <row r="715" spans="1:13">
      <c r="A715" t="s">
        <v>13</v>
      </c>
      <c r="B715" t="s">
        <v>1393</v>
      </c>
      <c r="C715" t="s">
        <v>1394</v>
      </c>
      <c r="D715" t="s">
        <v>1394</v>
      </c>
      <c r="E715" t="s">
        <v>1394</v>
      </c>
      <c r="F715" t="s">
        <v>1394</v>
      </c>
      <c r="G715" s="6">
        <v>94.96</v>
      </c>
      <c r="H715" s="6"/>
      <c r="I715" s="6">
        <f t="shared" si="55"/>
        <v>44.6312</v>
      </c>
      <c r="J715" s="6">
        <f t="shared" si="56"/>
        <v>47.48</v>
      </c>
      <c r="K715" s="6">
        <f t="shared" si="57"/>
        <v>52.228</v>
      </c>
      <c r="L715" s="6">
        <f t="shared" si="58"/>
        <v>66.472</v>
      </c>
      <c r="M715" s="6">
        <f t="shared" si="59"/>
        <v>80.716</v>
      </c>
    </row>
    <row r="716" spans="1:13">
      <c r="A716" t="s">
        <v>13</v>
      </c>
      <c r="B716" t="s">
        <v>1395</v>
      </c>
      <c r="C716" t="s">
        <v>1396</v>
      </c>
      <c r="D716" t="s">
        <v>1396</v>
      </c>
      <c r="E716" t="s">
        <v>1396</v>
      </c>
      <c r="F716" t="s">
        <v>1396</v>
      </c>
      <c r="G716" s="6">
        <v>124.03</v>
      </c>
      <c r="H716" s="6"/>
      <c r="I716" s="6">
        <f t="shared" si="55"/>
        <v>58.2941</v>
      </c>
      <c r="J716" s="6">
        <f t="shared" si="56"/>
        <v>62.015</v>
      </c>
      <c r="K716" s="6">
        <f t="shared" si="57"/>
        <v>68.2165</v>
      </c>
      <c r="L716" s="6">
        <f t="shared" si="58"/>
        <v>86.821</v>
      </c>
      <c r="M716" s="6">
        <f t="shared" si="59"/>
        <v>105.4255</v>
      </c>
    </row>
    <row r="717" spans="1:13">
      <c r="A717" t="s">
        <v>13</v>
      </c>
      <c r="B717" t="s">
        <v>1397</v>
      </c>
      <c r="C717" t="s">
        <v>1398</v>
      </c>
      <c r="D717" t="s">
        <v>1398</v>
      </c>
      <c r="E717" t="s">
        <v>1398</v>
      </c>
      <c r="F717" t="s">
        <v>1398</v>
      </c>
      <c r="G717" s="6">
        <v>170.29</v>
      </c>
      <c r="H717" s="6"/>
      <c r="I717" s="6">
        <f t="shared" si="55"/>
        <v>80.0363</v>
      </c>
      <c r="J717" s="6">
        <f t="shared" si="56"/>
        <v>85.145</v>
      </c>
      <c r="K717" s="6">
        <f t="shared" si="57"/>
        <v>93.6595</v>
      </c>
      <c r="L717" s="6">
        <f t="shared" si="58"/>
        <v>119.203</v>
      </c>
      <c r="M717" s="6">
        <f t="shared" si="59"/>
        <v>144.7465</v>
      </c>
    </row>
    <row r="718" spans="1:13">
      <c r="A718" t="s">
        <v>13</v>
      </c>
      <c r="B718">
        <v>7516</v>
      </c>
      <c r="C718" t="s">
        <v>1399</v>
      </c>
      <c r="D718" t="s">
        <v>1399</v>
      </c>
      <c r="E718" t="s">
        <v>1399</v>
      </c>
      <c r="F718" t="s">
        <v>1399</v>
      </c>
      <c r="G718" s="6">
        <v>367.2</v>
      </c>
      <c r="H718" s="6"/>
      <c r="I718" s="6">
        <f t="shared" si="55"/>
        <v>172.584</v>
      </c>
      <c r="J718" s="6">
        <f t="shared" si="56"/>
        <v>183.6</v>
      </c>
      <c r="K718" s="6">
        <f t="shared" si="57"/>
        <v>201.96</v>
      </c>
      <c r="L718" s="6">
        <f t="shared" si="58"/>
        <v>257.04</v>
      </c>
      <c r="M718" s="6">
        <f t="shared" si="59"/>
        <v>312.12</v>
      </c>
    </row>
    <row r="719" spans="1:13">
      <c r="A719" t="s">
        <v>13</v>
      </c>
      <c r="B719" t="s">
        <v>1400</v>
      </c>
      <c r="C719" t="s">
        <v>1401</v>
      </c>
      <c r="D719" t="s">
        <v>1401</v>
      </c>
      <c r="E719" t="s">
        <v>1401</v>
      </c>
      <c r="F719" t="s">
        <v>1401</v>
      </c>
      <c r="G719" s="6">
        <v>46.41</v>
      </c>
      <c r="H719" s="6"/>
      <c r="I719" s="6">
        <f t="shared" si="55"/>
        <v>21.8127</v>
      </c>
      <c r="J719" s="6">
        <f t="shared" si="56"/>
        <v>23.205</v>
      </c>
      <c r="K719" s="6">
        <f t="shared" si="57"/>
        <v>25.5255</v>
      </c>
      <c r="L719" s="6">
        <f t="shared" si="58"/>
        <v>32.487</v>
      </c>
      <c r="M719" s="6">
        <f t="shared" si="59"/>
        <v>39.4485</v>
      </c>
    </row>
    <row r="720" spans="1:13">
      <c r="A720" t="s">
        <v>13</v>
      </c>
      <c r="B720" t="s">
        <v>1402</v>
      </c>
      <c r="C720" t="s">
        <v>1403</v>
      </c>
      <c r="D720" t="s">
        <v>1403</v>
      </c>
      <c r="E720" t="s">
        <v>1403</v>
      </c>
      <c r="F720" t="s">
        <v>1403</v>
      </c>
      <c r="G720" s="6">
        <v>58.45</v>
      </c>
      <c r="H720" s="6"/>
      <c r="I720" s="6">
        <f t="shared" si="55"/>
        <v>27.4715</v>
      </c>
      <c r="J720" s="6">
        <f t="shared" si="56"/>
        <v>29.225</v>
      </c>
      <c r="K720" s="6">
        <f t="shared" si="57"/>
        <v>32.1475</v>
      </c>
      <c r="L720" s="6">
        <f t="shared" si="58"/>
        <v>40.915</v>
      </c>
      <c r="M720" s="6">
        <f t="shared" si="59"/>
        <v>49.6825</v>
      </c>
    </row>
    <row r="721" spans="1:13">
      <c r="A721" t="s">
        <v>13</v>
      </c>
      <c r="B721" t="s">
        <v>1404</v>
      </c>
      <c r="C721" t="s">
        <v>1405</v>
      </c>
      <c r="D721" t="s">
        <v>1405</v>
      </c>
      <c r="E721" t="s">
        <v>1405</v>
      </c>
      <c r="F721" t="s">
        <v>1405</v>
      </c>
      <c r="G721" s="6">
        <v>73.03</v>
      </c>
      <c r="H721" s="6"/>
      <c r="I721" s="6">
        <f t="shared" si="55"/>
        <v>34.3241</v>
      </c>
      <c r="J721" s="6">
        <f t="shared" si="56"/>
        <v>36.515</v>
      </c>
      <c r="K721" s="6">
        <f t="shared" si="57"/>
        <v>40.1665</v>
      </c>
      <c r="L721" s="6">
        <f t="shared" si="58"/>
        <v>51.121</v>
      </c>
      <c r="M721" s="6">
        <f t="shared" si="59"/>
        <v>62.0755</v>
      </c>
    </row>
    <row r="722" spans="1:13">
      <c r="A722" t="s">
        <v>13</v>
      </c>
      <c r="B722" t="s">
        <v>1406</v>
      </c>
      <c r="C722" t="s">
        <v>1407</v>
      </c>
      <c r="D722" t="s">
        <v>1407</v>
      </c>
      <c r="E722" t="s">
        <v>1407</v>
      </c>
      <c r="F722" t="s">
        <v>1407</v>
      </c>
      <c r="G722" s="6">
        <v>94.96</v>
      </c>
      <c r="H722" s="6"/>
      <c r="I722" s="6">
        <f t="shared" si="55"/>
        <v>44.6312</v>
      </c>
      <c r="J722" s="6">
        <f t="shared" si="56"/>
        <v>47.48</v>
      </c>
      <c r="K722" s="6">
        <f t="shared" si="57"/>
        <v>52.228</v>
      </c>
      <c r="L722" s="6">
        <f t="shared" si="58"/>
        <v>66.472</v>
      </c>
      <c r="M722" s="6">
        <f t="shared" si="59"/>
        <v>80.716</v>
      </c>
    </row>
    <row r="723" spans="1:13">
      <c r="A723" t="s">
        <v>13</v>
      </c>
      <c r="B723" t="s">
        <v>1408</v>
      </c>
      <c r="C723" t="s">
        <v>1409</v>
      </c>
      <c r="D723" t="s">
        <v>1409</v>
      </c>
      <c r="E723" t="s">
        <v>1409</v>
      </c>
      <c r="F723" t="s">
        <v>1409</v>
      </c>
      <c r="G723" s="6">
        <v>124.03</v>
      </c>
      <c r="H723" s="6"/>
      <c r="I723" s="6">
        <f t="shared" si="55"/>
        <v>58.2941</v>
      </c>
      <c r="J723" s="6">
        <f t="shared" si="56"/>
        <v>62.015</v>
      </c>
      <c r="K723" s="6">
        <f t="shared" si="57"/>
        <v>68.2165</v>
      </c>
      <c r="L723" s="6">
        <f t="shared" si="58"/>
        <v>86.821</v>
      </c>
      <c r="M723" s="6">
        <f t="shared" si="59"/>
        <v>105.4255</v>
      </c>
    </row>
    <row r="724" spans="1:13">
      <c r="A724" t="s">
        <v>13</v>
      </c>
      <c r="B724" t="s">
        <v>1410</v>
      </c>
      <c r="C724" t="s">
        <v>1411</v>
      </c>
      <c r="D724" t="s">
        <v>1411</v>
      </c>
      <c r="E724" t="s">
        <v>1411</v>
      </c>
      <c r="F724" t="s">
        <v>1411</v>
      </c>
      <c r="G724" s="6">
        <v>170.34</v>
      </c>
      <c r="H724" s="6"/>
      <c r="I724" s="6">
        <f t="shared" si="55"/>
        <v>80.0598</v>
      </c>
      <c r="J724" s="6">
        <f t="shared" si="56"/>
        <v>85.17</v>
      </c>
      <c r="K724" s="6">
        <f t="shared" si="57"/>
        <v>93.687</v>
      </c>
      <c r="L724" s="6">
        <f t="shared" si="58"/>
        <v>119.238</v>
      </c>
      <c r="M724" s="6">
        <f t="shared" si="59"/>
        <v>144.789</v>
      </c>
    </row>
    <row r="725" spans="1:13">
      <c r="A725" t="s">
        <v>13</v>
      </c>
      <c r="B725" t="s">
        <v>1412</v>
      </c>
      <c r="C725" t="s">
        <v>1413</v>
      </c>
      <c r="D725" t="s">
        <v>1413</v>
      </c>
      <c r="E725" t="s">
        <v>1413</v>
      </c>
      <c r="F725" t="s">
        <v>1413</v>
      </c>
      <c r="G725" s="6">
        <v>58.75</v>
      </c>
      <c r="H725" s="6"/>
      <c r="I725" s="6">
        <f t="shared" si="55"/>
        <v>27.6125</v>
      </c>
      <c r="J725" s="6">
        <f t="shared" si="56"/>
        <v>29.375</v>
      </c>
      <c r="K725" s="6">
        <f t="shared" si="57"/>
        <v>32.3125</v>
      </c>
      <c r="L725" s="6">
        <f t="shared" si="58"/>
        <v>41.125</v>
      </c>
      <c r="M725" s="6">
        <f t="shared" si="59"/>
        <v>49.9375</v>
      </c>
    </row>
    <row r="726" spans="1:13">
      <c r="A726" t="s">
        <v>13</v>
      </c>
      <c r="B726" t="s">
        <v>1414</v>
      </c>
      <c r="C726" t="s">
        <v>1415</v>
      </c>
      <c r="D726" t="s">
        <v>1415</v>
      </c>
      <c r="E726" t="s">
        <v>1415</v>
      </c>
      <c r="F726" t="s">
        <v>1415</v>
      </c>
      <c r="G726" s="6">
        <v>148.82</v>
      </c>
      <c r="H726" s="6"/>
      <c r="I726" s="6">
        <f t="shared" si="55"/>
        <v>69.9454</v>
      </c>
      <c r="J726" s="6">
        <f t="shared" si="56"/>
        <v>74.41</v>
      </c>
      <c r="K726" s="6">
        <f t="shared" si="57"/>
        <v>81.851</v>
      </c>
      <c r="L726" s="6">
        <f t="shared" si="58"/>
        <v>104.174</v>
      </c>
      <c r="M726" s="6">
        <f t="shared" si="59"/>
        <v>126.497</v>
      </c>
    </row>
    <row r="727" spans="1:13">
      <c r="A727" t="s">
        <v>13</v>
      </c>
      <c r="B727" t="s">
        <v>1416</v>
      </c>
      <c r="C727" t="s">
        <v>1417</v>
      </c>
      <c r="D727" t="s">
        <v>1417</v>
      </c>
      <c r="E727" t="s">
        <v>1417</v>
      </c>
      <c r="F727" t="s">
        <v>1417</v>
      </c>
      <c r="G727" s="6">
        <v>177.28</v>
      </c>
      <c r="H727" s="6"/>
      <c r="I727" s="6">
        <f t="shared" si="55"/>
        <v>83.3216</v>
      </c>
      <c r="J727" s="6">
        <f t="shared" si="56"/>
        <v>88.64</v>
      </c>
      <c r="K727" s="6">
        <f t="shared" si="57"/>
        <v>97.504</v>
      </c>
      <c r="L727" s="6">
        <f t="shared" si="58"/>
        <v>124.096</v>
      </c>
      <c r="M727" s="6">
        <f t="shared" si="59"/>
        <v>150.688</v>
      </c>
    </row>
    <row r="728" spans="1:13">
      <c r="A728" t="s">
        <v>13</v>
      </c>
      <c r="B728" t="s">
        <v>1418</v>
      </c>
      <c r="C728" t="s">
        <v>1419</v>
      </c>
      <c r="D728" t="s">
        <v>1419</v>
      </c>
      <c r="E728" t="s">
        <v>1419</v>
      </c>
      <c r="F728" t="s">
        <v>1419</v>
      </c>
      <c r="G728" s="6">
        <v>284.27</v>
      </c>
      <c r="H728" s="6"/>
      <c r="I728" s="6">
        <f t="shared" si="55"/>
        <v>133.6069</v>
      </c>
      <c r="J728" s="6">
        <f t="shared" si="56"/>
        <v>142.135</v>
      </c>
      <c r="K728" s="6">
        <f t="shared" si="57"/>
        <v>156.3485</v>
      </c>
      <c r="L728" s="6">
        <f t="shared" si="58"/>
        <v>198.989</v>
      </c>
      <c r="M728" s="6">
        <f t="shared" si="59"/>
        <v>241.6295</v>
      </c>
    </row>
    <row r="729" spans="1:13">
      <c r="A729" t="s">
        <v>13</v>
      </c>
      <c r="B729" t="s">
        <v>1420</v>
      </c>
      <c r="C729" t="s">
        <v>1421</v>
      </c>
      <c r="D729" t="s">
        <v>1421</v>
      </c>
      <c r="E729" t="s">
        <v>1421</v>
      </c>
      <c r="F729" t="s">
        <v>1421</v>
      </c>
      <c r="G729" s="6">
        <v>284.27</v>
      </c>
      <c r="H729" s="6"/>
      <c r="I729" s="6">
        <f t="shared" si="55"/>
        <v>133.6069</v>
      </c>
      <c r="J729" s="6">
        <f t="shared" si="56"/>
        <v>142.135</v>
      </c>
      <c r="K729" s="6">
        <f t="shared" si="57"/>
        <v>156.3485</v>
      </c>
      <c r="L729" s="6">
        <f t="shared" si="58"/>
        <v>198.989</v>
      </c>
      <c r="M729" s="6">
        <f t="shared" si="59"/>
        <v>241.6295</v>
      </c>
    </row>
    <row r="730" spans="1:13">
      <c r="A730" t="s">
        <v>13</v>
      </c>
      <c r="B730" t="s">
        <v>1422</v>
      </c>
      <c r="C730" t="s">
        <v>1423</v>
      </c>
      <c r="D730" t="s">
        <v>1423</v>
      </c>
      <c r="E730" t="s">
        <v>1423</v>
      </c>
      <c r="F730" t="s">
        <v>1423</v>
      </c>
      <c r="G730" s="6">
        <v>284.27</v>
      </c>
      <c r="H730" s="6"/>
      <c r="I730" s="6">
        <f t="shared" si="55"/>
        <v>133.6069</v>
      </c>
      <c r="J730" s="6">
        <f t="shared" si="56"/>
        <v>142.135</v>
      </c>
      <c r="K730" s="6">
        <f t="shared" si="57"/>
        <v>156.3485</v>
      </c>
      <c r="L730" s="6">
        <f t="shared" si="58"/>
        <v>198.989</v>
      </c>
      <c r="M730" s="6">
        <f t="shared" si="59"/>
        <v>241.6295</v>
      </c>
    </row>
    <row r="731" spans="1:13">
      <c r="A731" t="s">
        <v>13</v>
      </c>
      <c r="B731" t="s">
        <v>1424</v>
      </c>
      <c r="C731" t="s">
        <v>1425</v>
      </c>
      <c r="D731" t="s">
        <v>1425</v>
      </c>
      <c r="E731" t="s">
        <v>1425</v>
      </c>
      <c r="F731" t="s">
        <v>1425</v>
      </c>
      <c r="G731" s="6">
        <v>284.27</v>
      </c>
      <c r="H731" s="6"/>
      <c r="I731" s="6">
        <f t="shared" si="55"/>
        <v>133.6069</v>
      </c>
      <c r="J731" s="6">
        <f t="shared" si="56"/>
        <v>142.135</v>
      </c>
      <c r="K731" s="6">
        <f t="shared" si="57"/>
        <v>156.3485</v>
      </c>
      <c r="L731" s="6">
        <f t="shared" si="58"/>
        <v>198.989</v>
      </c>
      <c r="M731" s="6">
        <f t="shared" si="59"/>
        <v>241.6295</v>
      </c>
    </row>
    <row r="732" spans="1:13">
      <c r="A732" t="s">
        <v>13</v>
      </c>
      <c r="B732" t="s">
        <v>1426</v>
      </c>
      <c r="C732" t="s">
        <v>1427</v>
      </c>
      <c r="D732" t="s">
        <v>1427</v>
      </c>
      <c r="E732" t="s">
        <v>1427</v>
      </c>
      <c r="F732" t="s">
        <v>1427</v>
      </c>
      <c r="G732" s="6">
        <v>353.12</v>
      </c>
      <c r="H732" s="6"/>
      <c r="I732" s="6">
        <f t="shared" si="55"/>
        <v>165.9664</v>
      </c>
      <c r="J732" s="6">
        <f t="shared" si="56"/>
        <v>176.56</v>
      </c>
      <c r="K732" s="6">
        <f t="shared" si="57"/>
        <v>194.216</v>
      </c>
      <c r="L732" s="6">
        <f t="shared" si="58"/>
        <v>247.184</v>
      </c>
      <c r="M732" s="6">
        <f t="shared" si="59"/>
        <v>300.152</v>
      </c>
    </row>
    <row r="733" spans="1:13">
      <c r="A733" t="s">
        <v>13</v>
      </c>
      <c r="B733" t="s">
        <v>1428</v>
      </c>
      <c r="C733" t="s">
        <v>1429</v>
      </c>
      <c r="D733" t="s">
        <v>1429</v>
      </c>
      <c r="E733" t="s">
        <v>1429</v>
      </c>
      <c r="F733" t="s">
        <v>1429</v>
      </c>
      <c r="G733" s="6">
        <v>819.77</v>
      </c>
      <c r="H733" s="6"/>
      <c r="I733" s="6">
        <f t="shared" si="55"/>
        <v>385.2919</v>
      </c>
      <c r="J733" s="6">
        <f t="shared" si="56"/>
        <v>409.885</v>
      </c>
      <c r="K733" s="6">
        <f t="shared" si="57"/>
        <v>450.8735</v>
      </c>
      <c r="L733" s="6">
        <f t="shared" si="58"/>
        <v>573.839</v>
      </c>
      <c r="M733" s="6">
        <f t="shared" si="59"/>
        <v>696.8045</v>
      </c>
    </row>
    <row r="734" spans="1:13">
      <c r="A734" t="s">
        <v>13</v>
      </c>
      <c r="B734" t="s">
        <v>1430</v>
      </c>
      <c r="C734" t="s">
        <v>1431</v>
      </c>
      <c r="D734" t="s">
        <v>1431</v>
      </c>
      <c r="E734" t="s">
        <v>1431</v>
      </c>
      <c r="F734" t="s">
        <v>1431</v>
      </c>
      <c r="G734" s="6">
        <v>1245.52</v>
      </c>
      <c r="H734" s="6"/>
      <c r="I734" s="6">
        <f t="shared" si="55"/>
        <v>585.3944</v>
      </c>
      <c r="J734" s="6">
        <f t="shared" si="56"/>
        <v>622.76</v>
      </c>
      <c r="K734" s="6">
        <f t="shared" si="57"/>
        <v>685.036</v>
      </c>
      <c r="L734" s="6">
        <f t="shared" si="58"/>
        <v>871.864</v>
      </c>
      <c r="M734" s="6">
        <f t="shared" si="59"/>
        <v>1058.692</v>
      </c>
    </row>
    <row r="735" spans="1:13">
      <c r="A735" t="s">
        <v>13</v>
      </c>
      <c r="B735" t="s">
        <v>1432</v>
      </c>
      <c r="C735" t="s">
        <v>1433</v>
      </c>
      <c r="D735" t="s">
        <v>1433</v>
      </c>
      <c r="E735" t="s">
        <v>1433</v>
      </c>
      <c r="F735" t="s">
        <v>1433</v>
      </c>
      <c r="G735" s="6">
        <v>1126.59</v>
      </c>
      <c r="H735" s="6"/>
      <c r="I735" s="6">
        <f t="shared" si="55"/>
        <v>529.4973</v>
      </c>
      <c r="J735" s="6">
        <f t="shared" si="56"/>
        <v>563.295</v>
      </c>
      <c r="K735" s="6">
        <f t="shared" si="57"/>
        <v>619.6245</v>
      </c>
      <c r="L735" s="6">
        <f t="shared" si="58"/>
        <v>788.613</v>
      </c>
      <c r="M735" s="6">
        <f t="shared" si="59"/>
        <v>957.6015</v>
      </c>
    </row>
    <row r="736" spans="1:13">
      <c r="A736" t="s">
        <v>13</v>
      </c>
      <c r="B736" t="s">
        <v>1434</v>
      </c>
      <c r="C736" t="s">
        <v>1435</v>
      </c>
      <c r="D736" t="s">
        <v>1435</v>
      </c>
      <c r="E736" t="s">
        <v>1435</v>
      </c>
      <c r="F736" t="s">
        <v>1435</v>
      </c>
      <c r="G736" s="6">
        <v>1616.39</v>
      </c>
      <c r="H736" s="6"/>
      <c r="I736" s="6">
        <f t="shared" si="55"/>
        <v>759.7033</v>
      </c>
      <c r="J736" s="6">
        <f t="shared" si="56"/>
        <v>808.195</v>
      </c>
      <c r="K736" s="6">
        <f t="shared" si="57"/>
        <v>889.0145</v>
      </c>
      <c r="L736" s="6">
        <f t="shared" si="58"/>
        <v>1131.473</v>
      </c>
      <c r="M736" s="6">
        <f t="shared" si="59"/>
        <v>1373.9315</v>
      </c>
    </row>
    <row r="737" spans="1:13">
      <c r="A737" t="s">
        <v>13</v>
      </c>
      <c r="B737" t="s">
        <v>1436</v>
      </c>
      <c r="C737" t="s">
        <v>1437</v>
      </c>
      <c r="D737" t="s">
        <v>1437</v>
      </c>
      <c r="E737" t="s">
        <v>1437</v>
      </c>
      <c r="F737" t="s">
        <v>1437</v>
      </c>
      <c r="G737" s="6">
        <v>161.77</v>
      </c>
      <c r="H737" s="6"/>
      <c r="I737" s="6">
        <f t="shared" si="55"/>
        <v>76.0319</v>
      </c>
      <c r="J737" s="6">
        <f t="shared" si="56"/>
        <v>80.885</v>
      </c>
      <c r="K737" s="6">
        <f t="shared" si="57"/>
        <v>88.9735</v>
      </c>
      <c r="L737" s="6">
        <f t="shared" si="58"/>
        <v>113.239</v>
      </c>
      <c r="M737" s="6">
        <f t="shared" si="59"/>
        <v>137.5045</v>
      </c>
    </row>
    <row r="738" spans="1:13">
      <c r="A738" t="s">
        <v>13</v>
      </c>
      <c r="B738" t="s">
        <v>1438</v>
      </c>
      <c r="C738" t="s">
        <v>1439</v>
      </c>
      <c r="D738" t="s">
        <v>1439</v>
      </c>
      <c r="E738" t="s">
        <v>1439</v>
      </c>
      <c r="F738" t="s">
        <v>1439</v>
      </c>
      <c r="G738" s="6">
        <v>204.61</v>
      </c>
      <c r="H738" s="6"/>
      <c r="I738" s="6">
        <f t="shared" si="55"/>
        <v>96.1667</v>
      </c>
      <c r="J738" s="6">
        <f t="shared" si="56"/>
        <v>102.305</v>
      </c>
      <c r="K738" s="6">
        <f t="shared" si="57"/>
        <v>112.5355</v>
      </c>
      <c r="L738" s="6">
        <f t="shared" si="58"/>
        <v>143.227</v>
      </c>
      <c r="M738" s="6">
        <f t="shared" si="59"/>
        <v>173.9185</v>
      </c>
    </row>
    <row r="739" spans="1:13">
      <c r="A739" t="s">
        <v>13</v>
      </c>
      <c r="B739" t="s">
        <v>1440</v>
      </c>
      <c r="C739" t="s">
        <v>1441</v>
      </c>
      <c r="D739" t="s">
        <v>1441</v>
      </c>
      <c r="E739" t="s">
        <v>1441</v>
      </c>
      <c r="F739" t="s">
        <v>1441</v>
      </c>
      <c r="G739" s="6">
        <v>411.88</v>
      </c>
      <c r="H739" s="6"/>
      <c r="I739" s="6">
        <f t="shared" si="55"/>
        <v>193.5836</v>
      </c>
      <c r="J739" s="6">
        <f t="shared" si="56"/>
        <v>205.94</v>
      </c>
      <c r="K739" s="6">
        <f t="shared" si="57"/>
        <v>226.534</v>
      </c>
      <c r="L739" s="6">
        <f t="shared" si="58"/>
        <v>288.316</v>
      </c>
      <c r="M739" s="6">
        <f t="shared" si="59"/>
        <v>350.098</v>
      </c>
    </row>
    <row r="740" spans="1:13">
      <c r="A740" t="s">
        <v>13</v>
      </c>
      <c r="B740" t="s">
        <v>1442</v>
      </c>
      <c r="C740" t="s">
        <v>1443</v>
      </c>
      <c r="D740" t="s">
        <v>1443</v>
      </c>
      <c r="E740" t="s">
        <v>1443</v>
      </c>
      <c r="F740" t="s">
        <v>1443</v>
      </c>
      <c r="G740" s="6">
        <v>885.97</v>
      </c>
      <c r="H740" s="6"/>
      <c r="I740" s="6">
        <f t="shared" si="55"/>
        <v>416.4059</v>
      </c>
      <c r="J740" s="6">
        <f t="shared" si="56"/>
        <v>442.985</v>
      </c>
      <c r="K740" s="6">
        <f t="shared" si="57"/>
        <v>487.2835</v>
      </c>
      <c r="L740" s="6">
        <f t="shared" si="58"/>
        <v>620.179</v>
      </c>
      <c r="M740" s="6">
        <f t="shared" si="59"/>
        <v>753.0745</v>
      </c>
    </row>
    <row r="741" spans="1:13">
      <c r="A741" t="s">
        <v>13</v>
      </c>
      <c r="B741" t="s">
        <v>1444</v>
      </c>
      <c r="C741" t="s">
        <v>1445</v>
      </c>
      <c r="D741" t="s">
        <v>1445</v>
      </c>
      <c r="E741" t="s">
        <v>1445</v>
      </c>
      <c r="F741" t="s">
        <v>1445</v>
      </c>
      <c r="G741" s="6">
        <v>1391.48</v>
      </c>
      <c r="H741" s="6"/>
      <c r="I741" s="6">
        <f t="shared" si="55"/>
        <v>653.9956</v>
      </c>
      <c r="J741" s="6">
        <f t="shared" si="56"/>
        <v>695.74</v>
      </c>
      <c r="K741" s="6">
        <f t="shared" si="57"/>
        <v>765.314</v>
      </c>
      <c r="L741" s="6">
        <f t="shared" si="58"/>
        <v>974.036</v>
      </c>
      <c r="M741" s="6">
        <f t="shared" si="59"/>
        <v>1182.758</v>
      </c>
    </row>
    <row r="742" spans="1:13">
      <c r="A742" t="s">
        <v>13</v>
      </c>
      <c r="B742" t="s">
        <v>1446</v>
      </c>
      <c r="C742" t="s">
        <v>1447</v>
      </c>
      <c r="D742" t="s">
        <v>1447</v>
      </c>
      <c r="E742" t="s">
        <v>1447</v>
      </c>
      <c r="F742" t="s">
        <v>1447</v>
      </c>
      <c r="G742" s="6">
        <v>70.69</v>
      </c>
      <c r="H742" s="6"/>
      <c r="I742" s="6">
        <f t="shared" si="55"/>
        <v>33.2243</v>
      </c>
      <c r="J742" s="6">
        <f t="shared" si="56"/>
        <v>35.345</v>
      </c>
      <c r="K742" s="6">
        <f t="shared" si="57"/>
        <v>38.8795</v>
      </c>
      <c r="L742" s="6">
        <f t="shared" si="58"/>
        <v>49.483</v>
      </c>
      <c r="M742" s="6">
        <f t="shared" si="59"/>
        <v>60.0865</v>
      </c>
    </row>
    <row r="743" spans="1:13">
      <c r="A743" t="s">
        <v>13</v>
      </c>
      <c r="B743" t="s">
        <v>1448</v>
      </c>
      <c r="C743" t="s">
        <v>1449</v>
      </c>
      <c r="D743" t="s">
        <v>1449</v>
      </c>
      <c r="E743" t="s">
        <v>1449</v>
      </c>
      <c r="F743" t="s">
        <v>1449</v>
      </c>
      <c r="G743" s="6">
        <v>80.68</v>
      </c>
      <c r="H743" s="6"/>
      <c r="I743" s="6">
        <f t="shared" si="55"/>
        <v>37.9196</v>
      </c>
      <c r="J743" s="6">
        <f t="shared" si="56"/>
        <v>40.34</v>
      </c>
      <c r="K743" s="6">
        <f t="shared" si="57"/>
        <v>44.374</v>
      </c>
      <c r="L743" s="6">
        <f t="shared" si="58"/>
        <v>56.476</v>
      </c>
      <c r="M743" s="6">
        <f t="shared" si="59"/>
        <v>68.578</v>
      </c>
    </row>
    <row r="744" spans="1:13">
      <c r="A744" t="s">
        <v>13</v>
      </c>
      <c r="B744" t="s">
        <v>1450</v>
      </c>
      <c r="C744" t="s">
        <v>1451</v>
      </c>
      <c r="D744" t="s">
        <v>1451</v>
      </c>
      <c r="E744" t="s">
        <v>1451</v>
      </c>
      <c r="F744" t="s">
        <v>1451</v>
      </c>
      <c r="G744" s="6">
        <v>99.55</v>
      </c>
      <c r="H744" s="6"/>
      <c r="I744" s="6">
        <f t="shared" si="55"/>
        <v>46.7885</v>
      </c>
      <c r="J744" s="6">
        <f t="shared" si="56"/>
        <v>49.775</v>
      </c>
      <c r="K744" s="6">
        <f t="shared" si="57"/>
        <v>54.7525</v>
      </c>
      <c r="L744" s="6">
        <f t="shared" si="58"/>
        <v>69.685</v>
      </c>
      <c r="M744" s="6">
        <f t="shared" si="59"/>
        <v>84.6175</v>
      </c>
    </row>
    <row r="745" spans="1:13">
      <c r="A745" t="s">
        <v>13</v>
      </c>
      <c r="B745" t="s">
        <v>1452</v>
      </c>
      <c r="C745" t="s">
        <v>1453</v>
      </c>
      <c r="D745" t="s">
        <v>1453</v>
      </c>
      <c r="E745" t="s">
        <v>1453</v>
      </c>
      <c r="F745" t="s">
        <v>1453</v>
      </c>
      <c r="G745" s="6">
        <v>438.19</v>
      </c>
      <c r="H745" s="6"/>
      <c r="I745" s="6">
        <f t="shared" si="55"/>
        <v>205.9493</v>
      </c>
      <c r="J745" s="6">
        <f t="shared" si="56"/>
        <v>219.095</v>
      </c>
      <c r="K745" s="6">
        <f t="shared" si="57"/>
        <v>241.0045</v>
      </c>
      <c r="L745" s="6">
        <f t="shared" si="58"/>
        <v>306.733</v>
      </c>
      <c r="M745" s="6">
        <f t="shared" si="59"/>
        <v>372.4615</v>
      </c>
    </row>
    <row r="746" spans="1:13">
      <c r="A746" t="s">
        <v>13</v>
      </c>
      <c r="B746" t="s">
        <v>1454</v>
      </c>
      <c r="C746" t="s">
        <v>1455</v>
      </c>
      <c r="D746" t="s">
        <v>1455</v>
      </c>
      <c r="E746" t="s">
        <v>1455</v>
      </c>
      <c r="F746" t="s">
        <v>1455</v>
      </c>
      <c r="G746" s="6">
        <v>657.19</v>
      </c>
      <c r="H746" s="6"/>
      <c r="I746" s="6">
        <f t="shared" si="55"/>
        <v>308.8793</v>
      </c>
      <c r="J746" s="6">
        <f t="shared" si="56"/>
        <v>328.595</v>
      </c>
      <c r="K746" s="6">
        <f t="shared" si="57"/>
        <v>361.4545</v>
      </c>
      <c r="L746" s="6">
        <f t="shared" si="58"/>
        <v>460.033</v>
      </c>
      <c r="M746" s="6">
        <f t="shared" si="59"/>
        <v>558.6115</v>
      </c>
    </row>
    <row r="747" spans="1:13">
      <c r="A747" t="s">
        <v>13</v>
      </c>
      <c r="B747" t="s">
        <v>1456</v>
      </c>
      <c r="C747" t="s">
        <v>1457</v>
      </c>
      <c r="D747" t="s">
        <v>1457</v>
      </c>
      <c r="E747" t="s">
        <v>1457</v>
      </c>
      <c r="F747" t="s">
        <v>1457</v>
      </c>
      <c r="G747" s="6">
        <v>1163.31</v>
      </c>
      <c r="H747" s="6"/>
      <c r="I747" s="6">
        <f t="shared" si="55"/>
        <v>546.7557</v>
      </c>
      <c r="J747" s="6">
        <f t="shared" si="56"/>
        <v>581.655</v>
      </c>
      <c r="K747" s="6">
        <f t="shared" si="57"/>
        <v>639.8205</v>
      </c>
      <c r="L747" s="6">
        <f t="shared" si="58"/>
        <v>814.317</v>
      </c>
      <c r="M747" s="6">
        <f t="shared" si="59"/>
        <v>988.8135</v>
      </c>
    </row>
    <row r="748" spans="1:13">
      <c r="A748" t="s">
        <v>13</v>
      </c>
      <c r="B748" t="s">
        <v>1458</v>
      </c>
      <c r="C748" t="s">
        <v>1459</v>
      </c>
      <c r="D748" t="s">
        <v>1459</v>
      </c>
      <c r="E748" t="s">
        <v>1459</v>
      </c>
      <c r="F748" t="s">
        <v>1459</v>
      </c>
      <c r="G748" s="6">
        <v>2106.3</v>
      </c>
      <c r="H748" s="6"/>
      <c r="I748" s="6">
        <f t="shared" si="55"/>
        <v>989.961</v>
      </c>
      <c r="J748" s="6">
        <f t="shared" si="56"/>
        <v>1053.15</v>
      </c>
      <c r="K748" s="6">
        <f t="shared" si="57"/>
        <v>1158.465</v>
      </c>
      <c r="L748" s="6">
        <f t="shared" si="58"/>
        <v>1474.41</v>
      </c>
      <c r="M748" s="6">
        <f t="shared" si="59"/>
        <v>1790.355</v>
      </c>
    </row>
    <row r="749" spans="1:13">
      <c r="A749" t="s">
        <v>13</v>
      </c>
      <c r="B749" t="s">
        <v>1460</v>
      </c>
      <c r="C749" t="s">
        <v>1461</v>
      </c>
      <c r="D749" t="s">
        <v>1461</v>
      </c>
      <c r="E749" t="s">
        <v>1461</v>
      </c>
      <c r="F749" t="s">
        <v>1461</v>
      </c>
      <c r="G749" s="6">
        <v>3222.18</v>
      </c>
      <c r="H749" s="6"/>
      <c r="I749" s="6">
        <f t="shared" si="55"/>
        <v>1514.4246</v>
      </c>
      <c r="J749" s="6">
        <f t="shared" si="56"/>
        <v>1611.09</v>
      </c>
      <c r="K749" s="6">
        <f t="shared" si="57"/>
        <v>1772.199</v>
      </c>
      <c r="L749" s="6">
        <f t="shared" si="58"/>
        <v>2255.526</v>
      </c>
      <c r="M749" s="6">
        <f t="shared" si="59"/>
        <v>2738.853</v>
      </c>
    </row>
    <row r="750" spans="1:13">
      <c r="A750" t="s">
        <v>13</v>
      </c>
      <c r="B750" t="s">
        <v>1462</v>
      </c>
      <c r="C750" t="s">
        <v>1463</v>
      </c>
      <c r="D750" t="s">
        <v>1463</v>
      </c>
      <c r="E750" t="s">
        <v>1463</v>
      </c>
      <c r="F750" t="s">
        <v>1463</v>
      </c>
      <c r="G750" s="6">
        <v>101.18</v>
      </c>
      <c r="H750" s="6"/>
      <c r="I750" s="6">
        <f t="shared" si="55"/>
        <v>47.5546</v>
      </c>
      <c r="J750" s="6">
        <f t="shared" si="56"/>
        <v>50.59</v>
      </c>
      <c r="K750" s="6">
        <f t="shared" si="57"/>
        <v>55.649</v>
      </c>
      <c r="L750" s="6">
        <f t="shared" si="58"/>
        <v>70.826</v>
      </c>
      <c r="M750" s="6">
        <f t="shared" si="59"/>
        <v>86.003</v>
      </c>
    </row>
    <row r="751" spans="1:13">
      <c r="A751" t="s">
        <v>13</v>
      </c>
      <c r="B751" t="s">
        <v>1464</v>
      </c>
      <c r="C751" t="s">
        <v>1465</v>
      </c>
      <c r="D751" t="s">
        <v>1465</v>
      </c>
      <c r="E751" t="s">
        <v>1465</v>
      </c>
      <c r="F751" t="s">
        <v>1465</v>
      </c>
      <c r="G751" s="6">
        <v>237.05</v>
      </c>
      <c r="H751" s="6"/>
      <c r="I751" s="6">
        <f t="shared" si="55"/>
        <v>111.4135</v>
      </c>
      <c r="J751" s="6">
        <f t="shared" si="56"/>
        <v>118.525</v>
      </c>
      <c r="K751" s="6">
        <f t="shared" si="57"/>
        <v>130.3775</v>
      </c>
      <c r="L751" s="6">
        <f t="shared" si="58"/>
        <v>165.935</v>
      </c>
      <c r="M751" s="6">
        <f t="shared" si="59"/>
        <v>201.4925</v>
      </c>
    </row>
    <row r="752" spans="1:13">
      <c r="A752" t="s">
        <v>13</v>
      </c>
      <c r="B752" t="s">
        <v>1466</v>
      </c>
      <c r="C752" t="s">
        <v>1467</v>
      </c>
      <c r="D752" t="s">
        <v>1467</v>
      </c>
      <c r="E752" t="s">
        <v>1467</v>
      </c>
      <c r="F752" t="s">
        <v>1467</v>
      </c>
      <c r="G752" s="6">
        <v>282.85</v>
      </c>
      <c r="H752" s="6"/>
      <c r="I752" s="6">
        <f t="shared" si="55"/>
        <v>132.9395</v>
      </c>
      <c r="J752" s="6">
        <f t="shared" si="56"/>
        <v>141.425</v>
      </c>
      <c r="K752" s="6">
        <f t="shared" si="57"/>
        <v>155.5675</v>
      </c>
      <c r="L752" s="6">
        <f t="shared" si="58"/>
        <v>197.995</v>
      </c>
      <c r="M752" s="6">
        <f t="shared" si="59"/>
        <v>240.4225</v>
      </c>
    </row>
    <row r="753" spans="1:13">
      <c r="A753" t="s">
        <v>13</v>
      </c>
      <c r="B753" t="s">
        <v>1468</v>
      </c>
      <c r="C753" t="s">
        <v>1469</v>
      </c>
      <c r="D753" t="s">
        <v>1469</v>
      </c>
      <c r="E753" t="s">
        <v>1469</v>
      </c>
      <c r="F753" t="s">
        <v>1469</v>
      </c>
      <c r="G753" s="6">
        <v>584.46</v>
      </c>
      <c r="H753" s="6"/>
      <c r="I753" s="6">
        <f t="shared" si="55"/>
        <v>274.6962</v>
      </c>
      <c r="J753" s="6">
        <f t="shared" si="56"/>
        <v>292.23</v>
      </c>
      <c r="K753" s="6">
        <f t="shared" si="57"/>
        <v>321.453</v>
      </c>
      <c r="L753" s="6">
        <f t="shared" si="58"/>
        <v>409.122</v>
      </c>
      <c r="M753" s="6">
        <f t="shared" si="59"/>
        <v>496.791</v>
      </c>
    </row>
    <row r="754" spans="1:13">
      <c r="A754" t="s">
        <v>13</v>
      </c>
      <c r="B754" t="s">
        <v>1470</v>
      </c>
      <c r="C754" t="s">
        <v>1471</v>
      </c>
      <c r="D754" t="s">
        <v>1471</v>
      </c>
      <c r="E754" t="s">
        <v>1471</v>
      </c>
      <c r="F754" t="s">
        <v>1471</v>
      </c>
      <c r="G754" s="6">
        <v>113.53</v>
      </c>
      <c r="H754" s="6"/>
      <c r="I754" s="6">
        <f t="shared" si="55"/>
        <v>53.3591</v>
      </c>
      <c r="J754" s="6">
        <f t="shared" si="56"/>
        <v>56.765</v>
      </c>
      <c r="K754" s="6">
        <f t="shared" si="57"/>
        <v>62.4415</v>
      </c>
      <c r="L754" s="6">
        <f t="shared" si="58"/>
        <v>79.471</v>
      </c>
      <c r="M754" s="6">
        <f t="shared" si="59"/>
        <v>96.5005</v>
      </c>
    </row>
    <row r="755" spans="1:13">
      <c r="A755" t="s">
        <v>13</v>
      </c>
      <c r="B755" t="s">
        <v>1472</v>
      </c>
      <c r="C755" t="s">
        <v>1473</v>
      </c>
      <c r="D755" t="s">
        <v>1473</v>
      </c>
      <c r="E755" t="s">
        <v>1473</v>
      </c>
      <c r="F755" t="s">
        <v>1473</v>
      </c>
      <c r="G755" s="6">
        <v>250.1</v>
      </c>
      <c r="H755" s="6"/>
      <c r="I755" s="6">
        <f t="shared" si="55"/>
        <v>117.547</v>
      </c>
      <c r="J755" s="6">
        <f t="shared" si="56"/>
        <v>125.05</v>
      </c>
      <c r="K755" s="6">
        <f t="shared" si="57"/>
        <v>137.555</v>
      </c>
      <c r="L755" s="6">
        <f t="shared" si="58"/>
        <v>175.07</v>
      </c>
      <c r="M755" s="6">
        <f t="shared" si="59"/>
        <v>212.585</v>
      </c>
    </row>
    <row r="756" spans="1:13">
      <c r="A756" t="s">
        <v>13</v>
      </c>
      <c r="B756" t="s">
        <v>1474</v>
      </c>
      <c r="C756" t="s">
        <v>1475</v>
      </c>
      <c r="D756" t="s">
        <v>1475</v>
      </c>
      <c r="E756" t="s">
        <v>1475</v>
      </c>
      <c r="F756" t="s">
        <v>1475</v>
      </c>
      <c r="G756" s="6">
        <v>294.47</v>
      </c>
      <c r="H756" s="6"/>
      <c r="I756" s="6">
        <f t="shared" si="55"/>
        <v>138.4009</v>
      </c>
      <c r="J756" s="6">
        <f t="shared" si="56"/>
        <v>147.235</v>
      </c>
      <c r="K756" s="6">
        <f t="shared" si="57"/>
        <v>161.9585</v>
      </c>
      <c r="L756" s="6">
        <f t="shared" si="58"/>
        <v>206.129</v>
      </c>
      <c r="M756" s="6">
        <f t="shared" si="59"/>
        <v>250.2995</v>
      </c>
    </row>
    <row r="757" spans="1:13">
      <c r="A757" t="s">
        <v>13</v>
      </c>
      <c r="B757" t="s">
        <v>1476</v>
      </c>
      <c r="C757" t="s">
        <v>1477</v>
      </c>
      <c r="D757" t="s">
        <v>1477</v>
      </c>
      <c r="E757" t="s">
        <v>1477</v>
      </c>
      <c r="F757" t="s">
        <v>1477</v>
      </c>
      <c r="G757" s="6">
        <v>672.18</v>
      </c>
      <c r="H757" s="6"/>
      <c r="I757" s="6">
        <f t="shared" si="55"/>
        <v>315.9246</v>
      </c>
      <c r="J757" s="6">
        <f t="shared" si="56"/>
        <v>336.09</v>
      </c>
      <c r="K757" s="6">
        <f t="shared" si="57"/>
        <v>369.699</v>
      </c>
      <c r="L757" s="6">
        <f t="shared" si="58"/>
        <v>470.526</v>
      </c>
      <c r="M757" s="6">
        <f t="shared" si="59"/>
        <v>571.353</v>
      </c>
    </row>
    <row r="758" spans="1:13">
      <c r="A758" t="s">
        <v>13</v>
      </c>
      <c r="B758" t="s">
        <v>1478</v>
      </c>
      <c r="C758" t="s">
        <v>1479</v>
      </c>
      <c r="D758" t="s">
        <v>1479</v>
      </c>
      <c r="E758" t="s">
        <v>1479</v>
      </c>
      <c r="F758" t="s">
        <v>1479</v>
      </c>
      <c r="G758" s="6">
        <v>178.91</v>
      </c>
      <c r="H758" s="6"/>
      <c r="I758" s="6">
        <f t="shared" si="55"/>
        <v>84.0877</v>
      </c>
      <c r="J758" s="6">
        <f t="shared" si="56"/>
        <v>89.455</v>
      </c>
      <c r="K758" s="6">
        <f t="shared" si="57"/>
        <v>98.4005</v>
      </c>
      <c r="L758" s="6">
        <f t="shared" si="58"/>
        <v>125.237</v>
      </c>
      <c r="M758" s="6">
        <f t="shared" si="59"/>
        <v>152.0735</v>
      </c>
    </row>
    <row r="759" spans="1:13">
      <c r="A759" t="s">
        <v>13</v>
      </c>
      <c r="B759" t="s">
        <v>1480</v>
      </c>
      <c r="C759" t="s">
        <v>1481</v>
      </c>
      <c r="D759" t="s">
        <v>1481</v>
      </c>
      <c r="E759" t="s">
        <v>1481</v>
      </c>
      <c r="F759" t="s">
        <v>1481</v>
      </c>
      <c r="G759" s="6">
        <v>255.51</v>
      </c>
      <c r="H759" s="6"/>
      <c r="I759" s="6">
        <f t="shared" si="55"/>
        <v>120.0897</v>
      </c>
      <c r="J759" s="6">
        <f t="shared" si="56"/>
        <v>127.755</v>
      </c>
      <c r="K759" s="6">
        <f t="shared" si="57"/>
        <v>140.5305</v>
      </c>
      <c r="L759" s="6">
        <f t="shared" si="58"/>
        <v>178.857</v>
      </c>
      <c r="M759" s="6">
        <f t="shared" si="59"/>
        <v>217.1835</v>
      </c>
    </row>
    <row r="760" spans="1:13">
      <c r="A760" t="s">
        <v>13</v>
      </c>
      <c r="B760" t="s">
        <v>1482</v>
      </c>
      <c r="C760" t="s">
        <v>1483</v>
      </c>
      <c r="D760" t="s">
        <v>1483</v>
      </c>
      <c r="E760" t="s">
        <v>1483</v>
      </c>
      <c r="F760" t="s">
        <v>1483</v>
      </c>
      <c r="G760" s="6">
        <v>317.12</v>
      </c>
      <c r="H760" s="6"/>
      <c r="I760" s="6">
        <f t="shared" si="55"/>
        <v>149.0464</v>
      </c>
      <c r="J760" s="6">
        <f t="shared" si="56"/>
        <v>158.56</v>
      </c>
      <c r="K760" s="6">
        <f t="shared" si="57"/>
        <v>174.416</v>
      </c>
      <c r="L760" s="6">
        <f t="shared" si="58"/>
        <v>221.984</v>
      </c>
      <c r="M760" s="6">
        <f t="shared" si="59"/>
        <v>269.552</v>
      </c>
    </row>
    <row r="761" spans="1:13">
      <c r="A761" t="s">
        <v>13</v>
      </c>
      <c r="B761" t="s">
        <v>1484</v>
      </c>
      <c r="C761" t="s">
        <v>1485</v>
      </c>
      <c r="D761" t="s">
        <v>1485</v>
      </c>
      <c r="E761" t="s">
        <v>1485</v>
      </c>
      <c r="F761" t="s">
        <v>1485</v>
      </c>
      <c r="G761" s="6">
        <v>401.37</v>
      </c>
      <c r="H761" s="6"/>
      <c r="I761" s="6">
        <f t="shared" si="55"/>
        <v>188.6439</v>
      </c>
      <c r="J761" s="6">
        <f t="shared" si="56"/>
        <v>200.685</v>
      </c>
      <c r="K761" s="6">
        <f t="shared" si="57"/>
        <v>220.7535</v>
      </c>
      <c r="L761" s="6">
        <f t="shared" si="58"/>
        <v>280.959</v>
      </c>
      <c r="M761" s="6">
        <f t="shared" si="59"/>
        <v>341.1645</v>
      </c>
    </row>
    <row r="762" spans="1:13">
      <c r="A762" t="s">
        <v>13</v>
      </c>
      <c r="B762" t="s">
        <v>1486</v>
      </c>
      <c r="C762" t="s">
        <v>1487</v>
      </c>
      <c r="D762" t="s">
        <v>1487</v>
      </c>
      <c r="E762" t="s">
        <v>1487</v>
      </c>
      <c r="F762" t="s">
        <v>1487</v>
      </c>
      <c r="G762" s="6">
        <v>905.25</v>
      </c>
      <c r="H762" s="6"/>
      <c r="I762" s="6">
        <f t="shared" si="55"/>
        <v>425.4675</v>
      </c>
      <c r="J762" s="6">
        <f t="shared" si="56"/>
        <v>452.625</v>
      </c>
      <c r="K762" s="6">
        <f t="shared" si="57"/>
        <v>497.8875</v>
      </c>
      <c r="L762" s="6">
        <f t="shared" si="58"/>
        <v>633.675</v>
      </c>
      <c r="M762" s="6">
        <f t="shared" si="59"/>
        <v>769.4625</v>
      </c>
    </row>
    <row r="763" spans="1:13">
      <c r="A763" t="s">
        <v>13</v>
      </c>
      <c r="B763" t="s">
        <v>1488</v>
      </c>
      <c r="C763" t="s">
        <v>1489</v>
      </c>
      <c r="D763" t="s">
        <v>1489</v>
      </c>
      <c r="E763" t="s">
        <v>1489</v>
      </c>
      <c r="F763" t="s">
        <v>1489</v>
      </c>
      <c r="G763" s="6">
        <v>214.61</v>
      </c>
      <c r="H763" s="6"/>
      <c r="I763" s="6">
        <f t="shared" si="55"/>
        <v>100.8667</v>
      </c>
      <c r="J763" s="6">
        <f t="shared" si="56"/>
        <v>107.305</v>
      </c>
      <c r="K763" s="6">
        <f t="shared" si="57"/>
        <v>118.0355</v>
      </c>
      <c r="L763" s="6">
        <f t="shared" si="58"/>
        <v>150.227</v>
      </c>
      <c r="M763" s="6">
        <f t="shared" si="59"/>
        <v>182.4185</v>
      </c>
    </row>
    <row r="764" spans="1:13">
      <c r="A764" t="s">
        <v>13</v>
      </c>
      <c r="B764" t="s">
        <v>1490</v>
      </c>
      <c r="C764" t="s">
        <v>1491</v>
      </c>
      <c r="D764" t="s">
        <v>1491</v>
      </c>
      <c r="E764" t="s">
        <v>1491</v>
      </c>
      <c r="F764" t="s">
        <v>1491</v>
      </c>
      <c r="G764" s="6">
        <v>80.68</v>
      </c>
      <c r="H764" s="6"/>
      <c r="I764" s="6">
        <f t="shared" si="55"/>
        <v>37.9196</v>
      </c>
      <c r="J764" s="6">
        <f t="shared" si="56"/>
        <v>40.34</v>
      </c>
      <c r="K764" s="6">
        <f t="shared" si="57"/>
        <v>44.374</v>
      </c>
      <c r="L764" s="6">
        <f t="shared" si="58"/>
        <v>56.476</v>
      </c>
      <c r="M764" s="6">
        <f t="shared" si="59"/>
        <v>68.578</v>
      </c>
    </row>
    <row r="765" spans="1:13">
      <c r="A765" t="s">
        <v>13</v>
      </c>
      <c r="B765" t="s">
        <v>1492</v>
      </c>
      <c r="C765" t="s">
        <v>1493</v>
      </c>
      <c r="D765" t="s">
        <v>1493</v>
      </c>
      <c r="E765" t="s">
        <v>1493</v>
      </c>
      <c r="F765" t="s">
        <v>1493</v>
      </c>
      <c r="G765" s="6">
        <v>103.53</v>
      </c>
      <c r="H765" s="6"/>
      <c r="I765" s="6">
        <f t="shared" si="55"/>
        <v>48.6591</v>
      </c>
      <c r="J765" s="6">
        <f t="shared" si="56"/>
        <v>51.765</v>
      </c>
      <c r="K765" s="6">
        <f t="shared" si="57"/>
        <v>56.9415</v>
      </c>
      <c r="L765" s="6">
        <f t="shared" si="58"/>
        <v>72.471</v>
      </c>
      <c r="M765" s="6">
        <f t="shared" si="59"/>
        <v>88.0005</v>
      </c>
    </row>
    <row r="766" spans="1:13">
      <c r="A766" t="s">
        <v>13</v>
      </c>
      <c r="B766" t="s">
        <v>1494</v>
      </c>
      <c r="C766" t="s">
        <v>1495</v>
      </c>
      <c r="D766" t="s">
        <v>1495</v>
      </c>
      <c r="E766" t="s">
        <v>1495</v>
      </c>
      <c r="F766" t="s">
        <v>1495</v>
      </c>
      <c r="G766" s="6">
        <v>338.95</v>
      </c>
      <c r="H766" s="6"/>
      <c r="I766" s="6">
        <f t="shared" si="55"/>
        <v>159.3065</v>
      </c>
      <c r="J766" s="6">
        <f t="shared" si="56"/>
        <v>169.475</v>
      </c>
      <c r="K766" s="6">
        <f t="shared" si="57"/>
        <v>186.4225</v>
      </c>
      <c r="L766" s="6">
        <f t="shared" si="58"/>
        <v>237.265</v>
      </c>
      <c r="M766" s="6">
        <f t="shared" si="59"/>
        <v>288.1075</v>
      </c>
    </row>
    <row r="767" spans="1:13">
      <c r="A767" t="s">
        <v>13</v>
      </c>
      <c r="B767" t="s">
        <v>1496</v>
      </c>
      <c r="C767" t="s">
        <v>1497</v>
      </c>
      <c r="D767" t="s">
        <v>1497</v>
      </c>
      <c r="E767" t="s">
        <v>1497</v>
      </c>
      <c r="F767" t="s">
        <v>1497</v>
      </c>
      <c r="G767" s="6">
        <v>198.19</v>
      </c>
      <c r="H767" s="6"/>
      <c r="I767" s="6">
        <f t="shared" si="55"/>
        <v>93.1493</v>
      </c>
      <c r="J767" s="6">
        <f t="shared" si="56"/>
        <v>99.095</v>
      </c>
      <c r="K767" s="6">
        <f t="shared" si="57"/>
        <v>109.0045</v>
      </c>
      <c r="L767" s="6">
        <f t="shared" si="58"/>
        <v>138.733</v>
      </c>
      <c r="M767" s="6">
        <f t="shared" si="59"/>
        <v>168.4615</v>
      </c>
    </row>
    <row r="768" spans="1:13">
      <c r="A768" t="s">
        <v>13</v>
      </c>
      <c r="B768" t="s">
        <v>1498</v>
      </c>
      <c r="C768" t="s">
        <v>1499</v>
      </c>
      <c r="D768" t="s">
        <v>1499</v>
      </c>
      <c r="E768" t="s">
        <v>1499</v>
      </c>
      <c r="F768" t="s">
        <v>1499</v>
      </c>
      <c r="G768" s="6">
        <v>508.27</v>
      </c>
      <c r="H768" s="6"/>
      <c r="I768" s="6">
        <f t="shared" si="55"/>
        <v>238.8869</v>
      </c>
      <c r="J768" s="6">
        <f t="shared" si="56"/>
        <v>254.135</v>
      </c>
      <c r="K768" s="6">
        <f t="shared" si="57"/>
        <v>279.5485</v>
      </c>
      <c r="L768" s="6">
        <f t="shared" si="58"/>
        <v>355.789</v>
      </c>
      <c r="M768" s="6">
        <f t="shared" si="59"/>
        <v>432.0295</v>
      </c>
    </row>
    <row r="769" spans="1:13">
      <c r="A769" t="s">
        <v>13</v>
      </c>
      <c r="B769" t="s">
        <v>1500</v>
      </c>
      <c r="C769" t="s">
        <v>1501</v>
      </c>
      <c r="D769" t="s">
        <v>1501</v>
      </c>
      <c r="E769" t="s">
        <v>1501</v>
      </c>
      <c r="F769" t="s">
        <v>1501</v>
      </c>
      <c r="G769" s="6">
        <v>505.82</v>
      </c>
      <c r="H769" s="6"/>
      <c r="I769" s="6">
        <f t="shared" si="55"/>
        <v>237.7354</v>
      </c>
      <c r="J769" s="6">
        <f t="shared" si="56"/>
        <v>252.91</v>
      </c>
      <c r="K769" s="6">
        <f t="shared" si="57"/>
        <v>278.201</v>
      </c>
      <c r="L769" s="6">
        <f t="shared" si="58"/>
        <v>354.074</v>
      </c>
      <c r="M769" s="6">
        <f t="shared" si="59"/>
        <v>429.947</v>
      </c>
    </row>
    <row r="770" spans="1:13">
      <c r="A770" t="s">
        <v>13</v>
      </c>
      <c r="B770" t="s">
        <v>1502</v>
      </c>
      <c r="C770" t="s">
        <v>1503</v>
      </c>
      <c r="D770" t="s">
        <v>1503</v>
      </c>
      <c r="E770" t="s">
        <v>1503</v>
      </c>
      <c r="F770" t="s">
        <v>1503</v>
      </c>
      <c r="G770" s="6">
        <v>693.4</v>
      </c>
      <c r="H770" s="6"/>
      <c r="I770" s="6">
        <f t="shared" si="55"/>
        <v>325.898</v>
      </c>
      <c r="J770" s="6">
        <f t="shared" si="56"/>
        <v>346.7</v>
      </c>
      <c r="K770" s="6">
        <f t="shared" si="57"/>
        <v>381.37</v>
      </c>
      <c r="L770" s="6">
        <f t="shared" si="58"/>
        <v>485.38</v>
      </c>
      <c r="M770" s="6">
        <f t="shared" si="59"/>
        <v>589.39</v>
      </c>
    </row>
    <row r="771" spans="1:13">
      <c r="A771" t="s">
        <v>13</v>
      </c>
      <c r="B771" t="s">
        <v>1504</v>
      </c>
      <c r="C771" t="s">
        <v>1505</v>
      </c>
      <c r="D771" t="s">
        <v>1505</v>
      </c>
      <c r="E771" t="s">
        <v>1505</v>
      </c>
      <c r="F771" t="s">
        <v>1505</v>
      </c>
      <c r="G771" s="6">
        <v>951.35</v>
      </c>
      <c r="H771" s="6"/>
      <c r="I771" s="6">
        <f t="shared" si="55"/>
        <v>447.1345</v>
      </c>
      <c r="J771" s="6">
        <f t="shared" si="56"/>
        <v>475.675</v>
      </c>
      <c r="K771" s="6">
        <f t="shared" si="57"/>
        <v>523.2425</v>
      </c>
      <c r="L771" s="6">
        <f t="shared" si="58"/>
        <v>665.945</v>
      </c>
      <c r="M771" s="6">
        <f t="shared" si="59"/>
        <v>808.6475</v>
      </c>
    </row>
    <row r="772" spans="1:13">
      <c r="A772" t="s">
        <v>13</v>
      </c>
      <c r="B772" t="s">
        <v>1506</v>
      </c>
      <c r="C772" t="s">
        <v>1507</v>
      </c>
      <c r="D772" t="s">
        <v>1507</v>
      </c>
      <c r="E772" t="s">
        <v>1507</v>
      </c>
      <c r="F772" t="s">
        <v>1507</v>
      </c>
      <c r="G772" s="6">
        <v>1342.83</v>
      </c>
      <c r="H772" s="6"/>
      <c r="I772" s="6">
        <f t="shared" ref="I772:I835" si="60">G772*0.47</f>
        <v>631.1301</v>
      </c>
      <c r="J772" s="6">
        <f t="shared" ref="J772:J835" si="61">G772*0.5</f>
        <v>671.415</v>
      </c>
      <c r="K772" s="6">
        <f t="shared" ref="K772:K835" si="62">G772*0.55</f>
        <v>738.5565</v>
      </c>
      <c r="L772" s="6">
        <f t="shared" ref="L772:L835" si="63">G772*0.7</f>
        <v>939.981</v>
      </c>
      <c r="M772" s="6">
        <f t="shared" ref="M772:M835" si="64">G772*0.85</f>
        <v>1141.4055</v>
      </c>
    </row>
    <row r="773" spans="1:13">
      <c r="A773" t="s">
        <v>13</v>
      </c>
      <c r="B773" t="s">
        <v>1508</v>
      </c>
      <c r="C773" t="s">
        <v>1509</v>
      </c>
      <c r="D773" t="s">
        <v>1509</v>
      </c>
      <c r="E773" t="s">
        <v>1509</v>
      </c>
      <c r="F773" t="s">
        <v>1509</v>
      </c>
      <c r="G773" s="6">
        <v>102</v>
      </c>
      <c r="H773" s="6"/>
      <c r="I773" s="6">
        <f t="shared" si="60"/>
        <v>47.94</v>
      </c>
      <c r="J773" s="6">
        <f t="shared" si="61"/>
        <v>51</v>
      </c>
      <c r="K773" s="6">
        <f t="shared" si="62"/>
        <v>56.1</v>
      </c>
      <c r="L773" s="6">
        <f t="shared" si="63"/>
        <v>71.4</v>
      </c>
      <c r="M773" s="6">
        <f t="shared" si="64"/>
        <v>86.7</v>
      </c>
    </row>
    <row r="774" spans="1:13">
      <c r="A774" t="s">
        <v>13</v>
      </c>
      <c r="B774" t="s">
        <v>1510</v>
      </c>
      <c r="C774" t="s">
        <v>1511</v>
      </c>
      <c r="D774" t="s">
        <v>1511</v>
      </c>
      <c r="E774" t="s">
        <v>1511</v>
      </c>
      <c r="F774" t="s">
        <v>1511</v>
      </c>
      <c r="G774" s="6">
        <v>102</v>
      </c>
      <c r="H774" s="6"/>
      <c r="I774" s="6">
        <f t="shared" si="60"/>
        <v>47.94</v>
      </c>
      <c r="J774" s="6">
        <f t="shared" si="61"/>
        <v>51</v>
      </c>
      <c r="K774" s="6">
        <f t="shared" si="62"/>
        <v>56.1</v>
      </c>
      <c r="L774" s="6">
        <f t="shared" si="63"/>
        <v>71.4</v>
      </c>
      <c r="M774" s="6">
        <f t="shared" si="64"/>
        <v>86.7</v>
      </c>
    </row>
    <row r="775" spans="1:13">
      <c r="A775" t="s">
        <v>13</v>
      </c>
      <c r="B775" t="s">
        <v>1512</v>
      </c>
      <c r="C775" t="s">
        <v>1513</v>
      </c>
      <c r="D775" t="s">
        <v>1513</v>
      </c>
      <c r="E775" t="s">
        <v>1513</v>
      </c>
      <c r="F775" t="s">
        <v>1513</v>
      </c>
      <c r="G775" s="6">
        <v>142.28</v>
      </c>
      <c r="H775" s="6"/>
      <c r="I775" s="6">
        <f t="shared" si="60"/>
        <v>66.8716</v>
      </c>
      <c r="J775" s="6">
        <f t="shared" si="61"/>
        <v>71.14</v>
      </c>
      <c r="K775" s="6">
        <f t="shared" si="62"/>
        <v>78.254</v>
      </c>
      <c r="L775" s="6">
        <f t="shared" si="63"/>
        <v>99.596</v>
      </c>
      <c r="M775" s="6">
        <f t="shared" si="64"/>
        <v>120.938</v>
      </c>
    </row>
    <row r="776" spans="1:13">
      <c r="A776" t="s">
        <v>13</v>
      </c>
      <c r="B776" t="s">
        <v>1514</v>
      </c>
      <c r="C776" t="s">
        <v>1513</v>
      </c>
      <c r="D776" t="s">
        <v>1513</v>
      </c>
      <c r="E776" t="s">
        <v>1513</v>
      </c>
      <c r="F776" t="s">
        <v>1513</v>
      </c>
      <c r="G776" s="6">
        <v>142.28</v>
      </c>
      <c r="H776" s="6"/>
      <c r="I776" s="6">
        <f t="shared" si="60"/>
        <v>66.8716</v>
      </c>
      <c r="J776" s="6">
        <f t="shared" si="61"/>
        <v>71.14</v>
      </c>
      <c r="K776" s="6">
        <f t="shared" si="62"/>
        <v>78.254</v>
      </c>
      <c r="L776" s="6">
        <f t="shared" si="63"/>
        <v>99.596</v>
      </c>
      <c r="M776" s="6">
        <f t="shared" si="64"/>
        <v>120.938</v>
      </c>
    </row>
    <row r="777" spans="1:13">
      <c r="A777" t="s">
        <v>13</v>
      </c>
      <c r="B777" t="s">
        <v>1515</v>
      </c>
      <c r="C777" t="s">
        <v>1516</v>
      </c>
      <c r="D777" t="s">
        <v>1516</v>
      </c>
      <c r="E777" t="s">
        <v>1516</v>
      </c>
      <c r="F777" t="s">
        <v>1516</v>
      </c>
      <c r="G777" s="6">
        <v>181.15</v>
      </c>
      <c r="H777" s="6"/>
      <c r="I777" s="6">
        <f t="shared" si="60"/>
        <v>85.1405</v>
      </c>
      <c r="J777" s="6">
        <f t="shared" si="61"/>
        <v>90.575</v>
      </c>
      <c r="K777" s="6">
        <f t="shared" si="62"/>
        <v>99.6325</v>
      </c>
      <c r="L777" s="6">
        <f t="shared" si="63"/>
        <v>126.805</v>
      </c>
      <c r="M777" s="6">
        <f t="shared" si="64"/>
        <v>153.9775</v>
      </c>
    </row>
    <row r="778" spans="1:13">
      <c r="A778" t="s">
        <v>13</v>
      </c>
      <c r="B778" t="s">
        <v>1517</v>
      </c>
      <c r="C778" t="s">
        <v>1518</v>
      </c>
      <c r="D778" t="s">
        <v>1518</v>
      </c>
      <c r="E778" t="s">
        <v>1518</v>
      </c>
      <c r="F778" t="s">
        <v>1518</v>
      </c>
      <c r="G778" s="6">
        <v>181.15</v>
      </c>
      <c r="H778" s="6"/>
      <c r="I778" s="6">
        <f t="shared" si="60"/>
        <v>85.1405</v>
      </c>
      <c r="J778" s="6">
        <f t="shared" si="61"/>
        <v>90.575</v>
      </c>
      <c r="K778" s="6">
        <f t="shared" si="62"/>
        <v>99.6325</v>
      </c>
      <c r="L778" s="6">
        <f t="shared" si="63"/>
        <v>126.805</v>
      </c>
      <c r="M778" s="6">
        <f t="shared" si="64"/>
        <v>153.9775</v>
      </c>
    </row>
    <row r="779" spans="1:13">
      <c r="A779" t="s">
        <v>13</v>
      </c>
      <c r="B779" t="s">
        <v>1519</v>
      </c>
      <c r="C779" t="s">
        <v>1520</v>
      </c>
      <c r="D779" t="s">
        <v>1520</v>
      </c>
      <c r="E779" t="s">
        <v>1520</v>
      </c>
      <c r="F779" t="s">
        <v>1520</v>
      </c>
      <c r="G779" s="6">
        <v>320.69</v>
      </c>
      <c r="H779" s="6"/>
      <c r="I779" s="6">
        <f t="shared" si="60"/>
        <v>150.7243</v>
      </c>
      <c r="J779" s="6">
        <f t="shared" si="61"/>
        <v>160.345</v>
      </c>
      <c r="K779" s="6">
        <f t="shared" si="62"/>
        <v>176.3795</v>
      </c>
      <c r="L779" s="6">
        <f t="shared" si="63"/>
        <v>224.483</v>
      </c>
      <c r="M779" s="6">
        <f t="shared" si="64"/>
        <v>272.5865</v>
      </c>
    </row>
    <row r="780" spans="1:13">
      <c r="A780" t="s">
        <v>13</v>
      </c>
      <c r="B780" t="s">
        <v>1521</v>
      </c>
      <c r="C780" t="s">
        <v>1522</v>
      </c>
      <c r="D780" t="s">
        <v>1522</v>
      </c>
      <c r="E780" t="s">
        <v>1522</v>
      </c>
      <c r="F780" t="s">
        <v>1522</v>
      </c>
      <c r="G780" s="6">
        <v>320.69</v>
      </c>
      <c r="H780" s="6"/>
      <c r="I780" s="6">
        <f t="shared" si="60"/>
        <v>150.7243</v>
      </c>
      <c r="J780" s="6">
        <f t="shared" si="61"/>
        <v>160.345</v>
      </c>
      <c r="K780" s="6">
        <f t="shared" si="62"/>
        <v>176.3795</v>
      </c>
      <c r="L780" s="6">
        <f t="shared" si="63"/>
        <v>224.483</v>
      </c>
      <c r="M780" s="6">
        <f t="shared" si="64"/>
        <v>272.5865</v>
      </c>
    </row>
    <row r="781" spans="1:13">
      <c r="A781" t="s">
        <v>13</v>
      </c>
      <c r="B781" t="s">
        <v>1523</v>
      </c>
      <c r="C781" t="s">
        <v>1524</v>
      </c>
      <c r="D781" t="s">
        <v>1524</v>
      </c>
      <c r="E781" t="s">
        <v>1524</v>
      </c>
      <c r="F781" t="s">
        <v>1524</v>
      </c>
      <c r="G781" s="6">
        <v>183.63</v>
      </c>
      <c r="H781" s="6"/>
      <c r="I781" s="6">
        <f t="shared" si="60"/>
        <v>86.3061</v>
      </c>
      <c r="J781" s="6">
        <f t="shared" si="61"/>
        <v>91.815</v>
      </c>
      <c r="K781" s="6">
        <f t="shared" si="62"/>
        <v>100.9965</v>
      </c>
      <c r="L781" s="6">
        <f t="shared" si="63"/>
        <v>128.541</v>
      </c>
      <c r="M781" s="6">
        <f t="shared" si="64"/>
        <v>156.0855</v>
      </c>
    </row>
    <row r="782" spans="1:13">
      <c r="A782" t="s">
        <v>13</v>
      </c>
      <c r="B782" t="s">
        <v>1525</v>
      </c>
      <c r="C782" t="s">
        <v>1526</v>
      </c>
      <c r="D782" t="s">
        <v>1526</v>
      </c>
      <c r="E782" t="s">
        <v>1526</v>
      </c>
      <c r="F782" t="s">
        <v>1526</v>
      </c>
      <c r="G782" s="6">
        <v>183.63</v>
      </c>
      <c r="H782" s="6"/>
      <c r="I782" s="6">
        <f t="shared" si="60"/>
        <v>86.3061</v>
      </c>
      <c r="J782" s="6">
        <f t="shared" si="61"/>
        <v>91.815</v>
      </c>
      <c r="K782" s="6">
        <f t="shared" si="62"/>
        <v>100.9965</v>
      </c>
      <c r="L782" s="6">
        <f t="shared" si="63"/>
        <v>128.541</v>
      </c>
      <c r="M782" s="6">
        <f t="shared" si="64"/>
        <v>156.0855</v>
      </c>
    </row>
    <row r="783" spans="1:13">
      <c r="A783" t="s">
        <v>13</v>
      </c>
      <c r="B783" t="s">
        <v>1527</v>
      </c>
      <c r="C783" t="s">
        <v>1528</v>
      </c>
      <c r="D783" t="s">
        <v>1528</v>
      </c>
      <c r="E783" t="s">
        <v>1528</v>
      </c>
      <c r="F783" t="s">
        <v>1528</v>
      </c>
      <c r="G783" s="6">
        <v>250.95</v>
      </c>
      <c r="H783" s="6"/>
      <c r="I783" s="6">
        <f t="shared" si="60"/>
        <v>117.9465</v>
      </c>
      <c r="J783" s="6">
        <f t="shared" si="61"/>
        <v>125.475</v>
      </c>
      <c r="K783" s="6">
        <f t="shared" si="62"/>
        <v>138.0225</v>
      </c>
      <c r="L783" s="6">
        <f t="shared" si="63"/>
        <v>175.665</v>
      </c>
      <c r="M783" s="6">
        <f t="shared" si="64"/>
        <v>213.3075</v>
      </c>
    </row>
    <row r="784" spans="1:13">
      <c r="A784" t="s">
        <v>13</v>
      </c>
      <c r="B784" t="s">
        <v>1529</v>
      </c>
      <c r="C784" t="s">
        <v>1528</v>
      </c>
      <c r="D784" t="s">
        <v>1528</v>
      </c>
      <c r="E784" t="s">
        <v>1528</v>
      </c>
      <c r="F784" t="s">
        <v>1528</v>
      </c>
      <c r="G784" s="6">
        <v>250.95</v>
      </c>
      <c r="H784" s="6"/>
      <c r="I784" s="6">
        <f t="shared" si="60"/>
        <v>117.9465</v>
      </c>
      <c r="J784" s="6">
        <f t="shared" si="61"/>
        <v>125.475</v>
      </c>
      <c r="K784" s="6">
        <f t="shared" si="62"/>
        <v>138.0225</v>
      </c>
      <c r="L784" s="6">
        <f t="shared" si="63"/>
        <v>175.665</v>
      </c>
      <c r="M784" s="6">
        <f t="shared" si="64"/>
        <v>213.3075</v>
      </c>
    </row>
    <row r="785" spans="1:13">
      <c r="A785" t="s">
        <v>13</v>
      </c>
      <c r="B785" t="s">
        <v>1530</v>
      </c>
      <c r="C785" t="s">
        <v>1531</v>
      </c>
      <c r="D785" t="s">
        <v>1531</v>
      </c>
      <c r="E785" t="s">
        <v>1531</v>
      </c>
      <c r="F785" t="s">
        <v>1531</v>
      </c>
      <c r="G785" s="6">
        <v>293.15</v>
      </c>
      <c r="H785" s="6"/>
      <c r="I785" s="6">
        <f t="shared" si="60"/>
        <v>137.7805</v>
      </c>
      <c r="J785" s="6">
        <f t="shared" si="61"/>
        <v>146.575</v>
      </c>
      <c r="K785" s="6">
        <f t="shared" si="62"/>
        <v>161.2325</v>
      </c>
      <c r="L785" s="6">
        <f t="shared" si="63"/>
        <v>205.205</v>
      </c>
      <c r="M785" s="6">
        <f t="shared" si="64"/>
        <v>249.1775</v>
      </c>
    </row>
    <row r="786" spans="1:13">
      <c r="A786" t="s">
        <v>13</v>
      </c>
      <c r="B786" t="s">
        <v>1532</v>
      </c>
      <c r="C786" t="s">
        <v>1533</v>
      </c>
      <c r="D786" t="s">
        <v>1533</v>
      </c>
      <c r="E786" t="s">
        <v>1533</v>
      </c>
      <c r="F786" t="s">
        <v>1533</v>
      </c>
      <c r="G786" s="6">
        <v>293.15</v>
      </c>
      <c r="H786" s="6"/>
      <c r="I786" s="6">
        <f t="shared" si="60"/>
        <v>137.7805</v>
      </c>
      <c r="J786" s="6">
        <f t="shared" si="61"/>
        <v>146.575</v>
      </c>
      <c r="K786" s="6">
        <f t="shared" si="62"/>
        <v>161.2325</v>
      </c>
      <c r="L786" s="6">
        <f t="shared" si="63"/>
        <v>205.205</v>
      </c>
      <c r="M786" s="6">
        <f t="shared" si="64"/>
        <v>249.1775</v>
      </c>
    </row>
    <row r="787" spans="1:13">
      <c r="A787" t="s">
        <v>13</v>
      </c>
      <c r="B787" t="s">
        <v>1534</v>
      </c>
      <c r="C787" t="s">
        <v>1535</v>
      </c>
      <c r="D787" t="s">
        <v>1535</v>
      </c>
      <c r="E787" t="s">
        <v>1535</v>
      </c>
      <c r="F787" t="s">
        <v>1535</v>
      </c>
      <c r="G787" s="6">
        <v>592.93</v>
      </c>
      <c r="H787" s="6"/>
      <c r="I787" s="6">
        <f t="shared" si="60"/>
        <v>278.6771</v>
      </c>
      <c r="J787" s="6">
        <f t="shared" si="61"/>
        <v>296.465</v>
      </c>
      <c r="K787" s="6">
        <f t="shared" si="62"/>
        <v>326.1115</v>
      </c>
      <c r="L787" s="6">
        <f t="shared" si="63"/>
        <v>415.051</v>
      </c>
      <c r="M787" s="6">
        <f t="shared" si="64"/>
        <v>503.9905</v>
      </c>
    </row>
    <row r="788" spans="1:13">
      <c r="A788" t="s">
        <v>13</v>
      </c>
      <c r="B788" t="s">
        <v>1536</v>
      </c>
      <c r="C788" t="s">
        <v>1537</v>
      </c>
      <c r="D788" t="s">
        <v>1537</v>
      </c>
      <c r="E788" t="s">
        <v>1537</v>
      </c>
      <c r="F788" t="s">
        <v>1537</v>
      </c>
      <c r="G788" s="6">
        <v>592.93</v>
      </c>
      <c r="H788" s="6"/>
      <c r="I788" s="6">
        <f t="shared" si="60"/>
        <v>278.6771</v>
      </c>
      <c r="J788" s="6">
        <f t="shared" si="61"/>
        <v>296.465</v>
      </c>
      <c r="K788" s="6">
        <f t="shared" si="62"/>
        <v>326.1115</v>
      </c>
      <c r="L788" s="6">
        <f t="shared" si="63"/>
        <v>415.051</v>
      </c>
      <c r="M788" s="6">
        <f t="shared" si="64"/>
        <v>503.9905</v>
      </c>
    </row>
    <row r="789" spans="1:13">
      <c r="A789" t="s">
        <v>13</v>
      </c>
      <c r="B789" t="s">
        <v>1538</v>
      </c>
      <c r="C789" t="s">
        <v>1539</v>
      </c>
      <c r="D789" t="s">
        <v>1539</v>
      </c>
      <c r="E789" t="s">
        <v>1539</v>
      </c>
      <c r="F789" t="s">
        <v>1539</v>
      </c>
      <c r="G789" s="6">
        <v>12.74</v>
      </c>
      <c r="H789" s="6"/>
      <c r="I789" s="6">
        <f t="shared" si="60"/>
        <v>5.9878</v>
      </c>
      <c r="J789" s="6">
        <f t="shared" si="61"/>
        <v>6.37</v>
      </c>
      <c r="K789" s="6">
        <f t="shared" si="62"/>
        <v>7.007</v>
      </c>
      <c r="L789" s="6">
        <f t="shared" si="63"/>
        <v>8.918</v>
      </c>
      <c r="M789" s="6">
        <f t="shared" si="64"/>
        <v>10.829</v>
      </c>
    </row>
    <row r="790" spans="1:13">
      <c r="A790" t="s">
        <v>13</v>
      </c>
      <c r="B790" t="s">
        <v>1540</v>
      </c>
      <c r="C790" t="s">
        <v>1541</v>
      </c>
      <c r="D790" t="s">
        <v>1541</v>
      </c>
      <c r="E790" t="s">
        <v>1541</v>
      </c>
      <c r="F790" t="s">
        <v>1541</v>
      </c>
      <c r="G790" s="6">
        <v>30.45</v>
      </c>
      <c r="H790" s="6"/>
      <c r="I790" s="6">
        <f t="shared" si="60"/>
        <v>14.3115</v>
      </c>
      <c r="J790" s="6">
        <f t="shared" si="61"/>
        <v>15.225</v>
      </c>
      <c r="K790" s="6">
        <f t="shared" si="62"/>
        <v>16.7475</v>
      </c>
      <c r="L790" s="6">
        <f t="shared" si="63"/>
        <v>21.315</v>
      </c>
      <c r="M790" s="6">
        <f t="shared" si="64"/>
        <v>25.8825</v>
      </c>
    </row>
    <row r="791" spans="1:13">
      <c r="A791" t="s">
        <v>13</v>
      </c>
      <c r="B791" t="s">
        <v>1542</v>
      </c>
      <c r="C791" t="s">
        <v>1543</v>
      </c>
      <c r="D791" t="s">
        <v>1543</v>
      </c>
      <c r="E791" t="s">
        <v>1543</v>
      </c>
      <c r="F791" t="s">
        <v>1543</v>
      </c>
      <c r="G791" s="6">
        <v>30.45</v>
      </c>
      <c r="H791" s="6"/>
      <c r="I791" s="6">
        <f t="shared" si="60"/>
        <v>14.3115</v>
      </c>
      <c r="J791" s="6">
        <f t="shared" si="61"/>
        <v>15.225</v>
      </c>
      <c r="K791" s="6">
        <f t="shared" si="62"/>
        <v>16.7475</v>
      </c>
      <c r="L791" s="6">
        <f t="shared" si="63"/>
        <v>21.315</v>
      </c>
      <c r="M791" s="6">
        <f t="shared" si="64"/>
        <v>25.8825</v>
      </c>
    </row>
    <row r="792" spans="1:13">
      <c r="A792" t="s">
        <v>13</v>
      </c>
      <c r="B792" t="s">
        <v>1544</v>
      </c>
      <c r="C792" t="s">
        <v>1545</v>
      </c>
      <c r="D792" t="s">
        <v>1545</v>
      </c>
      <c r="E792" t="s">
        <v>1545</v>
      </c>
      <c r="F792" t="s">
        <v>1545</v>
      </c>
      <c r="G792" s="6">
        <v>36.3</v>
      </c>
      <c r="H792" s="6"/>
      <c r="I792" s="6">
        <f t="shared" si="60"/>
        <v>17.061</v>
      </c>
      <c r="J792" s="6">
        <f t="shared" si="61"/>
        <v>18.15</v>
      </c>
      <c r="K792" s="6">
        <f t="shared" si="62"/>
        <v>19.965</v>
      </c>
      <c r="L792" s="6">
        <f t="shared" si="63"/>
        <v>25.41</v>
      </c>
      <c r="M792" s="6">
        <f t="shared" si="64"/>
        <v>30.855</v>
      </c>
    </row>
    <row r="793" spans="1:13">
      <c r="A793" t="s">
        <v>13</v>
      </c>
      <c r="B793" t="s">
        <v>1546</v>
      </c>
      <c r="C793" t="s">
        <v>1547</v>
      </c>
      <c r="D793" t="s">
        <v>1547</v>
      </c>
      <c r="E793" t="s">
        <v>1547</v>
      </c>
      <c r="F793" t="s">
        <v>1547</v>
      </c>
      <c r="G793" s="6">
        <v>36.3</v>
      </c>
      <c r="H793" s="6"/>
      <c r="I793" s="6">
        <f t="shared" si="60"/>
        <v>17.061</v>
      </c>
      <c r="J793" s="6">
        <f t="shared" si="61"/>
        <v>18.15</v>
      </c>
      <c r="K793" s="6">
        <f t="shared" si="62"/>
        <v>19.965</v>
      </c>
      <c r="L793" s="6">
        <f t="shared" si="63"/>
        <v>25.41</v>
      </c>
      <c r="M793" s="6">
        <f t="shared" si="64"/>
        <v>30.855</v>
      </c>
    </row>
    <row r="794" spans="1:13">
      <c r="A794" t="s">
        <v>13</v>
      </c>
      <c r="B794" t="s">
        <v>1548</v>
      </c>
      <c r="C794" t="s">
        <v>1549</v>
      </c>
      <c r="D794" t="s">
        <v>1549</v>
      </c>
      <c r="E794" t="s">
        <v>1549</v>
      </c>
      <c r="F794" t="s">
        <v>1549</v>
      </c>
      <c r="G794" s="6">
        <v>130.24</v>
      </c>
      <c r="H794" s="6"/>
      <c r="I794" s="6">
        <f t="shared" si="60"/>
        <v>61.2128</v>
      </c>
      <c r="J794" s="6">
        <f t="shared" si="61"/>
        <v>65.12</v>
      </c>
      <c r="K794" s="6">
        <f t="shared" si="62"/>
        <v>71.632</v>
      </c>
      <c r="L794" s="6">
        <f t="shared" si="63"/>
        <v>91.168</v>
      </c>
      <c r="M794" s="6">
        <f t="shared" si="64"/>
        <v>110.704</v>
      </c>
    </row>
    <row r="795" spans="1:13">
      <c r="A795" t="s">
        <v>13</v>
      </c>
      <c r="B795" t="s">
        <v>1550</v>
      </c>
      <c r="C795" t="s">
        <v>1551</v>
      </c>
      <c r="D795" t="s">
        <v>1551</v>
      </c>
      <c r="E795" t="s">
        <v>1551</v>
      </c>
      <c r="F795" t="s">
        <v>1551</v>
      </c>
      <c r="G795" s="6">
        <v>153.12</v>
      </c>
      <c r="H795" s="6"/>
      <c r="I795" s="6">
        <f t="shared" si="60"/>
        <v>71.9664</v>
      </c>
      <c r="J795" s="6">
        <f t="shared" si="61"/>
        <v>76.56</v>
      </c>
      <c r="K795" s="6">
        <f t="shared" si="62"/>
        <v>84.216</v>
      </c>
      <c r="L795" s="6">
        <f t="shared" si="63"/>
        <v>107.184</v>
      </c>
      <c r="M795" s="6">
        <f t="shared" si="64"/>
        <v>130.152</v>
      </c>
    </row>
    <row r="796" spans="1:13">
      <c r="A796" t="s">
        <v>13</v>
      </c>
      <c r="B796" t="s">
        <v>1552</v>
      </c>
      <c r="C796" t="s">
        <v>1553</v>
      </c>
      <c r="D796" t="s">
        <v>1553</v>
      </c>
      <c r="E796" t="s">
        <v>1553</v>
      </c>
      <c r="F796" t="s">
        <v>1553</v>
      </c>
      <c r="G796" s="6">
        <v>144.98</v>
      </c>
      <c r="H796" s="6"/>
      <c r="I796" s="6">
        <f t="shared" si="60"/>
        <v>68.1406</v>
      </c>
      <c r="J796" s="6">
        <f t="shared" si="61"/>
        <v>72.49</v>
      </c>
      <c r="K796" s="6">
        <f t="shared" si="62"/>
        <v>79.739</v>
      </c>
      <c r="L796" s="6">
        <f t="shared" si="63"/>
        <v>101.486</v>
      </c>
      <c r="M796" s="6">
        <f t="shared" si="64"/>
        <v>123.233</v>
      </c>
    </row>
    <row r="797" spans="1:13">
      <c r="A797" t="s">
        <v>13</v>
      </c>
      <c r="B797" t="s">
        <v>1554</v>
      </c>
      <c r="C797" t="s">
        <v>1555</v>
      </c>
      <c r="D797" t="s">
        <v>1555</v>
      </c>
      <c r="E797" t="s">
        <v>1555</v>
      </c>
      <c r="F797" t="s">
        <v>1555</v>
      </c>
      <c r="G797" s="6">
        <v>215.02</v>
      </c>
      <c r="H797" s="6"/>
      <c r="I797" s="6">
        <f t="shared" si="60"/>
        <v>101.0594</v>
      </c>
      <c r="J797" s="6">
        <f t="shared" si="61"/>
        <v>107.51</v>
      </c>
      <c r="K797" s="6">
        <f t="shared" si="62"/>
        <v>118.261</v>
      </c>
      <c r="L797" s="6">
        <f t="shared" si="63"/>
        <v>150.514</v>
      </c>
      <c r="M797" s="6">
        <f t="shared" si="64"/>
        <v>182.767</v>
      </c>
    </row>
    <row r="798" spans="1:13">
      <c r="A798" t="s">
        <v>13</v>
      </c>
      <c r="B798" t="s">
        <v>1556</v>
      </c>
      <c r="C798" t="s">
        <v>1557</v>
      </c>
      <c r="D798" t="s">
        <v>1557</v>
      </c>
      <c r="E798" t="s">
        <v>1557</v>
      </c>
      <c r="F798" t="s">
        <v>1557</v>
      </c>
      <c r="G798" s="6">
        <v>168.1</v>
      </c>
      <c r="H798" s="6"/>
      <c r="I798" s="6">
        <f t="shared" si="60"/>
        <v>79.007</v>
      </c>
      <c r="J798" s="6">
        <f t="shared" si="61"/>
        <v>84.05</v>
      </c>
      <c r="K798" s="6">
        <f t="shared" si="62"/>
        <v>92.455</v>
      </c>
      <c r="L798" s="6">
        <f t="shared" si="63"/>
        <v>117.67</v>
      </c>
      <c r="M798" s="6">
        <f t="shared" si="64"/>
        <v>142.885</v>
      </c>
    </row>
    <row r="799" spans="1:13">
      <c r="A799" t="s">
        <v>13</v>
      </c>
      <c r="B799" t="s">
        <v>1558</v>
      </c>
      <c r="C799" t="s">
        <v>1559</v>
      </c>
      <c r="D799" t="s">
        <v>1559</v>
      </c>
      <c r="E799" t="s">
        <v>1559</v>
      </c>
      <c r="F799" t="s">
        <v>1559</v>
      </c>
      <c r="G799" s="6">
        <v>195.43</v>
      </c>
      <c r="H799" s="6"/>
      <c r="I799" s="6">
        <f t="shared" si="60"/>
        <v>91.8521</v>
      </c>
      <c r="J799" s="6">
        <f t="shared" si="61"/>
        <v>97.715</v>
      </c>
      <c r="K799" s="6">
        <f t="shared" si="62"/>
        <v>107.4865</v>
      </c>
      <c r="L799" s="6">
        <f t="shared" si="63"/>
        <v>136.801</v>
      </c>
      <c r="M799" s="6">
        <f t="shared" si="64"/>
        <v>166.1155</v>
      </c>
    </row>
    <row r="800" spans="1:13">
      <c r="A800" t="s">
        <v>13</v>
      </c>
      <c r="B800" t="s">
        <v>1560</v>
      </c>
      <c r="C800" t="s">
        <v>1561</v>
      </c>
      <c r="D800" t="s">
        <v>1561</v>
      </c>
      <c r="E800" t="s">
        <v>1561</v>
      </c>
      <c r="F800" t="s">
        <v>1561</v>
      </c>
      <c r="G800" s="6">
        <v>187.88</v>
      </c>
      <c r="H800" s="6"/>
      <c r="I800" s="6">
        <f t="shared" si="60"/>
        <v>88.3036</v>
      </c>
      <c r="J800" s="6">
        <f t="shared" si="61"/>
        <v>93.94</v>
      </c>
      <c r="K800" s="6">
        <f t="shared" si="62"/>
        <v>103.334</v>
      </c>
      <c r="L800" s="6">
        <f t="shared" si="63"/>
        <v>131.516</v>
      </c>
      <c r="M800" s="6">
        <f t="shared" si="64"/>
        <v>159.698</v>
      </c>
    </row>
    <row r="801" spans="1:13">
      <c r="A801" t="s">
        <v>13</v>
      </c>
      <c r="B801" t="s">
        <v>1562</v>
      </c>
      <c r="C801" t="s">
        <v>1563</v>
      </c>
      <c r="D801" t="s">
        <v>1563</v>
      </c>
      <c r="E801" t="s">
        <v>1563</v>
      </c>
      <c r="F801" t="s">
        <v>1563</v>
      </c>
      <c r="G801" s="6">
        <v>261.94</v>
      </c>
      <c r="H801" s="6"/>
      <c r="I801" s="6">
        <f t="shared" si="60"/>
        <v>123.1118</v>
      </c>
      <c r="J801" s="6">
        <f t="shared" si="61"/>
        <v>130.97</v>
      </c>
      <c r="K801" s="6">
        <f t="shared" si="62"/>
        <v>144.067</v>
      </c>
      <c r="L801" s="6">
        <f t="shared" si="63"/>
        <v>183.358</v>
      </c>
      <c r="M801" s="6">
        <f t="shared" si="64"/>
        <v>222.649</v>
      </c>
    </row>
    <row r="802" spans="1:13">
      <c r="A802" t="s">
        <v>13</v>
      </c>
      <c r="B802" t="s">
        <v>1564</v>
      </c>
      <c r="C802" t="s">
        <v>1565</v>
      </c>
      <c r="D802" t="s">
        <v>1565</v>
      </c>
      <c r="E802" t="s">
        <v>1565</v>
      </c>
      <c r="F802" t="s">
        <v>1565</v>
      </c>
      <c r="G802" s="6">
        <v>405.25</v>
      </c>
      <c r="H802" s="6"/>
      <c r="I802" s="6">
        <f t="shared" si="60"/>
        <v>190.4675</v>
      </c>
      <c r="J802" s="6">
        <f t="shared" si="61"/>
        <v>202.625</v>
      </c>
      <c r="K802" s="6">
        <f t="shared" si="62"/>
        <v>222.8875</v>
      </c>
      <c r="L802" s="6">
        <f t="shared" si="63"/>
        <v>283.675</v>
      </c>
      <c r="M802" s="6">
        <f t="shared" si="64"/>
        <v>344.4625</v>
      </c>
    </row>
    <row r="803" spans="1:13">
      <c r="A803" t="s">
        <v>13</v>
      </c>
      <c r="B803" t="s">
        <v>1566</v>
      </c>
      <c r="C803" t="s">
        <v>1567</v>
      </c>
      <c r="D803" t="s">
        <v>1567</v>
      </c>
      <c r="E803" t="s">
        <v>1567</v>
      </c>
      <c r="F803" t="s">
        <v>1567</v>
      </c>
      <c r="G803" s="6">
        <v>471.85</v>
      </c>
      <c r="H803" s="6"/>
      <c r="I803" s="6">
        <f t="shared" si="60"/>
        <v>221.7695</v>
      </c>
      <c r="J803" s="6">
        <f t="shared" si="61"/>
        <v>235.925</v>
      </c>
      <c r="K803" s="6">
        <f t="shared" si="62"/>
        <v>259.5175</v>
      </c>
      <c r="L803" s="6">
        <f t="shared" si="63"/>
        <v>330.295</v>
      </c>
      <c r="M803" s="6">
        <f t="shared" si="64"/>
        <v>401.0725</v>
      </c>
    </row>
    <row r="804" spans="1:13">
      <c r="A804" t="s">
        <v>13</v>
      </c>
      <c r="B804" t="s">
        <v>1568</v>
      </c>
      <c r="C804" t="s">
        <v>1569</v>
      </c>
      <c r="D804" t="s">
        <v>1569</v>
      </c>
      <c r="E804" t="s">
        <v>1569</v>
      </c>
      <c r="F804" t="s">
        <v>1569</v>
      </c>
      <c r="G804" s="6">
        <v>518.77</v>
      </c>
      <c r="H804" s="6"/>
      <c r="I804" s="6">
        <f t="shared" si="60"/>
        <v>243.8219</v>
      </c>
      <c r="J804" s="6">
        <f t="shared" si="61"/>
        <v>259.385</v>
      </c>
      <c r="K804" s="6">
        <f t="shared" si="62"/>
        <v>285.3235</v>
      </c>
      <c r="L804" s="6">
        <f t="shared" si="63"/>
        <v>363.139</v>
      </c>
      <c r="M804" s="6">
        <f t="shared" si="64"/>
        <v>440.9545</v>
      </c>
    </row>
    <row r="805" spans="1:13">
      <c r="A805" t="s">
        <v>13</v>
      </c>
      <c r="B805" t="s">
        <v>1570</v>
      </c>
      <c r="C805" t="s">
        <v>1571</v>
      </c>
      <c r="D805" t="s">
        <v>1571</v>
      </c>
      <c r="E805" t="s">
        <v>1571</v>
      </c>
      <c r="F805" t="s">
        <v>1571</v>
      </c>
      <c r="G805" s="6">
        <v>862.92</v>
      </c>
      <c r="H805" s="6"/>
      <c r="I805" s="6">
        <f t="shared" si="60"/>
        <v>405.5724</v>
      </c>
      <c r="J805" s="6">
        <f t="shared" si="61"/>
        <v>431.46</v>
      </c>
      <c r="K805" s="6">
        <f t="shared" si="62"/>
        <v>474.606</v>
      </c>
      <c r="L805" s="6">
        <f t="shared" si="63"/>
        <v>604.044</v>
      </c>
      <c r="M805" s="6">
        <f t="shared" si="64"/>
        <v>733.482</v>
      </c>
    </row>
    <row r="806" spans="1:13">
      <c r="A806" t="s">
        <v>13</v>
      </c>
      <c r="B806" t="s">
        <v>1572</v>
      </c>
      <c r="C806" t="s">
        <v>1573</v>
      </c>
      <c r="D806" t="s">
        <v>1573</v>
      </c>
      <c r="E806" t="s">
        <v>1573</v>
      </c>
      <c r="F806" t="s">
        <v>1573</v>
      </c>
      <c r="G806" s="6">
        <v>968.29</v>
      </c>
      <c r="H806" s="6"/>
      <c r="I806" s="6">
        <f t="shared" si="60"/>
        <v>455.0963</v>
      </c>
      <c r="J806" s="6">
        <f t="shared" si="61"/>
        <v>484.145</v>
      </c>
      <c r="K806" s="6">
        <f t="shared" si="62"/>
        <v>532.5595</v>
      </c>
      <c r="L806" s="6">
        <f t="shared" si="63"/>
        <v>677.803</v>
      </c>
      <c r="M806" s="6">
        <f t="shared" si="64"/>
        <v>823.0465</v>
      </c>
    </row>
    <row r="807" spans="1:13">
      <c r="A807" t="s">
        <v>13</v>
      </c>
      <c r="B807" t="s">
        <v>1574</v>
      </c>
      <c r="C807" t="s">
        <v>1575</v>
      </c>
      <c r="D807" t="s">
        <v>1575</v>
      </c>
      <c r="E807" t="s">
        <v>1575</v>
      </c>
      <c r="F807" t="s">
        <v>1575</v>
      </c>
      <c r="G807" s="6">
        <v>1090.89</v>
      </c>
      <c r="H807" s="6"/>
      <c r="I807" s="6">
        <f t="shared" si="60"/>
        <v>512.7183</v>
      </c>
      <c r="J807" s="6">
        <f t="shared" si="61"/>
        <v>545.445</v>
      </c>
      <c r="K807" s="6">
        <f t="shared" si="62"/>
        <v>599.9895</v>
      </c>
      <c r="L807" s="6">
        <f t="shared" si="63"/>
        <v>763.623</v>
      </c>
      <c r="M807" s="6">
        <f t="shared" si="64"/>
        <v>927.2565</v>
      </c>
    </row>
    <row r="808" spans="1:13">
      <c r="A808" t="s">
        <v>13</v>
      </c>
      <c r="B808" t="s">
        <v>1576</v>
      </c>
      <c r="C808" t="s">
        <v>1577</v>
      </c>
      <c r="D808" t="s">
        <v>1577</v>
      </c>
      <c r="E808" t="s">
        <v>1577</v>
      </c>
      <c r="F808" t="s">
        <v>1577</v>
      </c>
      <c r="G808" s="6">
        <v>66.11</v>
      </c>
      <c r="H808" s="6"/>
      <c r="I808" s="6">
        <f t="shared" si="60"/>
        <v>31.0717</v>
      </c>
      <c r="J808" s="6">
        <f t="shared" si="61"/>
        <v>33.055</v>
      </c>
      <c r="K808" s="6">
        <f t="shared" si="62"/>
        <v>36.3605</v>
      </c>
      <c r="L808" s="6">
        <f t="shared" si="63"/>
        <v>46.277</v>
      </c>
      <c r="M808" s="6">
        <f t="shared" si="64"/>
        <v>56.1935</v>
      </c>
    </row>
    <row r="809" spans="1:13">
      <c r="A809" t="s">
        <v>13</v>
      </c>
      <c r="B809" t="s">
        <v>1578</v>
      </c>
      <c r="C809" t="s">
        <v>1579</v>
      </c>
      <c r="D809" t="s">
        <v>1579</v>
      </c>
      <c r="E809" t="s">
        <v>1579</v>
      </c>
      <c r="F809" t="s">
        <v>1579</v>
      </c>
      <c r="G809" s="6">
        <v>136.37</v>
      </c>
      <c r="H809" s="6"/>
      <c r="I809" s="6">
        <f t="shared" si="60"/>
        <v>64.0939</v>
      </c>
      <c r="J809" s="6">
        <f t="shared" si="61"/>
        <v>68.185</v>
      </c>
      <c r="K809" s="6">
        <f t="shared" si="62"/>
        <v>75.0035</v>
      </c>
      <c r="L809" s="6">
        <f t="shared" si="63"/>
        <v>95.459</v>
      </c>
      <c r="M809" s="6">
        <f t="shared" si="64"/>
        <v>115.9145</v>
      </c>
    </row>
    <row r="810" spans="1:13">
      <c r="A810" t="s">
        <v>13</v>
      </c>
      <c r="B810" t="s">
        <v>1580</v>
      </c>
      <c r="C810" t="s">
        <v>1581</v>
      </c>
      <c r="D810" t="s">
        <v>1581</v>
      </c>
      <c r="E810" t="s">
        <v>1581</v>
      </c>
      <c r="F810" t="s">
        <v>1581</v>
      </c>
      <c r="G810" s="6">
        <v>629.54</v>
      </c>
      <c r="H810" s="6"/>
      <c r="I810" s="6">
        <f t="shared" si="60"/>
        <v>295.8838</v>
      </c>
      <c r="J810" s="6">
        <f t="shared" si="61"/>
        <v>314.77</v>
      </c>
      <c r="K810" s="6">
        <f t="shared" si="62"/>
        <v>346.247</v>
      </c>
      <c r="L810" s="6">
        <f t="shared" si="63"/>
        <v>440.678</v>
      </c>
      <c r="M810" s="6">
        <f t="shared" si="64"/>
        <v>535.109</v>
      </c>
    </row>
    <row r="811" spans="1:13">
      <c r="A811" t="s">
        <v>13</v>
      </c>
      <c r="B811" t="s">
        <v>1582</v>
      </c>
      <c r="C811" t="s">
        <v>1583</v>
      </c>
      <c r="D811" t="s">
        <v>1583</v>
      </c>
      <c r="E811" t="s">
        <v>1583</v>
      </c>
      <c r="F811" t="s">
        <v>1583</v>
      </c>
      <c r="G811" s="6">
        <v>804.17</v>
      </c>
      <c r="H811" s="6"/>
      <c r="I811" s="6">
        <f t="shared" si="60"/>
        <v>377.9599</v>
      </c>
      <c r="J811" s="6">
        <f t="shared" si="61"/>
        <v>402.085</v>
      </c>
      <c r="K811" s="6">
        <f t="shared" si="62"/>
        <v>442.2935</v>
      </c>
      <c r="L811" s="6">
        <f t="shared" si="63"/>
        <v>562.919</v>
      </c>
      <c r="M811" s="6">
        <f t="shared" si="64"/>
        <v>683.5445</v>
      </c>
    </row>
    <row r="812" spans="1:13">
      <c r="A812" t="s">
        <v>13</v>
      </c>
      <c r="B812" t="s">
        <v>1584</v>
      </c>
      <c r="C812" t="s">
        <v>1585</v>
      </c>
      <c r="D812" t="s">
        <v>1585</v>
      </c>
      <c r="E812" t="s">
        <v>1585</v>
      </c>
      <c r="F812" t="s">
        <v>1585</v>
      </c>
      <c r="G812" s="6">
        <v>1550.4</v>
      </c>
      <c r="H812" s="6"/>
      <c r="I812" s="6">
        <f t="shared" si="60"/>
        <v>728.688</v>
      </c>
      <c r="J812" s="6">
        <f t="shared" si="61"/>
        <v>775.2</v>
      </c>
      <c r="K812" s="6">
        <f t="shared" si="62"/>
        <v>852.72</v>
      </c>
      <c r="L812" s="6">
        <f t="shared" si="63"/>
        <v>1085.28</v>
      </c>
      <c r="M812" s="6">
        <f t="shared" si="64"/>
        <v>1317.84</v>
      </c>
    </row>
    <row r="813" spans="1:13">
      <c r="A813" t="s">
        <v>13</v>
      </c>
      <c r="B813" t="s">
        <v>1586</v>
      </c>
      <c r="C813" t="s">
        <v>1587</v>
      </c>
      <c r="D813" t="s">
        <v>1587</v>
      </c>
      <c r="E813" t="s">
        <v>1587</v>
      </c>
      <c r="F813" t="s">
        <v>1587</v>
      </c>
      <c r="G813" s="6">
        <v>2481.35</v>
      </c>
      <c r="H813" s="6"/>
      <c r="I813" s="6">
        <f t="shared" si="60"/>
        <v>1166.2345</v>
      </c>
      <c r="J813" s="6">
        <f t="shared" si="61"/>
        <v>1240.675</v>
      </c>
      <c r="K813" s="6">
        <f t="shared" si="62"/>
        <v>1364.7425</v>
      </c>
      <c r="L813" s="6">
        <f t="shared" si="63"/>
        <v>1736.945</v>
      </c>
      <c r="M813" s="6">
        <f t="shared" si="64"/>
        <v>2109.1475</v>
      </c>
    </row>
    <row r="814" spans="1:13">
      <c r="A814" t="s">
        <v>13</v>
      </c>
      <c r="B814" t="s">
        <v>1588</v>
      </c>
      <c r="C814" t="s">
        <v>1589</v>
      </c>
      <c r="D814" t="s">
        <v>1589</v>
      </c>
      <c r="E814" t="s">
        <v>1589</v>
      </c>
      <c r="F814" t="s">
        <v>1589</v>
      </c>
      <c r="G814" s="6">
        <v>649.13</v>
      </c>
      <c r="H814" s="6"/>
      <c r="I814" s="6">
        <f t="shared" si="60"/>
        <v>305.0911</v>
      </c>
      <c r="J814" s="6">
        <f t="shared" si="61"/>
        <v>324.565</v>
      </c>
      <c r="K814" s="6">
        <f t="shared" si="62"/>
        <v>357.0215</v>
      </c>
      <c r="L814" s="6">
        <f t="shared" si="63"/>
        <v>454.391</v>
      </c>
      <c r="M814" s="6">
        <f t="shared" si="64"/>
        <v>551.7605</v>
      </c>
    </row>
    <row r="815" spans="1:13">
      <c r="A815" t="s">
        <v>13</v>
      </c>
      <c r="B815" t="s">
        <v>1590</v>
      </c>
      <c r="C815" t="s">
        <v>1591</v>
      </c>
      <c r="D815" t="s">
        <v>1591</v>
      </c>
      <c r="E815" t="s">
        <v>1591</v>
      </c>
      <c r="F815" t="s">
        <v>1591</v>
      </c>
      <c r="G815" s="6">
        <v>1011.43</v>
      </c>
      <c r="H815" s="6"/>
      <c r="I815" s="6">
        <f t="shared" si="60"/>
        <v>475.3721</v>
      </c>
      <c r="J815" s="6">
        <f t="shared" si="61"/>
        <v>505.715</v>
      </c>
      <c r="K815" s="6">
        <f t="shared" si="62"/>
        <v>556.2865</v>
      </c>
      <c r="L815" s="6">
        <f t="shared" si="63"/>
        <v>708.001</v>
      </c>
      <c r="M815" s="6">
        <f t="shared" si="64"/>
        <v>859.7155</v>
      </c>
    </row>
    <row r="816" spans="1:13">
      <c r="A816" t="s">
        <v>13</v>
      </c>
      <c r="B816" t="s">
        <v>1592</v>
      </c>
      <c r="C816" t="s">
        <v>1593</v>
      </c>
      <c r="D816" t="s">
        <v>1593</v>
      </c>
      <c r="E816" t="s">
        <v>1593</v>
      </c>
      <c r="F816" t="s">
        <v>1593</v>
      </c>
      <c r="G816" s="6">
        <v>1654.24</v>
      </c>
      <c r="H816" s="6"/>
      <c r="I816" s="6">
        <f t="shared" si="60"/>
        <v>777.4928</v>
      </c>
      <c r="J816" s="6">
        <f t="shared" si="61"/>
        <v>827.12</v>
      </c>
      <c r="K816" s="6">
        <f t="shared" si="62"/>
        <v>909.832</v>
      </c>
      <c r="L816" s="6">
        <f t="shared" si="63"/>
        <v>1157.968</v>
      </c>
      <c r="M816" s="6">
        <f t="shared" si="64"/>
        <v>1406.104</v>
      </c>
    </row>
    <row r="817" spans="1:13">
      <c r="A817" t="s">
        <v>13</v>
      </c>
      <c r="B817" t="s">
        <v>1594</v>
      </c>
      <c r="C817" t="s">
        <v>1595</v>
      </c>
      <c r="D817" t="s">
        <v>1595</v>
      </c>
      <c r="E817" t="s">
        <v>1595</v>
      </c>
      <c r="F817" t="s">
        <v>1595</v>
      </c>
      <c r="G817" s="6">
        <v>585.38</v>
      </c>
      <c r="H817" s="6"/>
      <c r="I817" s="6">
        <f t="shared" si="60"/>
        <v>275.1286</v>
      </c>
      <c r="J817" s="6">
        <f t="shared" si="61"/>
        <v>292.69</v>
      </c>
      <c r="K817" s="6">
        <f t="shared" si="62"/>
        <v>321.959</v>
      </c>
      <c r="L817" s="6">
        <f t="shared" si="63"/>
        <v>409.766</v>
      </c>
      <c r="M817" s="6">
        <f t="shared" si="64"/>
        <v>497.573</v>
      </c>
    </row>
    <row r="818" spans="1:13">
      <c r="A818" t="s">
        <v>13</v>
      </c>
      <c r="B818" t="s">
        <v>1596</v>
      </c>
      <c r="C818" t="s">
        <v>1597</v>
      </c>
      <c r="D818" t="s">
        <v>1597</v>
      </c>
      <c r="E818" t="s">
        <v>1597</v>
      </c>
      <c r="F818" t="s">
        <v>1597</v>
      </c>
      <c r="G818" s="6">
        <v>1174.22</v>
      </c>
      <c r="H818" s="6"/>
      <c r="I818" s="6">
        <f t="shared" si="60"/>
        <v>551.8834</v>
      </c>
      <c r="J818" s="6">
        <f t="shared" si="61"/>
        <v>587.11</v>
      </c>
      <c r="K818" s="6">
        <f t="shared" si="62"/>
        <v>645.821</v>
      </c>
      <c r="L818" s="6">
        <f t="shared" si="63"/>
        <v>821.954</v>
      </c>
      <c r="M818" s="6">
        <f t="shared" si="64"/>
        <v>998.087</v>
      </c>
    </row>
    <row r="819" spans="1:13">
      <c r="A819" t="s">
        <v>13</v>
      </c>
      <c r="B819" t="s">
        <v>1598</v>
      </c>
      <c r="C819" t="s">
        <v>1599</v>
      </c>
      <c r="D819" t="s">
        <v>1599</v>
      </c>
      <c r="E819" t="s">
        <v>1599</v>
      </c>
      <c r="F819" t="s">
        <v>1599</v>
      </c>
      <c r="G819" s="6">
        <v>1596.91</v>
      </c>
      <c r="H819" s="6"/>
      <c r="I819" s="6">
        <f t="shared" si="60"/>
        <v>750.5477</v>
      </c>
      <c r="J819" s="6">
        <f t="shared" si="61"/>
        <v>798.455</v>
      </c>
      <c r="K819" s="6">
        <f t="shared" si="62"/>
        <v>878.3005</v>
      </c>
      <c r="L819" s="6">
        <f t="shared" si="63"/>
        <v>1117.837</v>
      </c>
      <c r="M819" s="6">
        <f t="shared" si="64"/>
        <v>1357.3735</v>
      </c>
    </row>
    <row r="820" spans="1:13">
      <c r="A820" t="s">
        <v>13</v>
      </c>
      <c r="B820" t="s">
        <v>1600</v>
      </c>
      <c r="C820" t="s">
        <v>1601</v>
      </c>
      <c r="D820" t="s">
        <v>1601</v>
      </c>
      <c r="E820" t="s">
        <v>1601</v>
      </c>
      <c r="F820" t="s">
        <v>1601</v>
      </c>
      <c r="G820" s="6">
        <v>212.8</v>
      </c>
      <c r="H820" s="6"/>
      <c r="I820" s="6">
        <f t="shared" si="60"/>
        <v>100.016</v>
      </c>
      <c r="J820" s="6">
        <f t="shared" si="61"/>
        <v>106.4</v>
      </c>
      <c r="K820" s="6">
        <f t="shared" si="62"/>
        <v>117.04</v>
      </c>
      <c r="L820" s="6">
        <f t="shared" si="63"/>
        <v>148.96</v>
      </c>
      <c r="M820" s="6">
        <f t="shared" si="64"/>
        <v>180.88</v>
      </c>
    </row>
    <row r="821" spans="1:13">
      <c r="A821" t="s">
        <v>13</v>
      </c>
      <c r="B821" t="s">
        <v>1602</v>
      </c>
      <c r="C821" t="s">
        <v>1603</v>
      </c>
      <c r="D821" t="s">
        <v>1603</v>
      </c>
      <c r="E821" t="s">
        <v>1603</v>
      </c>
      <c r="F821" t="s">
        <v>1603</v>
      </c>
      <c r="G821" s="6">
        <v>761.74</v>
      </c>
      <c r="H821" s="6"/>
      <c r="I821" s="6">
        <f t="shared" si="60"/>
        <v>358.0178</v>
      </c>
      <c r="J821" s="6">
        <f t="shared" si="61"/>
        <v>380.87</v>
      </c>
      <c r="K821" s="6">
        <f t="shared" si="62"/>
        <v>418.957</v>
      </c>
      <c r="L821" s="6">
        <f t="shared" si="63"/>
        <v>533.218</v>
      </c>
      <c r="M821" s="6">
        <f t="shared" si="64"/>
        <v>647.479</v>
      </c>
    </row>
    <row r="822" spans="1:13">
      <c r="A822" t="s">
        <v>13</v>
      </c>
      <c r="B822" t="s">
        <v>1604</v>
      </c>
      <c r="C822" t="s">
        <v>1605</v>
      </c>
      <c r="D822" t="s">
        <v>1605</v>
      </c>
      <c r="E822" t="s">
        <v>1605</v>
      </c>
      <c r="F822" t="s">
        <v>1605</v>
      </c>
      <c r="G822" s="6">
        <v>1902.91</v>
      </c>
      <c r="H822" s="6"/>
      <c r="I822" s="6">
        <f t="shared" si="60"/>
        <v>894.3677</v>
      </c>
      <c r="J822" s="6">
        <f t="shared" si="61"/>
        <v>951.455</v>
      </c>
      <c r="K822" s="6">
        <f t="shared" si="62"/>
        <v>1046.6005</v>
      </c>
      <c r="L822" s="6">
        <f t="shared" si="63"/>
        <v>1332.037</v>
      </c>
      <c r="M822" s="6">
        <f t="shared" si="64"/>
        <v>1617.4735</v>
      </c>
    </row>
    <row r="823" spans="1:13">
      <c r="A823" t="s">
        <v>13</v>
      </c>
      <c r="B823" t="s">
        <v>1606</v>
      </c>
      <c r="C823" t="s">
        <v>1607</v>
      </c>
      <c r="D823" t="s">
        <v>1607</v>
      </c>
      <c r="E823" t="s">
        <v>1607</v>
      </c>
      <c r="F823" t="s">
        <v>1607</v>
      </c>
      <c r="G823" s="6">
        <v>667.28</v>
      </c>
      <c r="H823" s="6"/>
      <c r="I823" s="6">
        <f t="shared" si="60"/>
        <v>313.6216</v>
      </c>
      <c r="J823" s="6">
        <f t="shared" si="61"/>
        <v>333.64</v>
      </c>
      <c r="K823" s="6">
        <f t="shared" si="62"/>
        <v>367.004</v>
      </c>
      <c r="L823" s="6">
        <f t="shared" si="63"/>
        <v>467.096</v>
      </c>
      <c r="M823" s="6">
        <f t="shared" si="64"/>
        <v>567.188</v>
      </c>
    </row>
    <row r="824" spans="1:13">
      <c r="A824" t="s">
        <v>13</v>
      </c>
      <c r="B824" t="s">
        <v>1608</v>
      </c>
      <c r="C824" t="s">
        <v>1609</v>
      </c>
      <c r="D824" t="s">
        <v>1609</v>
      </c>
      <c r="E824" t="s">
        <v>1609</v>
      </c>
      <c r="F824" t="s">
        <v>1609</v>
      </c>
      <c r="G824" s="6">
        <v>948.8</v>
      </c>
      <c r="H824" s="6"/>
      <c r="I824" s="6">
        <f t="shared" si="60"/>
        <v>445.936</v>
      </c>
      <c r="J824" s="6">
        <f t="shared" si="61"/>
        <v>474.4</v>
      </c>
      <c r="K824" s="6">
        <f t="shared" si="62"/>
        <v>521.84</v>
      </c>
      <c r="L824" s="6">
        <f t="shared" si="63"/>
        <v>664.16</v>
      </c>
      <c r="M824" s="6">
        <f t="shared" si="64"/>
        <v>806.48</v>
      </c>
    </row>
    <row r="825" spans="1:13">
      <c r="A825" t="s">
        <v>13</v>
      </c>
      <c r="B825" t="s">
        <v>1610</v>
      </c>
      <c r="C825" t="s">
        <v>1611</v>
      </c>
      <c r="D825" t="s">
        <v>1611</v>
      </c>
      <c r="E825" t="s">
        <v>1611</v>
      </c>
      <c r="F825" t="s">
        <v>1611</v>
      </c>
      <c r="G825" s="6">
        <v>1672.6</v>
      </c>
      <c r="H825" s="6"/>
      <c r="I825" s="6">
        <f t="shared" si="60"/>
        <v>786.122</v>
      </c>
      <c r="J825" s="6">
        <f t="shared" si="61"/>
        <v>836.3</v>
      </c>
      <c r="K825" s="6">
        <f t="shared" si="62"/>
        <v>919.93</v>
      </c>
      <c r="L825" s="6">
        <f t="shared" si="63"/>
        <v>1170.82</v>
      </c>
      <c r="M825" s="6">
        <f t="shared" si="64"/>
        <v>1421.71</v>
      </c>
    </row>
    <row r="826" spans="1:13">
      <c r="A826" t="s">
        <v>13</v>
      </c>
      <c r="B826" t="s">
        <v>1612</v>
      </c>
      <c r="C826" t="s">
        <v>1613</v>
      </c>
      <c r="D826" t="s">
        <v>1613</v>
      </c>
      <c r="E826" t="s">
        <v>1613</v>
      </c>
      <c r="F826" t="s">
        <v>1613</v>
      </c>
      <c r="G826" s="6">
        <v>2728.91</v>
      </c>
      <c r="H826" s="6"/>
      <c r="I826" s="6">
        <f t="shared" si="60"/>
        <v>1282.5877</v>
      </c>
      <c r="J826" s="6">
        <f t="shared" si="61"/>
        <v>1364.455</v>
      </c>
      <c r="K826" s="6">
        <f t="shared" si="62"/>
        <v>1500.9005</v>
      </c>
      <c r="L826" s="6">
        <f t="shared" si="63"/>
        <v>1910.237</v>
      </c>
      <c r="M826" s="6">
        <f t="shared" si="64"/>
        <v>2319.5735</v>
      </c>
    </row>
    <row r="827" spans="1:13">
      <c r="A827" t="s">
        <v>13</v>
      </c>
      <c r="B827" t="s">
        <v>1614</v>
      </c>
      <c r="C827" t="s">
        <v>1615</v>
      </c>
      <c r="D827" t="s">
        <v>1615</v>
      </c>
      <c r="E827" t="s">
        <v>1615</v>
      </c>
      <c r="F827" t="s">
        <v>1615</v>
      </c>
      <c r="G827" s="6">
        <v>693.4</v>
      </c>
      <c r="H827" s="6"/>
      <c r="I827" s="6">
        <f t="shared" si="60"/>
        <v>325.898</v>
      </c>
      <c r="J827" s="6">
        <f t="shared" si="61"/>
        <v>346.7</v>
      </c>
      <c r="K827" s="6">
        <f t="shared" si="62"/>
        <v>381.37</v>
      </c>
      <c r="L827" s="6">
        <f t="shared" si="63"/>
        <v>485.38</v>
      </c>
      <c r="M827" s="6">
        <f t="shared" si="64"/>
        <v>589.39</v>
      </c>
    </row>
    <row r="828" spans="1:13">
      <c r="A828" t="s">
        <v>13</v>
      </c>
      <c r="B828" t="s">
        <v>1616</v>
      </c>
      <c r="C828" t="s">
        <v>1617</v>
      </c>
      <c r="D828" t="s">
        <v>1617</v>
      </c>
      <c r="E828" t="s">
        <v>1617</v>
      </c>
      <c r="F828" t="s">
        <v>1617</v>
      </c>
      <c r="G828" s="6">
        <v>1060.9</v>
      </c>
      <c r="H828" s="6"/>
      <c r="I828" s="6">
        <f t="shared" si="60"/>
        <v>498.623</v>
      </c>
      <c r="J828" s="6">
        <f t="shared" si="61"/>
        <v>530.45</v>
      </c>
      <c r="K828" s="6">
        <f t="shared" si="62"/>
        <v>583.495</v>
      </c>
      <c r="L828" s="6">
        <f t="shared" si="63"/>
        <v>742.63</v>
      </c>
      <c r="M828" s="6">
        <f t="shared" si="64"/>
        <v>901.765</v>
      </c>
    </row>
    <row r="829" spans="1:13">
      <c r="A829" t="s">
        <v>13</v>
      </c>
      <c r="B829" t="s">
        <v>1618</v>
      </c>
      <c r="C829" t="s">
        <v>1619</v>
      </c>
      <c r="D829" t="s">
        <v>1619</v>
      </c>
      <c r="E829" t="s">
        <v>1619</v>
      </c>
      <c r="F829" t="s">
        <v>1619</v>
      </c>
      <c r="G829" s="6">
        <v>1775.31</v>
      </c>
      <c r="H829" s="6"/>
      <c r="I829" s="6">
        <f t="shared" si="60"/>
        <v>834.3957</v>
      </c>
      <c r="J829" s="6">
        <f t="shared" si="61"/>
        <v>887.655</v>
      </c>
      <c r="K829" s="6">
        <f t="shared" si="62"/>
        <v>976.4205</v>
      </c>
      <c r="L829" s="6">
        <f t="shared" si="63"/>
        <v>1242.717</v>
      </c>
      <c r="M829" s="6">
        <f t="shared" si="64"/>
        <v>1509.0135</v>
      </c>
    </row>
    <row r="830" spans="1:13">
      <c r="A830" t="s">
        <v>13</v>
      </c>
      <c r="B830" t="s">
        <v>1620</v>
      </c>
      <c r="C830" t="s">
        <v>1621</v>
      </c>
      <c r="D830" t="s">
        <v>1621</v>
      </c>
      <c r="E830" t="s">
        <v>1621</v>
      </c>
      <c r="F830" t="s">
        <v>1621</v>
      </c>
      <c r="G830" s="6">
        <v>3100.9</v>
      </c>
      <c r="H830" s="6"/>
      <c r="I830" s="6">
        <f t="shared" si="60"/>
        <v>1457.423</v>
      </c>
      <c r="J830" s="6">
        <f t="shared" si="61"/>
        <v>1550.45</v>
      </c>
      <c r="K830" s="6">
        <f t="shared" si="62"/>
        <v>1705.495</v>
      </c>
      <c r="L830" s="6">
        <f t="shared" si="63"/>
        <v>2170.63</v>
      </c>
      <c r="M830" s="6">
        <f t="shared" si="64"/>
        <v>2635.765</v>
      </c>
    </row>
    <row r="831" spans="1:13">
      <c r="A831" t="s">
        <v>13</v>
      </c>
      <c r="B831" t="s">
        <v>1622</v>
      </c>
      <c r="C831" t="s">
        <v>1623</v>
      </c>
      <c r="D831" t="s">
        <v>1623</v>
      </c>
      <c r="E831" t="s">
        <v>1623</v>
      </c>
      <c r="F831" t="s">
        <v>1623</v>
      </c>
      <c r="G831" s="6">
        <v>79.13</v>
      </c>
      <c r="H831" s="6"/>
      <c r="I831" s="6">
        <f t="shared" si="60"/>
        <v>37.1911</v>
      </c>
      <c r="J831" s="6">
        <f t="shared" si="61"/>
        <v>39.565</v>
      </c>
      <c r="K831" s="6">
        <f t="shared" si="62"/>
        <v>43.5215</v>
      </c>
      <c r="L831" s="6">
        <f t="shared" si="63"/>
        <v>55.391</v>
      </c>
      <c r="M831" s="6">
        <f t="shared" si="64"/>
        <v>67.2605</v>
      </c>
    </row>
    <row r="832" spans="1:13">
      <c r="A832" t="s">
        <v>13</v>
      </c>
      <c r="B832" t="s">
        <v>1624</v>
      </c>
      <c r="C832" t="s">
        <v>1625</v>
      </c>
      <c r="D832" t="s">
        <v>1625</v>
      </c>
      <c r="E832" t="s">
        <v>1625</v>
      </c>
      <c r="F832" t="s">
        <v>1625</v>
      </c>
      <c r="G832" s="6">
        <v>115.3</v>
      </c>
      <c r="H832" s="6"/>
      <c r="I832" s="6">
        <f t="shared" si="60"/>
        <v>54.191</v>
      </c>
      <c r="J832" s="6">
        <f t="shared" si="61"/>
        <v>57.65</v>
      </c>
      <c r="K832" s="6">
        <f t="shared" si="62"/>
        <v>63.415</v>
      </c>
      <c r="L832" s="6">
        <f t="shared" si="63"/>
        <v>80.71</v>
      </c>
      <c r="M832" s="6">
        <f t="shared" si="64"/>
        <v>98.005</v>
      </c>
    </row>
    <row r="833" spans="1:13">
      <c r="A833" t="s">
        <v>13</v>
      </c>
      <c r="B833" t="s">
        <v>1626</v>
      </c>
      <c r="C833" t="s">
        <v>1627</v>
      </c>
      <c r="D833" t="s">
        <v>1627</v>
      </c>
      <c r="E833" t="s">
        <v>1627</v>
      </c>
      <c r="F833" t="s">
        <v>1627</v>
      </c>
      <c r="G833" s="6">
        <v>953.9</v>
      </c>
      <c r="H833" s="6"/>
      <c r="I833" s="6">
        <f t="shared" si="60"/>
        <v>448.333</v>
      </c>
      <c r="J833" s="6">
        <f t="shared" si="61"/>
        <v>476.95</v>
      </c>
      <c r="K833" s="6">
        <f t="shared" si="62"/>
        <v>524.645</v>
      </c>
      <c r="L833" s="6">
        <f t="shared" si="63"/>
        <v>667.73</v>
      </c>
      <c r="M833" s="6">
        <f t="shared" si="64"/>
        <v>810.815</v>
      </c>
    </row>
    <row r="834" spans="1:13">
      <c r="A834" t="s">
        <v>13</v>
      </c>
      <c r="B834" t="s">
        <v>1628</v>
      </c>
      <c r="C834" t="s">
        <v>1629</v>
      </c>
      <c r="D834" t="s">
        <v>1629</v>
      </c>
      <c r="E834" t="s">
        <v>1629</v>
      </c>
      <c r="F834" t="s">
        <v>1629</v>
      </c>
      <c r="G834" s="6">
        <v>151.16</v>
      </c>
      <c r="H834" s="6"/>
      <c r="I834" s="6">
        <f t="shared" si="60"/>
        <v>71.0452</v>
      </c>
      <c r="J834" s="6">
        <f t="shared" si="61"/>
        <v>75.58</v>
      </c>
      <c r="K834" s="6">
        <f t="shared" si="62"/>
        <v>83.138</v>
      </c>
      <c r="L834" s="6">
        <f t="shared" si="63"/>
        <v>105.812</v>
      </c>
      <c r="M834" s="6">
        <f t="shared" si="64"/>
        <v>128.486</v>
      </c>
    </row>
    <row r="835" spans="1:13">
      <c r="A835" t="s">
        <v>13</v>
      </c>
      <c r="B835" t="s">
        <v>1630</v>
      </c>
      <c r="C835" t="s">
        <v>1631</v>
      </c>
      <c r="D835" t="s">
        <v>1631</v>
      </c>
      <c r="E835" t="s">
        <v>1631</v>
      </c>
      <c r="F835" t="s">
        <v>1631</v>
      </c>
      <c r="G835" s="6">
        <v>284.17</v>
      </c>
      <c r="H835" s="6"/>
      <c r="I835" s="6">
        <f t="shared" si="60"/>
        <v>133.5599</v>
      </c>
      <c r="J835" s="6">
        <f t="shared" si="61"/>
        <v>142.085</v>
      </c>
      <c r="K835" s="6">
        <f t="shared" si="62"/>
        <v>156.2935</v>
      </c>
      <c r="L835" s="6">
        <f t="shared" si="63"/>
        <v>198.919</v>
      </c>
      <c r="M835" s="6">
        <f t="shared" si="64"/>
        <v>241.5445</v>
      </c>
    </row>
    <row r="836" spans="1:13">
      <c r="A836" t="s">
        <v>13</v>
      </c>
      <c r="B836" t="s">
        <v>1632</v>
      </c>
      <c r="C836" t="s">
        <v>1633</v>
      </c>
      <c r="D836" t="s">
        <v>1633</v>
      </c>
      <c r="E836" t="s">
        <v>1633</v>
      </c>
      <c r="F836" t="s">
        <v>1633</v>
      </c>
      <c r="G836" s="6">
        <v>204.61</v>
      </c>
      <c r="H836" s="6"/>
      <c r="I836" s="6">
        <f t="shared" ref="I836:I899" si="65">G836*0.47</f>
        <v>96.1667</v>
      </c>
      <c r="J836" s="6">
        <f t="shared" ref="J836:J899" si="66">G836*0.5</f>
        <v>102.305</v>
      </c>
      <c r="K836" s="6">
        <f t="shared" ref="K836:K899" si="67">G836*0.55</f>
        <v>112.5355</v>
      </c>
      <c r="L836" s="6">
        <f t="shared" ref="L836:L899" si="68">G836*0.7</f>
        <v>143.227</v>
      </c>
      <c r="M836" s="6">
        <f t="shared" ref="M836:M899" si="69">G836*0.85</f>
        <v>173.9185</v>
      </c>
    </row>
    <row r="837" spans="1:13">
      <c r="A837" t="s">
        <v>13</v>
      </c>
      <c r="B837" t="s">
        <v>1634</v>
      </c>
      <c r="C837" t="s">
        <v>1635</v>
      </c>
      <c r="D837" t="s">
        <v>1635</v>
      </c>
      <c r="E837" t="s">
        <v>1635</v>
      </c>
      <c r="F837" t="s">
        <v>1635</v>
      </c>
      <c r="G837" s="6">
        <v>363.94</v>
      </c>
      <c r="H837" s="6"/>
      <c r="I837" s="6">
        <f t="shared" si="65"/>
        <v>171.0518</v>
      </c>
      <c r="J837" s="6">
        <f t="shared" si="66"/>
        <v>181.97</v>
      </c>
      <c r="K837" s="6">
        <f t="shared" si="67"/>
        <v>200.167</v>
      </c>
      <c r="L837" s="6">
        <f t="shared" si="68"/>
        <v>254.758</v>
      </c>
      <c r="M837" s="6">
        <f t="shared" si="69"/>
        <v>309.349</v>
      </c>
    </row>
    <row r="838" spans="1:13">
      <c r="A838" t="s">
        <v>13</v>
      </c>
      <c r="B838" t="s">
        <v>1636</v>
      </c>
      <c r="C838" t="s">
        <v>1637</v>
      </c>
      <c r="D838" t="s">
        <v>1637</v>
      </c>
      <c r="E838" t="s">
        <v>1637</v>
      </c>
      <c r="F838" t="s">
        <v>1637</v>
      </c>
      <c r="G838" s="6">
        <v>477.05</v>
      </c>
      <c r="H838" s="6"/>
      <c r="I838" s="6">
        <f t="shared" si="65"/>
        <v>224.2135</v>
      </c>
      <c r="J838" s="6">
        <f t="shared" si="66"/>
        <v>238.525</v>
      </c>
      <c r="K838" s="6">
        <f t="shared" si="67"/>
        <v>262.3775</v>
      </c>
      <c r="L838" s="6">
        <f t="shared" si="68"/>
        <v>333.935</v>
      </c>
      <c r="M838" s="6">
        <f t="shared" si="69"/>
        <v>405.4925</v>
      </c>
    </row>
    <row r="839" spans="1:13">
      <c r="A839" t="s">
        <v>13</v>
      </c>
      <c r="B839" t="s">
        <v>1638</v>
      </c>
      <c r="C839" t="s">
        <v>1639</v>
      </c>
      <c r="D839" t="s">
        <v>1639</v>
      </c>
      <c r="E839" t="s">
        <v>1639</v>
      </c>
      <c r="F839" t="s">
        <v>1639</v>
      </c>
      <c r="G839" s="6">
        <v>852.52</v>
      </c>
      <c r="H839" s="6"/>
      <c r="I839" s="6">
        <f t="shared" si="65"/>
        <v>400.6844</v>
      </c>
      <c r="J839" s="6">
        <f t="shared" si="66"/>
        <v>426.26</v>
      </c>
      <c r="K839" s="6">
        <f t="shared" si="67"/>
        <v>468.886</v>
      </c>
      <c r="L839" s="6">
        <f t="shared" si="68"/>
        <v>596.764</v>
      </c>
      <c r="M839" s="6">
        <f t="shared" si="69"/>
        <v>724.642</v>
      </c>
    </row>
    <row r="840" spans="1:13">
      <c r="A840" t="s">
        <v>13</v>
      </c>
      <c r="B840" t="s">
        <v>1640</v>
      </c>
      <c r="C840" t="s">
        <v>1641</v>
      </c>
      <c r="D840" t="s">
        <v>1641</v>
      </c>
      <c r="E840" t="s">
        <v>1641</v>
      </c>
      <c r="F840" t="s">
        <v>1641</v>
      </c>
      <c r="G840" s="6">
        <v>874.65</v>
      </c>
      <c r="H840" s="6"/>
      <c r="I840" s="6">
        <f t="shared" si="65"/>
        <v>411.0855</v>
      </c>
      <c r="J840" s="6">
        <f t="shared" si="66"/>
        <v>437.325</v>
      </c>
      <c r="K840" s="6">
        <f t="shared" si="67"/>
        <v>481.0575</v>
      </c>
      <c r="L840" s="6">
        <f t="shared" si="68"/>
        <v>612.255</v>
      </c>
      <c r="M840" s="6">
        <f t="shared" si="69"/>
        <v>743.4525</v>
      </c>
    </row>
    <row r="841" spans="1:13">
      <c r="A841" t="s">
        <v>13</v>
      </c>
      <c r="B841" t="s">
        <v>1642</v>
      </c>
      <c r="C841" t="s">
        <v>1643</v>
      </c>
      <c r="D841" t="s">
        <v>1643</v>
      </c>
      <c r="E841" t="s">
        <v>1643</v>
      </c>
      <c r="F841" t="s">
        <v>1643</v>
      </c>
      <c r="G841" s="6">
        <v>1673.31</v>
      </c>
      <c r="H841" s="6"/>
      <c r="I841" s="6">
        <f t="shared" si="65"/>
        <v>786.4557</v>
      </c>
      <c r="J841" s="6">
        <f t="shared" si="66"/>
        <v>836.655</v>
      </c>
      <c r="K841" s="6">
        <f t="shared" si="67"/>
        <v>920.3205</v>
      </c>
      <c r="L841" s="6">
        <f t="shared" si="68"/>
        <v>1171.317</v>
      </c>
      <c r="M841" s="6">
        <f t="shared" si="69"/>
        <v>1422.3135</v>
      </c>
    </row>
    <row r="842" spans="1:13">
      <c r="A842" t="s">
        <v>13</v>
      </c>
      <c r="B842" t="s">
        <v>1644</v>
      </c>
      <c r="C842" t="s">
        <v>1645</v>
      </c>
      <c r="D842" t="s">
        <v>1645</v>
      </c>
      <c r="E842" t="s">
        <v>1645</v>
      </c>
      <c r="F842" t="s">
        <v>1645</v>
      </c>
      <c r="G842" s="6">
        <v>1130.98</v>
      </c>
      <c r="H842" s="6"/>
      <c r="I842" s="6">
        <f t="shared" si="65"/>
        <v>531.5606</v>
      </c>
      <c r="J842" s="6">
        <f t="shared" si="66"/>
        <v>565.49</v>
      </c>
      <c r="K842" s="6">
        <f t="shared" si="67"/>
        <v>622.039</v>
      </c>
      <c r="L842" s="6">
        <f t="shared" si="68"/>
        <v>791.686</v>
      </c>
      <c r="M842" s="6">
        <f t="shared" si="69"/>
        <v>961.333</v>
      </c>
    </row>
    <row r="843" spans="1:13">
      <c r="A843" t="s">
        <v>13</v>
      </c>
      <c r="B843" t="s">
        <v>1646</v>
      </c>
      <c r="C843" t="s">
        <v>1647</v>
      </c>
      <c r="D843" t="s">
        <v>1647</v>
      </c>
      <c r="E843" t="s">
        <v>1647</v>
      </c>
      <c r="F843" t="s">
        <v>1647</v>
      </c>
      <c r="G843" s="6">
        <v>1991.65</v>
      </c>
      <c r="H843" s="6"/>
      <c r="I843" s="6">
        <f t="shared" si="65"/>
        <v>936.0755</v>
      </c>
      <c r="J843" s="6">
        <f t="shared" si="66"/>
        <v>995.825</v>
      </c>
      <c r="K843" s="6">
        <f t="shared" si="67"/>
        <v>1095.4075</v>
      </c>
      <c r="L843" s="6">
        <f t="shared" si="68"/>
        <v>1394.155</v>
      </c>
      <c r="M843" s="6">
        <f t="shared" si="69"/>
        <v>1692.9025</v>
      </c>
    </row>
    <row r="844" spans="1:13">
      <c r="A844" t="s">
        <v>13</v>
      </c>
      <c r="B844" t="s">
        <v>1648</v>
      </c>
      <c r="C844" t="s">
        <v>1649</v>
      </c>
      <c r="D844" t="s">
        <v>1649</v>
      </c>
      <c r="E844" t="s">
        <v>1649</v>
      </c>
      <c r="F844" t="s">
        <v>1649</v>
      </c>
      <c r="G844" s="6">
        <v>455.26</v>
      </c>
      <c r="H844" s="6"/>
      <c r="I844" s="6">
        <f t="shared" si="65"/>
        <v>213.9722</v>
      </c>
      <c r="J844" s="6">
        <f t="shared" si="66"/>
        <v>227.63</v>
      </c>
      <c r="K844" s="6">
        <f t="shared" si="67"/>
        <v>250.393</v>
      </c>
      <c r="L844" s="6">
        <f t="shared" si="68"/>
        <v>318.682</v>
      </c>
      <c r="M844" s="6">
        <f t="shared" si="69"/>
        <v>386.971</v>
      </c>
    </row>
    <row r="845" spans="1:13">
      <c r="A845" t="s">
        <v>13</v>
      </c>
      <c r="B845" t="s">
        <v>1650</v>
      </c>
      <c r="C845" t="s">
        <v>1649</v>
      </c>
      <c r="D845" t="s">
        <v>1649</v>
      </c>
      <c r="E845" t="s">
        <v>1649</v>
      </c>
      <c r="F845" t="s">
        <v>1649</v>
      </c>
      <c r="G845" s="6">
        <v>525</v>
      </c>
      <c r="H845" s="6"/>
      <c r="I845" s="6">
        <f t="shared" si="65"/>
        <v>246.75</v>
      </c>
      <c r="J845" s="6">
        <f t="shared" si="66"/>
        <v>262.5</v>
      </c>
      <c r="K845" s="6">
        <f t="shared" si="67"/>
        <v>288.75</v>
      </c>
      <c r="L845" s="6">
        <f t="shared" si="68"/>
        <v>367.5</v>
      </c>
      <c r="M845" s="6">
        <f t="shared" si="69"/>
        <v>446.25</v>
      </c>
    </row>
    <row r="846" spans="1:13">
      <c r="A846" t="s">
        <v>13</v>
      </c>
      <c r="B846" t="s">
        <v>1651</v>
      </c>
      <c r="C846" t="s">
        <v>1649</v>
      </c>
      <c r="D846" t="s">
        <v>1649</v>
      </c>
      <c r="E846" t="s">
        <v>1649</v>
      </c>
      <c r="F846" t="s">
        <v>1649</v>
      </c>
      <c r="G846" s="6">
        <v>587.5</v>
      </c>
      <c r="H846" s="6"/>
      <c r="I846" s="6">
        <f t="shared" si="65"/>
        <v>276.125</v>
      </c>
      <c r="J846" s="6">
        <f t="shared" si="66"/>
        <v>293.75</v>
      </c>
      <c r="K846" s="6">
        <f t="shared" si="67"/>
        <v>323.125</v>
      </c>
      <c r="L846" s="6">
        <f t="shared" si="68"/>
        <v>411.25</v>
      </c>
      <c r="M846" s="6">
        <f t="shared" si="69"/>
        <v>499.375</v>
      </c>
    </row>
    <row r="847" spans="1:13">
      <c r="A847" t="s">
        <v>13</v>
      </c>
      <c r="B847" t="s">
        <v>1652</v>
      </c>
      <c r="C847" t="s">
        <v>1653</v>
      </c>
      <c r="D847" t="s">
        <v>1653</v>
      </c>
      <c r="E847" t="s">
        <v>1653</v>
      </c>
      <c r="F847" t="s">
        <v>1653</v>
      </c>
      <c r="G847" s="6">
        <v>167.31</v>
      </c>
      <c r="H847" s="6"/>
      <c r="I847" s="6">
        <f t="shared" si="65"/>
        <v>78.6357</v>
      </c>
      <c r="J847" s="6">
        <f t="shared" si="66"/>
        <v>83.655</v>
      </c>
      <c r="K847" s="6">
        <f t="shared" si="67"/>
        <v>92.0205</v>
      </c>
      <c r="L847" s="6">
        <f t="shared" si="68"/>
        <v>117.117</v>
      </c>
      <c r="M847" s="6">
        <f t="shared" si="69"/>
        <v>142.2135</v>
      </c>
    </row>
    <row r="848" spans="1:13">
      <c r="A848" t="s">
        <v>13</v>
      </c>
      <c r="B848" t="s">
        <v>1654</v>
      </c>
      <c r="C848" t="s">
        <v>1655</v>
      </c>
      <c r="D848" t="s">
        <v>1655</v>
      </c>
      <c r="E848" t="s">
        <v>1655</v>
      </c>
      <c r="F848" t="s">
        <v>1655</v>
      </c>
      <c r="G848" s="6">
        <v>250.21</v>
      </c>
      <c r="H848" s="6"/>
      <c r="I848" s="6">
        <f t="shared" si="65"/>
        <v>117.5987</v>
      </c>
      <c r="J848" s="6">
        <f t="shared" si="66"/>
        <v>125.105</v>
      </c>
      <c r="K848" s="6">
        <f t="shared" si="67"/>
        <v>137.6155</v>
      </c>
      <c r="L848" s="6">
        <f t="shared" si="68"/>
        <v>175.147</v>
      </c>
      <c r="M848" s="6">
        <f t="shared" si="69"/>
        <v>212.6785</v>
      </c>
    </row>
    <row r="849" spans="1:13">
      <c r="A849" t="s">
        <v>13</v>
      </c>
      <c r="B849" t="s">
        <v>1656</v>
      </c>
      <c r="C849" t="s">
        <v>1657</v>
      </c>
      <c r="D849" t="s">
        <v>1657</v>
      </c>
      <c r="E849" t="s">
        <v>1657</v>
      </c>
      <c r="F849" t="s">
        <v>1657</v>
      </c>
      <c r="G849" s="6">
        <v>411.88</v>
      </c>
      <c r="H849" s="6"/>
      <c r="I849" s="6">
        <f t="shared" si="65"/>
        <v>193.5836</v>
      </c>
      <c r="J849" s="6">
        <f t="shared" si="66"/>
        <v>205.94</v>
      </c>
      <c r="K849" s="6">
        <f t="shared" si="67"/>
        <v>226.534</v>
      </c>
      <c r="L849" s="6">
        <f t="shared" si="68"/>
        <v>288.316</v>
      </c>
      <c r="M849" s="6">
        <f t="shared" si="69"/>
        <v>350.098</v>
      </c>
    </row>
    <row r="850" spans="1:13">
      <c r="A850" t="s">
        <v>13</v>
      </c>
      <c r="B850" t="s">
        <v>1658</v>
      </c>
      <c r="C850" t="s">
        <v>1659</v>
      </c>
      <c r="D850" t="s">
        <v>1659</v>
      </c>
      <c r="E850" t="s">
        <v>1659</v>
      </c>
      <c r="F850" t="s">
        <v>1659</v>
      </c>
      <c r="G850" s="6">
        <v>495.21</v>
      </c>
      <c r="H850" s="6"/>
      <c r="I850" s="6">
        <f t="shared" si="65"/>
        <v>232.7487</v>
      </c>
      <c r="J850" s="6">
        <f t="shared" si="66"/>
        <v>247.605</v>
      </c>
      <c r="K850" s="6">
        <f t="shared" si="67"/>
        <v>272.3655</v>
      </c>
      <c r="L850" s="6">
        <f t="shared" si="68"/>
        <v>346.647</v>
      </c>
      <c r="M850" s="6">
        <f t="shared" si="69"/>
        <v>420.9285</v>
      </c>
    </row>
    <row r="851" spans="1:13">
      <c r="A851" t="s">
        <v>13</v>
      </c>
      <c r="B851" t="s">
        <v>1660</v>
      </c>
      <c r="C851" t="s">
        <v>1661</v>
      </c>
      <c r="D851" t="s">
        <v>1661</v>
      </c>
      <c r="E851" t="s">
        <v>1661</v>
      </c>
      <c r="F851" t="s">
        <v>1661</v>
      </c>
      <c r="G851" s="6">
        <v>1208.8</v>
      </c>
      <c r="H851" s="6"/>
      <c r="I851" s="6">
        <f t="shared" si="65"/>
        <v>568.136</v>
      </c>
      <c r="J851" s="6">
        <f t="shared" si="66"/>
        <v>604.4</v>
      </c>
      <c r="K851" s="6">
        <f t="shared" si="67"/>
        <v>664.84</v>
      </c>
      <c r="L851" s="6">
        <f t="shared" si="68"/>
        <v>846.16</v>
      </c>
      <c r="M851" s="6">
        <f t="shared" si="69"/>
        <v>1027.48</v>
      </c>
    </row>
    <row r="852" spans="1:13">
      <c r="A852" t="s">
        <v>13</v>
      </c>
      <c r="B852" t="s">
        <v>1662</v>
      </c>
      <c r="C852" t="s">
        <v>1663</v>
      </c>
      <c r="D852" t="s">
        <v>1663</v>
      </c>
      <c r="E852" t="s">
        <v>1663</v>
      </c>
      <c r="F852" t="s">
        <v>1663</v>
      </c>
      <c r="G852" s="6">
        <v>240.82</v>
      </c>
      <c r="H852" s="6"/>
      <c r="I852" s="6">
        <f t="shared" si="65"/>
        <v>113.1854</v>
      </c>
      <c r="J852" s="6">
        <f t="shared" si="66"/>
        <v>120.41</v>
      </c>
      <c r="K852" s="6">
        <f t="shared" si="67"/>
        <v>132.451</v>
      </c>
      <c r="L852" s="6">
        <f t="shared" si="68"/>
        <v>168.574</v>
      </c>
      <c r="M852" s="6">
        <f t="shared" si="69"/>
        <v>204.697</v>
      </c>
    </row>
    <row r="853" spans="1:13">
      <c r="A853" t="s">
        <v>13</v>
      </c>
      <c r="B853" t="s">
        <v>1664</v>
      </c>
      <c r="C853" t="s">
        <v>1665</v>
      </c>
      <c r="D853" t="s">
        <v>1665</v>
      </c>
      <c r="E853" t="s">
        <v>1665</v>
      </c>
      <c r="F853" t="s">
        <v>1665</v>
      </c>
      <c r="G853" s="6">
        <v>240.82</v>
      </c>
      <c r="H853" s="6"/>
      <c r="I853" s="6">
        <f t="shared" si="65"/>
        <v>113.1854</v>
      </c>
      <c r="J853" s="6">
        <f t="shared" si="66"/>
        <v>120.41</v>
      </c>
      <c r="K853" s="6">
        <f t="shared" si="67"/>
        <v>132.451</v>
      </c>
      <c r="L853" s="6">
        <f t="shared" si="68"/>
        <v>168.574</v>
      </c>
      <c r="M853" s="6">
        <f t="shared" si="69"/>
        <v>204.697</v>
      </c>
    </row>
    <row r="854" spans="1:13">
      <c r="A854" t="s">
        <v>13</v>
      </c>
      <c r="B854" t="s">
        <v>1666</v>
      </c>
      <c r="C854" t="s">
        <v>1667</v>
      </c>
      <c r="D854" t="s">
        <v>1667</v>
      </c>
      <c r="E854" t="s">
        <v>1667</v>
      </c>
      <c r="F854" t="s">
        <v>1667</v>
      </c>
      <c r="G854" s="6">
        <v>240.82</v>
      </c>
      <c r="H854" s="6"/>
      <c r="I854" s="6">
        <f t="shared" si="65"/>
        <v>113.1854</v>
      </c>
      <c r="J854" s="6">
        <f t="shared" si="66"/>
        <v>120.41</v>
      </c>
      <c r="K854" s="6">
        <f t="shared" si="67"/>
        <v>132.451</v>
      </c>
      <c r="L854" s="6">
        <f t="shared" si="68"/>
        <v>168.574</v>
      </c>
      <c r="M854" s="6">
        <f t="shared" si="69"/>
        <v>204.697</v>
      </c>
    </row>
    <row r="855" spans="1:13">
      <c r="A855" t="s">
        <v>13</v>
      </c>
      <c r="B855" t="s">
        <v>1668</v>
      </c>
      <c r="C855" t="s">
        <v>1669</v>
      </c>
      <c r="D855" t="s">
        <v>1669</v>
      </c>
      <c r="E855" t="s">
        <v>1669</v>
      </c>
      <c r="F855" t="s">
        <v>1669</v>
      </c>
      <c r="G855" s="6">
        <v>240.82</v>
      </c>
      <c r="H855" s="6"/>
      <c r="I855" s="6">
        <f t="shared" si="65"/>
        <v>113.1854</v>
      </c>
      <c r="J855" s="6">
        <f t="shared" si="66"/>
        <v>120.41</v>
      </c>
      <c r="K855" s="6">
        <f t="shared" si="67"/>
        <v>132.451</v>
      </c>
      <c r="L855" s="6">
        <f t="shared" si="68"/>
        <v>168.574</v>
      </c>
      <c r="M855" s="6">
        <f t="shared" si="69"/>
        <v>204.697</v>
      </c>
    </row>
    <row r="856" spans="1:13">
      <c r="A856" t="s">
        <v>13</v>
      </c>
      <c r="B856" t="s">
        <v>1670</v>
      </c>
      <c r="C856" t="s">
        <v>1671</v>
      </c>
      <c r="D856" t="s">
        <v>1671</v>
      </c>
      <c r="E856" t="s">
        <v>1671</v>
      </c>
      <c r="F856" t="s">
        <v>1671</v>
      </c>
      <c r="G856" s="6">
        <v>240.82</v>
      </c>
      <c r="H856" s="6"/>
      <c r="I856" s="6">
        <f t="shared" si="65"/>
        <v>113.1854</v>
      </c>
      <c r="J856" s="6">
        <f t="shared" si="66"/>
        <v>120.41</v>
      </c>
      <c r="K856" s="6">
        <f t="shared" si="67"/>
        <v>132.451</v>
      </c>
      <c r="L856" s="6">
        <f t="shared" si="68"/>
        <v>168.574</v>
      </c>
      <c r="M856" s="6">
        <f t="shared" si="69"/>
        <v>204.697</v>
      </c>
    </row>
    <row r="857" spans="1:13">
      <c r="A857" t="s">
        <v>13</v>
      </c>
      <c r="B857" t="s">
        <v>1672</v>
      </c>
      <c r="C857" t="s">
        <v>1673</v>
      </c>
      <c r="D857" t="s">
        <v>1673</v>
      </c>
      <c r="E857" t="s">
        <v>1673</v>
      </c>
      <c r="F857" t="s">
        <v>1673</v>
      </c>
      <c r="G857" s="6">
        <v>240.82</v>
      </c>
      <c r="H857" s="6"/>
      <c r="I857" s="6">
        <f t="shared" si="65"/>
        <v>113.1854</v>
      </c>
      <c r="J857" s="6">
        <f t="shared" si="66"/>
        <v>120.41</v>
      </c>
      <c r="K857" s="6">
        <f t="shared" si="67"/>
        <v>132.451</v>
      </c>
      <c r="L857" s="6">
        <f t="shared" si="68"/>
        <v>168.574</v>
      </c>
      <c r="M857" s="6">
        <f t="shared" si="69"/>
        <v>204.697</v>
      </c>
    </row>
    <row r="858" spans="1:13">
      <c r="A858" t="s">
        <v>13</v>
      </c>
      <c r="B858" t="s">
        <v>1674</v>
      </c>
      <c r="C858" t="s">
        <v>1675</v>
      </c>
      <c r="D858" t="s">
        <v>1675</v>
      </c>
      <c r="E858" t="s">
        <v>1675</v>
      </c>
      <c r="F858" t="s">
        <v>1675</v>
      </c>
      <c r="G858" s="6">
        <v>240.82</v>
      </c>
      <c r="H858" s="6"/>
      <c r="I858" s="6">
        <f t="shared" si="65"/>
        <v>113.1854</v>
      </c>
      <c r="J858" s="6">
        <f t="shared" si="66"/>
        <v>120.41</v>
      </c>
      <c r="K858" s="6">
        <f t="shared" si="67"/>
        <v>132.451</v>
      </c>
      <c r="L858" s="6">
        <f t="shared" si="68"/>
        <v>168.574</v>
      </c>
      <c r="M858" s="6">
        <f t="shared" si="69"/>
        <v>204.697</v>
      </c>
    </row>
    <row r="859" spans="1:13">
      <c r="A859" t="s">
        <v>13</v>
      </c>
      <c r="B859" t="s">
        <v>1676</v>
      </c>
      <c r="C859" t="s">
        <v>1677</v>
      </c>
      <c r="D859" t="s">
        <v>1677</v>
      </c>
      <c r="E859" t="s">
        <v>1677</v>
      </c>
      <c r="F859" t="s">
        <v>1677</v>
      </c>
      <c r="G859" s="6">
        <v>147.8</v>
      </c>
      <c r="H859" s="6"/>
      <c r="I859" s="6">
        <f t="shared" si="65"/>
        <v>69.466</v>
      </c>
      <c r="J859" s="6">
        <f t="shared" si="66"/>
        <v>73.9</v>
      </c>
      <c r="K859" s="6">
        <f t="shared" si="67"/>
        <v>81.29</v>
      </c>
      <c r="L859" s="6">
        <f t="shared" si="68"/>
        <v>103.46</v>
      </c>
      <c r="M859" s="6">
        <f t="shared" si="69"/>
        <v>125.63</v>
      </c>
    </row>
    <row r="860" spans="1:13">
      <c r="A860" t="s">
        <v>13</v>
      </c>
      <c r="B860" t="s">
        <v>1678</v>
      </c>
      <c r="C860" t="s">
        <v>1679</v>
      </c>
      <c r="D860" t="s">
        <v>1679</v>
      </c>
      <c r="E860" t="s">
        <v>1679</v>
      </c>
      <c r="F860" t="s">
        <v>1679</v>
      </c>
      <c r="G860" s="6">
        <v>214.61</v>
      </c>
      <c r="H860" s="6"/>
      <c r="I860" s="6">
        <f t="shared" si="65"/>
        <v>100.8667</v>
      </c>
      <c r="J860" s="6">
        <f t="shared" si="66"/>
        <v>107.305</v>
      </c>
      <c r="K860" s="6">
        <f t="shared" si="67"/>
        <v>118.0355</v>
      </c>
      <c r="L860" s="6">
        <f t="shared" si="68"/>
        <v>150.227</v>
      </c>
      <c r="M860" s="6">
        <f t="shared" si="69"/>
        <v>182.4185</v>
      </c>
    </row>
    <row r="861" spans="1:13">
      <c r="A861" t="s">
        <v>13</v>
      </c>
      <c r="B861" t="s">
        <v>1680</v>
      </c>
      <c r="C861" t="s">
        <v>1681</v>
      </c>
      <c r="D861" t="s">
        <v>1681</v>
      </c>
      <c r="E861" t="s">
        <v>1681</v>
      </c>
      <c r="F861" t="s">
        <v>1681</v>
      </c>
      <c r="G861" s="6">
        <v>140</v>
      </c>
      <c r="H861" s="6"/>
      <c r="I861" s="6">
        <f t="shared" si="65"/>
        <v>65.8</v>
      </c>
      <c r="J861" s="6">
        <f t="shared" si="66"/>
        <v>70</v>
      </c>
      <c r="K861" s="6">
        <f t="shared" si="67"/>
        <v>77</v>
      </c>
      <c r="L861" s="6">
        <f t="shared" si="68"/>
        <v>98</v>
      </c>
      <c r="M861" s="6">
        <f t="shared" si="69"/>
        <v>119</v>
      </c>
    </row>
    <row r="862" spans="1:13">
      <c r="A862" t="s">
        <v>13</v>
      </c>
      <c r="B862" t="s">
        <v>1682</v>
      </c>
      <c r="C862" t="s">
        <v>1683</v>
      </c>
      <c r="D862" t="s">
        <v>1683</v>
      </c>
      <c r="E862" t="s">
        <v>1683</v>
      </c>
      <c r="F862" t="s">
        <v>1683</v>
      </c>
      <c r="G862" s="6">
        <v>150</v>
      </c>
      <c r="H862" s="6"/>
      <c r="I862" s="6">
        <f t="shared" si="65"/>
        <v>70.5</v>
      </c>
      <c r="J862" s="6">
        <f t="shared" si="66"/>
        <v>75</v>
      </c>
      <c r="K862" s="6">
        <f t="shared" si="67"/>
        <v>82.5</v>
      </c>
      <c r="L862" s="6">
        <f t="shared" si="68"/>
        <v>105</v>
      </c>
      <c r="M862" s="6">
        <f t="shared" si="69"/>
        <v>127.5</v>
      </c>
    </row>
    <row r="863" spans="1:13">
      <c r="A863" t="s">
        <v>13</v>
      </c>
      <c r="B863" t="s">
        <v>1684</v>
      </c>
      <c r="C863" t="s">
        <v>1685</v>
      </c>
      <c r="D863" t="s">
        <v>1685</v>
      </c>
      <c r="E863" t="s">
        <v>1685</v>
      </c>
      <c r="F863" t="s">
        <v>1685</v>
      </c>
      <c r="G863" s="6">
        <v>4064.82</v>
      </c>
      <c r="H863" s="6"/>
      <c r="I863" s="6">
        <f t="shared" si="65"/>
        <v>1910.4654</v>
      </c>
      <c r="J863" s="6">
        <f t="shared" si="66"/>
        <v>2032.41</v>
      </c>
      <c r="K863" s="6">
        <f t="shared" si="67"/>
        <v>2235.651</v>
      </c>
      <c r="L863" s="6">
        <f t="shared" si="68"/>
        <v>2845.374</v>
      </c>
      <c r="M863" s="6">
        <f t="shared" si="69"/>
        <v>3455.097</v>
      </c>
    </row>
    <row r="864" spans="1:13">
      <c r="A864" t="s">
        <v>13</v>
      </c>
      <c r="B864" t="s">
        <v>1686</v>
      </c>
      <c r="C864" t="s">
        <v>1685</v>
      </c>
      <c r="D864" t="s">
        <v>1685</v>
      </c>
      <c r="E864" t="s">
        <v>1685</v>
      </c>
      <c r="F864" t="s">
        <v>1685</v>
      </c>
      <c r="G864" s="6">
        <v>5087.3829787234</v>
      </c>
      <c r="H864" s="6"/>
      <c r="I864" s="6">
        <f t="shared" si="65"/>
        <v>2391.07</v>
      </c>
      <c r="J864" s="6">
        <f t="shared" si="66"/>
        <v>2543.6914893617</v>
      </c>
      <c r="K864" s="6">
        <f t="shared" si="67"/>
        <v>2798.06063829787</v>
      </c>
      <c r="L864" s="6">
        <f t="shared" si="68"/>
        <v>3561.16808510638</v>
      </c>
      <c r="M864" s="6">
        <f t="shared" si="69"/>
        <v>4324.27553191489</v>
      </c>
    </row>
    <row r="865" spans="1:13">
      <c r="A865" t="s">
        <v>13</v>
      </c>
      <c r="B865" t="s">
        <v>1687</v>
      </c>
      <c r="C865" t="s">
        <v>1688</v>
      </c>
      <c r="D865" t="s">
        <v>1688</v>
      </c>
      <c r="E865" t="s">
        <v>1688</v>
      </c>
      <c r="F865" t="s">
        <v>1688</v>
      </c>
      <c r="G865" s="6">
        <v>833.95</v>
      </c>
      <c r="H865" s="6"/>
      <c r="I865" s="6">
        <f t="shared" si="65"/>
        <v>391.9565</v>
      </c>
      <c r="J865" s="6">
        <f t="shared" si="66"/>
        <v>416.975</v>
      </c>
      <c r="K865" s="6">
        <f t="shared" si="67"/>
        <v>458.6725</v>
      </c>
      <c r="L865" s="6">
        <f t="shared" si="68"/>
        <v>583.765</v>
      </c>
      <c r="M865" s="6">
        <f t="shared" si="69"/>
        <v>708.8575</v>
      </c>
    </row>
    <row r="866" spans="1:13">
      <c r="A866" t="s">
        <v>13</v>
      </c>
      <c r="B866" t="s">
        <v>1689</v>
      </c>
      <c r="C866" t="s">
        <v>1690</v>
      </c>
      <c r="D866" t="s">
        <v>1690</v>
      </c>
      <c r="E866" t="s">
        <v>1690</v>
      </c>
      <c r="F866" t="s">
        <v>1690</v>
      </c>
      <c r="G866" s="6">
        <v>54.84</v>
      </c>
      <c r="H866" s="6"/>
      <c r="I866" s="6">
        <f t="shared" si="65"/>
        <v>25.7748</v>
      </c>
      <c r="J866" s="6">
        <f t="shared" si="66"/>
        <v>27.42</v>
      </c>
      <c r="K866" s="6">
        <f t="shared" si="67"/>
        <v>30.162</v>
      </c>
      <c r="L866" s="6">
        <f t="shared" si="68"/>
        <v>38.388</v>
      </c>
      <c r="M866" s="6">
        <f t="shared" si="69"/>
        <v>46.614</v>
      </c>
    </row>
    <row r="867" spans="1:13">
      <c r="A867" t="s">
        <v>13</v>
      </c>
      <c r="B867" t="s">
        <v>1691</v>
      </c>
      <c r="C867" t="s">
        <v>1692</v>
      </c>
      <c r="D867" t="s">
        <v>1692</v>
      </c>
      <c r="E867" t="s">
        <v>1692</v>
      </c>
      <c r="F867" t="s">
        <v>1692</v>
      </c>
      <c r="G867" s="6">
        <v>58.45</v>
      </c>
      <c r="H867" s="6"/>
      <c r="I867" s="6">
        <f t="shared" si="65"/>
        <v>27.4715</v>
      </c>
      <c r="J867" s="6">
        <f t="shared" si="66"/>
        <v>29.225</v>
      </c>
      <c r="K867" s="6">
        <f t="shared" si="67"/>
        <v>32.1475</v>
      </c>
      <c r="L867" s="6">
        <f t="shared" si="68"/>
        <v>40.915</v>
      </c>
      <c r="M867" s="6">
        <f t="shared" si="69"/>
        <v>49.6825</v>
      </c>
    </row>
    <row r="868" spans="1:13">
      <c r="A868" t="s">
        <v>13</v>
      </c>
      <c r="B868" t="s">
        <v>1693</v>
      </c>
      <c r="C868" t="s">
        <v>1694</v>
      </c>
      <c r="D868" t="s">
        <v>1694</v>
      </c>
      <c r="E868" t="s">
        <v>1694</v>
      </c>
      <c r="F868" t="s">
        <v>1694</v>
      </c>
      <c r="G868" s="6">
        <v>87</v>
      </c>
      <c r="H868" s="6"/>
      <c r="I868" s="6">
        <f t="shared" si="65"/>
        <v>40.89</v>
      </c>
      <c r="J868" s="6">
        <f t="shared" si="66"/>
        <v>43.5</v>
      </c>
      <c r="K868" s="6">
        <f t="shared" si="67"/>
        <v>47.85</v>
      </c>
      <c r="L868" s="6">
        <f t="shared" si="68"/>
        <v>60.9</v>
      </c>
      <c r="M868" s="6">
        <f t="shared" si="69"/>
        <v>73.95</v>
      </c>
    </row>
    <row r="869" spans="1:13">
      <c r="A869" t="s">
        <v>13</v>
      </c>
      <c r="B869" t="s">
        <v>1695</v>
      </c>
      <c r="C869" t="s">
        <v>1696</v>
      </c>
      <c r="D869" t="s">
        <v>1696</v>
      </c>
      <c r="E869" t="s">
        <v>1696</v>
      </c>
      <c r="F869" t="s">
        <v>1696</v>
      </c>
      <c r="G869" s="6">
        <v>152.25</v>
      </c>
      <c r="H869" s="6"/>
      <c r="I869" s="6">
        <f t="shared" si="65"/>
        <v>71.5575</v>
      </c>
      <c r="J869" s="6">
        <f t="shared" si="66"/>
        <v>76.125</v>
      </c>
      <c r="K869" s="6">
        <f t="shared" si="67"/>
        <v>83.7375</v>
      </c>
      <c r="L869" s="6">
        <f t="shared" si="68"/>
        <v>106.575</v>
      </c>
      <c r="M869" s="6">
        <f t="shared" si="69"/>
        <v>129.4125</v>
      </c>
    </row>
    <row r="870" spans="1:13">
      <c r="A870" t="s">
        <v>13</v>
      </c>
      <c r="B870" t="s">
        <v>1697</v>
      </c>
      <c r="C870" t="s">
        <v>1698</v>
      </c>
      <c r="D870" t="s">
        <v>1698</v>
      </c>
      <c r="E870" t="s">
        <v>1698</v>
      </c>
      <c r="F870" t="s">
        <v>1698</v>
      </c>
      <c r="G870" s="6">
        <v>107.94</v>
      </c>
      <c r="H870" s="6"/>
      <c r="I870" s="6">
        <f t="shared" si="65"/>
        <v>50.7318</v>
      </c>
      <c r="J870" s="6">
        <f t="shared" si="66"/>
        <v>53.97</v>
      </c>
      <c r="K870" s="6">
        <f t="shared" si="67"/>
        <v>59.367</v>
      </c>
      <c r="L870" s="6">
        <f t="shared" si="68"/>
        <v>75.558</v>
      </c>
      <c r="M870" s="6">
        <f t="shared" si="69"/>
        <v>91.749</v>
      </c>
    </row>
    <row r="871" spans="1:13">
      <c r="A871" t="s">
        <v>13</v>
      </c>
      <c r="B871" t="s">
        <v>1699</v>
      </c>
      <c r="C871" t="s">
        <v>1700</v>
      </c>
      <c r="D871" t="s">
        <v>1700</v>
      </c>
      <c r="E871" t="s">
        <v>1700</v>
      </c>
      <c r="F871" t="s">
        <v>1700</v>
      </c>
      <c r="G871" s="6">
        <v>215.88</v>
      </c>
      <c r="H871" s="6"/>
      <c r="I871" s="6">
        <f t="shared" si="65"/>
        <v>101.4636</v>
      </c>
      <c r="J871" s="6">
        <f t="shared" si="66"/>
        <v>107.94</v>
      </c>
      <c r="K871" s="6">
        <f t="shared" si="67"/>
        <v>118.734</v>
      </c>
      <c r="L871" s="6">
        <f t="shared" si="68"/>
        <v>151.116</v>
      </c>
      <c r="M871" s="6">
        <f t="shared" si="69"/>
        <v>183.498</v>
      </c>
    </row>
    <row r="872" spans="1:13">
      <c r="A872" t="s">
        <v>13</v>
      </c>
      <c r="B872" t="s">
        <v>1701</v>
      </c>
      <c r="C872" t="s">
        <v>1702</v>
      </c>
      <c r="D872" t="s">
        <v>1702</v>
      </c>
      <c r="E872" t="s">
        <v>1702</v>
      </c>
      <c r="F872" t="s">
        <v>1702</v>
      </c>
      <c r="G872" s="6">
        <v>138.21</v>
      </c>
      <c r="H872" s="6"/>
      <c r="I872" s="6">
        <f t="shared" si="65"/>
        <v>64.9587</v>
      </c>
      <c r="J872" s="6">
        <f t="shared" si="66"/>
        <v>69.105</v>
      </c>
      <c r="K872" s="6">
        <f t="shared" si="67"/>
        <v>76.0155</v>
      </c>
      <c r="L872" s="6">
        <f t="shared" si="68"/>
        <v>96.747</v>
      </c>
      <c r="M872" s="6">
        <f t="shared" si="69"/>
        <v>117.4785</v>
      </c>
    </row>
    <row r="873" spans="1:13">
      <c r="A873" t="s">
        <v>13</v>
      </c>
      <c r="B873" t="s">
        <v>1703</v>
      </c>
      <c r="C873" t="s">
        <v>1704</v>
      </c>
      <c r="D873" t="s">
        <v>1704</v>
      </c>
      <c r="E873" t="s">
        <v>1704</v>
      </c>
      <c r="F873" t="s">
        <v>1704</v>
      </c>
      <c r="G873" s="6">
        <v>276.42</v>
      </c>
      <c r="H873" s="6"/>
      <c r="I873" s="6">
        <f t="shared" si="65"/>
        <v>129.9174</v>
      </c>
      <c r="J873" s="6">
        <f t="shared" si="66"/>
        <v>138.21</v>
      </c>
      <c r="K873" s="6">
        <f t="shared" si="67"/>
        <v>152.031</v>
      </c>
      <c r="L873" s="6">
        <f t="shared" si="68"/>
        <v>193.494</v>
      </c>
      <c r="M873" s="6">
        <f t="shared" si="69"/>
        <v>234.957</v>
      </c>
    </row>
    <row r="874" spans="1:13">
      <c r="A874" t="s">
        <v>13</v>
      </c>
      <c r="B874" t="s">
        <v>1705</v>
      </c>
      <c r="C874" t="s">
        <v>1706</v>
      </c>
      <c r="D874" t="s">
        <v>1706</v>
      </c>
      <c r="E874" t="s">
        <v>1706</v>
      </c>
      <c r="F874" t="s">
        <v>1706</v>
      </c>
      <c r="G874" s="6">
        <v>168.1</v>
      </c>
      <c r="H874" s="6"/>
      <c r="I874" s="6">
        <f t="shared" si="65"/>
        <v>79.007</v>
      </c>
      <c r="J874" s="6">
        <f t="shared" si="66"/>
        <v>84.05</v>
      </c>
      <c r="K874" s="6">
        <f t="shared" si="67"/>
        <v>92.455</v>
      </c>
      <c r="L874" s="6">
        <f t="shared" si="68"/>
        <v>117.67</v>
      </c>
      <c r="M874" s="6">
        <f t="shared" si="69"/>
        <v>142.885</v>
      </c>
    </row>
    <row r="875" spans="1:13">
      <c r="A875" t="s">
        <v>13</v>
      </c>
      <c r="B875" t="s">
        <v>1707</v>
      </c>
      <c r="C875" t="s">
        <v>1708</v>
      </c>
      <c r="D875" t="s">
        <v>1708</v>
      </c>
      <c r="E875" t="s">
        <v>1708</v>
      </c>
      <c r="F875" t="s">
        <v>1708</v>
      </c>
      <c r="G875" s="6">
        <v>336.19</v>
      </c>
      <c r="H875" s="6"/>
      <c r="I875" s="6">
        <f t="shared" si="65"/>
        <v>158.0093</v>
      </c>
      <c r="J875" s="6">
        <f t="shared" si="66"/>
        <v>168.095</v>
      </c>
      <c r="K875" s="6">
        <f t="shared" si="67"/>
        <v>184.9045</v>
      </c>
      <c r="L875" s="6">
        <f t="shared" si="68"/>
        <v>235.333</v>
      </c>
      <c r="M875" s="6">
        <f t="shared" si="69"/>
        <v>285.7615</v>
      </c>
    </row>
    <row r="876" spans="1:13">
      <c r="A876" t="s">
        <v>13</v>
      </c>
      <c r="B876" t="s">
        <v>1709</v>
      </c>
      <c r="C876" t="s">
        <v>1710</v>
      </c>
      <c r="D876" t="s">
        <v>1710</v>
      </c>
      <c r="E876" t="s">
        <v>1710</v>
      </c>
      <c r="F876" t="s">
        <v>1710</v>
      </c>
      <c r="G876" s="6">
        <v>200.63</v>
      </c>
      <c r="H876" s="6"/>
      <c r="I876" s="6">
        <f t="shared" si="65"/>
        <v>94.2961</v>
      </c>
      <c r="J876" s="6">
        <f t="shared" si="66"/>
        <v>100.315</v>
      </c>
      <c r="K876" s="6">
        <f t="shared" si="67"/>
        <v>110.3465</v>
      </c>
      <c r="L876" s="6">
        <f t="shared" si="68"/>
        <v>140.441</v>
      </c>
      <c r="M876" s="6">
        <f t="shared" si="69"/>
        <v>170.5355</v>
      </c>
    </row>
    <row r="877" spans="1:13">
      <c r="A877" t="s">
        <v>13</v>
      </c>
      <c r="B877" t="s">
        <v>1711</v>
      </c>
      <c r="C877" t="s">
        <v>1712</v>
      </c>
      <c r="D877" t="s">
        <v>1712</v>
      </c>
      <c r="E877" t="s">
        <v>1712</v>
      </c>
      <c r="F877" t="s">
        <v>1712</v>
      </c>
      <c r="G877" s="6">
        <v>401.27</v>
      </c>
      <c r="H877" s="6"/>
      <c r="I877" s="6">
        <f t="shared" si="65"/>
        <v>188.5969</v>
      </c>
      <c r="J877" s="6">
        <f t="shared" si="66"/>
        <v>200.635</v>
      </c>
      <c r="K877" s="6">
        <f t="shared" si="67"/>
        <v>220.6985</v>
      </c>
      <c r="L877" s="6">
        <f t="shared" si="68"/>
        <v>280.889</v>
      </c>
      <c r="M877" s="6">
        <f t="shared" si="69"/>
        <v>341.0795</v>
      </c>
    </row>
    <row r="878" spans="1:13">
      <c r="A878" t="s">
        <v>13</v>
      </c>
      <c r="B878" t="s">
        <v>1713</v>
      </c>
      <c r="C878" t="s">
        <v>1714</v>
      </c>
      <c r="D878" t="s">
        <v>1714</v>
      </c>
      <c r="E878" t="s">
        <v>1714</v>
      </c>
      <c r="F878" t="s">
        <v>1714</v>
      </c>
      <c r="G878" s="6">
        <v>107.63</v>
      </c>
      <c r="H878" s="6"/>
      <c r="I878" s="6">
        <f t="shared" si="65"/>
        <v>50.5861</v>
      </c>
      <c r="J878" s="6">
        <f t="shared" si="66"/>
        <v>53.815</v>
      </c>
      <c r="K878" s="6">
        <f t="shared" si="67"/>
        <v>59.1965</v>
      </c>
      <c r="L878" s="6">
        <f t="shared" si="68"/>
        <v>75.341</v>
      </c>
      <c r="M878" s="6">
        <f t="shared" si="69"/>
        <v>91.4855</v>
      </c>
    </row>
    <row r="879" spans="1:13">
      <c r="A879" t="s">
        <v>13</v>
      </c>
      <c r="B879" t="s">
        <v>1715</v>
      </c>
      <c r="C879" t="s">
        <v>1716</v>
      </c>
      <c r="D879" t="s">
        <v>1716</v>
      </c>
      <c r="E879" t="s">
        <v>1716</v>
      </c>
      <c r="F879" t="s">
        <v>1716</v>
      </c>
      <c r="G879" s="6">
        <v>215.26</v>
      </c>
      <c r="H879" s="6"/>
      <c r="I879" s="6">
        <f t="shared" si="65"/>
        <v>101.1722</v>
      </c>
      <c r="J879" s="6">
        <f t="shared" si="66"/>
        <v>107.63</v>
      </c>
      <c r="K879" s="6">
        <f t="shared" si="67"/>
        <v>118.393</v>
      </c>
      <c r="L879" s="6">
        <f t="shared" si="68"/>
        <v>150.682</v>
      </c>
      <c r="M879" s="6">
        <f t="shared" si="69"/>
        <v>182.971</v>
      </c>
    </row>
    <row r="880" spans="1:13">
      <c r="A880" t="s">
        <v>13</v>
      </c>
      <c r="B880" t="s">
        <v>1717</v>
      </c>
      <c r="C880" t="s">
        <v>1718</v>
      </c>
      <c r="D880" t="s">
        <v>1718</v>
      </c>
      <c r="E880" t="s">
        <v>1718</v>
      </c>
      <c r="F880" t="s">
        <v>1718</v>
      </c>
      <c r="G880" s="6">
        <v>148.51</v>
      </c>
      <c r="H880" s="6"/>
      <c r="I880" s="6">
        <f t="shared" si="65"/>
        <v>69.7997</v>
      </c>
      <c r="J880" s="6">
        <f t="shared" si="66"/>
        <v>74.255</v>
      </c>
      <c r="K880" s="6">
        <f t="shared" si="67"/>
        <v>81.6805</v>
      </c>
      <c r="L880" s="6">
        <f t="shared" si="68"/>
        <v>103.957</v>
      </c>
      <c r="M880" s="6">
        <f t="shared" si="69"/>
        <v>126.2335</v>
      </c>
    </row>
    <row r="881" spans="1:13">
      <c r="A881" t="s">
        <v>13</v>
      </c>
      <c r="B881" t="s">
        <v>1719</v>
      </c>
      <c r="C881" t="s">
        <v>1720</v>
      </c>
      <c r="D881" t="s">
        <v>1720</v>
      </c>
      <c r="E881" t="s">
        <v>1720</v>
      </c>
      <c r="F881" t="s">
        <v>1720</v>
      </c>
      <c r="G881" s="6">
        <v>297.02</v>
      </c>
      <c r="H881" s="6"/>
      <c r="I881" s="6">
        <f t="shared" si="65"/>
        <v>139.5994</v>
      </c>
      <c r="J881" s="6">
        <f t="shared" si="66"/>
        <v>148.51</v>
      </c>
      <c r="K881" s="6">
        <f t="shared" si="67"/>
        <v>163.361</v>
      </c>
      <c r="L881" s="6">
        <f t="shared" si="68"/>
        <v>207.914</v>
      </c>
      <c r="M881" s="6">
        <f t="shared" si="69"/>
        <v>252.467</v>
      </c>
    </row>
    <row r="882" spans="1:13">
      <c r="A882" t="s">
        <v>13</v>
      </c>
      <c r="B882" t="s">
        <v>1721</v>
      </c>
      <c r="C882" t="s">
        <v>1722</v>
      </c>
      <c r="D882" t="s">
        <v>1722</v>
      </c>
      <c r="E882" t="s">
        <v>1722</v>
      </c>
      <c r="F882" t="s">
        <v>1722</v>
      </c>
      <c r="G882" s="6">
        <v>194.21</v>
      </c>
      <c r="H882" s="6"/>
      <c r="I882" s="6">
        <f t="shared" si="65"/>
        <v>91.2787</v>
      </c>
      <c r="J882" s="6">
        <f t="shared" si="66"/>
        <v>97.105</v>
      </c>
      <c r="K882" s="6">
        <f t="shared" si="67"/>
        <v>106.8155</v>
      </c>
      <c r="L882" s="6">
        <f t="shared" si="68"/>
        <v>135.947</v>
      </c>
      <c r="M882" s="6">
        <f t="shared" si="69"/>
        <v>165.0785</v>
      </c>
    </row>
    <row r="883" spans="1:13">
      <c r="A883" t="s">
        <v>13</v>
      </c>
      <c r="B883" t="s">
        <v>1723</v>
      </c>
      <c r="C883" t="s">
        <v>1724</v>
      </c>
      <c r="D883" t="s">
        <v>1724</v>
      </c>
      <c r="E883" t="s">
        <v>1724</v>
      </c>
      <c r="F883" t="s">
        <v>1724</v>
      </c>
      <c r="G883" s="6">
        <v>388.42</v>
      </c>
      <c r="H883" s="6"/>
      <c r="I883" s="6">
        <f t="shared" si="65"/>
        <v>182.5574</v>
      </c>
      <c r="J883" s="6">
        <f t="shared" si="66"/>
        <v>194.21</v>
      </c>
      <c r="K883" s="6">
        <f t="shared" si="67"/>
        <v>213.631</v>
      </c>
      <c r="L883" s="6">
        <f t="shared" si="68"/>
        <v>271.894</v>
      </c>
      <c r="M883" s="6">
        <f t="shared" si="69"/>
        <v>330.157</v>
      </c>
    </row>
    <row r="884" spans="1:13">
      <c r="A884" t="s">
        <v>13</v>
      </c>
      <c r="B884" t="s">
        <v>1725</v>
      </c>
      <c r="C884" t="s">
        <v>1726</v>
      </c>
      <c r="D884" t="s">
        <v>1726</v>
      </c>
      <c r="E884" t="s">
        <v>1726</v>
      </c>
      <c r="F884" t="s">
        <v>1726</v>
      </c>
      <c r="G884" s="6">
        <v>241.13</v>
      </c>
      <c r="H884" s="6"/>
      <c r="I884" s="6">
        <f t="shared" si="65"/>
        <v>113.3311</v>
      </c>
      <c r="J884" s="6">
        <f t="shared" si="66"/>
        <v>120.565</v>
      </c>
      <c r="K884" s="6">
        <f t="shared" si="67"/>
        <v>132.6215</v>
      </c>
      <c r="L884" s="6">
        <f t="shared" si="68"/>
        <v>168.791</v>
      </c>
      <c r="M884" s="6">
        <f t="shared" si="69"/>
        <v>204.9605</v>
      </c>
    </row>
    <row r="885" spans="1:13">
      <c r="A885" t="s">
        <v>13</v>
      </c>
      <c r="B885" t="s">
        <v>1727</v>
      </c>
      <c r="C885" t="s">
        <v>1728</v>
      </c>
      <c r="D885" t="s">
        <v>1728</v>
      </c>
      <c r="E885" t="s">
        <v>1728</v>
      </c>
      <c r="F885" t="s">
        <v>1728</v>
      </c>
      <c r="G885" s="6">
        <v>482.26</v>
      </c>
      <c r="H885" s="6"/>
      <c r="I885" s="6">
        <f t="shared" si="65"/>
        <v>226.6622</v>
      </c>
      <c r="J885" s="6">
        <f t="shared" si="66"/>
        <v>241.13</v>
      </c>
      <c r="K885" s="6">
        <f t="shared" si="67"/>
        <v>265.243</v>
      </c>
      <c r="L885" s="6">
        <f t="shared" si="68"/>
        <v>337.582</v>
      </c>
      <c r="M885" s="6">
        <f t="shared" si="69"/>
        <v>409.921</v>
      </c>
    </row>
    <row r="886" spans="1:13">
      <c r="A886" t="s">
        <v>13</v>
      </c>
      <c r="B886" t="s">
        <v>1729</v>
      </c>
      <c r="C886" t="s">
        <v>1730</v>
      </c>
      <c r="D886" t="s">
        <v>1730</v>
      </c>
      <c r="E886" t="s">
        <v>1730</v>
      </c>
      <c r="F886" t="s">
        <v>1730</v>
      </c>
      <c r="G886" s="6">
        <v>291.92</v>
      </c>
      <c r="H886" s="6"/>
      <c r="I886" s="6">
        <f t="shared" si="65"/>
        <v>137.2024</v>
      </c>
      <c r="J886" s="6">
        <f t="shared" si="66"/>
        <v>145.96</v>
      </c>
      <c r="K886" s="6">
        <f t="shared" si="67"/>
        <v>160.556</v>
      </c>
      <c r="L886" s="6">
        <f t="shared" si="68"/>
        <v>204.344</v>
      </c>
      <c r="M886" s="6">
        <f t="shared" si="69"/>
        <v>248.132</v>
      </c>
    </row>
    <row r="887" spans="1:13">
      <c r="A887" t="s">
        <v>13</v>
      </c>
      <c r="B887" t="s">
        <v>1731</v>
      </c>
      <c r="C887" t="s">
        <v>1732</v>
      </c>
      <c r="D887" t="s">
        <v>1732</v>
      </c>
      <c r="E887" t="s">
        <v>1732</v>
      </c>
      <c r="F887" t="s">
        <v>1732</v>
      </c>
      <c r="G887" s="6">
        <v>583.85</v>
      </c>
      <c r="H887" s="6"/>
      <c r="I887" s="6">
        <f t="shared" si="65"/>
        <v>274.4095</v>
      </c>
      <c r="J887" s="6">
        <f t="shared" si="66"/>
        <v>291.925</v>
      </c>
      <c r="K887" s="6">
        <f t="shared" si="67"/>
        <v>321.1175</v>
      </c>
      <c r="L887" s="6">
        <f t="shared" si="68"/>
        <v>408.695</v>
      </c>
      <c r="M887" s="6">
        <f t="shared" si="69"/>
        <v>496.2725</v>
      </c>
    </row>
    <row r="888" spans="1:13">
      <c r="A888" t="s">
        <v>13</v>
      </c>
      <c r="B888" t="s">
        <v>1733</v>
      </c>
      <c r="C888" t="s">
        <v>1734</v>
      </c>
      <c r="D888" t="s">
        <v>1734</v>
      </c>
      <c r="E888" t="s">
        <v>1734</v>
      </c>
      <c r="F888" t="s">
        <v>1734</v>
      </c>
      <c r="G888" s="6">
        <v>172.38</v>
      </c>
      <c r="H888" s="6"/>
      <c r="I888" s="6">
        <f t="shared" si="65"/>
        <v>81.0186</v>
      </c>
      <c r="J888" s="6">
        <f t="shared" si="66"/>
        <v>86.19</v>
      </c>
      <c r="K888" s="6">
        <f t="shared" si="67"/>
        <v>94.809</v>
      </c>
      <c r="L888" s="6">
        <f t="shared" si="68"/>
        <v>120.666</v>
      </c>
      <c r="M888" s="6">
        <f t="shared" si="69"/>
        <v>146.523</v>
      </c>
    </row>
    <row r="889" spans="1:13">
      <c r="A889" t="s">
        <v>13</v>
      </c>
      <c r="B889" t="s">
        <v>1735</v>
      </c>
      <c r="C889" t="s">
        <v>1736</v>
      </c>
      <c r="D889" t="s">
        <v>1736</v>
      </c>
      <c r="E889" t="s">
        <v>1736</v>
      </c>
      <c r="F889" t="s">
        <v>1736</v>
      </c>
      <c r="G889" s="6">
        <v>344.76</v>
      </c>
      <c r="H889" s="6"/>
      <c r="I889" s="6">
        <f t="shared" si="65"/>
        <v>162.0372</v>
      </c>
      <c r="J889" s="6">
        <f t="shared" si="66"/>
        <v>172.38</v>
      </c>
      <c r="K889" s="6">
        <f t="shared" si="67"/>
        <v>189.618</v>
      </c>
      <c r="L889" s="6">
        <f t="shared" si="68"/>
        <v>241.332</v>
      </c>
      <c r="M889" s="6">
        <f t="shared" si="69"/>
        <v>293.046</v>
      </c>
    </row>
    <row r="890" spans="1:13">
      <c r="A890" t="s">
        <v>13</v>
      </c>
      <c r="B890" t="s">
        <v>1737</v>
      </c>
      <c r="C890" t="s">
        <v>1738</v>
      </c>
      <c r="D890" t="s">
        <v>1738</v>
      </c>
      <c r="E890" t="s">
        <v>1738</v>
      </c>
      <c r="F890" t="s">
        <v>1738</v>
      </c>
      <c r="G890" s="6">
        <v>206.54</v>
      </c>
      <c r="H890" s="6"/>
      <c r="I890" s="6">
        <f t="shared" si="65"/>
        <v>97.0738</v>
      </c>
      <c r="J890" s="6">
        <f t="shared" si="66"/>
        <v>103.27</v>
      </c>
      <c r="K890" s="6">
        <f t="shared" si="67"/>
        <v>113.597</v>
      </c>
      <c r="L890" s="6">
        <f t="shared" si="68"/>
        <v>144.578</v>
      </c>
      <c r="M890" s="6">
        <f t="shared" si="69"/>
        <v>175.559</v>
      </c>
    </row>
    <row r="891" spans="1:13">
      <c r="A891" t="s">
        <v>13</v>
      </c>
      <c r="B891" t="s">
        <v>1739</v>
      </c>
      <c r="C891" t="s">
        <v>1740</v>
      </c>
      <c r="D891" t="s">
        <v>1740</v>
      </c>
      <c r="E891" t="s">
        <v>1740</v>
      </c>
      <c r="F891" t="s">
        <v>1740</v>
      </c>
      <c r="G891" s="6">
        <v>413.07</v>
      </c>
      <c r="H891" s="6"/>
      <c r="I891" s="6">
        <f t="shared" si="65"/>
        <v>194.1429</v>
      </c>
      <c r="J891" s="6">
        <f t="shared" si="66"/>
        <v>206.535</v>
      </c>
      <c r="K891" s="6">
        <f t="shared" si="67"/>
        <v>227.1885</v>
      </c>
      <c r="L891" s="6">
        <f t="shared" si="68"/>
        <v>289.149</v>
      </c>
      <c r="M891" s="6">
        <f t="shared" si="69"/>
        <v>351.1095</v>
      </c>
    </row>
    <row r="892" spans="1:13">
      <c r="A892" t="s">
        <v>13</v>
      </c>
      <c r="B892" t="s">
        <v>1741</v>
      </c>
      <c r="C892" t="s">
        <v>1742</v>
      </c>
      <c r="D892" t="s">
        <v>1742</v>
      </c>
      <c r="E892" t="s">
        <v>1742</v>
      </c>
      <c r="F892" t="s">
        <v>1742</v>
      </c>
      <c r="G892" s="6">
        <v>266.02</v>
      </c>
      <c r="H892" s="6"/>
      <c r="I892" s="6">
        <f t="shared" si="65"/>
        <v>125.0294</v>
      </c>
      <c r="J892" s="6">
        <f t="shared" si="66"/>
        <v>133.01</v>
      </c>
      <c r="K892" s="6">
        <f t="shared" si="67"/>
        <v>146.311</v>
      </c>
      <c r="L892" s="6">
        <f t="shared" si="68"/>
        <v>186.214</v>
      </c>
      <c r="M892" s="6">
        <f t="shared" si="69"/>
        <v>226.117</v>
      </c>
    </row>
    <row r="893" spans="1:13">
      <c r="A893" t="s">
        <v>13</v>
      </c>
      <c r="B893" t="s">
        <v>1743</v>
      </c>
      <c r="C893" t="s">
        <v>1744</v>
      </c>
      <c r="D893" t="s">
        <v>1744</v>
      </c>
      <c r="E893" t="s">
        <v>1744</v>
      </c>
      <c r="F893" t="s">
        <v>1744</v>
      </c>
      <c r="G893" s="6">
        <v>532.03</v>
      </c>
      <c r="H893" s="6"/>
      <c r="I893" s="6">
        <f t="shared" si="65"/>
        <v>250.0541</v>
      </c>
      <c r="J893" s="6">
        <f t="shared" si="66"/>
        <v>266.015</v>
      </c>
      <c r="K893" s="6">
        <f t="shared" si="67"/>
        <v>292.6165</v>
      </c>
      <c r="L893" s="6">
        <f t="shared" si="68"/>
        <v>372.421</v>
      </c>
      <c r="M893" s="6">
        <f t="shared" si="69"/>
        <v>452.2255</v>
      </c>
    </row>
    <row r="894" spans="1:13">
      <c r="A894" t="s">
        <v>13</v>
      </c>
      <c r="B894" t="s">
        <v>1745</v>
      </c>
      <c r="C894" t="s">
        <v>1746</v>
      </c>
      <c r="D894" t="s">
        <v>1746</v>
      </c>
      <c r="E894" t="s">
        <v>1746</v>
      </c>
      <c r="F894" t="s">
        <v>1746</v>
      </c>
      <c r="G894" s="6">
        <v>332.52</v>
      </c>
      <c r="H894" s="6"/>
      <c r="I894" s="6">
        <f t="shared" si="65"/>
        <v>156.2844</v>
      </c>
      <c r="J894" s="6">
        <f t="shared" si="66"/>
        <v>166.26</v>
      </c>
      <c r="K894" s="6">
        <f t="shared" si="67"/>
        <v>182.886</v>
      </c>
      <c r="L894" s="6">
        <f t="shared" si="68"/>
        <v>232.764</v>
      </c>
      <c r="M894" s="6">
        <f t="shared" si="69"/>
        <v>282.642</v>
      </c>
    </row>
    <row r="895" spans="1:13">
      <c r="A895" t="s">
        <v>13</v>
      </c>
      <c r="B895" t="s">
        <v>1747</v>
      </c>
      <c r="C895" t="s">
        <v>1748</v>
      </c>
      <c r="D895" t="s">
        <v>1748</v>
      </c>
      <c r="E895" t="s">
        <v>1748</v>
      </c>
      <c r="F895" t="s">
        <v>1748</v>
      </c>
      <c r="G895" s="6">
        <v>665.04</v>
      </c>
      <c r="H895" s="6"/>
      <c r="I895" s="6">
        <f t="shared" si="65"/>
        <v>312.5688</v>
      </c>
      <c r="J895" s="6">
        <f t="shared" si="66"/>
        <v>332.52</v>
      </c>
      <c r="K895" s="6">
        <f t="shared" si="67"/>
        <v>365.772</v>
      </c>
      <c r="L895" s="6">
        <f t="shared" si="68"/>
        <v>465.528</v>
      </c>
      <c r="M895" s="6">
        <f t="shared" si="69"/>
        <v>565.284</v>
      </c>
    </row>
    <row r="896" spans="1:13">
      <c r="A896" t="s">
        <v>13</v>
      </c>
      <c r="B896" t="s">
        <v>1749</v>
      </c>
      <c r="C896" t="s">
        <v>1750</v>
      </c>
      <c r="D896" t="s">
        <v>1750</v>
      </c>
      <c r="E896" t="s">
        <v>1750</v>
      </c>
      <c r="F896" t="s">
        <v>1750</v>
      </c>
      <c r="G896" s="6">
        <v>394.94</v>
      </c>
      <c r="H896" s="6"/>
      <c r="I896" s="6">
        <f t="shared" si="65"/>
        <v>185.6218</v>
      </c>
      <c r="J896" s="6">
        <f t="shared" si="66"/>
        <v>197.47</v>
      </c>
      <c r="K896" s="6">
        <f t="shared" si="67"/>
        <v>217.217</v>
      </c>
      <c r="L896" s="6">
        <f t="shared" si="68"/>
        <v>276.458</v>
      </c>
      <c r="M896" s="6">
        <f t="shared" si="69"/>
        <v>335.699</v>
      </c>
    </row>
    <row r="897" spans="1:13">
      <c r="A897" t="s">
        <v>13</v>
      </c>
      <c r="B897" t="s">
        <v>1751</v>
      </c>
      <c r="C897" t="s">
        <v>1752</v>
      </c>
      <c r="D897" t="s">
        <v>1752</v>
      </c>
      <c r="E897" t="s">
        <v>1752</v>
      </c>
      <c r="F897" t="s">
        <v>1752</v>
      </c>
      <c r="G897" s="6">
        <v>789.89</v>
      </c>
      <c r="H897" s="6"/>
      <c r="I897" s="6">
        <f t="shared" si="65"/>
        <v>371.2483</v>
      </c>
      <c r="J897" s="6">
        <f t="shared" si="66"/>
        <v>394.945</v>
      </c>
      <c r="K897" s="6">
        <f t="shared" si="67"/>
        <v>434.4395</v>
      </c>
      <c r="L897" s="6">
        <f t="shared" si="68"/>
        <v>552.923</v>
      </c>
      <c r="M897" s="6">
        <f t="shared" si="69"/>
        <v>671.4065</v>
      </c>
    </row>
    <row r="898" spans="1:13">
      <c r="A898" t="s">
        <v>13</v>
      </c>
      <c r="B898" t="s">
        <v>1753</v>
      </c>
      <c r="C898" t="s">
        <v>1754</v>
      </c>
      <c r="D898" t="s">
        <v>1754</v>
      </c>
      <c r="E898" t="s">
        <v>1754</v>
      </c>
      <c r="F898" t="s">
        <v>1754</v>
      </c>
      <c r="G898" s="6">
        <v>202.78</v>
      </c>
      <c r="H898" s="6"/>
      <c r="I898" s="6">
        <f t="shared" si="65"/>
        <v>95.3066</v>
      </c>
      <c r="J898" s="6">
        <f t="shared" si="66"/>
        <v>101.39</v>
      </c>
      <c r="K898" s="6">
        <f t="shared" si="67"/>
        <v>111.529</v>
      </c>
      <c r="L898" s="6">
        <f t="shared" si="68"/>
        <v>141.946</v>
      </c>
      <c r="M898" s="6">
        <f t="shared" si="69"/>
        <v>172.363</v>
      </c>
    </row>
    <row r="899" spans="1:13">
      <c r="A899" t="s">
        <v>13</v>
      </c>
      <c r="B899" t="s">
        <v>1755</v>
      </c>
      <c r="C899" t="s">
        <v>1756</v>
      </c>
      <c r="D899" t="s">
        <v>1756</v>
      </c>
      <c r="E899" t="s">
        <v>1756</v>
      </c>
      <c r="F899" t="s">
        <v>1756</v>
      </c>
      <c r="G899" s="6">
        <v>298.04</v>
      </c>
      <c r="H899" s="6"/>
      <c r="I899" s="6">
        <f t="shared" si="65"/>
        <v>140.0788</v>
      </c>
      <c r="J899" s="6">
        <f t="shared" si="66"/>
        <v>149.02</v>
      </c>
      <c r="K899" s="6">
        <f t="shared" si="67"/>
        <v>163.922</v>
      </c>
      <c r="L899" s="6">
        <f t="shared" si="68"/>
        <v>208.628</v>
      </c>
      <c r="M899" s="6">
        <f t="shared" si="69"/>
        <v>253.334</v>
      </c>
    </row>
    <row r="900" spans="1:13">
      <c r="A900" t="s">
        <v>13</v>
      </c>
      <c r="B900" t="s">
        <v>1757</v>
      </c>
      <c r="C900" t="s">
        <v>1758</v>
      </c>
      <c r="D900" t="s">
        <v>1758</v>
      </c>
      <c r="E900" t="s">
        <v>1758</v>
      </c>
      <c r="F900" t="s">
        <v>1758</v>
      </c>
      <c r="G900" s="6">
        <v>393.41</v>
      </c>
      <c r="H900" s="6"/>
      <c r="I900" s="6">
        <f t="shared" ref="I900:I963" si="70">G900*0.47</f>
        <v>184.9027</v>
      </c>
      <c r="J900" s="6">
        <f t="shared" ref="J900:J963" si="71">G900*0.5</f>
        <v>196.705</v>
      </c>
      <c r="K900" s="6">
        <f t="shared" ref="K900:K963" si="72">G900*0.55</f>
        <v>216.3755</v>
      </c>
      <c r="L900" s="6">
        <f t="shared" ref="L900:L963" si="73">G900*0.7</f>
        <v>275.387</v>
      </c>
      <c r="M900" s="6">
        <f t="shared" ref="M900:M963" si="74">G900*0.85</f>
        <v>334.3985</v>
      </c>
    </row>
    <row r="901" spans="1:13">
      <c r="A901" t="s">
        <v>13</v>
      </c>
      <c r="B901" t="s">
        <v>1759</v>
      </c>
      <c r="C901" t="s">
        <v>1760</v>
      </c>
      <c r="D901" t="s">
        <v>1760</v>
      </c>
      <c r="E901" t="s">
        <v>1760</v>
      </c>
      <c r="F901" t="s">
        <v>1760</v>
      </c>
      <c r="G901" s="6">
        <v>488.89</v>
      </c>
      <c r="H901" s="6"/>
      <c r="I901" s="6">
        <f t="shared" si="70"/>
        <v>229.7783</v>
      </c>
      <c r="J901" s="6">
        <f t="shared" si="71"/>
        <v>244.445</v>
      </c>
      <c r="K901" s="6">
        <f t="shared" si="72"/>
        <v>268.8895</v>
      </c>
      <c r="L901" s="6">
        <f t="shared" si="73"/>
        <v>342.223</v>
      </c>
      <c r="M901" s="6">
        <f t="shared" si="74"/>
        <v>415.5565</v>
      </c>
    </row>
    <row r="902" spans="1:13">
      <c r="A902" t="s">
        <v>13</v>
      </c>
      <c r="B902" t="s">
        <v>1761</v>
      </c>
      <c r="C902" t="s">
        <v>1762</v>
      </c>
      <c r="D902" t="s">
        <v>1762</v>
      </c>
      <c r="E902" t="s">
        <v>1762</v>
      </c>
      <c r="F902" t="s">
        <v>1762</v>
      </c>
      <c r="G902" s="6">
        <v>584.46</v>
      </c>
      <c r="H902" s="6"/>
      <c r="I902" s="6">
        <f t="shared" si="70"/>
        <v>274.6962</v>
      </c>
      <c r="J902" s="6">
        <f t="shared" si="71"/>
        <v>292.23</v>
      </c>
      <c r="K902" s="6">
        <f t="shared" si="72"/>
        <v>321.453</v>
      </c>
      <c r="L902" s="6">
        <f t="shared" si="73"/>
        <v>409.122</v>
      </c>
      <c r="M902" s="6">
        <f t="shared" si="74"/>
        <v>496.791</v>
      </c>
    </row>
    <row r="903" spans="1:13">
      <c r="A903" t="s">
        <v>13</v>
      </c>
      <c r="B903" t="s">
        <v>1763</v>
      </c>
      <c r="C903" t="s">
        <v>1764</v>
      </c>
      <c r="D903" t="s">
        <v>1764</v>
      </c>
      <c r="E903" t="s">
        <v>1764</v>
      </c>
      <c r="F903" t="s">
        <v>1764</v>
      </c>
      <c r="G903" s="6">
        <v>57.75</v>
      </c>
      <c r="H903" s="6"/>
      <c r="I903" s="6">
        <f t="shared" si="70"/>
        <v>27.1425</v>
      </c>
      <c r="J903" s="6">
        <f t="shared" si="71"/>
        <v>28.875</v>
      </c>
      <c r="K903" s="6">
        <f t="shared" si="72"/>
        <v>31.7625</v>
      </c>
      <c r="L903" s="6">
        <f t="shared" si="73"/>
        <v>40.425</v>
      </c>
      <c r="M903" s="6">
        <f t="shared" si="74"/>
        <v>49.0875</v>
      </c>
    </row>
    <row r="904" spans="1:13">
      <c r="A904" t="s">
        <v>13</v>
      </c>
      <c r="B904" t="s">
        <v>1765</v>
      </c>
      <c r="C904" t="s">
        <v>1766</v>
      </c>
      <c r="D904" t="s">
        <v>1766</v>
      </c>
      <c r="E904" t="s">
        <v>1766</v>
      </c>
      <c r="F904" t="s">
        <v>1766</v>
      </c>
      <c r="G904" s="6">
        <v>68.14</v>
      </c>
      <c r="H904" s="6"/>
      <c r="I904" s="6">
        <f t="shared" si="70"/>
        <v>32.0258</v>
      </c>
      <c r="J904" s="6">
        <f t="shared" si="71"/>
        <v>34.07</v>
      </c>
      <c r="K904" s="6">
        <f t="shared" si="72"/>
        <v>37.477</v>
      </c>
      <c r="L904" s="6">
        <f t="shared" si="73"/>
        <v>47.698</v>
      </c>
      <c r="M904" s="6">
        <f t="shared" si="74"/>
        <v>57.919</v>
      </c>
    </row>
    <row r="905" spans="1:13">
      <c r="A905" t="s">
        <v>13</v>
      </c>
      <c r="B905" t="s">
        <v>1767</v>
      </c>
      <c r="C905" t="s">
        <v>1768</v>
      </c>
      <c r="D905" t="s">
        <v>1768</v>
      </c>
      <c r="E905" t="s">
        <v>1768</v>
      </c>
      <c r="F905" t="s">
        <v>1768</v>
      </c>
      <c r="G905" s="6">
        <v>16.61</v>
      </c>
      <c r="H905" s="6"/>
      <c r="I905" s="6">
        <f t="shared" si="70"/>
        <v>7.8067</v>
      </c>
      <c r="J905" s="6">
        <f t="shared" si="71"/>
        <v>8.305</v>
      </c>
      <c r="K905" s="6">
        <f t="shared" si="72"/>
        <v>9.1355</v>
      </c>
      <c r="L905" s="6">
        <f t="shared" si="73"/>
        <v>11.627</v>
      </c>
      <c r="M905" s="6">
        <f t="shared" si="74"/>
        <v>14.1185</v>
      </c>
    </row>
    <row r="906" spans="1:13">
      <c r="A906" t="s">
        <v>13</v>
      </c>
      <c r="B906" t="s">
        <v>1769</v>
      </c>
      <c r="C906" t="s">
        <v>1770</v>
      </c>
      <c r="D906" t="s">
        <v>1770</v>
      </c>
      <c r="E906" t="s">
        <v>1770</v>
      </c>
      <c r="F906" t="s">
        <v>1770</v>
      </c>
      <c r="G906" s="6">
        <v>18.26</v>
      </c>
      <c r="H906" s="6"/>
      <c r="I906" s="6">
        <f t="shared" si="70"/>
        <v>8.5822</v>
      </c>
      <c r="J906" s="6">
        <f t="shared" si="71"/>
        <v>9.13</v>
      </c>
      <c r="K906" s="6">
        <f t="shared" si="72"/>
        <v>10.043</v>
      </c>
      <c r="L906" s="6">
        <f t="shared" si="73"/>
        <v>12.782</v>
      </c>
      <c r="M906" s="6">
        <f t="shared" si="74"/>
        <v>15.521</v>
      </c>
    </row>
    <row r="907" spans="1:13">
      <c r="A907" t="s">
        <v>13</v>
      </c>
      <c r="B907" t="s">
        <v>1771</v>
      </c>
      <c r="C907" t="s">
        <v>1772</v>
      </c>
      <c r="D907" t="s">
        <v>1772</v>
      </c>
      <c r="E907" t="s">
        <v>1772</v>
      </c>
      <c r="F907" t="s">
        <v>1772</v>
      </c>
      <c r="G907" s="6">
        <v>80.16</v>
      </c>
      <c r="H907" s="6"/>
      <c r="I907" s="6">
        <f t="shared" si="70"/>
        <v>37.6752</v>
      </c>
      <c r="J907" s="6">
        <f t="shared" si="71"/>
        <v>40.08</v>
      </c>
      <c r="K907" s="6">
        <f t="shared" si="72"/>
        <v>44.088</v>
      </c>
      <c r="L907" s="6">
        <f t="shared" si="73"/>
        <v>56.112</v>
      </c>
      <c r="M907" s="6">
        <f t="shared" si="74"/>
        <v>68.136</v>
      </c>
    </row>
    <row r="908" spans="1:13">
      <c r="A908" t="s">
        <v>13</v>
      </c>
      <c r="B908" t="s">
        <v>1773</v>
      </c>
      <c r="C908" t="s">
        <v>1774</v>
      </c>
      <c r="D908" t="s">
        <v>1774</v>
      </c>
      <c r="E908" t="s">
        <v>1774</v>
      </c>
      <c r="F908" t="s">
        <v>1774</v>
      </c>
      <c r="G908" s="6">
        <v>91.85</v>
      </c>
      <c r="H908" s="6"/>
      <c r="I908" s="6">
        <f t="shared" si="70"/>
        <v>43.1695</v>
      </c>
      <c r="J908" s="6">
        <f t="shared" si="71"/>
        <v>45.925</v>
      </c>
      <c r="K908" s="6">
        <f t="shared" si="72"/>
        <v>50.5175</v>
      </c>
      <c r="L908" s="6">
        <f t="shared" si="73"/>
        <v>64.295</v>
      </c>
      <c r="M908" s="6">
        <f t="shared" si="74"/>
        <v>78.0725</v>
      </c>
    </row>
    <row r="909" spans="1:13">
      <c r="A909" t="s">
        <v>13</v>
      </c>
      <c r="B909" t="s">
        <v>1775</v>
      </c>
      <c r="C909" t="s">
        <v>1776</v>
      </c>
      <c r="D909" t="s">
        <v>1776</v>
      </c>
      <c r="E909" t="s">
        <v>1776</v>
      </c>
      <c r="F909" t="s">
        <v>1776</v>
      </c>
      <c r="G909" s="6">
        <v>142.8</v>
      </c>
      <c r="H909" s="6"/>
      <c r="I909" s="6">
        <f t="shared" si="70"/>
        <v>67.116</v>
      </c>
      <c r="J909" s="6">
        <f t="shared" si="71"/>
        <v>71.4</v>
      </c>
      <c r="K909" s="6">
        <f t="shared" si="72"/>
        <v>78.54</v>
      </c>
      <c r="L909" s="6">
        <f t="shared" si="73"/>
        <v>99.96</v>
      </c>
      <c r="M909" s="6">
        <f t="shared" si="74"/>
        <v>121.38</v>
      </c>
    </row>
    <row r="910" spans="1:13">
      <c r="A910" t="s">
        <v>13</v>
      </c>
      <c r="B910" t="s">
        <v>1777</v>
      </c>
      <c r="C910" t="s">
        <v>1778</v>
      </c>
      <c r="D910" t="s">
        <v>1778</v>
      </c>
      <c r="E910" t="s">
        <v>1778</v>
      </c>
      <c r="F910" t="s">
        <v>1778</v>
      </c>
      <c r="G910" s="6">
        <v>204</v>
      </c>
      <c r="H910" s="6"/>
      <c r="I910" s="6">
        <f t="shared" si="70"/>
        <v>95.88</v>
      </c>
      <c r="J910" s="6">
        <f t="shared" si="71"/>
        <v>102</v>
      </c>
      <c r="K910" s="6">
        <f t="shared" si="72"/>
        <v>112.2</v>
      </c>
      <c r="L910" s="6">
        <f t="shared" si="73"/>
        <v>142.8</v>
      </c>
      <c r="M910" s="6">
        <f t="shared" si="74"/>
        <v>173.4</v>
      </c>
    </row>
    <row r="911" spans="1:13">
      <c r="A911" t="s">
        <v>13</v>
      </c>
      <c r="B911" t="s">
        <v>1779</v>
      </c>
      <c r="C911" t="s">
        <v>1780</v>
      </c>
      <c r="D911" t="s">
        <v>1780</v>
      </c>
      <c r="E911" t="s">
        <v>1780</v>
      </c>
      <c r="F911" t="s">
        <v>1780</v>
      </c>
      <c r="G911" s="6">
        <v>231</v>
      </c>
      <c r="H911" s="6"/>
      <c r="I911" s="6">
        <f t="shared" si="70"/>
        <v>108.57</v>
      </c>
      <c r="J911" s="6">
        <f t="shared" si="71"/>
        <v>115.5</v>
      </c>
      <c r="K911" s="6">
        <f t="shared" si="72"/>
        <v>127.05</v>
      </c>
      <c r="L911" s="6">
        <f t="shared" si="73"/>
        <v>161.7</v>
      </c>
      <c r="M911" s="6">
        <f t="shared" si="74"/>
        <v>196.35</v>
      </c>
    </row>
    <row r="912" spans="1:13">
      <c r="A912" t="s">
        <v>13</v>
      </c>
      <c r="B912" t="s">
        <v>1781</v>
      </c>
      <c r="C912" t="s">
        <v>1782</v>
      </c>
      <c r="D912" t="s">
        <v>1782</v>
      </c>
      <c r="E912" t="s">
        <v>1782</v>
      </c>
      <c r="F912" t="s">
        <v>1782</v>
      </c>
      <c r="G912" s="6">
        <v>558.9</v>
      </c>
      <c r="H912" s="6"/>
      <c r="I912" s="6">
        <f t="shared" si="70"/>
        <v>262.683</v>
      </c>
      <c r="J912" s="6">
        <f t="shared" si="71"/>
        <v>279.45</v>
      </c>
      <c r="K912" s="6">
        <f t="shared" si="72"/>
        <v>307.395</v>
      </c>
      <c r="L912" s="6">
        <f t="shared" si="73"/>
        <v>391.23</v>
      </c>
      <c r="M912" s="6">
        <f t="shared" si="74"/>
        <v>475.065</v>
      </c>
    </row>
    <row r="913" spans="1:13">
      <c r="A913" t="s">
        <v>13</v>
      </c>
      <c r="B913" t="s">
        <v>1783</v>
      </c>
      <c r="C913" t="s">
        <v>1784</v>
      </c>
      <c r="D913" t="s">
        <v>1784</v>
      </c>
      <c r="E913" t="s">
        <v>1784</v>
      </c>
      <c r="F913" t="s">
        <v>1784</v>
      </c>
      <c r="G913" s="6">
        <v>796.33</v>
      </c>
      <c r="H913" s="6"/>
      <c r="I913" s="6">
        <f t="shared" si="70"/>
        <v>374.2751</v>
      </c>
      <c r="J913" s="6">
        <f t="shared" si="71"/>
        <v>398.165</v>
      </c>
      <c r="K913" s="6">
        <f t="shared" si="72"/>
        <v>437.9815</v>
      </c>
      <c r="L913" s="6">
        <f t="shared" si="73"/>
        <v>557.431</v>
      </c>
      <c r="M913" s="6">
        <f t="shared" si="74"/>
        <v>676.8805</v>
      </c>
    </row>
    <row r="914" spans="1:13">
      <c r="A914" t="s">
        <v>13</v>
      </c>
      <c r="B914" t="s">
        <v>1785</v>
      </c>
      <c r="C914" t="s">
        <v>1786</v>
      </c>
      <c r="D914" t="s">
        <v>1786</v>
      </c>
      <c r="E914" t="s">
        <v>1786</v>
      </c>
      <c r="F914" t="s">
        <v>1786</v>
      </c>
      <c r="G914" s="6">
        <v>588.1</v>
      </c>
      <c r="H914" s="6"/>
      <c r="I914" s="6">
        <f t="shared" si="70"/>
        <v>276.407</v>
      </c>
      <c r="J914" s="6">
        <f t="shared" si="71"/>
        <v>294.05</v>
      </c>
      <c r="K914" s="6">
        <f t="shared" si="72"/>
        <v>323.455</v>
      </c>
      <c r="L914" s="6">
        <f t="shared" si="73"/>
        <v>411.67</v>
      </c>
      <c r="M914" s="6">
        <f t="shared" si="74"/>
        <v>499.885</v>
      </c>
    </row>
    <row r="915" spans="1:13">
      <c r="A915" t="s">
        <v>13</v>
      </c>
      <c r="B915" t="s">
        <v>1787</v>
      </c>
      <c r="C915" t="s">
        <v>1788</v>
      </c>
      <c r="D915" t="s">
        <v>1788</v>
      </c>
      <c r="E915" t="s">
        <v>1788</v>
      </c>
      <c r="F915" t="s">
        <v>1788</v>
      </c>
      <c r="G915" s="6">
        <v>857.18</v>
      </c>
      <c r="H915" s="6"/>
      <c r="I915" s="6">
        <f t="shared" si="70"/>
        <v>402.8746</v>
      </c>
      <c r="J915" s="6">
        <f t="shared" si="71"/>
        <v>428.59</v>
      </c>
      <c r="K915" s="6">
        <f t="shared" si="72"/>
        <v>471.449</v>
      </c>
      <c r="L915" s="6">
        <f t="shared" si="73"/>
        <v>600.026</v>
      </c>
      <c r="M915" s="6">
        <f t="shared" si="74"/>
        <v>728.603</v>
      </c>
    </row>
    <row r="916" spans="1:13">
      <c r="A916" t="s">
        <v>13</v>
      </c>
      <c r="B916" t="s">
        <v>1789</v>
      </c>
      <c r="C916" t="s">
        <v>1790</v>
      </c>
      <c r="D916" t="s">
        <v>1790</v>
      </c>
      <c r="E916" t="s">
        <v>1790</v>
      </c>
      <c r="F916" t="s">
        <v>1790</v>
      </c>
      <c r="G916" s="6">
        <v>629.8</v>
      </c>
      <c r="H916" s="6"/>
      <c r="I916" s="6">
        <f t="shared" si="70"/>
        <v>296.006</v>
      </c>
      <c r="J916" s="6">
        <f t="shared" si="71"/>
        <v>314.9</v>
      </c>
      <c r="K916" s="6">
        <f t="shared" si="72"/>
        <v>346.39</v>
      </c>
      <c r="L916" s="6">
        <f t="shared" si="73"/>
        <v>440.86</v>
      </c>
      <c r="M916" s="6">
        <f t="shared" si="74"/>
        <v>535.33</v>
      </c>
    </row>
    <row r="917" spans="1:13">
      <c r="A917" t="s">
        <v>13</v>
      </c>
      <c r="B917" t="s">
        <v>1791</v>
      </c>
      <c r="C917" t="s">
        <v>1792</v>
      </c>
      <c r="D917" t="s">
        <v>1792</v>
      </c>
      <c r="E917" t="s">
        <v>1792</v>
      </c>
      <c r="F917" t="s">
        <v>1792</v>
      </c>
      <c r="G917" s="6">
        <v>917.75</v>
      </c>
      <c r="H917" s="6"/>
      <c r="I917" s="6">
        <f t="shared" si="70"/>
        <v>431.3425</v>
      </c>
      <c r="J917" s="6">
        <f t="shared" si="71"/>
        <v>458.875</v>
      </c>
      <c r="K917" s="6">
        <f t="shared" si="72"/>
        <v>504.7625</v>
      </c>
      <c r="L917" s="6">
        <f t="shared" si="73"/>
        <v>642.425</v>
      </c>
      <c r="M917" s="6">
        <f t="shared" si="74"/>
        <v>780.0875</v>
      </c>
    </row>
    <row r="918" spans="1:13">
      <c r="A918" t="s">
        <v>13</v>
      </c>
      <c r="B918" t="s">
        <v>1793</v>
      </c>
      <c r="C918" t="s">
        <v>1794</v>
      </c>
      <c r="D918" t="s">
        <v>1794</v>
      </c>
      <c r="E918" t="s">
        <v>1794</v>
      </c>
      <c r="F918" t="s">
        <v>1794</v>
      </c>
      <c r="G918" s="6">
        <v>780.28</v>
      </c>
      <c r="H918" s="6"/>
      <c r="I918" s="6">
        <f t="shared" si="70"/>
        <v>366.7316</v>
      </c>
      <c r="J918" s="6">
        <f t="shared" si="71"/>
        <v>390.14</v>
      </c>
      <c r="K918" s="6">
        <f t="shared" si="72"/>
        <v>429.154</v>
      </c>
      <c r="L918" s="6">
        <f t="shared" si="73"/>
        <v>546.196</v>
      </c>
      <c r="M918" s="6">
        <f t="shared" si="74"/>
        <v>663.238</v>
      </c>
    </row>
    <row r="919" spans="1:13">
      <c r="A919" t="s">
        <v>13</v>
      </c>
      <c r="B919" t="s">
        <v>1795</v>
      </c>
      <c r="C919" t="s">
        <v>1794</v>
      </c>
      <c r="D919" t="s">
        <v>1794</v>
      </c>
      <c r="E919" t="s">
        <v>1794</v>
      </c>
      <c r="F919" t="s">
        <v>1794</v>
      </c>
      <c r="G919" s="6">
        <v>705.85</v>
      </c>
      <c r="H919" s="6"/>
      <c r="I919" s="6">
        <f t="shared" si="70"/>
        <v>331.7495</v>
      </c>
      <c r="J919" s="6">
        <f t="shared" si="71"/>
        <v>352.925</v>
      </c>
      <c r="K919" s="6">
        <f t="shared" si="72"/>
        <v>388.2175</v>
      </c>
      <c r="L919" s="6">
        <f t="shared" si="73"/>
        <v>494.095</v>
      </c>
      <c r="M919" s="6">
        <f t="shared" si="74"/>
        <v>599.9725</v>
      </c>
    </row>
    <row r="920" spans="1:13">
      <c r="A920" t="s">
        <v>13</v>
      </c>
      <c r="B920" t="s">
        <v>1796</v>
      </c>
      <c r="C920" t="s">
        <v>1797</v>
      </c>
      <c r="D920" t="s">
        <v>1797</v>
      </c>
      <c r="E920" t="s">
        <v>1797</v>
      </c>
      <c r="F920" t="s">
        <v>1797</v>
      </c>
      <c r="G920" s="6">
        <v>865.08</v>
      </c>
      <c r="H920" s="6"/>
      <c r="I920" s="6">
        <f t="shared" si="70"/>
        <v>406.5876</v>
      </c>
      <c r="J920" s="6">
        <f t="shared" si="71"/>
        <v>432.54</v>
      </c>
      <c r="K920" s="6">
        <f t="shared" si="72"/>
        <v>475.794</v>
      </c>
      <c r="L920" s="6">
        <f t="shared" si="73"/>
        <v>605.556</v>
      </c>
      <c r="M920" s="6">
        <f t="shared" si="74"/>
        <v>735.318</v>
      </c>
    </row>
    <row r="921" spans="1:13">
      <c r="A921" t="s">
        <v>13</v>
      </c>
      <c r="B921" t="s">
        <v>1798</v>
      </c>
      <c r="C921" t="s">
        <v>1799</v>
      </c>
      <c r="D921" t="s">
        <v>1799</v>
      </c>
      <c r="E921" t="s">
        <v>1799</v>
      </c>
      <c r="F921" t="s">
        <v>1799</v>
      </c>
      <c r="G921" s="6">
        <v>936.36</v>
      </c>
      <c r="H921" s="6"/>
      <c r="I921" s="6">
        <f t="shared" si="70"/>
        <v>440.0892</v>
      </c>
      <c r="J921" s="6">
        <f t="shared" si="71"/>
        <v>468.18</v>
      </c>
      <c r="K921" s="6">
        <f t="shared" si="72"/>
        <v>514.998</v>
      </c>
      <c r="L921" s="6">
        <f t="shared" si="73"/>
        <v>655.452</v>
      </c>
      <c r="M921" s="6">
        <f t="shared" si="74"/>
        <v>795.906</v>
      </c>
    </row>
    <row r="922" spans="1:13">
      <c r="A922" t="s">
        <v>13</v>
      </c>
      <c r="B922" t="s">
        <v>1800</v>
      </c>
      <c r="C922" t="s">
        <v>1801</v>
      </c>
      <c r="D922" t="s">
        <v>1801</v>
      </c>
      <c r="E922" t="s">
        <v>1801</v>
      </c>
      <c r="F922" t="s">
        <v>1801</v>
      </c>
      <c r="G922" s="6">
        <v>379.64</v>
      </c>
      <c r="H922" s="6"/>
      <c r="I922" s="6">
        <f t="shared" si="70"/>
        <v>178.4308</v>
      </c>
      <c r="J922" s="6">
        <f t="shared" si="71"/>
        <v>189.82</v>
      </c>
      <c r="K922" s="6">
        <f t="shared" si="72"/>
        <v>208.802</v>
      </c>
      <c r="L922" s="6">
        <f t="shared" si="73"/>
        <v>265.748</v>
      </c>
      <c r="M922" s="6">
        <f t="shared" si="74"/>
        <v>322.694</v>
      </c>
    </row>
    <row r="923" spans="1:13">
      <c r="A923" t="s">
        <v>13</v>
      </c>
      <c r="B923" t="s">
        <v>1802</v>
      </c>
      <c r="C923" t="s">
        <v>1803</v>
      </c>
      <c r="D923" t="s">
        <v>1803</v>
      </c>
      <c r="E923" t="s">
        <v>1803</v>
      </c>
      <c r="F923" t="s">
        <v>1803</v>
      </c>
      <c r="G923" s="6">
        <v>403.1</v>
      </c>
      <c r="H923" s="6"/>
      <c r="I923" s="6">
        <f t="shared" si="70"/>
        <v>189.457</v>
      </c>
      <c r="J923" s="6">
        <f t="shared" si="71"/>
        <v>201.55</v>
      </c>
      <c r="K923" s="6">
        <f t="shared" si="72"/>
        <v>221.705</v>
      </c>
      <c r="L923" s="6">
        <f t="shared" si="73"/>
        <v>282.17</v>
      </c>
      <c r="M923" s="6">
        <f t="shared" si="74"/>
        <v>342.635</v>
      </c>
    </row>
    <row r="924" spans="1:13">
      <c r="A924" t="s">
        <v>13</v>
      </c>
      <c r="B924" t="s">
        <v>1804</v>
      </c>
      <c r="C924" t="s">
        <v>1805</v>
      </c>
      <c r="D924" t="s">
        <v>1805</v>
      </c>
      <c r="E924" t="s">
        <v>1805</v>
      </c>
      <c r="F924" t="s">
        <v>1805</v>
      </c>
      <c r="G924" s="6">
        <v>291.11</v>
      </c>
      <c r="H924" s="6"/>
      <c r="I924" s="6">
        <f t="shared" si="70"/>
        <v>136.8217</v>
      </c>
      <c r="J924" s="6">
        <f t="shared" si="71"/>
        <v>145.555</v>
      </c>
      <c r="K924" s="6">
        <f t="shared" si="72"/>
        <v>160.1105</v>
      </c>
      <c r="L924" s="6">
        <f t="shared" si="73"/>
        <v>203.777</v>
      </c>
      <c r="M924" s="6">
        <f t="shared" si="74"/>
        <v>247.4435</v>
      </c>
    </row>
    <row r="925" spans="1:13">
      <c r="A925" t="s">
        <v>13</v>
      </c>
      <c r="B925" t="s">
        <v>1806</v>
      </c>
      <c r="C925" t="s">
        <v>1807</v>
      </c>
      <c r="D925" t="s">
        <v>1807</v>
      </c>
      <c r="E925" t="s">
        <v>1807</v>
      </c>
      <c r="F925" t="s">
        <v>1807</v>
      </c>
      <c r="G925" s="6">
        <v>556.72</v>
      </c>
      <c r="H925" s="6"/>
      <c r="I925" s="6">
        <f t="shared" si="70"/>
        <v>261.6584</v>
      </c>
      <c r="J925" s="6">
        <f t="shared" si="71"/>
        <v>278.36</v>
      </c>
      <c r="K925" s="6">
        <f t="shared" si="72"/>
        <v>306.196</v>
      </c>
      <c r="L925" s="6">
        <f t="shared" si="73"/>
        <v>389.704</v>
      </c>
      <c r="M925" s="6">
        <f t="shared" si="74"/>
        <v>473.212</v>
      </c>
    </row>
    <row r="926" spans="1:13">
      <c r="A926" t="s">
        <v>13</v>
      </c>
      <c r="B926" t="s">
        <v>1808</v>
      </c>
      <c r="C926" t="s">
        <v>1809</v>
      </c>
      <c r="D926" t="s">
        <v>1809</v>
      </c>
      <c r="E926" t="s">
        <v>1809</v>
      </c>
      <c r="F926" t="s">
        <v>1809</v>
      </c>
      <c r="G926" s="6">
        <v>252.96</v>
      </c>
      <c r="H926" s="6"/>
      <c r="I926" s="6">
        <f t="shared" si="70"/>
        <v>118.8912</v>
      </c>
      <c r="J926" s="6">
        <f t="shared" si="71"/>
        <v>126.48</v>
      </c>
      <c r="K926" s="6">
        <f t="shared" si="72"/>
        <v>139.128</v>
      </c>
      <c r="L926" s="6">
        <f t="shared" si="73"/>
        <v>177.072</v>
      </c>
      <c r="M926" s="6">
        <f t="shared" si="74"/>
        <v>215.016</v>
      </c>
    </row>
    <row r="927" spans="1:13">
      <c r="A927" t="s">
        <v>13</v>
      </c>
      <c r="B927" t="s">
        <v>1810</v>
      </c>
      <c r="C927" t="s">
        <v>1811</v>
      </c>
      <c r="D927" t="s">
        <v>1811</v>
      </c>
      <c r="E927" t="s">
        <v>1811</v>
      </c>
      <c r="F927" t="s">
        <v>1811</v>
      </c>
      <c r="G927" s="6">
        <v>252.96</v>
      </c>
      <c r="H927" s="6"/>
      <c r="I927" s="6">
        <f t="shared" si="70"/>
        <v>118.8912</v>
      </c>
      <c r="J927" s="6">
        <f t="shared" si="71"/>
        <v>126.48</v>
      </c>
      <c r="K927" s="6">
        <f t="shared" si="72"/>
        <v>139.128</v>
      </c>
      <c r="L927" s="6">
        <f t="shared" si="73"/>
        <v>177.072</v>
      </c>
      <c r="M927" s="6">
        <f t="shared" si="74"/>
        <v>215.016</v>
      </c>
    </row>
    <row r="928" spans="1:13">
      <c r="A928" t="s">
        <v>13</v>
      </c>
      <c r="B928" t="s">
        <v>1812</v>
      </c>
      <c r="C928" t="s">
        <v>1813</v>
      </c>
      <c r="D928" t="s">
        <v>1813</v>
      </c>
      <c r="E928" t="s">
        <v>1813</v>
      </c>
      <c r="F928" t="s">
        <v>1813</v>
      </c>
      <c r="G928" s="6">
        <v>215.12</v>
      </c>
      <c r="H928" s="6"/>
      <c r="I928" s="6">
        <f t="shared" si="70"/>
        <v>101.1064</v>
      </c>
      <c r="J928" s="6">
        <f t="shared" si="71"/>
        <v>107.56</v>
      </c>
      <c r="K928" s="6">
        <f t="shared" si="72"/>
        <v>118.316</v>
      </c>
      <c r="L928" s="6">
        <f t="shared" si="73"/>
        <v>150.584</v>
      </c>
      <c r="M928" s="6">
        <f t="shared" si="74"/>
        <v>182.852</v>
      </c>
    </row>
    <row r="929" spans="1:13">
      <c r="A929" t="s">
        <v>13</v>
      </c>
      <c r="B929" t="s">
        <v>1814</v>
      </c>
      <c r="C929" t="s">
        <v>1815</v>
      </c>
      <c r="D929" t="s">
        <v>1815</v>
      </c>
      <c r="E929" t="s">
        <v>1815</v>
      </c>
      <c r="F929" t="s">
        <v>1815</v>
      </c>
      <c r="G929" s="6">
        <v>759.08</v>
      </c>
      <c r="H929" s="6"/>
      <c r="I929" s="6">
        <f t="shared" si="70"/>
        <v>356.7676</v>
      </c>
      <c r="J929" s="6">
        <f t="shared" si="71"/>
        <v>379.54</v>
      </c>
      <c r="K929" s="6">
        <f t="shared" si="72"/>
        <v>417.494</v>
      </c>
      <c r="L929" s="6">
        <f t="shared" si="73"/>
        <v>531.356</v>
      </c>
      <c r="M929" s="6">
        <f t="shared" si="74"/>
        <v>645.218</v>
      </c>
    </row>
    <row r="930" spans="1:13">
      <c r="A930" t="s">
        <v>13</v>
      </c>
      <c r="B930" t="s">
        <v>1816</v>
      </c>
      <c r="C930" t="s">
        <v>1817</v>
      </c>
      <c r="D930" t="s">
        <v>1817</v>
      </c>
      <c r="E930" t="s">
        <v>1817</v>
      </c>
      <c r="F930" t="s">
        <v>1817</v>
      </c>
      <c r="G930" s="6">
        <v>316.4</v>
      </c>
      <c r="H930" s="6"/>
      <c r="I930" s="6">
        <f t="shared" si="70"/>
        <v>148.708</v>
      </c>
      <c r="J930" s="6">
        <f t="shared" si="71"/>
        <v>158.2</v>
      </c>
      <c r="K930" s="6">
        <f t="shared" si="72"/>
        <v>174.02</v>
      </c>
      <c r="L930" s="6">
        <f t="shared" si="73"/>
        <v>221.48</v>
      </c>
      <c r="M930" s="6">
        <f t="shared" si="74"/>
        <v>268.94</v>
      </c>
    </row>
    <row r="931" spans="1:13">
      <c r="A931" t="s">
        <v>13</v>
      </c>
      <c r="B931" t="s">
        <v>1818</v>
      </c>
      <c r="C931" t="s">
        <v>1819</v>
      </c>
      <c r="D931" t="s">
        <v>1819</v>
      </c>
      <c r="E931" t="s">
        <v>1819</v>
      </c>
      <c r="F931" t="s">
        <v>1819</v>
      </c>
      <c r="G931" s="6">
        <v>316.4</v>
      </c>
      <c r="H931" s="6"/>
      <c r="I931" s="6">
        <f t="shared" si="70"/>
        <v>148.708</v>
      </c>
      <c r="J931" s="6">
        <f t="shared" si="71"/>
        <v>158.2</v>
      </c>
      <c r="K931" s="6">
        <f t="shared" si="72"/>
        <v>174.02</v>
      </c>
      <c r="L931" s="6">
        <f t="shared" si="73"/>
        <v>221.48</v>
      </c>
      <c r="M931" s="6">
        <f t="shared" si="74"/>
        <v>268.94</v>
      </c>
    </row>
    <row r="932" spans="1:13">
      <c r="A932" t="s">
        <v>13</v>
      </c>
      <c r="B932" t="s">
        <v>1820</v>
      </c>
      <c r="C932" t="s">
        <v>1821</v>
      </c>
      <c r="D932" t="s">
        <v>1821</v>
      </c>
      <c r="E932" t="s">
        <v>1821</v>
      </c>
      <c r="F932" t="s">
        <v>1821</v>
      </c>
      <c r="G932" s="6">
        <v>261.32</v>
      </c>
      <c r="H932" s="6"/>
      <c r="I932" s="6">
        <f t="shared" si="70"/>
        <v>122.8204</v>
      </c>
      <c r="J932" s="6">
        <f t="shared" si="71"/>
        <v>130.66</v>
      </c>
      <c r="K932" s="6">
        <f t="shared" si="72"/>
        <v>143.726</v>
      </c>
      <c r="L932" s="6">
        <f t="shared" si="73"/>
        <v>182.924</v>
      </c>
      <c r="M932" s="6">
        <f t="shared" si="74"/>
        <v>222.122</v>
      </c>
    </row>
    <row r="933" spans="1:13">
      <c r="A933" t="s">
        <v>13</v>
      </c>
      <c r="B933" t="s">
        <v>1822</v>
      </c>
      <c r="C933" t="s">
        <v>1823</v>
      </c>
      <c r="D933" t="s">
        <v>1823</v>
      </c>
      <c r="E933" t="s">
        <v>1823</v>
      </c>
      <c r="F933" t="s">
        <v>1823</v>
      </c>
      <c r="G933" s="6">
        <v>382.5</v>
      </c>
      <c r="H933" s="6"/>
      <c r="I933" s="6">
        <f t="shared" si="70"/>
        <v>179.775</v>
      </c>
      <c r="J933" s="6">
        <f t="shared" si="71"/>
        <v>191.25</v>
      </c>
      <c r="K933" s="6">
        <f t="shared" si="72"/>
        <v>210.375</v>
      </c>
      <c r="L933" s="6">
        <f t="shared" si="73"/>
        <v>267.75</v>
      </c>
      <c r="M933" s="6">
        <f t="shared" si="74"/>
        <v>325.125</v>
      </c>
    </row>
    <row r="934" spans="1:13">
      <c r="A934" t="s">
        <v>13</v>
      </c>
      <c r="B934" t="s">
        <v>1824</v>
      </c>
      <c r="C934" t="s">
        <v>1825</v>
      </c>
      <c r="D934" t="s">
        <v>1825</v>
      </c>
      <c r="E934" t="s">
        <v>1825</v>
      </c>
      <c r="F934" t="s">
        <v>1825</v>
      </c>
      <c r="G934" s="6">
        <v>127.5</v>
      </c>
      <c r="H934" s="6"/>
      <c r="I934" s="6">
        <f t="shared" si="70"/>
        <v>59.925</v>
      </c>
      <c r="J934" s="6">
        <f t="shared" si="71"/>
        <v>63.75</v>
      </c>
      <c r="K934" s="6">
        <f t="shared" si="72"/>
        <v>70.125</v>
      </c>
      <c r="L934" s="6">
        <f t="shared" si="73"/>
        <v>89.25</v>
      </c>
      <c r="M934" s="6">
        <f t="shared" si="74"/>
        <v>108.375</v>
      </c>
    </row>
    <row r="935" spans="1:13">
      <c r="A935" t="s">
        <v>13</v>
      </c>
      <c r="B935" t="s">
        <v>1826</v>
      </c>
      <c r="C935" t="s">
        <v>1827</v>
      </c>
      <c r="D935" t="s">
        <v>1827</v>
      </c>
      <c r="E935" t="s">
        <v>1827</v>
      </c>
      <c r="F935" t="s">
        <v>1827</v>
      </c>
      <c r="G935" s="6">
        <v>30.6</v>
      </c>
      <c r="H935" s="6"/>
      <c r="I935" s="6">
        <f t="shared" si="70"/>
        <v>14.382</v>
      </c>
      <c r="J935" s="6">
        <f t="shared" si="71"/>
        <v>15.3</v>
      </c>
      <c r="K935" s="6">
        <f t="shared" si="72"/>
        <v>16.83</v>
      </c>
      <c r="L935" s="6">
        <f t="shared" si="73"/>
        <v>21.42</v>
      </c>
      <c r="M935" s="6">
        <f t="shared" si="74"/>
        <v>26.01</v>
      </c>
    </row>
    <row r="936" spans="1:13">
      <c r="A936" t="s">
        <v>13</v>
      </c>
      <c r="B936" t="s">
        <v>1828</v>
      </c>
      <c r="C936" t="s">
        <v>1829</v>
      </c>
      <c r="D936" t="s">
        <v>1829</v>
      </c>
      <c r="E936" t="s">
        <v>1829</v>
      </c>
      <c r="F936" t="s">
        <v>1829</v>
      </c>
      <c r="G936" s="6">
        <v>25.5</v>
      </c>
      <c r="H936" s="6"/>
      <c r="I936" s="6">
        <f t="shared" si="70"/>
        <v>11.985</v>
      </c>
      <c r="J936" s="6">
        <f t="shared" si="71"/>
        <v>12.75</v>
      </c>
      <c r="K936" s="6">
        <f t="shared" si="72"/>
        <v>14.025</v>
      </c>
      <c r="L936" s="6">
        <f t="shared" si="73"/>
        <v>17.85</v>
      </c>
      <c r="M936" s="6">
        <f t="shared" si="74"/>
        <v>21.675</v>
      </c>
    </row>
    <row r="937" spans="1:13">
      <c r="A937" t="s">
        <v>13</v>
      </c>
      <c r="B937" t="s">
        <v>1830</v>
      </c>
      <c r="C937" t="s">
        <v>1831</v>
      </c>
      <c r="D937" t="s">
        <v>1831</v>
      </c>
      <c r="E937" t="s">
        <v>1831</v>
      </c>
      <c r="F937" t="s">
        <v>1831</v>
      </c>
      <c r="G937" s="6">
        <v>244.8</v>
      </c>
      <c r="H937" s="6"/>
      <c r="I937" s="6">
        <f t="shared" si="70"/>
        <v>115.056</v>
      </c>
      <c r="J937" s="6">
        <f t="shared" si="71"/>
        <v>122.4</v>
      </c>
      <c r="K937" s="6">
        <f t="shared" si="72"/>
        <v>134.64</v>
      </c>
      <c r="L937" s="6">
        <f t="shared" si="73"/>
        <v>171.36</v>
      </c>
      <c r="M937" s="6">
        <f t="shared" si="74"/>
        <v>208.08</v>
      </c>
    </row>
    <row r="938" spans="1:13">
      <c r="A938" t="s">
        <v>13</v>
      </c>
      <c r="B938" t="s">
        <v>1832</v>
      </c>
      <c r="C938" t="s">
        <v>1833</v>
      </c>
      <c r="D938" t="s">
        <v>1833</v>
      </c>
      <c r="E938" t="s">
        <v>1833</v>
      </c>
      <c r="F938" t="s">
        <v>1833</v>
      </c>
      <c r="G938" s="6">
        <v>1581</v>
      </c>
      <c r="H938" s="6"/>
      <c r="I938" s="6">
        <f t="shared" si="70"/>
        <v>743.07</v>
      </c>
      <c r="J938" s="6">
        <f t="shared" si="71"/>
        <v>790.5</v>
      </c>
      <c r="K938" s="6">
        <f t="shared" si="72"/>
        <v>869.55</v>
      </c>
      <c r="L938" s="6">
        <f t="shared" si="73"/>
        <v>1106.7</v>
      </c>
      <c r="M938" s="6">
        <f t="shared" si="74"/>
        <v>1343.85</v>
      </c>
    </row>
    <row r="939" spans="1:13">
      <c r="A939" t="s">
        <v>13</v>
      </c>
      <c r="B939" t="s">
        <v>1834</v>
      </c>
      <c r="C939" t="s">
        <v>1835</v>
      </c>
      <c r="D939" t="s">
        <v>1835</v>
      </c>
      <c r="E939" t="s">
        <v>1835</v>
      </c>
      <c r="F939" t="s">
        <v>1835</v>
      </c>
      <c r="G939" s="6">
        <v>663</v>
      </c>
      <c r="H939" s="6"/>
      <c r="I939" s="6">
        <f t="shared" si="70"/>
        <v>311.61</v>
      </c>
      <c r="J939" s="6">
        <f t="shared" si="71"/>
        <v>331.5</v>
      </c>
      <c r="K939" s="6">
        <f t="shared" si="72"/>
        <v>364.65</v>
      </c>
      <c r="L939" s="6">
        <f t="shared" si="73"/>
        <v>464.1</v>
      </c>
      <c r="M939" s="6">
        <f t="shared" si="74"/>
        <v>563.55</v>
      </c>
    </row>
    <row r="940" spans="1:13">
      <c r="A940" t="s">
        <v>13</v>
      </c>
      <c r="B940" t="s">
        <v>1836</v>
      </c>
      <c r="C940" t="s">
        <v>1837</v>
      </c>
      <c r="D940" t="s">
        <v>1837</v>
      </c>
      <c r="E940" t="s">
        <v>1837</v>
      </c>
      <c r="F940" t="s">
        <v>1837</v>
      </c>
      <c r="G940" s="6">
        <v>663</v>
      </c>
      <c r="H940" s="6"/>
      <c r="I940" s="6">
        <f t="shared" si="70"/>
        <v>311.61</v>
      </c>
      <c r="J940" s="6">
        <f t="shared" si="71"/>
        <v>331.5</v>
      </c>
      <c r="K940" s="6">
        <f t="shared" si="72"/>
        <v>364.65</v>
      </c>
      <c r="L940" s="6">
        <f t="shared" si="73"/>
        <v>464.1</v>
      </c>
      <c r="M940" s="6">
        <f t="shared" si="74"/>
        <v>563.55</v>
      </c>
    </row>
    <row r="941" spans="1:13">
      <c r="A941" t="s">
        <v>13</v>
      </c>
      <c r="B941" t="s">
        <v>1838</v>
      </c>
      <c r="C941" t="s">
        <v>1839</v>
      </c>
      <c r="D941" t="s">
        <v>1839</v>
      </c>
      <c r="E941" t="s">
        <v>1839</v>
      </c>
      <c r="F941" t="s">
        <v>1839</v>
      </c>
      <c r="G941" s="6">
        <v>714</v>
      </c>
      <c r="H941" s="6"/>
      <c r="I941" s="6">
        <f t="shared" si="70"/>
        <v>335.58</v>
      </c>
      <c r="J941" s="6">
        <f t="shared" si="71"/>
        <v>357</v>
      </c>
      <c r="K941" s="6">
        <f t="shared" si="72"/>
        <v>392.7</v>
      </c>
      <c r="L941" s="6">
        <f t="shared" si="73"/>
        <v>499.8</v>
      </c>
      <c r="M941" s="6">
        <f t="shared" si="74"/>
        <v>606.9</v>
      </c>
    </row>
    <row r="942" spans="1:13">
      <c r="A942" t="s">
        <v>13</v>
      </c>
      <c r="B942" t="s">
        <v>1840</v>
      </c>
      <c r="C942" t="s">
        <v>1841</v>
      </c>
      <c r="D942" t="s">
        <v>1841</v>
      </c>
      <c r="E942" t="s">
        <v>1841</v>
      </c>
      <c r="F942" t="s">
        <v>1841</v>
      </c>
      <c r="G942" s="6">
        <v>535.5</v>
      </c>
      <c r="H942" s="6"/>
      <c r="I942" s="6">
        <f t="shared" si="70"/>
        <v>251.685</v>
      </c>
      <c r="J942" s="6">
        <f t="shared" si="71"/>
        <v>267.75</v>
      </c>
      <c r="K942" s="6">
        <f t="shared" si="72"/>
        <v>294.525</v>
      </c>
      <c r="L942" s="6">
        <f t="shared" si="73"/>
        <v>374.85</v>
      </c>
      <c r="M942" s="6">
        <f t="shared" si="74"/>
        <v>455.175</v>
      </c>
    </row>
    <row r="943" spans="1:13">
      <c r="A943" t="s">
        <v>13</v>
      </c>
      <c r="B943" t="s">
        <v>1842</v>
      </c>
      <c r="C943" t="s">
        <v>1843</v>
      </c>
      <c r="D943" t="s">
        <v>1843</v>
      </c>
      <c r="E943" t="s">
        <v>1843</v>
      </c>
      <c r="F943" t="s">
        <v>1843</v>
      </c>
      <c r="G943" s="6">
        <v>275.4</v>
      </c>
      <c r="H943" s="6"/>
      <c r="I943" s="6">
        <f t="shared" si="70"/>
        <v>129.438</v>
      </c>
      <c r="J943" s="6">
        <f t="shared" si="71"/>
        <v>137.7</v>
      </c>
      <c r="K943" s="6">
        <f t="shared" si="72"/>
        <v>151.47</v>
      </c>
      <c r="L943" s="6">
        <f t="shared" si="73"/>
        <v>192.78</v>
      </c>
      <c r="M943" s="6">
        <f t="shared" si="74"/>
        <v>234.09</v>
      </c>
    </row>
    <row r="944" spans="1:13">
      <c r="A944" t="s">
        <v>13</v>
      </c>
      <c r="B944" t="s">
        <v>1844</v>
      </c>
      <c r="C944" t="s">
        <v>1845</v>
      </c>
      <c r="D944" t="s">
        <v>1845</v>
      </c>
      <c r="E944" t="s">
        <v>1845</v>
      </c>
      <c r="F944" t="s">
        <v>1845</v>
      </c>
      <c r="G944" s="6">
        <v>290.7</v>
      </c>
      <c r="H944" s="6"/>
      <c r="I944" s="6">
        <f t="shared" si="70"/>
        <v>136.629</v>
      </c>
      <c r="J944" s="6">
        <f t="shared" si="71"/>
        <v>145.35</v>
      </c>
      <c r="K944" s="6">
        <f t="shared" si="72"/>
        <v>159.885</v>
      </c>
      <c r="L944" s="6">
        <f t="shared" si="73"/>
        <v>203.49</v>
      </c>
      <c r="M944" s="6">
        <f t="shared" si="74"/>
        <v>247.095</v>
      </c>
    </row>
    <row r="945" spans="1:13">
      <c r="A945" t="s">
        <v>13</v>
      </c>
      <c r="B945" t="s">
        <v>1846</v>
      </c>
      <c r="C945" t="s">
        <v>1847</v>
      </c>
      <c r="D945" t="s">
        <v>1847</v>
      </c>
      <c r="E945" t="s">
        <v>1847</v>
      </c>
      <c r="F945" t="s">
        <v>1847</v>
      </c>
      <c r="G945" s="6">
        <v>236.33</v>
      </c>
      <c r="H945" s="6"/>
      <c r="I945" s="6">
        <f t="shared" si="70"/>
        <v>111.0751</v>
      </c>
      <c r="J945" s="6">
        <f t="shared" si="71"/>
        <v>118.165</v>
      </c>
      <c r="K945" s="6">
        <f t="shared" si="72"/>
        <v>129.9815</v>
      </c>
      <c r="L945" s="6">
        <f t="shared" si="73"/>
        <v>165.431</v>
      </c>
      <c r="M945" s="6">
        <f t="shared" si="74"/>
        <v>200.8805</v>
      </c>
    </row>
    <row r="946" spans="1:13">
      <c r="A946" t="s">
        <v>13</v>
      </c>
      <c r="B946" t="s">
        <v>1848</v>
      </c>
      <c r="C946" t="s">
        <v>1849</v>
      </c>
      <c r="D946" t="s">
        <v>1849</v>
      </c>
      <c r="E946" t="s">
        <v>1849</v>
      </c>
      <c r="F946" t="s">
        <v>1849</v>
      </c>
      <c r="G946" s="6">
        <v>334.66</v>
      </c>
      <c r="H946" s="6"/>
      <c r="I946" s="6">
        <f t="shared" si="70"/>
        <v>157.2902</v>
      </c>
      <c r="J946" s="6">
        <f t="shared" si="71"/>
        <v>167.33</v>
      </c>
      <c r="K946" s="6">
        <f t="shared" si="72"/>
        <v>184.063</v>
      </c>
      <c r="L946" s="6">
        <f t="shared" si="73"/>
        <v>234.262</v>
      </c>
      <c r="M946" s="6">
        <f t="shared" si="74"/>
        <v>284.461</v>
      </c>
    </row>
    <row r="947" spans="1:13">
      <c r="A947" t="s">
        <v>13</v>
      </c>
      <c r="B947" t="s">
        <v>1850</v>
      </c>
      <c r="C947" t="s">
        <v>1851</v>
      </c>
      <c r="D947" t="s">
        <v>1851</v>
      </c>
      <c r="E947" t="s">
        <v>1851</v>
      </c>
      <c r="F947" t="s">
        <v>1851</v>
      </c>
      <c r="G947" s="6">
        <v>504.49</v>
      </c>
      <c r="H947" s="6"/>
      <c r="I947" s="6">
        <f t="shared" si="70"/>
        <v>237.1103</v>
      </c>
      <c r="J947" s="6">
        <f t="shared" si="71"/>
        <v>252.245</v>
      </c>
      <c r="K947" s="6">
        <f t="shared" si="72"/>
        <v>277.4695</v>
      </c>
      <c r="L947" s="6">
        <f t="shared" si="73"/>
        <v>353.143</v>
      </c>
      <c r="M947" s="6">
        <f t="shared" si="74"/>
        <v>428.8165</v>
      </c>
    </row>
    <row r="948" spans="1:13">
      <c r="A948" t="s">
        <v>13</v>
      </c>
      <c r="B948" t="s">
        <v>1852</v>
      </c>
      <c r="C948" t="s">
        <v>1853</v>
      </c>
      <c r="D948" t="s">
        <v>1853</v>
      </c>
      <c r="E948" t="s">
        <v>1853</v>
      </c>
      <c r="F948" t="s">
        <v>1853</v>
      </c>
      <c r="G948" s="6">
        <v>650.56</v>
      </c>
      <c r="H948" s="6"/>
      <c r="I948" s="6">
        <f t="shared" si="70"/>
        <v>305.7632</v>
      </c>
      <c r="J948" s="6">
        <f t="shared" si="71"/>
        <v>325.28</v>
      </c>
      <c r="K948" s="6">
        <f t="shared" si="72"/>
        <v>357.808</v>
      </c>
      <c r="L948" s="6">
        <f t="shared" si="73"/>
        <v>455.392</v>
      </c>
      <c r="M948" s="6">
        <f t="shared" si="74"/>
        <v>552.976</v>
      </c>
    </row>
    <row r="949" spans="1:13">
      <c r="A949" t="s">
        <v>13</v>
      </c>
      <c r="B949" t="s">
        <v>1854</v>
      </c>
      <c r="C949" t="s">
        <v>1855</v>
      </c>
      <c r="D949" t="s">
        <v>1855</v>
      </c>
      <c r="E949" t="s">
        <v>1855</v>
      </c>
      <c r="F949" t="s">
        <v>1855</v>
      </c>
      <c r="G949" s="6">
        <v>85.82</v>
      </c>
      <c r="H949" s="6"/>
      <c r="I949" s="6">
        <f t="shared" si="70"/>
        <v>40.3354</v>
      </c>
      <c r="J949" s="6">
        <f t="shared" si="71"/>
        <v>42.91</v>
      </c>
      <c r="K949" s="6">
        <f t="shared" si="72"/>
        <v>47.201</v>
      </c>
      <c r="L949" s="6">
        <f t="shared" si="73"/>
        <v>60.074</v>
      </c>
      <c r="M949" s="6">
        <f t="shared" si="74"/>
        <v>72.947</v>
      </c>
    </row>
    <row r="950" spans="1:13">
      <c r="A950" t="s">
        <v>13</v>
      </c>
      <c r="B950" t="s">
        <v>1856</v>
      </c>
      <c r="C950" t="s">
        <v>1857</v>
      </c>
      <c r="D950" t="s">
        <v>1857</v>
      </c>
      <c r="E950" t="s">
        <v>1857</v>
      </c>
      <c r="F950" t="s">
        <v>1857</v>
      </c>
      <c r="G950" s="6">
        <v>123.86</v>
      </c>
      <c r="H950" s="6"/>
      <c r="I950" s="6">
        <f t="shared" si="70"/>
        <v>58.2142</v>
      </c>
      <c r="J950" s="6">
        <f t="shared" si="71"/>
        <v>61.93</v>
      </c>
      <c r="K950" s="6">
        <f t="shared" si="72"/>
        <v>68.123</v>
      </c>
      <c r="L950" s="6">
        <f t="shared" si="73"/>
        <v>86.702</v>
      </c>
      <c r="M950" s="6">
        <f t="shared" si="74"/>
        <v>105.281</v>
      </c>
    </row>
    <row r="951" spans="1:13">
      <c r="A951" t="s">
        <v>13</v>
      </c>
      <c r="B951" t="s">
        <v>1858</v>
      </c>
      <c r="C951" t="s">
        <v>1859</v>
      </c>
      <c r="D951" t="s">
        <v>1859</v>
      </c>
      <c r="E951" t="s">
        <v>1859</v>
      </c>
      <c r="F951" t="s">
        <v>1859</v>
      </c>
      <c r="G951" s="6">
        <v>177.28</v>
      </c>
      <c r="H951" s="6"/>
      <c r="I951" s="6">
        <f t="shared" si="70"/>
        <v>83.3216</v>
      </c>
      <c r="J951" s="6">
        <f t="shared" si="71"/>
        <v>88.64</v>
      </c>
      <c r="K951" s="6">
        <f t="shared" si="72"/>
        <v>97.504</v>
      </c>
      <c r="L951" s="6">
        <f t="shared" si="73"/>
        <v>124.096</v>
      </c>
      <c r="M951" s="6">
        <f t="shared" si="74"/>
        <v>150.688</v>
      </c>
    </row>
    <row r="952" spans="1:13">
      <c r="A952" t="s">
        <v>13</v>
      </c>
      <c r="B952" t="s">
        <v>1860</v>
      </c>
      <c r="C952" t="s">
        <v>1861</v>
      </c>
      <c r="D952" t="s">
        <v>1861</v>
      </c>
      <c r="E952" t="s">
        <v>1861</v>
      </c>
      <c r="F952" t="s">
        <v>1861</v>
      </c>
      <c r="G952" s="6">
        <v>240.41</v>
      </c>
      <c r="H952" s="6"/>
      <c r="I952" s="6">
        <f t="shared" si="70"/>
        <v>112.9927</v>
      </c>
      <c r="J952" s="6">
        <f t="shared" si="71"/>
        <v>120.205</v>
      </c>
      <c r="K952" s="6">
        <f t="shared" si="72"/>
        <v>132.2255</v>
      </c>
      <c r="L952" s="6">
        <f t="shared" si="73"/>
        <v>168.287</v>
      </c>
      <c r="M952" s="6">
        <f t="shared" si="74"/>
        <v>204.3485</v>
      </c>
    </row>
    <row r="953" spans="1:13">
      <c r="A953" t="s">
        <v>13</v>
      </c>
      <c r="B953" t="s">
        <v>1862</v>
      </c>
      <c r="C953" t="s">
        <v>1863</v>
      </c>
      <c r="D953" t="s">
        <v>1863</v>
      </c>
      <c r="E953" t="s">
        <v>1863</v>
      </c>
      <c r="F953" t="s">
        <v>1863</v>
      </c>
      <c r="G953" s="6">
        <v>21.62</v>
      </c>
      <c r="H953" s="6"/>
      <c r="I953" s="6">
        <f t="shared" si="70"/>
        <v>10.1614</v>
      </c>
      <c r="J953" s="6">
        <f t="shared" si="71"/>
        <v>10.81</v>
      </c>
      <c r="K953" s="6">
        <f t="shared" si="72"/>
        <v>11.891</v>
      </c>
      <c r="L953" s="6">
        <f t="shared" si="73"/>
        <v>15.134</v>
      </c>
      <c r="M953" s="6">
        <f t="shared" si="74"/>
        <v>18.377</v>
      </c>
    </row>
    <row r="954" spans="1:13">
      <c r="A954" t="s">
        <v>13</v>
      </c>
      <c r="B954" t="s">
        <v>1864</v>
      </c>
      <c r="C954" t="s">
        <v>1865</v>
      </c>
      <c r="D954" t="s">
        <v>1865</v>
      </c>
      <c r="E954" t="s">
        <v>1865</v>
      </c>
      <c r="F954" t="s">
        <v>1865</v>
      </c>
      <c r="G954" s="6">
        <v>91.29</v>
      </c>
      <c r="H954" s="6"/>
      <c r="I954" s="6">
        <f t="shared" si="70"/>
        <v>42.9063</v>
      </c>
      <c r="J954" s="6">
        <f t="shared" si="71"/>
        <v>45.645</v>
      </c>
      <c r="K954" s="6">
        <f t="shared" si="72"/>
        <v>50.2095</v>
      </c>
      <c r="L954" s="6">
        <f t="shared" si="73"/>
        <v>63.903</v>
      </c>
      <c r="M954" s="6">
        <f t="shared" si="74"/>
        <v>77.5965</v>
      </c>
    </row>
    <row r="955" spans="1:13">
      <c r="A955" t="s">
        <v>13</v>
      </c>
      <c r="B955" t="s">
        <v>1866</v>
      </c>
      <c r="C955" t="s">
        <v>1867</v>
      </c>
      <c r="D955" t="s">
        <v>1867</v>
      </c>
      <c r="E955" t="s">
        <v>1867</v>
      </c>
      <c r="F955" t="s">
        <v>1867</v>
      </c>
      <c r="G955" s="6">
        <v>106.49</v>
      </c>
      <c r="H955" s="6"/>
      <c r="I955" s="6">
        <f t="shared" si="70"/>
        <v>50.0503</v>
      </c>
      <c r="J955" s="6">
        <f t="shared" si="71"/>
        <v>53.245</v>
      </c>
      <c r="K955" s="6">
        <f t="shared" si="72"/>
        <v>58.5695</v>
      </c>
      <c r="L955" s="6">
        <f t="shared" si="73"/>
        <v>74.543</v>
      </c>
      <c r="M955" s="6">
        <f t="shared" si="74"/>
        <v>90.5165</v>
      </c>
    </row>
    <row r="956" spans="1:13">
      <c r="A956" t="s">
        <v>13</v>
      </c>
      <c r="B956" t="s">
        <v>1868</v>
      </c>
      <c r="C956" t="s">
        <v>1869</v>
      </c>
      <c r="D956" t="s">
        <v>1869</v>
      </c>
      <c r="E956" t="s">
        <v>1869</v>
      </c>
      <c r="F956" t="s">
        <v>1869</v>
      </c>
      <c r="G956" s="6">
        <v>6.83</v>
      </c>
      <c r="H956" s="6"/>
      <c r="I956" s="6">
        <f t="shared" si="70"/>
        <v>3.2101</v>
      </c>
      <c r="J956" s="6">
        <f t="shared" si="71"/>
        <v>3.415</v>
      </c>
      <c r="K956" s="6">
        <f t="shared" si="72"/>
        <v>3.7565</v>
      </c>
      <c r="L956" s="6">
        <f t="shared" si="73"/>
        <v>4.781</v>
      </c>
      <c r="M956" s="6">
        <f t="shared" si="74"/>
        <v>5.8055</v>
      </c>
    </row>
    <row r="957" spans="1:13">
      <c r="A957" t="s">
        <v>13</v>
      </c>
      <c r="B957" t="s">
        <v>1870</v>
      </c>
      <c r="C957" t="s">
        <v>1871</v>
      </c>
      <c r="D957" t="s">
        <v>1871</v>
      </c>
      <c r="E957" t="s">
        <v>1871</v>
      </c>
      <c r="F957" t="s">
        <v>1871</v>
      </c>
      <c r="G957" s="6">
        <v>83.23</v>
      </c>
      <c r="H957" s="6"/>
      <c r="I957" s="6">
        <f t="shared" si="70"/>
        <v>39.1181</v>
      </c>
      <c r="J957" s="6">
        <f t="shared" si="71"/>
        <v>41.615</v>
      </c>
      <c r="K957" s="6">
        <f t="shared" si="72"/>
        <v>45.7765</v>
      </c>
      <c r="L957" s="6">
        <f t="shared" si="73"/>
        <v>58.261</v>
      </c>
      <c r="M957" s="6">
        <f t="shared" si="74"/>
        <v>70.7455</v>
      </c>
    </row>
    <row r="958" spans="1:13">
      <c r="A958" t="s">
        <v>13</v>
      </c>
      <c r="B958" t="s">
        <v>1872</v>
      </c>
      <c r="C958" t="s">
        <v>1873</v>
      </c>
      <c r="D958" t="s">
        <v>1873</v>
      </c>
      <c r="E958" t="s">
        <v>1873</v>
      </c>
      <c r="F958" t="s">
        <v>1873</v>
      </c>
      <c r="G958" s="6">
        <v>6.73</v>
      </c>
      <c r="H958" s="6"/>
      <c r="I958" s="6">
        <f t="shared" si="70"/>
        <v>3.1631</v>
      </c>
      <c r="J958" s="6">
        <f t="shared" si="71"/>
        <v>3.365</v>
      </c>
      <c r="K958" s="6">
        <f t="shared" si="72"/>
        <v>3.7015</v>
      </c>
      <c r="L958" s="6">
        <f t="shared" si="73"/>
        <v>4.711</v>
      </c>
      <c r="M958" s="6">
        <f t="shared" si="74"/>
        <v>5.7205</v>
      </c>
    </row>
    <row r="959" spans="1:13">
      <c r="A959" t="s">
        <v>13</v>
      </c>
      <c r="B959" t="s">
        <v>1874</v>
      </c>
      <c r="C959" t="s">
        <v>1875</v>
      </c>
      <c r="D959" t="s">
        <v>1875</v>
      </c>
      <c r="E959" t="s">
        <v>1875</v>
      </c>
      <c r="F959" t="s">
        <v>1875</v>
      </c>
      <c r="G959" s="6">
        <v>7.45</v>
      </c>
      <c r="H959" s="6"/>
      <c r="I959" s="6">
        <f t="shared" si="70"/>
        <v>3.5015</v>
      </c>
      <c r="J959" s="6">
        <f t="shared" si="71"/>
        <v>3.725</v>
      </c>
      <c r="K959" s="6">
        <f t="shared" si="72"/>
        <v>4.0975</v>
      </c>
      <c r="L959" s="6">
        <f t="shared" si="73"/>
        <v>5.215</v>
      </c>
      <c r="M959" s="6">
        <f t="shared" si="74"/>
        <v>6.3325</v>
      </c>
    </row>
    <row r="960" spans="1:13">
      <c r="A960" t="s">
        <v>13</v>
      </c>
      <c r="B960" t="s">
        <v>1876</v>
      </c>
      <c r="C960" t="s">
        <v>1877</v>
      </c>
      <c r="D960" t="s">
        <v>1877</v>
      </c>
      <c r="E960" t="s">
        <v>1877</v>
      </c>
      <c r="F960" t="s">
        <v>1877</v>
      </c>
      <c r="G960" s="6">
        <v>10.81</v>
      </c>
      <c r="H960" s="6"/>
      <c r="I960" s="6">
        <f t="shared" si="70"/>
        <v>5.0807</v>
      </c>
      <c r="J960" s="6">
        <f t="shared" si="71"/>
        <v>5.405</v>
      </c>
      <c r="K960" s="6">
        <f t="shared" si="72"/>
        <v>5.9455</v>
      </c>
      <c r="L960" s="6">
        <f t="shared" si="73"/>
        <v>7.567</v>
      </c>
      <c r="M960" s="6">
        <f t="shared" si="74"/>
        <v>9.1885</v>
      </c>
    </row>
    <row r="961" spans="1:13">
      <c r="A961" t="s">
        <v>13</v>
      </c>
      <c r="B961" t="s">
        <v>1878</v>
      </c>
      <c r="C961" t="s">
        <v>1879</v>
      </c>
      <c r="D961" t="s">
        <v>1879</v>
      </c>
      <c r="E961" t="s">
        <v>1879</v>
      </c>
      <c r="F961" t="s">
        <v>1879</v>
      </c>
      <c r="G961" s="6">
        <v>151.67</v>
      </c>
      <c r="H961" s="6"/>
      <c r="I961" s="6">
        <f t="shared" si="70"/>
        <v>71.2849</v>
      </c>
      <c r="J961" s="6">
        <f t="shared" si="71"/>
        <v>75.835</v>
      </c>
      <c r="K961" s="6">
        <f t="shared" si="72"/>
        <v>83.4185</v>
      </c>
      <c r="L961" s="6">
        <f t="shared" si="73"/>
        <v>106.169</v>
      </c>
      <c r="M961" s="6">
        <f t="shared" si="74"/>
        <v>128.9195</v>
      </c>
    </row>
    <row r="962" spans="1:13">
      <c r="A962" t="s">
        <v>13</v>
      </c>
      <c r="B962" t="s">
        <v>1880</v>
      </c>
      <c r="C962" t="s">
        <v>1881</v>
      </c>
      <c r="D962" t="s">
        <v>1881</v>
      </c>
      <c r="E962" t="s">
        <v>1881</v>
      </c>
      <c r="F962" t="s">
        <v>1881</v>
      </c>
      <c r="G962" s="6">
        <v>114.24</v>
      </c>
      <c r="H962" s="6"/>
      <c r="I962" s="6">
        <f t="shared" si="70"/>
        <v>53.6928</v>
      </c>
      <c r="J962" s="6">
        <f t="shared" si="71"/>
        <v>57.12</v>
      </c>
      <c r="K962" s="6">
        <f t="shared" si="72"/>
        <v>62.832</v>
      </c>
      <c r="L962" s="6">
        <f t="shared" si="73"/>
        <v>79.968</v>
      </c>
      <c r="M962" s="6">
        <f t="shared" si="74"/>
        <v>97.104</v>
      </c>
    </row>
    <row r="963" spans="1:13">
      <c r="A963" t="s">
        <v>13</v>
      </c>
      <c r="B963" t="s">
        <v>1882</v>
      </c>
      <c r="C963" t="s">
        <v>1883</v>
      </c>
      <c r="D963" t="s">
        <v>1883</v>
      </c>
      <c r="E963" t="s">
        <v>1883</v>
      </c>
      <c r="F963" t="s">
        <v>1883</v>
      </c>
      <c r="G963" s="6">
        <v>317.12</v>
      </c>
      <c r="H963" s="6"/>
      <c r="I963" s="6">
        <f t="shared" si="70"/>
        <v>149.0464</v>
      </c>
      <c r="J963" s="6">
        <f t="shared" si="71"/>
        <v>158.56</v>
      </c>
      <c r="K963" s="6">
        <f t="shared" si="72"/>
        <v>174.416</v>
      </c>
      <c r="L963" s="6">
        <f t="shared" si="73"/>
        <v>221.984</v>
      </c>
      <c r="M963" s="6">
        <f t="shared" si="74"/>
        <v>269.552</v>
      </c>
    </row>
    <row r="964" spans="1:13">
      <c r="A964" t="s">
        <v>13</v>
      </c>
      <c r="B964" t="s">
        <v>1884</v>
      </c>
      <c r="C964" t="s">
        <v>1883</v>
      </c>
      <c r="D964" t="s">
        <v>1883</v>
      </c>
      <c r="E964" t="s">
        <v>1883</v>
      </c>
      <c r="F964" t="s">
        <v>1883</v>
      </c>
      <c r="G964" s="6">
        <v>317.12</v>
      </c>
      <c r="H964" s="6"/>
      <c r="I964" s="6">
        <f t="shared" ref="I964:I1027" si="75">G964*0.47</f>
        <v>149.0464</v>
      </c>
      <c r="J964" s="6">
        <f t="shared" ref="J964:J1027" si="76">G964*0.5</f>
        <v>158.56</v>
      </c>
      <c r="K964" s="6">
        <f t="shared" ref="K964:K1027" si="77">G964*0.55</f>
        <v>174.416</v>
      </c>
      <c r="L964" s="6">
        <f t="shared" ref="L964:L1027" si="78">G964*0.7</f>
        <v>221.984</v>
      </c>
      <c r="M964" s="6">
        <f t="shared" ref="M964:M1027" si="79">G964*0.85</f>
        <v>269.552</v>
      </c>
    </row>
    <row r="965" spans="1:13">
      <c r="A965" t="s">
        <v>13</v>
      </c>
      <c r="B965" t="s">
        <v>1885</v>
      </c>
      <c r="C965" t="s">
        <v>1886</v>
      </c>
      <c r="D965" t="s">
        <v>1886</v>
      </c>
      <c r="E965" t="s">
        <v>1886</v>
      </c>
      <c r="F965" t="s">
        <v>1886</v>
      </c>
      <c r="G965" s="6">
        <v>76.81</v>
      </c>
      <c r="H965" s="6"/>
      <c r="I965" s="6">
        <f t="shared" si="75"/>
        <v>36.1007</v>
      </c>
      <c r="J965" s="6">
        <f t="shared" si="76"/>
        <v>38.405</v>
      </c>
      <c r="K965" s="6">
        <f t="shared" si="77"/>
        <v>42.2455</v>
      </c>
      <c r="L965" s="6">
        <f t="shared" si="78"/>
        <v>53.767</v>
      </c>
      <c r="M965" s="6">
        <f t="shared" si="79"/>
        <v>65.2885</v>
      </c>
    </row>
    <row r="966" spans="1:13">
      <c r="A966" t="s">
        <v>13</v>
      </c>
      <c r="B966" t="s">
        <v>1887</v>
      </c>
      <c r="C966" t="s">
        <v>1888</v>
      </c>
      <c r="D966" t="s">
        <v>1888</v>
      </c>
      <c r="E966" t="s">
        <v>1888</v>
      </c>
      <c r="F966" t="s">
        <v>1888</v>
      </c>
      <c r="G966" s="6">
        <v>160.96</v>
      </c>
      <c r="H966" s="6"/>
      <c r="I966" s="6">
        <f t="shared" si="75"/>
        <v>75.6512</v>
      </c>
      <c r="J966" s="6">
        <f t="shared" si="76"/>
        <v>80.48</v>
      </c>
      <c r="K966" s="6">
        <f t="shared" si="77"/>
        <v>88.528</v>
      </c>
      <c r="L966" s="6">
        <f t="shared" si="78"/>
        <v>112.672</v>
      </c>
      <c r="M966" s="6">
        <f t="shared" si="79"/>
        <v>136.816</v>
      </c>
    </row>
    <row r="967" spans="1:13">
      <c r="A967" t="s">
        <v>13</v>
      </c>
      <c r="B967" t="s">
        <v>1889</v>
      </c>
      <c r="C967" t="s">
        <v>1890</v>
      </c>
      <c r="D967" t="s">
        <v>1890</v>
      </c>
      <c r="E967" t="s">
        <v>1890</v>
      </c>
      <c r="F967" t="s">
        <v>1890</v>
      </c>
      <c r="G967" s="6">
        <v>6.73</v>
      </c>
      <c r="H967" s="6"/>
      <c r="I967" s="6">
        <f t="shared" si="75"/>
        <v>3.1631</v>
      </c>
      <c r="J967" s="6">
        <f t="shared" si="76"/>
        <v>3.365</v>
      </c>
      <c r="K967" s="6">
        <f t="shared" si="77"/>
        <v>3.7015</v>
      </c>
      <c r="L967" s="6">
        <f t="shared" si="78"/>
        <v>4.711</v>
      </c>
      <c r="M967" s="6">
        <f t="shared" si="79"/>
        <v>5.7205</v>
      </c>
    </row>
    <row r="968" spans="1:13">
      <c r="A968" t="s">
        <v>13</v>
      </c>
      <c r="B968" t="s">
        <v>1891</v>
      </c>
      <c r="C968" t="s">
        <v>1892</v>
      </c>
      <c r="D968" t="s">
        <v>1892</v>
      </c>
      <c r="E968" t="s">
        <v>1892</v>
      </c>
      <c r="F968" t="s">
        <v>1892</v>
      </c>
      <c r="G968" s="6">
        <v>7.45</v>
      </c>
      <c r="H968" s="6"/>
      <c r="I968" s="6">
        <f t="shared" si="75"/>
        <v>3.5015</v>
      </c>
      <c r="J968" s="6">
        <f t="shared" si="76"/>
        <v>3.725</v>
      </c>
      <c r="K968" s="6">
        <f t="shared" si="77"/>
        <v>4.0975</v>
      </c>
      <c r="L968" s="6">
        <f t="shared" si="78"/>
        <v>5.215</v>
      </c>
      <c r="M968" s="6">
        <f t="shared" si="79"/>
        <v>6.3325</v>
      </c>
    </row>
    <row r="969" spans="1:13">
      <c r="A969" t="s">
        <v>13</v>
      </c>
      <c r="B969" t="s">
        <v>1893</v>
      </c>
      <c r="C969" t="s">
        <v>1894</v>
      </c>
      <c r="D969" t="s">
        <v>1894</v>
      </c>
      <c r="E969" t="s">
        <v>1894</v>
      </c>
      <c r="F969" t="s">
        <v>1894</v>
      </c>
      <c r="G969" s="6">
        <v>32.23</v>
      </c>
      <c r="H969" s="6"/>
      <c r="I969" s="6">
        <f t="shared" si="75"/>
        <v>15.1481</v>
      </c>
      <c r="J969" s="6">
        <f t="shared" si="76"/>
        <v>16.115</v>
      </c>
      <c r="K969" s="6">
        <f t="shared" si="77"/>
        <v>17.7265</v>
      </c>
      <c r="L969" s="6">
        <f t="shared" si="78"/>
        <v>22.561</v>
      </c>
      <c r="M969" s="6">
        <f t="shared" si="79"/>
        <v>27.3955</v>
      </c>
    </row>
    <row r="970" spans="1:13">
      <c r="A970" t="s">
        <v>13</v>
      </c>
      <c r="B970" t="s">
        <v>1895</v>
      </c>
      <c r="C970" t="s">
        <v>1896</v>
      </c>
      <c r="D970" t="s">
        <v>1896</v>
      </c>
      <c r="E970" t="s">
        <v>1896</v>
      </c>
      <c r="F970" t="s">
        <v>1896</v>
      </c>
      <c r="G970" s="6">
        <v>151.67</v>
      </c>
      <c r="H970" s="6"/>
      <c r="I970" s="6">
        <f t="shared" si="75"/>
        <v>71.2849</v>
      </c>
      <c r="J970" s="6">
        <f t="shared" si="76"/>
        <v>75.835</v>
      </c>
      <c r="K970" s="6">
        <f t="shared" si="77"/>
        <v>83.4185</v>
      </c>
      <c r="L970" s="6">
        <f t="shared" si="78"/>
        <v>106.169</v>
      </c>
      <c r="M970" s="6">
        <f t="shared" si="79"/>
        <v>128.9195</v>
      </c>
    </row>
    <row r="971" spans="1:13">
      <c r="A971" t="s">
        <v>13</v>
      </c>
      <c r="B971" t="s">
        <v>1897</v>
      </c>
      <c r="C971" t="s">
        <v>1898</v>
      </c>
      <c r="D971" t="s">
        <v>1898</v>
      </c>
      <c r="E971" t="s">
        <v>1898</v>
      </c>
      <c r="F971" t="s">
        <v>1898</v>
      </c>
      <c r="G971" s="6">
        <v>474.5</v>
      </c>
      <c r="H971" s="6"/>
      <c r="I971" s="6">
        <f t="shared" si="75"/>
        <v>223.015</v>
      </c>
      <c r="J971" s="6">
        <f t="shared" si="76"/>
        <v>237.25</v>
      </c>
      <c r="K971" s="6">
        <f t="shared" si="77"/>
        <v>260.975</v>
      </c>
      <c r="L971" s="6">
        <f t="shared" si="78"/>
        <v>332.15</v>
      </c>
      <c r="M971" s="6">
        <f t="shared" si="79"/>
        <v>403.325</v>
      </c>
    </row>
    <row r="972" spans="1:13">
      <c r="A972" t="s">
        <v>13</v>
      </c>
      <c r="B972" t="s">
        <v>1899</v>
      </c>
      <c r="C972" t="s">
        <v>1900</v>
      </c>
      <c r="D972" t="s">
        <v>1900</v>
      </c>
      <c r="E972" t="s">
        <v>1900</v>
      </c>
      <c r="F972" t="s">
        <v>1900</v>
      </c>
      <c r="G972" s="6">
        <v>101.18</v>
      </c>
      <c r="H972" s="6"/>
      <c r="I972" s="6">
        <f t="shared" si="75"/>
        <v>47.5546</v>
      </c>
      <c r="J972" s="6">
        <f t="shared" si="76"/>
        <v>50.59</v>
      </c>
      <c r="K972" s="6">
        <f t="shared" si="77"/>
        <v>55.649</v>
      </c>
      <c r="L972" s="6">
        <f t="shared" si="78"/>
        <v>70.826</v>
      </c>
      <c r="M972" s="6">
        <f t="shared" si="79"/>
        <v>86.003</v>
      </c>
    </row>
    <row r="973" spans="1:13">
      <c r="A973" t="s">
        <v>13</v>
      </c>
      <c r="B973" t="s">
        <v>1901</v>
      </c>
      <c r="C973" t="s">
        <v>1902</v>
      </c>
      <c r="D973" t="s">
        <v>1902</v>
      </c>
      <c r="E973" t="s">
        <v>1902</v>
      </c>
      <c r="F973" t="s">
        <v>1902</v>
      </c>
      <c r="G973" s="6">
        <v>893.32</v>
      </c>
      <c r="H973" s="6"/>
      <c r="I973" s="6">
        <f t="shared" si="75"/>
        <v>419.8604</v>
      </c>
      <c r="J973" s="6">
        <f t="shared" si="76"/>
        <v>446.66</v>
      </c>
      <c r="K973" s="6">
        <f t="shared" si="77"/>
        <v>491.326</v>
      </c>
      <c r="L973" s="6">
        <f t="shared" si="78"/>
        <v>625.324</v>
      </c>
      <c r="M973" s="6">
        <f t="shared" si="79"/>
        <v>759.322</v>
      </c>
    </row>
    <row r="974" spans="1:13">
      <c r="A974" t="s">
        <v>13</v>
      </c>
      <c r="B974" t="s">
        <v>1903</v>
      </c>
      <c r="C974" t="s">
        <v>1904</v>
      </c>
      <c r="D974" t="s">
        <v>1904</v>
      </c>
      <c r="E974" t="s">
        <v>1904</v>
      </c>
      <c r="F974" t="s">
        <v>1904</v>
      </c>
      <c r="G974" s="6">
        <v>85.83</v>
      </c>
      <c r="H974" s="6"/>
      <c r="I974" s="6">
        <f t="shared" si="75"/>
        <v>40.3401</v>
      </c>
      <c r="J974" s="6">
        <f t="shared" si="76"/>
        <v>42.915</v>
      </c>
      <c r="K974" s="6">
        <f t="shared" si="77"/>
        <v>47.2065</v>
      </c>
      <c r="L974" s="6">
        <f t="shared" si="78"/>
        <v>60.081</v>
      </c>
      <c r="M974" s="6">
        <f t="shared" si="79"/>
        <v>72.9555</v>
      </c>
    </row>
    <row r="975" spans="1:13">
      <c r="A975" t="s">
        <v>13</v>
      </c>
      <c r="B975" t="s">
        <v>1905</v>
      </c>
      <c r="C975" t="s">
        <v>1904</v>
      </c>
      <c r="D975" t="s">
        <v>1904</v>
      </c>
      <c r="E975" t="s">
        <v>1904</v>
      </c>
      <c r="F975" t="s">
        <v>1904</v>
      </c>
      <c r="G975" s="6">
        <v>97.28</v>
      </c>
      <c r="H975" s="6"/>
      <c r="I975" s="6">
        <f t="shared" si="75"/>
        <v>45.7216</v>
      </c>
      <c r="J975" s="6">
        <f t="shared" si="76"/>
        <v>48.64</v>
      </c>
      <c r="K975" s="6">
        <f t="shared" si="77"/>
        <v>53.504</v>
      </c>
      <c r="L975" s="6">
        <f t="shared" si="78"/>
        <v>68.096</v>
      </c>
      <c r="M975" s="6">
        <f t="shared" si="79"/>
        <v>82.688</v>
      </c>
    </row>
    <row r="976" spans="1:13">
      <c r="A976" t="s">
        <v>13</v>
      </c>
      <c r="B976" t="s">
        <v>1906</v>
      </c>
      <c r="C976" t="s">
        <v>1907</v>
      </c>
      <c r="D976" t="s">
        <v>1907</v>
      </c>
      <c r="E976" t="s">
        <v>1907</v>
      </c>
      <c r="F976" t="s">
        <v>1907</v>
      </c>
      <c r="G976" s="6">
        <v>96.9</v>
      </c>
      <c r="H976" s="6"/>
      <c r="I976" s="6">
        <f t="shared" si="75"/>
        <v>45.543</v>
      </c>
      <c r="J976" s="6">
        <f t="shared" si="76"/>
        <v>48.45</v>
      </c>
      <c r="K976" s="6">
        <f t="shared" si="77"/>
        <v>53.295</v>
      </c>
      <c r="L976" s="6">
        <f t="shared" si="78"/>
        <v>67.83</v>
      </c>
      <c r="M976" s="6">
        <f t="shared" si="79"/>
        <v>82.365</v>
      </c>
    </row>
    <row r="977" spans="1:13">
      <c r="A977" t="s">
        <v>13</v>
      </c>
      <c r="B977" t="s">
        <v>1908</v>
      </c>
      <c r="C977" t="s">
        <v>1907</v>
      </c>
      <c r="D977" t="s">
        <v>1907</v>
      </c>
      <c r="E977" t="s">
        <v>1907</v>
      </c>
      <c r="F977" t="s">
        <v>1907</v>
      </c>
      <c r="G977" s="6">
        <v>107.61</v>
      </c>
      <c r="H977" s="6"/>
      <c r="I977" s="6">
        <f t="shared" si="75"/>
        <v>50.5767</v>
      </c>
      <c r="J977" s="6">
        <f t="shared" si="76"/>
        <v>53.805</v>
      </c>
      <c r="K977" s="6">
        <f t="shared" si="77"/>
        <v>59.1855</v>
      </c>
      <c r="L977" s="6">
        <f t="shared" si="78"/>
        <v>75.327</v>
      </c>
      <c r="M977" s="6">
        <f t="shared" si="79"/>
        <v>91.4685</v>
      </c>
    </row>
    <row r="978" spans="1:13">
      <c r="A978" t="s">
        <v>13</v>
      </c>
      <c r="B978" t="s">
        <v>1909</v>
      </c>
      <c r="C978" t="s">
        <v>1910</v>
      </c>
      <c r="D978" t="s">
        <v>1910</v>
      </c>
      <c r="E978" t="s">
        <v>1910</v>
      </c>
      <c r="F978" t="s">
        <v>1910</v>
      </c>
      <c r="G978" s="6">
        <v>101.18</v>
      </c>
      <c r="H978" s="6"/>
      <c r="I978" s="6">
        <f t="shared" si="75"/>
        <v>47.5546</v>
      </c>
      <c r="J978" s="6">
        <f t="shared" si="76"/>
        <v>50.59</v>
      </c>
      <c r="K978" s="6">
        <f t="shared" si="77"/>
        <v>55.649</v>
      </c>
      <c r="L978" s="6">
        <f t="shared" si="78"/>
        <v>70.826</v>
      </c>
      <c r="M978" s="6">
        <f t="shared" si="79"/>
        <v>86.003</v>
      </c>
    </row>
    <row r="979" spans="1:13">
      <c r="A979" t="s">
        <v>13</v>
      </c>
      <c r="B979" t="s">
        <v>1911</v>
      </c>
      <c r="C979" t="s">
        <v>1912</v>
      </c>
      <c r="D979" t="s">
        <v>1912</v>
      </c>
      <c r="E979" t="s">
        <v>1912</v>
      </c>
      <c r="F979" t="s">
        <v>1912</v>
      </c>
      <c r="G979" s="6">
        <v>128.72</v>
      </c>
      <c r="H979" s="6"/>
      <c r="I979" s="6">
        <f t="shared" si="75"/>
        <v>60.4984</v>
      </c>
      <c r="J979" s="6">
        <f t="shared" si="76"/>
        <v>64.36</v>
      </c>
      <c r="K979" s="6">
        <f t="shared" si="77"/>
        <v>70.796</v>
      </c>
      <c r="L979" s="6">
        <f t="shared" si="78"/>
        <v>90.104</v>
      </c>
      <c r="M979" s="6">
        <f t="shared" si="79"/>
        <v>109.412</v>
      </c>
    </row>
    <row r="980" spans="1:13">
      <c r="A980" t="s">
        <v>13</v>
      </c>
      <c r="B980" t="s">
        <v>1913</v>
      </c>
      <c r="C980" t="s">
        <v>1912</v>
      </c>
      <c r="D980" t="s">
        <v>1912</v>
      </c>
      <c r="E980" t="s">
        <v>1912</v>
      </c>
      <c r="F980" t="s">
        <v>1912</v>
      </c>
      <c r="G980" s="6">
        <v>145.86</v>
      </c>
      <c r="H980" s="6"/>
      <c r="I980" s="6">
        <f t="shared" si="75"/>
        <v>68.5542</v>
      </c>
      <c r="J980" s="6">
        <f t="shared" si="76"/>
        <v>72.93</v>
      </c>
      <c r="K980" s="6">
        <f t="shared" si="77"/>
        <v>80.223</v>
      </c>
      <c r="L980" s="6">
        <f t="shared" si="78"/>
        <v>102.102</v>
      </c>
      <c r="M980" s="6">
        <f t="shared" si="79"/>
        <v>123.981</v>
      </c>
    </row>
    <row r="981" spans="1:13">
      <c r="A981" t="s">
        <v>13</v>
      </c>
      <c r="B981" t="s">
        <v>1914</v>
      </c>
      <c r="C981" t="s">
        <v>1915</v>
      </c>
      <c r="D981" t="s">
        <v>1915</v>
      </c>
      <c r="E981" t="s">
        <v>1915</v>
      </c>
      <c r="F981" t="s">
        <v>1915</v>
      </c>
      <c r="G981" s="6">
        <v>145.86</v>
      </c>
      <c r="H981" s="6"/>
      <c r="I981" s="6">
        <f t="shared" si="75"/>
        <v>68.5542</v>
      </c>
      <c r="J981" s="6">
        <f t="shared" si="76"/>
        <v>72.93</v>
      </c>
      <c r="K981" s="6">
        <f t="shared" si="77"/>
        <v>80.223</v>
      </c>
      <c r="L981" s="6">
        <f t="shared" si="78"/>
        <v>102.102</v>
      </c>
      <c r="M981" s="6">
        <f t="shared" si="79"/>
        <v>123.981</v>
      </c>
    </row>
    <row r="982" spans="1:13">
      <c r="A982" t="s">
        <v>13</v>
      </c>
      <c r="B982" t="s">
        <v>1916</v>
      </c>
      <c r="C982" t="s">
        <v>1915</v>
      </c>
      <c r="D982" t="s">
        <v>1915</v>
      </c>
      <c r="E982" t="s">
        <v>1915</v>
      </c>
      <c r="F982" t="s">
        <v>1915</v>
      </c>
      <c r="G982" s="6">
        <v>161.77</v>
      </c>
      <c r="H982" s="6"/>
      <c r="I982" s="6">
        <f t="shared" si="75"/>
        <v>76.0319</v>
      </c>
      <c r="J982" s="6">
        <f t="shared" si="76"/>
        <v>80.885</v>
      </c>
      <c r="K982" s="6">
        <f t="shared" si="77"/>
        <v>88.9735</v>
      </c>
      <c r="L982" s="6">
        <f t="shared" si="78"/>
        <v>113.239</v>
      </c>
      <c r="M982" s="6">
        <f t="shared" si="79"/>
        <v>137.5045</v>
      </c>
    </row>
    <row r="983" spans="1:13">
      <c r="A983" t="s">
        <v>13</v>
      </c>
      <c r="B983" t="s">
        <v>1917</v>
      </c>
      <c r="C983" t="s">
        <v>1918</v>
      </c>
      <c r="D983" t="s">
        <v>1918</v>
      </c>
      <c r="E983" t="s">
        <v>1918</v>
      </c>
      <c r="F983" t="s">
        <v>1918</v>
      </c>
      <c r="G983" s="6">
        <v>138.01</v>
      </c>
      <c r="H983" s="6"/>
      <c r="I983" s="6">
        <f t="shared" si="75"/>
        <v>64.8647</v>
      </c>
      <c r="J983" s="6">
        <f t="shared" si="76"/>
        <v>69.005</v>
      </c>
      <c r="K983" s="6">
        <f t="shared" si="77"/>
        <v>75.9055</v>
      </c>
      <c r="L983" s="6">
        <f t="shared" si="78"/>
        <v>96.607</v>
      </c>
      <c r="M983" s="6">
        <f t="shared" si="79"/>
        <v>117.3085</v>
      </c>
    </row>
    <row r="984" spans="1:13">
      <c r="A984" t="s">
        <v>13</v>
      </c>
      <c r="B984" t="s">
        <v>1919</v>
      </c>
      <c r="C984" t="s">
        <v>1920</v>
      </c>
      <c r="D984" t="s">
        <v>1920</v>
      </c>
      <c r="E984" t="s">
        <v>1920</v>
      </c>
      <c r="F984" t="s">
        <v>1920</v>
      </c>
      <c r="G984" s="6">
        <v>147.29</v>
      </c>
      <c r="H984" s="6"/>
      <c r="I984" s="6">
        <f t="shared" si="75"/>
        <v>69.2263</v>
      </c>
      <c r="J984" s="6">
        <f t="shared" si="76"/>
        <v>73.645</v>
      </c>
      <c r="K984" s="6">
        <f t="shared" si="77"/>
        <v>81.0095</v>
      </c>
      <c r="L984" s="6">
        <f t="shared" si="78"/>
        <v>103.103</v>
      </c>
      <c r="M984" s="6">
        <f t="shared" si="79"/>
        <v>125.1965</v>
      </c>
    </row>
    <row r="985" spans="1:13">
      <c r="A985" t="s">
        <v>13</v>
      </c>
      <c r="B985" t="s">
        <v>1921</v>
      </c>
      <c r="C985" t="s">
        <v>1922</v>
      </c>
      <c r="D985" t="s">
        <v>1922</v>
      </c>
      <c r="E985" t="s">
        <v>1922</v>
      </c>
      <c r="F985" t="s">
        <v>1922</v>
      </c>
      <c r="G985" s="6">
        <v>197.37</v>
      </c>
      <c r="H985" s="6"/>
      <c r="I985" s="6">
        <f t="shared" si="75"/>
        <v>92.7639</v>
      </c>
      <c r="J985" s="6">
        <f t="shared" si="76"/>
        <v>98.685</v>
      </c>
      <c r="K985" s="6">
        <f t="shared" si="77"/>
        <v>108.5535</v>
      </c>
      <c r="L985" s="6">
        <f t="shared" si="78"/>
        <v>138.159</v>
      </c>
      <c r="M985" s="6">
        <f t="shared" si="79"/>
        <v>167.7645</v>
      </c>
    </row>
    <row r="986" spans="1:13">
      <c r="A986" t="s">
        <v>13</v>
      </c>
      <c r="B986" t="s">
        <v>1923</v>
      </c>
      <c r="C986" t="s">
        <v>1924</v>
      </c>
      <c r="D986" t="s">
        <v>1924</v>
      </c>
      <c r="E986" t="s">
        <v>1924</v>
      </c>
      <c r="F986" t="s">
        <v>1924</v>
      </c>
      <c r="G986" s="6">
        <v>76.81</v>
      </c>
      <c r="H986" s="6"/>
      <c r="I986" s="6">
        <f t="shared" si="75"/>
        <v>36.1007</v>
      </c>
      <c r="J986" s="6">
        <f t="shared" si="76"/>
        <v>38.405</v>
      </c>
      <c r="K986" s="6">
        <f t="shared" si="77"/>
        <v>42.2455</v>
      </c>
      <c r="L986" s="6">
        <f t="shared" si="78"/>
        <v>53.767</v>
      </c>
      <c r="M986" s="6">
        <f t="shared" si="79"/>
        <v>65.2885</v>
      </c>
    </row>
    <row r="987" spans="1:13">
      <c r="A987" t="s">
        <v>13</v>
      </c>
      <c r="B987" t="s">
        <v>1925</v>
      </c>
      <c r="C987" t="s">
        <v>1926</v>
      </c>
      <c r="D987" t="s">
        <v>1926</v>
      </c>
      <c r="E987" t="s">
        <v>1926</v>
      </c>
      <c r="F987" t="s">
        <v>1926</v>
      </c>
      <c r="G987" s="6">
        <v>100.78</v>
      </c>
      <c r="H987" s="6"/>
      <c r="I987" s="6">
        <f t="shared" si="75"/>
        <v>47.3666</v>
      </c>
      <c r="J987" s="6">
        <f t="shared" si="76"/>
        <v>50.39</v>
      </c>
      <c r="K987" s="6">
        <f t="shared" si="77"/>
        <v>55.429</v>
      </c>
      <c r="L987" s="6">
        <f t="shared" si="78"/>
        <v>70.546</v>
      </c>
      <c r="M987" s="6">
        <f t="shared" si="79"/>
        <v>85.663</v>
      </c>
    </row>
    <row r="988" spans="1:13">
      <c r="A988" t="s">
        <v>13</v>
      </c>
      <c r="B988" t="s">
        <v>1927</v>
      </c>
      <c r="C988" t="s">
        <v>1928</v>
      </c>
      <c r="D988" t="s">
        <v>1928</v>
      </c>
      <c r="E988" t="s">
        <v>1928</v>
      </c>
      <c r="F988" t="s">
        <v>1928</v>
      </c>
      <c r="G988" s="6">
        <v>47.12</v>
      </c>
      <c r="H988" s="6"/>
      <c r="I988" s="6">
        <f t="shared" si="75"/>
        <v>22.1464</v>
      </c>
      <c r="J988" s="6">
        <f t="shared" si="76"/>
        <v>23.56</v>
      </c>
      <c r="K988" s="6">
        <f t="shared" si="77"/>
        <v>25.916</v>
      </c>
      <c r="L988" s="6">
        <f t="shared" si="78"/>
        <v>32.984</v>
      </c>
      <c r="M988" s="6">
        <f t="shared" si="79"/>
        <v>40.052</v>
      </c>
    </row>
    <row r="989" spans="1:13">
      <c r="A989" t="s">
        <v>13</v>
      </c>
      <c r="B989" t="s">
        <v>1929</v>
      </c>
      <c r="C989" t="s">
        <v>1930</v>
      </c>
      <c r="D989" t="s">
        <v>1930</v>
      </c>
      <c r="E989" t="s">
        <v>1930</v>
      </c>
      <c r="F989" t="s">
        <v>1930</v>
      </c>
      <c r="G989" s="6">
        <v>71.09</v>
      </c>
      <c r="H989" s="6"/>
      <c r="I989" s="6">
        <f t="shared" si="75"/>
        <v>33.4123</v>
      </c>
      <c r="J989" s="6">
        <f t="shared" si="76"/>
        <v>35.545</v>
      </c>
      <c r="K989" s="6">
        <f t="shared" si="77"/>
        <v>39.0995</v>
      </c>
      <c r="L989" s="6">
        <f t="shared" si="78"/>
        <v>49.763</v>
      </c>
      <c r="M989" s="6">
        <f t="shared" si="79"/>
        <v>60.4265</v>
      </c>
    </row>
    <row r="990" spans="1:13">
      <c r="A990" t="s">
        <v>13</v>
      </c>
      <c r="B990" t="s">
        <v>1931</v>
      </c>
      <c r="C990" t="s">
        <v>1932</v>
      </c>
      <c r="D990" t="s">
        <v>1932</v>
      </c>
      <c r="E990" t="s">
        <v>1932</v>
      </c>
      <c r="F990" t="s">
        <v>1932</v>
      </c>
      <c r="G990" s="6">
        <v>56.41</v>
      </c>
      <c r="H990" s="6"/>
      <c r="I990" s="6">
        <f t="shared" si="75"/>
        <v>26.5127</v>
      </c>
      <c r="J990" s="6">
        <f t="shared" si="76"/>
        <v>28.205</v>
      </c>
      <c r="K990" s="6">
        <f t="shared" si="77"/>
        <v>31.0255</v>
      </c>
      <c r="L990" s="6">
        <f t="shared" si="78"/>
        <v>39.487</v>
      </c>
      <c r="M990" s="6">
        <f t="shared" si="79"/>
        <v>47.9485</v>
      </c>
    </row>
    <row r="991" spans="1:13">
      <c r="A991" t="s">
        <v>13</v>
      </c>
      <c r="B991" t="s">
        <v>1933</v>
      </c>
      <c r="C991" t="s">
        <v>1934</v>
      </c>
      <c r="D991" t="s">
        <v>1934</v>
      </c>
      <c r="E991" t="s">
        <v>1934</v>
      </c>
      <c r="F991" t="s">
        <v>1934</v>
      </c>
      <c r="G991" s="6">
        <v>69.87</v>
      </c>
      <c r="H991" s="6"/>
      <c r="I991" s="6">
        <f t="shared" si="75"/>
        <v>32.8389</v>
      </c>
      <c r="J991" s="6">
        <f t="shared" si="76"/>
        <v>34.935</v>
      </c>
      <c r="K991" s="6">
        <f t="shared" si="77"/>
        <v>38.4285</v>
      </c>
      <c r="L991" s="6">
        <f t="shared" si="78"/>
        <v>48.909</v>
      </c>
      <c r="M991" s="6">
        <f t="shared" si="79"/>
        <v>59.3895</v>
      </c>
    </row>
    <row r="992" spans="1:13">
      <c r="A992" t="s">
        <v>13</v>
      </c>
      <c r="B992" t="s">
        <v>1935</v>
      </c>
      <c r="C992" t="s">
        <v>1936</v>
      </c>
      <c r="D992" t="s">
        <v>1936</v>
      </c>
      <c r="E992" t="s">
        <v>1936</v>
      </c>
      <c r="F992" t="s">
        <v>1936</v>
      </c>
      <c r="G992" s="6">
        <v>73.03</v>
      </c>
      <c r="H992" s="6"/>
      <c r="I992" s="6">
        <f t="shared" si="75"/>
        <v>34.3241</v>
      </c>
      <c r="J992" s="6">
        <f t="shared" si="76"/>
        <v>36.515</v>
      </c>
      <c r="K992" s="6">
        <f t="shared" si="77"/>
        <v>40.1665</v>
      </c>
      <c r="L992" s="6">
        <f t="shared" si="78"/>
        <v>51.121</v>
      </c>
      <c r="M992" s="6">
        <f t="shared" si="79"/>
        <v>62.0755</v>
      </c>
    </row>
    <row r="993" spans="1:13">
      <c r="A993" t="s">
        <v>13</v>
      </c>
      <c r="B993" t="s">
        <v>1937</v>
      </c>
      <c r="C993" t="s">
        <v>1938</v>
      </c>
      <c r="D993" t="s">
        <v>1938</v>
      </c>
      <c r="E993" t="s">
        <v>1938</v>
      </c>
      <c r="F993" t="s">
        <v>1938</v>
      </c>
      <c r="G993" s="6">
        <v>192.78</v>
      </c>
      <c r="H993" s="6"/>
      <c r="I993" s="6">
        <f t="shared" si="75"/>
        <v>90.6066</v>
      </c>
      <c r="J993" s="6">
        <f t="shared" si="76"/>
        <v>96.39</v>
      </c>
      <c r="K993" s="6">
        <f t="shared" si="77"/>
        <v>106.029</v>
      </c>
      <c r="L993" s="6">
        <f t="shared" si="78"/>
        <v>134.946</v>
      </c>
      <c r="M993" s="6">
        <f t="shared" si="79"/>
        <v>163.863</v>
      </c>
    </row>
    <row r="994" spans="1:13">
      <c r="A994" t="s">
        <v>13</v>
      </c>
      <c r="B994" t="s">
        <v>1939</v>
      </c>
      <c r="C994" t="s">
        <v>1940</v>
      </c>
      <c r="D994" t="s">
        <v>1940</v>
      </c>
      <c r="E994" t="s">
        <v>1940</v>
      </c>
      <c r="F994" t="s">
        <v>1940</v>
      </c>
      <c r="G994" s="6">
        <v>120.77</v>
      </c>
      <c r="H994" s="6"/>
      <c r="I994" s="6">
        <f t="shared" si="75"/>
        <v>56.7619</v>
      </c>
      <c r="J994" s="6">
        <f t="shared" si="76"/>
        <v>60.385</v>
      </c>
      <c r="K994" s="6">
        <f t="shared" si="77"/>
        <v>66.4235</v>
      </c>
      <c r="L994" s="6">
        <f t="shared" si="78"/>
        <v>84.539</v>
      </c>
      <c r="M994" s="6">
        <f t="shared" si="79"/>
        <v>102.6545</v>
      </c>
    </row>
    <row r="995" spans="1:13">
      <c r="A995" t="s">
        <v>13</v>
      </c>
      <c r="B995" t="s">
        <v>1941</v>
      </c>
      <c r="C995" t="s">
        <v>1942</v>
      </c>
      <c r="D995" t="s">
        <v>1942</v>
      </c>
      <c r="E995" t="s">
        <v>1942</v>
      </c>
      <c r="F995" t="s">
        <v>1942</v>
      </c>
      <c r="G995" s="6">
        <v>120.77</v>
      </c>
      <c r="H995" s="6"/>
      <c r="I995" s="6">
        <f t="shared" si="75"/>
        <v>56.7619</v>
      </c>
      <c r="J995" s="6">
        <f t="shared" si="76"/>
        <v>60.385</v>
      </c>
      <c r="K995" s="6">
        <f t="shared" si="77"/>
        <v>66.4235</v>
      </c>
      <c r="L995" s="6">
        <f t="shared" si="78"/>
        <v>84.539</v>
      </c>
      <c r="M995" s="6">
        <f t="shared" si="79"/>
        <v>102.6545</v>
      </c>
    </row>
    <row r="996" spans="1:13">
      <c r="A996" t="s">
        <v>13</v>
      </c>
      <c r="B996" t="s">
        <v>1943</v>
      </c>
      <c r="C996" t="s">
        <v>1944</v>
      </c>
      <c r="D996" t="s">
        <v>1944</v>
      </c>
      <c r="E996" t="s">
        <v>1944</v>
      </c>
      <c r="F996" t="s">
        <v>1944</v>
      </c>
      <c r="G996" s="6">
        <v>80.68</v>
      </c>
      <c r="H996" s="6"/>
      <c r="I996" s="6">
        <f t="shared" si="75"/>
        <v>37.9196</v>
      </c>
      <c r="J996" s="6">
        <f t="shared" si="76"/>
        <v>40.34</v>
      </c>
      <c r="K996" s="6">
        <f t="shared" si="77"/>
        <v>44.374</v>
      </c>
      <c r="L996" s="6">
        <f t="shared" si="78"/>
        <v>56.476</v>
      </c>
      <c r="M996" s="6">
        <f t="shared" si="79"/>
        <v>68.578</v>
      </c>
    </row>
    <row r="997" spans="1:13">
      <c r="A997" t="s">
        <v>13</v>
      </c>
      <c r="B997" t="s">
        <v>1945</v>
      </c>
      <c r="C997" t="s">
        <v>1946</v>
      </c>
      <c r="D997" t="s">
        <v>1946</v>
      </c>
      <c r="E997" t="s">
        <v>1946</v>
      </c>
      <c r="F997" t="s">
        <v>1946</v>
      </c>
      <c r="G997" s="6">
        <v>171.97</v>
      </c>
      <c r="H997" s="6"/>
      <c r="I997" s="6">
        <f t="shared" si="75"/>
        <v>80.8259</v>
      </c>
      <c r="J997" s="6">
        <f t="shared" si="76"/>
        <v>85.985</v>
      </c>
      <c r="K997" s="6">
        <f t="shared" si="77"/>
        <v>94.5835</v>
      </c>
      <c r="L997" s="6">
        <f t="shared" si="78"/>
        <v>120.379</v>
      </c>
      <c r="M997" s="6">
        <f t="shared" si="79"/>
        <v>146.1745</v>
      </c>
    </row>
    <row r="998" spans="1:13">
      <c r="A998" t="s">
        <v>13</v>
      </c>
      <c r="B998" t="s">
        <v>1947</v>
      </c>
      <c r="C998" t="s">
        <v>1946</v>
      </c>
      <c r="D998" t="s">
        <v>1946</v>
      </c>
      <c r="E998" t="s">
        <v>1946</v>
      </c>
      <c r="F998" t="s">
        <v>1946</v>
      </c>
      <c r="G998" s="6">
        <v>171.97</v>
      </c>
      <c r="H998" s="6"/>
      <c r="I998" s="6">
        <f t="shared" si="75"/>
        <v>80.8259</v>
      </c>
      <c r="J998" s="6">
        <f t="shared" si="76"/>
        <v>85.985</v>
      </c>
      <c r="K998" s="6">
        <f t="shared" si="77"/>
        <v>94.5835</v>
      </c>
      <c r="L998" s="6">
        <f t="shared" si="78"/>
        <v>120.379</v>
      </c>
      <c r="M998" s="6">
        <f t="shared" si="79"/>
        <v>146.1745</v>
      </c>
    </row>
    <row r="999" spans="1:13">
      <c r="A999" t="s">
        <v>13</v>
      </c>
      <c r="B999" t="s">
        <v>1948</v>
      </c>
      <c r="C999" t="s">
        <v>1949</v>
      </c>
      <c r="D999" t="s">
        <v>1949</v>
      </c>
      <c r="E999" t="s">
        <v>1949</v>
      </c>
      <c r="F999" t="s">
        <v>1949</v>
      </c>
      <c r="G999" s="6">
        <v>98.02</v>
      </c>
      <c r="H999" s="6"/>
      <c r="I999" s="6">
        <f t="shared" si="75"/>
        <v>46.0694</v>
      </c>
      <c r="J999" s="6">
        <f t="shared" si="76"/>
        <v>49.01</v>
      </c>
      <c r="K999" s="6">
        <f t="shared" si="77"/>
        <v>53.911</v>
      </c>
      <c r="L999" s="6">
        <f t="shared" si="78"/>
        <v>68.614</v>
      </c>
      <c r="M999" s="6">
        <f t="shared" si="79"/>
        <v>83.317</v>
      </c>
    </row>
    <row r="1000" spans="1:13">
      <c r="A1000" t="s">
        <v>13</v>
      </c>
      <c r="B1000" t="s">
        <v>1950</v>
      </c>
      <c r="C1000" t="s">
        <v>1951</v>
      </c>
      <c r="D1000" t="s">
        <v>1951</v>
      </c>
      <c r="E1000" t="s">
        <v>1951</v>
      </c>
      <c r="F1000" t="s">
        <v>1951</v>
      </c>
      <c r="G1000" s="6">
        <v>509.59</v>
      </c>
      <c r="H1000" s="6"/>
      <c r="I1000" s="6">
        <f t="shared" si="75"/>
        <v>239.5073</v>
      </c>
      <c r="J1000" s="6">
        <f t="shared" si="76"/>
        <v>254.795</v>
      </c>
      <c r="K1000" s="6">
        <f t="shared" si="77"/>
        <v>280.2745</v>
      </c>
      <c r="L1000" s="6">
        <f t="shared" si="78"/>
        <v>356.713</v>
      </c>
      <c r="M1000" s="6">
        <f t="shared" si="79"/>
        <v>433.1515</v>
      </c>
    </row>
    <row r="1001" spans="1:13">
      <c r="A1001" t="s">
        <v>13</v>
      </c>
      <c r="B1001" t="s">
        <v>1952</v>
      </c>
      <c r="C1001" t="s">
        <v>1953</v>
      </c>
      <c r="D1001" t="s">
        <v>1953</v>
      </c>
      <c r="E1001" t="s">
        <v>1953</v>
      </c>
      <c r="F1001" t="s">
        <v>1953</v>
      </c>
      <c r="G1001" s="6">
        <v>240.82</v>
      </c>
      <c r="H1001" s="6"/>
      <c r="I1001" s="6">
        <f t="shared" si="75"/>
        <v>113.1854</v>
      </c>
      <c r="J1001" s="6">
        <f t="shared" si="76"/>
        <v>120.41</v>
      </c>
      <c r="K1001" s="6">
        <f t="shared" si="77"/>
        <v>132.451</v>
      </c>
      <c r="L1001" s="6">
        <f t="shared" si="78"/>
        <v>168.574</v>
      </c>
      <c r="M1001" s="6">
        <f t="shared" si="79"/>
        <v>204.697</v>
      </c>
    </row>
    <row r="1002" spans="1:13">
      <c r="A1002" t="s">
        <v>13</v>
      </c>
      <c r="B1002" t="s">
        <v>1954</v>
      </c>
      <c r="C1002" t="s">
        <v>1953</v>
      </c>
      <c r="D1002" t="s">
        <v>1953</v>
      </c>
      <c r="E1002" t="s">
        <v>1953</v>
      </c>
      <c r="F1002" t="s">
        <v>1953</v>
      </c>
      <c r="G1002" s="6">
        <v>240.82</v>
      </c>
      <c r="H1002" s="6"/>
      <c r="I1002" s="6">
        <f t="shared" si="75"/>
        <v>113.1854</v>
      </c>
      <c r="J1002" s="6">
        <f t="shared" si="76"/>
        <v>120.41</v>
      </c>
      <c r="K1002" s="6">
        <f t="shared" si="77"/>
        <v>132.451</v>
      </c>
      <c r="L1002" s="6">
        <f t="shared" si="78"/>
        <v>168.574</v>
      </c>
      <c r="M1002" s="6">
        <f t="shared" si="79"/>
        <v>204.697</v>
      </c>
    </row>
    <row r="1003" spans="1:13">
      <c r="A1003" t="s">
        <v>13</v>
      </c>
      <c r="B1003" t="s">
        <v>1955</v>
      </c>
      <c r="C1003" t="s">
        <v>1956</v>
      </c>
      <c r="D1003" t="s">
        <v>1956</v>
      </c>
      <c r="E1003" t="s">
        <v>1956</v>
      </c>
      <c r="F1003" t="s">
        <v>1956</v>
      </c>
      <c r="G1003" s="6">
        <v>217.67</v>
      </c>
      <c r="H1003" s="6"/>
      <c r="I1003" s="6">
        <f t="shared" si="75"/>
        <v>102.3049</v>
      </c>
      <c r="J1003" s="6">
        <f t="shared" si="76"/>
        <v>108.835</v>
      </c>
      <c r="K1003" s="6">
        <f t="shared" si="77"/>
        <v>119.7185</v>
      </c>
      <c r="L1003" s="6">
        <f t="shared" si="78"/>
        <v>152.369</v>
      </c>
      <c r="M1003" s="6">
        <f t="shared" si="79"/>
        <v>185.0195</v>
      </c>
    </row>
    <row r="1004" spans="1:13">
      <c r="A1004" t="s">
        <v>13</v>
      </c>
      <c r="B1004" t="s">
        <v>1957</v>
      </c>
      <c r="C1004" t="s">
        <v>1956</v>
      </c>
      <c r="D1004" t="s">
        <v>1956</v>
      </c>
      <c r="E1004" t="s">
        <v>1956</v>
      </c>
      <c r="F1004" t="s">
        <v>1956</v>
      </c>
      <c r="G1004" s="6">
        <v>217.67</v>
      </c>
      <c r="H1004" s="6"/>
      <c r="I1004" s="6">
        <f t="shared" si="75"/>
        <v>102.3049</v>
      </c>
      <c r="J1004" s="6">
        <f t="shared" si="76"/>
        <v>108.835</v>
      </c>
      <c r="K1004" s="6">
        <f t="shared" si="77"/>
        <v>119.7185</v>
      </c>
      <c r="L1004" s="6">
        <f t="shared" si="78"/>
        <v>152.369</v>
      </c>
      <c r="M1004" s="6">
        <f t="shared" si="79"/>
        <v>185.0195</v>
      </c>
    </row>
    <row r="1005" spans="1:13">
      <c r="A1005" t="s">
        <v>13</v>
      </c>
      <c r="B1005" t="s">
        <v>1958</v>
      </c>
      <c r="C1005" t="s">
        <v>1959</v>
      </c>
      <c r="D1005" t="s">
        <v>1959</v>
      </c>
      <c r="E1005" t="s">
        <v>1959</v>
      </c>
      <c r="F1005" t="s">
        <v>1959</v>
      </c>
      <c r="G1005" s="6">
        <v>119.14</v>
      </c>
      <c r="H1005" s="6"/>
      <c r="I1005" s="6">
        <f t="shared" si="75"/>
        <v>55.9958</v>
      </c>
      <c r="J1005" s="6">
        <f t="shared" si="76"/>
        <v>59.57</v>
      </c>
      <c r="K1005" s="6">
        <f t="shared" si="77"/>
        <v>65.527</v>
      </c>
      <c r="L1005" s="6">
        <f t="shared" si="78"/>
        <v>83.398</v>
      </c>
      <c r="M1005" s="6">
        <f t="shared" si="79"/>
        <v>101.269</v>
      </c>
    </row>
    <row r="1006" spans="1:13">
      <c r="A1006" t="s">
        <v>13</v>
      </c>
      <c r="B1006" t="s">
        <v>1960</v>
      </c>
      <c r="C1006" t="s">
        <v>1961</v>
      </c>
      <c r="D1006" t="s">
        <v>1961</v>
      </c>
      <c r="E1006" t="s">
        <v>1961</v>
      </c>
      <c r="F1006" t="s">
        <v>1961</v>
      </c>
      <c r="G1006" s="6">
        <v>264.69</v>
      </c>
      <c r="H1006" s="6"/>
      <c r="I1006" s="6">
        <f t="shared" si="75"/>
        <v>124.4043</v>
      </c>
      <c r="J1006" s="6">
        <f t="shared" si="76"/>
        <v>132.345</v>
      </c>
      <c r="K1006" s="6">
        <f t="shared" si="77"/>
        <v>145.5795</v>
      </c>
      <c r="L1006" s="6">
        <f t="shared" si="78"/>
        <v>185.283</v>
      </c>
      <c r="M1006" s="6">
        <f t="shared" si="79"/>
        <v>224.9865</v>
      </c>
    </row>
    <row r="1007" spans="1:13">
      <c r="A1007" t="s">
        <v>13</v>
      </c>
      <c r="B1007" t="s">
        <v>1962</v>
      </c>
      <c r="C1007" t="s">
        <v>1963</v>
      </c>
      <c r="D1007" t="s">
        <v>1963</v>
      </c>
      <c r="E1007" t="s">
        <v>1963</v>
      </c>
      <c r="F1007" t="s">
        <v>1963</v>
      </c>
      <c r="G1007" s="6">
        <v>264.69</v>
      </c>
      <c r="H1007" s="6"/>
      <c r="I1007" s="6">
        <f t="shared" si="75"/>
        <v>124.4043</v>
      </c>
      <c r="J1007" s="6">
        <f t="shared" si="76"/>
        <v>132.345</v>
      </c>
      <c r="K1007" s="6">
        <f t="shared" si="77"/>
        <v>145.5795</v>
      </c>
      <c r="L1007" s="6">
        <f t="shared" si="78"/>
        <v>185.283</v>
      </c>
      <c r="M1007" s="6">
        <f t="shared" si="79"/>
        <v>224.9865</v>
      </c>
    </row>
    <row r="1008" spans="1:13">
      <c r="A1008" t="s">
        <v>13</v>
      </c>
      <c r="B1008" t="s">
        <v>1964</v>
      </c>
      <c r="C1008" t="s">
        <v>1965</v>
      </c>
      <c r="D1008" t="s">
        <v>1965</v>
      </c>
      <c r="E1008" t="s">
        <v>1965</v>
      </c>
      <c r="F1008" t="s">
        <v>1965</v>
      </c>
      <c r="G1008" s="6">
        <v>7.03</v>
      </c>
      <c r="H1008" s="6"/>
      <c r="I1008" s="6">
        <f t="shared" si="75"/>
        <v>3.3041</v>
      </c>
      <c r="J1008" s="6">
        <f t="shared" si="76"/>
        <v>3.515</v>
      </c>
      <c r="K1008" s="6">
        <f t="shared" si="77"/>
        <v>3.8665</v>
      </c>
      <c r="L1008" s="6">
        <f t="shared" si="78"/>
        <v>4.921</v>
      </c>
      <c r="M1008" s="6">
        <f t="shared" si="79"/>
        <v>5.9755</v>
      </c>
    </row>
    <row r="1009" spans="1:13">
      <c r="A1009" t="s">
        <v>13</v>
      </c>
      <c r="B1009" t="s">
        <v>1966</v>
      </c>
      <c r="C1009" t="s">
        <v>1967</v>
      </c>
      <c r="D1009" t="s">
        <v>1967</v>
      </c>
      <c r="E1009" t="s">
        <v>1967</v>
      </c>
      <c r="F1009" t="s">
        <v>1967</v>
      </c>
      <c r="G1009" s="6">
        <v>7.03</v>
      </c>
      <c r="H1009" s="6"/>
      <c r="I1009" s="6">
        <f t="shared" si="75"/>
        <v>3.3041</v>
      </c>
      <c r="J1009" s="6">
        <f t="shared" si="76"/>
        <v>3.515</v>
      </c>
      <c r="K1009" s="6">
        <f t="shared" si="77"/>
        <v>3.8665</v>
      </c>
      <c r="L1009" s="6">
        <f t="shared" si="78"/>
        <v>4.921</v>
      </c>
      <c r="M1009" s="6">
        <f t="shared" si="79"/>
        <v>5.9755</v>
      </c>
    </row>
    <row r="1010" spans="1:13">
      <c r="A1010" t="s">
        <v>13</v>
      </c>
      <c r="B1010" t="s">
        <v>1968</v>
      </c>
      <c r="C1010" t="s">
        <v>1969</v>
      </c>
      <c r="D1010" t="s">
        <v>1969</v>
      </c>
      <c r="E1010" t="s">
        <v>1969</v>
      </c>
      <c r="F1010" t="s">
        <v>1969</v>
      </c>
      <c r="G1010" s="6">
        <v>7.03</v>
      </c>
      <c r="H1010" s="6"/>
      <c r="I1010" s="6">
        <f t="shared" si="75"/>
        <v>3.3041</v>
      </c>
      <c r="J1010" s="6">
        <f t="shared" si="76"/>
        <v>3.515</v>
      </c>
      <c r="K1010" s="6">
        <f t="shared" si="77"/>
        <v>3.8665</v>
      </c>
      <c r="L1010" s="6">
        <f t="shared" si="78"/>
        <v>4.921</v>
      </c>
      <c r="M1010" s="6">
        <f t="shared" si="79"/>
        <v>5.9755</v>
      </c>
    </row>
    <row r="1011" spans="1:13">
      <c r="A1011" t="s">
        <v>13</v>
      </c>
      <c r="B1011" t="s">
        <v>1970</v>
      </c>
      <c r="C1011" t="s">
        <v>1971</v>
      </c>
      <c r="D1011" t="s">
        <v>1971</v>
      </c>
      <c r="E1011" t="s">
        <v>1971</v>
      </c>
      <c r="F1011" t="s">
        <v>1971</v>
      </c>
      <c r="G1011" s="6">
        <v>7.03</v>
      </c>
      <c r="H1011" s="6"/>
      <c r="I1011" s="6">
        <f t="shared" si="75"/>
        <v>3.3041</v>
      </c>
      <c r="J1011" s="6">
        <f t="shared" si="76"/>
        <v>3.515</v>
      </c>
      <c r="K1011" s="6">
        <f t="shared" si="77"/>
        <v>3.8665</v>
      </c>
      <c r="L1011" s="6">
        <f t="shared" si="78"/>
        <v>4.921</v>
      </c>
      <c r="M1011" s="6">
        <f t="shared" si="79"/>
        <v>5.9755</v>
      </c>
    </row>
    <row r="1012" spans="1:13">
      <c r="A1012" t="s">
        <v>13</v>
      </c>
      <c r="B1012" t="s">
        <v>1972</v>
      </c>
      <c r="C1012" t="s">
        <v>1973</v>
      </c>
      <c r="D1012" t="s">
        <v>1973</v>
      </c>
      <c r="E1012" t="s">
        <v>1973</v>
      </c>
      <c r="F1012" t="s">
        <v>1973</v>
      </c>
      <c r="G1012" s="6">
        <v>7.03</v>
      </c>
      <c r="H1012" s="6"/>
      <c r="I1012" s="6">
        <f t="shared" si="75"/>
        <v>3.3041</v>
      </c>
      <c r="J1012" s="6">
        <f t="shared" si="76"/>
        <v>3.515</v>
      </c>
      <c r="K1012" s="6">
        <f t="shared" si="77"/>
        <v>3.8665</v>
      </c>
      <c r="L1012" s="6">
        <f t="shared" si="78"/>
        <v>4.921</v>
      </c>
      <c r="M1012" s="6">
        <f t="shared" si="79"/>
        <v>5.9755</v>
      </c>
    </row>
    <row r="1013" spans="1:13">
      <c r="A1013" t="s">
        <v>13</v>
      </c>
      <c r="B1013" t="s">
        <v>1974</v>
      </c>
      <c r="C1013" t="s">
        <v>1975</v>
      </c>
      <c r="D1013" t="s">
        <v>1975</v>
      </c>
      <c r="E1013" t="s">
        <v>1975</v>
      </c>
      <c r="F1013" t="s">
        <v>1975</v>
      </c>
      <c r="G1013" s="6">
        <v>7.03</v>
      </c>
      <c r="H1013" s="6"/>
      <c r="I1013" s="6">
        <f t="shared" si="75"/>
        <v>3.3041</v>
      </c>
      <c r="J1013" s="6">
        <f t="shared" si="76"/>
        <v>3.515</v>
      </c>
      <c r="K1013" s="6">
        <f t="shared" si="77"/>
        <v>3.8665</v>
      </c>
      <c r="L1013" s="6">
        <f t="shared" si="78"/>
        <v>4.921</v>
      </c>
      <c r="M1013" s="6">
        <f t="shared" si="79"/>
        <v>5.9755</v>
      </c>
    </row>
    <row r="1014" spans="1:13">
      <c r="A1014" t="s">
        <v>13</v>
      </c>
      <c r="B1014" t="s">
        <v>1976</v>
      </c>
      <c r="C1014" t="s">
        <v>1977</v>
      </c>
      <c r="D1014" t="s">
        <v>1977</v>
      </c>
      <c r="E1014" t="s">
        <v>1977</v>
      </c>
      <c r="F1014" t="s">
        <v>1977</v>
      </c>
      <c r="G1014" s="6">
        <v>7.03</v>
      </c>
      <c r="H1014" s="6"/>
      <c r="I1014" s="6">
        <f t="shared" si="75"/>
        <v>3.3041</v>
      </c>
      <c r="J1014" s="6">
        <f t="shared" si="76"/>
        <v>3.515</v>
      </c>
      <c r="K1014" s="6">
        <f t="shared" si="77"/>
        <v>3.8665</v>
      </c>
      <c r="L1014" s="6">
        <f t="shared" si="78"/>
        <v>4.921</v>
      </c>
      <c r="M1014" s="6">
        <f t="shared" si="79"/>
        <v>5.9755</v>
      </c>
    </row>
    <row r="1015" spans="1:13">
      <c r="A1015" t="s">
        <v>13</v>
      </c>
      <c r="B1015" t="s">
        <v>1978</v>
      </c>
      <c r="C1015" t="s">
        <v>1979</v>
      </c>
      <c r="D1015" t="s">
        <v>1979</v>
      </c>
      <c r="E1015" t="s">
        <v>1979</v>
      </c>
      <c r="F1015" t="s">
        <v>1979</v>
      </c>
      <c r="G1015" s="6">
        <v>7.03</v>
      </c>
      <c r="H1015" s="6"/>
      <c r="I1015" s="6">
        <f t="shared" si="75"/>
        <v>3.3041</v>
      </c>
      <c r="J1015" s="6">
        <f t="shared" si="76"/>
        <v>3.515</v>
      </c>
      <c r="K1015" s="6">
        <f t="shared" si="77"/>
        <v>3.8665</v>
      </c>
      <c r="L1015" s="6">
        <f t="shared" si="78"/>
        <v>4.921</v>
      </c>
      <c r="M1015" s="6">
        <f t="shared" si="79"/>
        <v>5.9755</v>
      </c>
    </row>
    <row r="1016" spans="1:13">
      <c r="A1016" t="s">
        <v>13</v>
      </c>
      <c r="B1016" t="s">
        <v>1980</v>
      </c>
      <c r="C1016" t="s">
        <v>1981</v>
      </c>
      <c r="D1016" t="s">
        <v>1981</v>
      </c>
      <c r="E1016" t="s">
        <v>1981</v>
      </c>
      <c r="F1016" t="s">
        <v>1981</v>
      </c>
      <c r="G1016" s="6">
        <v>7.03</v>
      </c>
      <c r="H1016" s="6"/>
      <c r="I1016" s="6">
        <f t="shared" si="75"/>
        <v>3.3041</v>
      </c>
      <c r="J1016" s="6">
        <f t="shared" si="76"/>
        <v>3.515</v>
      </c>
      <c r="K1016" s="6">
        <f t="shared" si="77"/>
        <v>3.8665</v>
      </c>
      <c r="L1016" s="6">
        <f t="shared" si="78"/>
        <v>4.921</v>
      </c>
      <c r="M1016" s="6">
        <f t="shared" si="79"/>
        <v>5.9755</v>
      </c>
    </row>
    <row r="1017" spans="1:13">
      <c r="A1017" t="s">
        <v>13</v>
      </c>
      <c r="B1017" t="s">
        <v>1982</v>
      </c>
      <c r="C1017" t="s">
        <v>1983</v>
      </c>
      <c r="D1017" t="s">
        <v>1983</v>
      </c>
      <c r="E1017" t="s">
        <v>1983</v>
      </c>
      <c r="F1017" t="s">
        <v>1983</v>
      </c>
      <c r="G1017" s="6">
        <v>6.83</v>
      </c>
      <c r="H1017" s="6"/>
      <c r="I1017" s="6">
        <f t="shared" si="75"/>
        <v>3.2101</v>
      </c>
      <c r="J1017" s="6">
        <f t="shared" si="76"/>
        <v>3.415</v>
      </c>
      <c r="K1017" s="6">
        <f t="shared" si="77"/>
        <v>3.7565</v>
      </c>
      <c r="L1017" s="6">
        <f t="shared" si="78"/>
        <v>4.781</v>
      </c>
      <c r="M1017" s="6">
        <f t="shared" si="79"/>
        <v>5.8055</v>
      </c>
    </row>
    <row r="1018" spans="1:13">
      <c r="A1018" t="s">
        <v>13</v>
      </c>
      <c r="B1018" t="s">
        <v>1984</v>
      </c>
      <c r="C1018" t="s">
        <v>1985</v>
      </c>
      <c r="D1018" t="s">
        <v>1985</v>
      </c>
      <c r="E1018" t="s">
        <v>1985</v>
      </c>
      <c r="F1018" t="s">
        <v>1985</v>
      </c>
      <c r="G1018" s="6">
        <v>25.56</v>
      </c>
      <c r="H1018" s="6"/>
      <c r="I1018" s="6">
        <f t="shared" si="75"/>
        <v>12.0132</v>
      </c>
      <c r="J1018" s="6">
        <f t="shared" si="76"/>
        <v>12.78</v>
      </c>
      <c r="K1018" s="6">
        <f t="shared" si="77"/>
        <v>14.058</v>
      </c>
      <c r="L1018" s="6">
        <f t="shared" si="78"/>
        <v>17.892</v>
      </c>
      <c r="M1018" s="6">
        <f t="shared" si="79"/>
        <v>21.726</v>
      </c>
    </row>
    <row r="1019" spans="1:13">
      <c r="A1019" t="s">
        <v>13</v>
      </c>
      <c r="B1019" t="s">
        <v>1986</v>
      </c>
      <c r="C1019" t="s">
        <v>1987</v>
      </c>
      <c r="D1019" t="s">
        <v>1987</v>
      </c>
      <c r="E1019" t="s">
        <v>1987</v>
      </c>
      <c r="F1019" t="s">
        <v>1987</v>
      </c>
      <c r="G1019" s="6">
        <v>122.71</v>
      </c>
      <c r="H1019" s="6"/>
      <c r="I1019" s="6">
        <f t="shared" si="75"/>
        <v>57.6737</v>
      </c>
      <c r="J1019" s="6">
        <f t="shared" si="76"/>
        <v>61.355</v>
      </c>
      <c r="K1019" s="6">
        <f t="shared" si="77"/>
        <v>67.4905</v>
      </c>
      <c r="L1019" s="6">
        <f t="shared" si="78"/>
        <v>85.897</v>
      </c>
      <c r="M1019" s="6">
        <f t="shared" si="79"/>
        <v>104.3035</v>
      </c>
    </row>
    <row r="1020" spans="1:13">
      <c r="A1020" t="s">
        <v>13</v>
      </c>
      <c r="B1020" t="s">
        <v>1988</v>
      </c>
      <c r="C1020" t="s">
        <v>1989</v>
      </c>
      <c r="D1020" t="s">
        <v>1989</v>
      </c>
      <c r="E1020" t="s">
        <v>1989</v>
      </c>
      <c r="F1020" t="s">
        <v>1989</v>
      </c>
      <c r="G1020" s="6">
        <v>15.9</v>
      </c>
      <c r="H1020" s="6"/>
      <c r="I1020" s="6">
        <f t="shared" si="75"/>
        <v>7.473</v>
      </c>
      <c r="J1020" s="6">
        <f t="shared" si="76"/>
        <v>7.95</v>
      </c>
      <c r="K1020" s="6">
        <f t="shared" si="77"/>
        <v>8.745</v>
      </c>
      <c r="L1020" s="6">
        <f t="shared" si="78"/>
        <v>11.13</v>
      </c>
      <c r="M1020" s="6">
        <f t="shared" si="79"/>
        <v>13.515</v>
      </c>
    </row>
    <row r="1021" spans="1:13">
      <c r="A1021" t="s">
        <v>13</v>
      </c>
      <c r="B1021" t="s">
        <v>1990</v>
      </c>
      <c r="C1021" t="s">
        <v>1991</v>
      </c>
      <c r="D1021" t="s">
        <v>1991</v>
      </c>
      <c r="E1021" t="s">
        <v>1991</v>
      </c>
      <c r="F1021" t="s">
        <v>1991</v>
      </c>
      <c r="G1021" s="6">
        <v>210.43</v>
      </c>
      <c r="H1021" s="6"/>
      <c r="I1021" s="6">
        <f t="shared" si="75"/>
        <v>98.9021</v>
      </c>
      <c r="J1021" s="6">
        <f t="shared" si="76"/>
        <v>105.215</v>
      </c>
      <c r="K1021" s="6">
        <f t="shared" si="77"/>
        <v>115.7365</v>
      </c>
      <c r="L1021" s="6">
        <f t="shared" si="78"/>
        <v>147.301</v>
      </c>
      <c r="M1021" s="6">
        <f t="shared" si="79"/>
        <v>178.8655</v>
      </c>
    </row>
    <row r="1022" spans="1:13">
      <c r="A1022" t="s">
        <v>13</v>
      </c>
      <c r="B1022" t="s">
        <v>1992</v>
      </c>
      <c r="C1022" t="s">
        <v>1993</v>
      </c>
      <c r="D1022" t="s">
        <v>1993</v>
      </c>
      <c r="E1022" t="s">
        <v>1993</v>
      </c>
      <c r="F1022" t="s">
        <v>1993</v>
      </c>
      <c r="G1022" s="6">
        <v>116.89</v>
      </c>
      <c r="H1022" s="6"/>
      <c r="I1022" s="6">
        <f t="shared" si="75"/>
        <v>54.9383</v>
      </c>
      <c r="J1022" s="6">
        <f t="shared" si="76"/>
        <v>58.445</v>
      </c>
      <c r="K1022" s="6">
        <f t="shared" si="77"/>
        <v>64.2895</v>
      </c>
      <c r="L1022" s="6">
        <f t="shared" si="78"/>
        <v>81.823</v>
      </c>
      <c r="M1022" s="6">
        <f t="shared" si="79"/>
        <v>99.3565</v>
      </c>
    </row>
    <row r="1023" spans="1:13">
      <c r="A1023" t="s">
        <v>13</v>
      </c>
      <c r="B1023" t="s">
        <v>1994</v>
      </c>
      <c r="C1023" t="s">
        <v>1995</v>
      </c>
      <c r="D1023" t="s">
        <v>1995</v>
      </c>
      <c r="E1023" t="s">
        <v>1995</v>
      </c>
      <c r="F1023" t="s">
        <v>1995</v>
      </c>
      <c r="G1023" s="6">
        <v>112.3</v>
      </c>
      <c r="H1023" s="6"/>
      <c r="I1023" s="6">
        <f t="shared" si="75"/>
        <v>52.781</v>
      </c>
      <c r="J1023" s="6">
        <f t="shared" si="76"/>
        <v>56.15</v>
      </c>
      <c r="K1023" s="6">
        <f t="shared" si="77"/>
        <v>61.765</v>
      </c>
      <c r="L1023" s="6">
        <f t="shared" si="78"/>
        <v>78.61</v>
      </c>
      <c r="M1023" s="6">
        <f t="shared" si="79"/>
        <v>95.455</v>
      </c>
    </row>
    <row r="1024" spans="1:13">
      <c r="A1024" t="s">
        <v>13</v>
      </c>
      <c r="B1024" t="s">
        <v>1996</v>
      </c>
      <c r="C1024" t="s">
        <v>1997</v>
      </c>
      <c r="D1024" t="s">
        <v>1997</v>
      </c>
      <c r="E1024" t="s">
        <v>1997</v>
      </c>
      <c r="F1024" t="s">
        <v>1997</v>
      </c>
      <c r="G1024" s="6">
        <v>352.92</v>
      </c>
      <c r="H1024" s="6"/>
      <c r="I1024" s="6">
        <f t="shared" si="75"/>
        <v>165.8724</v>
      </c>
      <c r="J1024" s="6">
        <f t="shared" si="76"/>
        <v>176.46</v>
      </c>
      <c r="K1024" s="6">
        <f t="shared" si="77"/>
        <v>194.106</v>
      </c>
      <c r="L1024" s="6">
        <f t="shared" si="78"/>
        <v>247.044</v>
      </c>
      <c r="M1024" s="6">
        <f t="shared" si="79"/>
        <v>299.982</v>
      </c>
    </row>
    <row r="1025" spans="1:13">
      <c r="A1025" t="s">
        <v>13</v>
      </c>
      <c r="B1025" t="s">
        <v>1998</v>
      </c>
      <c r="C1025" t="s">
        <v>1999</v>
      </c>
      <c r="D1025" t="s">
        <v>1999</v>
      </c>
      <c r="E1025" t="s">
        <v>1999</v>
      </c>
      <c r="F1025" t="s">
        <v>1999</v>
      </c>
      <c r="G1025" s="6">
        <v>7.96</v>
      </c>
      <c r="H1025" s="6"/>
      <c r="I1025" s="6">
        <f t="shared" si="75"/>
        <v>3.7412</v>
      </c>
      <c r="J1025" s="6">
        <f t="shared" si="76"/>
        <v>3.98</v>
      </c>
      <c r="K1025" s="6">
        <f t="shared" si="77"/>
        <v>4.378</v>
      </c>
      <c r="L1025" s="6">
        <f t="shared" si="78"/>
        <v>5.572</v>
      </c>
      <c r="M1025" s="6">
        <f t="shared" si="79"/>
        <v>6.766</v>
      </c>
    </row>
    <row r="1026" spans="1:13">
      <c r="A1026" t="s">
        <v>13</v>
      </c>
      <c r="B1026" t="s">
        <v>2000</v>
      </c>
      <c r="C1026" t="s">
        <v>2001</v>
      </c>
      <c r="D1026" t="s">
        <v>2001</v>
      </c>
      <c r="E1026" t="s">
        <v>2001</v>
      </c>
      <c r="F1026" t="s">
        <v>2001</v>
      </c>
      <c r="G1026" s="6">
        <v>9.86</v>
      </c>
      <c r="H1026" s="6"/>
      <c r="I1026" s="6">
        <f t="shared" si="75"/>
        <v>4.6342</v>
      </c>
      <c r="J1026" s="6">
        <f t="shared" si="76"/>
        <v>4.93</v>
      </c>
      <c r="K1026" s="6">
        <f t="shared" si="77"/>
        <v>5.423</v>
      </c>
      <c r="L1026" s="6">
        <f t="shared" si="78"/>
        <v>6.902</v>
      </c>
      <c r="M1026" s="6">
        <f t="shared" si="79"/>
        <v>8.381</v>
      </c>
    </row>
    <row r="1027" spans="1:13">
      <c r="A1027" t="s">
        <v>13</v>
      </c>
      <c r="B1027" t="s">
        <v>2002</v>
      </c>
      <c r="C1027" t="s">
        <v>2003</v>
      </c>
      <c r="D1027" t="s">
        <v>2003</v>
      </c>
      <c r="E1027" t="s">
        <v>2003</v>
      </c>
      <c r="F1027" t="s">
        <v>2003</v>
      </c>
      <c r="G1027" s="6">
        <v>32.23</v>
      </c>
      <c r="H1027" s="6"/>
      <c r="I1027" s="6">
        <f t="shared" si="75"/>
        <v>15.1481</v>
      </c>
      <c r="J1027" s="6">
        <f t="shared" si="76"/>
        <v>16.115</v>
      </c>
      <c r="K1027" s="6">
        <f t="shared" si="77"/>
        <v>17.7265</v>
      </c>
      <c r="L1027" s="6">
        <f t="shared" si="78"/>
        <v>22.561</v>
      </c>
      <c r="M1027" s="6">
        <f t="shared" si="79"/>
        <v>27.3955</v>
      </c>
    </row>
    <row r="1028" spans="1:13">
      <c r="A1028" t="s">
        <v>13</v>
      </c>
      <c r="B1028" t="s">
        <v>2004</v>
      </c>
      <c r="C1028" t="s">
        <v>2005</v>
      </c>
      <c r="D1028" t="s">
        <v>2005</v>
      </c>
      <c r="E1028" t="s">
        <v>2005</v>
      </c>
      <c r="F1028" t="s">
        <v>2005</v>
      </c>
      <c r="G1028" s="6">
        <v>201.76</v>
      </c>
      <c r="H1028" s="6"/>
      <c r="I1028" s="6">
        <f t="shared" ref="I1028:I1091" si="80">G1028*0.47</f>
        <v>94.8272</v>
      </c>
      <c r="J1028" s="6">
        <f t="shared" ref="J1028:J1091" si="81">G1028*0.5</f>
        <v>100.88</v>
      </c>
      <c r="K1028" s="6">
        <f t="shared" ref="K1028:K1091" si="82">G1028*0.55</f>
        <v>110.968</v>
      </c>
      <c r="L1028" s="6">
        <f t="shared" ref="L1028:L1091" si="83">G1028*0.7</f>
        <v>141.232</v>
      </c>
      <c r="M1028" s="6">
        <f t="shared" ref="M1028:M1091" si="84">G1028*0.85</f>
        <v>171.496</v>
      </c>
    </row>
    <row r="1029" spans="1:13">
      <c r="A1029" t="s">
        <v>13</v>
      </c>
      <c r="B1029" t="s">
        <v>2006</v>
      </c>
      <c r="C1029" t="s">
        <v>2007</v>
      </c>
      <c r="D1029" t="s">
        <v>2007</v>
      </c>
      <c r="E1029" t="s">
        <v>2007</v>
      </c>
      <c r="F1029" t="s">
        <v>2007</v>
      </c>
      <c r="G1029" s="6">
        <v>110.36</v>
      </c>
      <c r="H1029" s="6"/>
      <c r="I1029" s="6">
        <f t="shared" si="80"/>
        <v>51.8692</v>
      </c>
      <c r="J1029" s="6">
        <f t="shared" si="81"/>
        <v>55.18</v>
      </c>
      <c r="K1029" s="6">
        <f t="shared" si="82"/>
        <v>60.698</v>
      </c>
      <c r="L1029" s="6">
        <f t="shared" si="83"/>
        <v>77.252</v>
      </c>
      <c r="M1029" s="6">
        <f t="shared" si="84"/>
        <v>93.806</v>
      </c>
    </row>
    <row r="1030" spans="1:13">
      <c r="A1030" t="s">
        <v>13</v>
      </c>
      <c r="B1030" t="s">
        <v>2008</v>
      </c>
      <c r="C1030" t="s">
        <v>2009</v>
      </c>
      <c r="D1030" t="s">
        <v>2009</v>
      </c>
      <c r="E1030" t="s">
        <v>2009</v>
      </c>
      <c r="F1030" t="s">
        <v>2009</v>
      </c>
      <c r="G1030" s="6">
        <v>116.38</v>
      </c>
      <c r="H1030" s="6"/>
      <c r="I1030" s="6">
        <f t="shared" si="80"/>
        <v>54.6986</v>
      </c>
      <c r="J1030" s="6">
        <f t="shared" si="81"/>
        <v>58.19</v>
      </c>
      <c r="K1030" s="6">
        <f t="shared" si="82"/>
        <v>64.009</v>
      </c>
      <c r="L1030" s="6">
        <f t="shared" si="83"/>
        <v>81.466</v>
      </c>
      <c r="M1030" s="6">
        <f t="shared" si="84"/>
        <v>98.923</v>
      </c>
    </row>
    <row r="1031" spans="1:13">
      <c r="A1031" t="s">
        <v>13</v>
      </c>
      <c r="B1031" t="s">
        <v>2010</v>
      </c>
      <c r="C1031" t="s">
        <v>2011</v>
      </c>
      <c r="D1031" t="s">
        <v>2011</v>
      </c>
      <c r="E1031" t="s">
        <v>2011</v>
      </c>
      <c r="F1031" t="s">
        <v>2011</v>
      </c>
      <c r="G1031" s="6">
        <v>930.04</v>
      </c>
      <c r="H1031" s="6"/>
      <c r="I1031" s="6">
        <f t="shared" si="80"/>
        <v>437.1188</v>
      </c>
      <c r="J1031" s="6">
        <f t="shared" si="81"/>
        <v>465.02</v>
      </c>
      <c r="K1031" s="6">
        <f t="shared" si="82"/>
        <v>511.522</v>
      </c>
      <c r="L1031" s="6">
        <f t="shared" si="83"/>
        <v>651.028</v>
      </c>
      <c r="M1031" s="6">
        <f t="shared" si="84"/>
        <v>790.534</v>
      </c>
    </row>
    <row r="1032" spans="1:13">
      <c r="A1032" t="s">
        <v>13</v>
      </c>
      <c r="B1032" t="s">
        <v>2012</v>
      </c>
      <c r="C1032" t="s">
        <v>2011</v>
      </c>
      <c r="D1032" t="s">
        <v>2011</v>
      </c>
      <c r="E1032" t="s">
        <v>2011</v>
      </c>
      <c r="F1032" t="s">
        <v>2011</v>
      </c>
      <c r="G1032" s="6">
        <v>930.04</v>
      </c>
      <c r="H1032" s="6"/>
      <c r="I1032" s="6">
        <f t="shared" si="80"/>
        <v>437.1188</v>
      </c>
      <c r="J1032" s="6">
        <f t="shared" si="81"/>
        <v>465.02</v>
      </c>
      <c r="K1032" s="6">
        <f t="shared" si="82"/>
        <v>511.522</v>
      </c>
      <c r="L1032" s="6">
        <f t="shared" si="83"/>
        <v>651.028</v>
      </c>
      <c r="M1032" s="6">
        <f t="shared" si="84"/>
        <v>790.534</v>
      </c>
    </row>
    <row r="1033" spans="1:13">
      <c r="A1033" t="s">
        <v>13</v>
      </c>
      <c r="B1033" t="s">
        <v>2013</v>
      </c>
      <c r="C1033" t="s">
        <v>2014</v>
      </c>
      <c r="D1033" t="s">
        <v>2014</v>
      </c>
      <c r="E1033" t="s">
        <v>2014</v>
      </c>
      <c r="F1033" t="s">
        <v>2014</v>
      </c>
      <c r="G1033" s="6">
        <v>134.1</v>
      </c>
      <c r="H1033" s="6"/>
      <c r="I1033" s="6">
        <f t="shared" si="80"/>
        <v>63.027</v>
      </c>
      <c r="J1033" s="6">
        <f t="shared" si="81"/>
        <v>67.05</v>
      </c>
      <c r="K1033" s="6">
        <f t="shared" si="82"/>
        <v>73.755</v>
      </c>
      <c r="L1033" s="6">
        <f t="shared" si="83"/>
        <v>93.87</v>
      </c>
      <c r="M1033" s="6">
        <f t="shared" si="84"/>
        <v>113.985</v>
      </c>
    </row>
    <row r="1034" spans="1:13">
      <c r="A1034" t="s">
        <v>13</v>
      </c>
      <c r="B1034" t="s">
        <v>2015</v>
      </c>
      <c r="C1034" t="s">
        <v>2016</v>
      </c>
      <c r="D1034" t="s">
        <v>2016</v>
      </c>
      <c r="E1034" t="s">
        <v>2016</v>
      </c>
      <c r="F1034" t="s">
        <v>2016</v>
      </c>
      <c r="G1034" s="6">
        <v>123.62</v>
      </c>
      <c r="H1034" s="6"/>
      <c r="I1034" s="6">
        <f t="shared" si="80"/>
        <v>58.1014</v>
      </c>
      <c r="J1034" s="6">
        <f t="shared" si="81"/>
        <v>61.81</v>
      </c>
      <c r="K1034" s="6">
        <f t="shared" si="82"/>
        <v>67.991</v>
      </c>
      <c r="L1034" s="6">
        <f t="shared" si="83"/>
        <v>86.534</v>
      </c>
      <c r="M1034" s="6">
        <f t="shared" si="84"/>
        <v>105.077</v>
      </c>
    </row>
    <row r="1035" spans="1:13">
      <c r="A1035" t="s">
        <v>13</v>
      </c>
      <c r="B1035" t="s">
        <v>2017</v>
      </c>
      <c r="C1035" t="s">
        <v>2018</v>
      </c>
      <c r="D1035" t="s">
        <v>2018</v>
      </c>
      <c r="E1035" t="s">
        <v>2018</v>
      </c>
      <c r="F1035" t="s">
        <v>2018</v>
      </c>
      <c r="G1035" s="6">
        <v>138.21</v>
      </c>
      <c r="H1035" s="6"/>
      <c r="I1035" s="6">
        <f t="shared" si="80"/>
        <v>64.9587</v>
      </c>
      <c r="J1035" s="6">
        <f t="shared" si="81"/>
        <v>69.105</v>
      </c>
      <c r="K1035" s="6">
        <f t="shared" si="82"/>
        <v>76.0155</v>
      </c>
      <c r="L1035" s="6">
        <f t="shared" si="83"/>
        <v>96.747</v>
      </c>
      <c r="M1035" s="6">
        <f t="shared" si="84"/>
        <v>117.4785</v>
      </c>
    </row>
    <row r="1036" spans="1:13">
      <c r="A1036" t="s">
        <v>13</v>
      </c>
      <c r="B1036" t="s">
        <v>2019</v>
      </c>
      <c r="C1036" t="s">
        <v>2020</v>
      </c>
      <c r="D1036" t="s">
        <v>2020</v>
      </c>
      <c r="E1036" t="s">
        <v>2020</v>
      </c>
      <c r="F1036" t="s">
        <v>2020</v>
      </c>
      <c r="G1036" s="6">
        <v>165.34</v>
      </c>
      <c r="H1036" s="6"/>
      <c r="I1036" s="6">
        <f t="shared" si="80"/>
        <v>77.7098</v>
      </c>
      <c r="J1036" s="6">
        <f t="shared" si="81"/>
        <v>82.67</v>
      </c>
      <c r="K1036" s="6">
        <f t="shared" si="82"/>
        <v>90.937</v>
      </c>
      <c r="L1036" s="6">
        <f t="shared" si="83"/>
        <v>115.738</v>
      </c>
      <c r="M1036" s="6">
        <f t="shared" si="84"/>
        <v>140.539</v>
      </c>
    </row>
    <row r="1037" spans="1:13">
      <c r="A1037" t="s">
        <v>13</v>
      </c>
      <c r="B1037" t="s">
        <v>2021</v>
      </c>
      <c r="C1037" t="s">
        <v>2022</v>
      </c>
      <c r="D1037" t="s">
        <v>2022</v>
      </c>
      <c r="E1037" t="s">
        <v>2022</v>
      </c>
      <c r="F1037" t="s">
        <v>2022</v>
      </c>
      <c r="G1037" s="6">
        <v>186.05</v>
      </c>
      <c r="H1037" s="6"/>
      <c r="I1037" s="6">
        <f t="shared" si="80"/>
        <v>87.4435</v>
      </c>
      <c r="J1037" s="6">
        <f t="shared" si="81"/>
        <v>93.025</v>
      </c>
      <c r="K1037" s="6">
        <f t="shared" si="82"/>
        <v>102.3275</v>
      </c>
      <c r="L1037" s="6">
        <f t="shared" si="83"/>
        <v>130.235</v>
      </c>
      <c r="M1037" s="6">
        <f t="shared" si="84"/>
        <v>158.1425</v>
      </c>
    </row>
    <row r="1038" spans="1:13">
      <c r="A1038" t="s">
        <v>13</v>
      </c>
      <c r="B1038" t="s">
        <v>2023</v>
      </c>
      <c r="C1038" t="s">
        <v>2024</v>
      </c>
      <c r="D1038" t="s">
        <v>2024</v>
      </c>
      <c r="E1038" t="s">
        <v>2024</v>
      </c>
      <c r="F1038" t="s">
        <v>2024</v>
      </c>
      <c r="G1038" s="6">
        <v>186.05</v>
      </c>
      <c r="H1038" s="6"/>
      <c r="I1038" s="6">
        <f t="shared" si="80"/>
        <v>87.4435</v>
      </c>
      <c r="J1038" s="6">
        <f t="shared" si="81"/>
        <v>93.025</v>
      </c>
      <c r="K1038" s="6">
        <f t="shared" si="82"/>
        <v>102.3275</v>
      </c>
      <c r="L1038" s="6">
        <f t="shared" si="83"/>
        <v>130.235</v>
      </c>
      <c r="M1038" s="6">
        <f t="shared" si="84"/>
        <v>158.1425</v>
      </c>
    </row>
    <row r="1039" spans="1:13">
      <c r="A1039" t="s">
        <v>13</v>
      </c>
      <c r="B1039" t="s">
        <v>2025</v>
      </c>
      <c r="C1039" t="s">
        <v>2026</v>
      </c>
      <c r="D1039" t="s">
        <v>2026</v>
      </c>
      <c r="E1039" t="s">
        <v>2026</v>
      </c>
      <c r="F1039" t="s">
        <v>2026</v>
      </c>
      <c r="G1039" s="6">
        <v>205.84</v>
      </c>
      <c r="H1039" s="6"/>
      <c r="I1039" s="6">
        <f t="shared" si="80"/>
        <v>96.7448</v>
      </c>
      <c r="J1039" s="6">
        <f t="shared" si="81"/>
        <v>102.92</v>
      </c>
      <c r="K1039" s="6">
        <f t="shared" si="82"/>
        <v>113.212</v>
      </c>
      <c r="L1039" s="6">
        <f t="shared" si="83"/>
        <v>144.088</v>
      </c>
      <c r="M1039" s="6">
        <f t="shared" si="84"/>
        <v>174.964</v>
      </c>
    </row>
    <row r="1040" spans="1:13">
      <c r="A1040" t="s">
        <v>13</v>
      </c>
      <c r="B1040" t="s">
        <v>2027</v>
      </c>
      <c r="C1040" t="s">
        <v>2028</v>
      </c>
      <c r="D1040" t="s">
        <v>2028</v>
      </c>
      <c r="E1040" t="s">
        <v>2028</v>
      </c>
      <c r="F1040" t="s">
        <v>2028</v>
      </c>
      <c r="G1040" s="6">
        <v>175.34</v>
      </c>
      <c r="H1040" s="6"/>
      <c r="I1040" s="6">
        <f t="shared" si="80"/>
        <v>82.4098</v>
      </c>
      <c r="J1040" s="6">
        <f t="shared" si="81"/>
        <v>87.67</v>
      </c>
      <c r="K1040" s="6">
        <f t="shared" si="82"/>
        <v>96.437</v>
      </c>
      <c r="L1040" s="6">
        <f t="shared" si="83"/>
        <v>122.738</v>
      </c>
      <c r="M1040" s="6">
        <f t="shared" si="84"/>
        <v>149.039</v>
      </c>
    </row>
    <row r="1041" spans="1:13">
      <c r="A1041" t="s">
        <v>13</v>
      </c>
      <c r="B1041" t="s">
        <v>2029</v>
      </c>
      <c r="C1041" t="s">
        <v>2030</v>
      </c>
      <c r="D1041" t="s">
        <v>2030</v>
      </c>
      <c r="E1041" t="s">
        <v>2030</v>
      </c>
      <c r="F1041" t="s">
        <v>2030</v>
      </c>
      <c r="G1041" s="6">
        <v>184.11</v>
      </c>
      <c r="H1041" s="6"/>
      <c r="I1041" s="6">
        <f t="shared" si="80"/>
        <v>86.5317</v>
      </c>
      <c r="J1041" s="6">
        <f t="shared" si="81"/>
        <v>92.055</v>
      </c>
      <c r="K1041" s="6">
        <f t="shared" si="82"/>
        <v>101.2605</v>
      </c>
      <c r="L1041" s="6">
        <f t="shared" si="83"/>
        <v>128.877</v>
      </c>
      <c r="M1041" s="6">
        <f t="shared" si="84"/>
        <v>156.4935</v>
      </c>
    </row>
    <row r="1042" spans="1:13">
      <c r="A1042" t="s">
        <v>13</v>
      </c>
      <c r="B1042" t="s">
        <v>2031</v>
      </c>
      <c r="C1042" t="s">
        <v>2032</v>
      </c>
      <c r="D1042" t="s">
        <v>2032</v>
      </c>
      <c r="E1042" t="s">
        <v>2032</v>
      </c>
      <c r="F1042" t="s">
        <v>2032</v>
      </c>
      <c r="G1042" s="6">
        <v>192.78</v>
      </c>
      <c r="H1042" s="6"/>
      <c r="I1042" s="6">
        <f t="shared" si="80"/>
        <v>90.6066</v>
      </c>
      <c r="J1042" s="6">
        <f t="shared" si="81"/>
        <v>96.39</v>
      </c>
      <c r="K1042" s="6">
        <f t="shared" si="82"/>
        <v>106.029</v>
      </c>
      <c r="L1042" s="6">
        <f t="shared" si="83"/>
        <v>134.946</v>
      </c>
      <c r="M1042" s="6">
        <f t="shared" si="84"/>
        <v>163.863</v>
      </c>
    </row>
    <row r="1043" spans="1:13">
      <c r="A1043" t="s">
        <v>13</v>
      </c>
      <c r="B1043" t="s">
        <v>2033</v>
      </c>
      <c r="C1043" t="s">
        <v>2034</v>
      </c>
      <c r="D1043" t="s">
        <v>2034</v>
      </c>
      <c r="E1043" t="s">
        <v>2034</v>
      </c>
      <c r="F1043" t="s">
        <v>2034</v>
      </c>
      <c r="G1043" s="6">
        <v>120.77</v>
      </c>
      <c r="H1043" s="6"/>
      <c r="I1043" s="6">
        <f t="shared" si="80"/>
        <v>56.7619</v>
      </c>
      <c r="J1043" s="6">
        <f t="shared" si="81"/>
        <v>60.385</v>
      </c>
      <c r="K1043" s="6">
        <f t="shared" si="82"/>
        <v>66.4235</v>
      </c>
      <c r="L1043" s="6">
        <f t="shared" si="83"/>
        <v>84.539</v>
      </c>
      <c r="M1043" s="6">
        <f t="shared" si="84"/>
        <v>102.6545</v>
      </c>
    </row>
    <row r="1044" spans="1:13">
      <c r="A1044" t="s">
        <v>13</v>
      </c>
      <c r="B1044" t="s">
        <v>2035</v>
      </c>
      <c r="C1044" t="s">
        <v>2036</v>
      </c>
      <c r="D1044" t="s">
        <v>2036</v>
      </c>
      <c r="E1044" t="s">
        <v>2036</v>
      </c>
      <c r="F1044" t="s">
        <v>2036</v>
      </c>
      <c r="G1044" s="6">
        <v>80.68</v>
      </c>
      <c r="H1044" s="6"/>
      <c r="I1044" s="6">
        <f t="shared" si="80"/>
        <v>37.9196</v>
      </c>
      <c r="J1044" s="6">
        <f t="shared" si="81"/>
        <v>40.34</v>
      </c>
      <c r="K1044" s="6">
        <f t="shared" si="82"/>
        <v>44.374</v>
      </c>
      <c r="L1044" s="6">
        <f t="shared" si="83"/>
        <v>56.476</v>
      </c>
      <c r="M1044" s="6">
        <f t="shared" si="84"/>
        <v>68.578</v>
      </c>
    </row>
    <row r="1045" spans="1:13">
      <c r="A1045" t="s">
        <v>13</v>
      </c>
      <c r="B1045" t="s">
        <v>2037</v>
      </c>
      <c r="C1045" t="s">
        <v>2038</v>
      </c>
      <c r="D1045" t="s">
        <v>2038</v>
      </c>
      <c r="E1045" t="s">
        <v>2038</v>
      </c>
      <c r="F1045" t="s">
        <v>2038</v>
      </c>
      <c r="G1045" s="6">
        <v>73.95</v>
      </c>
      <c r="H1045" s="6"/>
      <c r="I1045" s="6">
        <f t="shared" si="80"/>
        <v>34.7565</v>
      </c>
      <c r="J1045" s="6">
        <f t="shared" si="81"/>
        <v>36.975</v>
      </c>
      <c r="K1045" s="6">
        <f t="shared" si="82"/>
        <v>40.6725</v>
      </c>
      <c r="L1045" s="6">
        <f t="shared" si="83"/>
        <v>51.765</v>
      </c>
      <c r="M1045" s="6">
        <f t="shared" si="84"/>
        <v>62.8575</v>
      </c>
    </row>
    <row r="1046" spans="1:13">
      <c r="A1046" t="s">
        <v>13</v>
      </c>
      <c r="B1046" t="s">
        <v>2039</v>
      </c>
      <c r="C1046" t="s">
        <v>2040</v>
      </c>
      <c r="D1046" t="s">
        <v>2040</v>
      </c>
      <c r="E1046" t="s">
        <v>2040</v>
      </c>
      <c r="F1046" t="s">
        <v>2040</v>
      </c>
      <c r="G1046" s="6">
        <v>95.37</v>
      </c>
      <c r="H1046" s="6"/>
      <c r="I1046" s="6">
        <f t="shared" si="80"/>
        <v>44.8239</v>
      </c>
      <c r="J1046" s="6">
        <f t="shared" si="81"/>
        <v>47.685</v>
      </c>
      <c r="K1046" s="6">
        <f t="shared" si="82"/>
        <v>52.4535</v>
      </c>
      <c r="L1046" s="6">
        <f t="shared" si="83"/>
        <v>66.759</v>
      </c>
      <c r="M1046" s="6">
        <f t="shared" si="84"/>
        <v>81.0645</v>
      </c>
    </row>
    <row r="1047" spans="1:13">
      <c r="A1047" t="s">
        <v>13</v>
      </c>
      <c r="B1047" t="s">
        <v>2041</v>
      </c>
      <c r="C1047" t="s">
        <v>2042</v>
      </c>
      <c r="D1047" t="s">
        <v>2042</v>
      </c>
      <c r="E1047" t="s">
        <v>2042</v>
      </c>
      <c r="F1047" t="s">
        <v>2042</v>
      </c>
      <c r="G1047" s="6">
        <v>97.31</v>
      </c>
      <c r="H1047" s="6"/>
      <c r="I1047" s="6">
        <f t="shared" si="80"/>
        <v>45.7357</v>
      </c>
      <c r="J1047" s="6">
        <f t="shared" si="81"/>
        <v>48.655</v>
      </c>
      <c r="K1047" s="6">
        <f t="shared" si="82"/>
        <v>53.5205</v>
      </c>
      <c r="L1047" s="6">
        <f t="shared" si="83"/>
        <v>68.117</v>
      </c>
      <c r="M1047" s="6">
        <f t="shared" si="84"/>
        <v>82.7135</v>
      </c>
    </row>
    <row r="1048" spans="1:13">
      <c r="A1048" t="s">
        <v>13</v>
      </c>
      <c r="B1048" t="s">
        <v>2043</v>
      </c>
      <c r="C1048" t="s">
        <v>2044</v>
      </c>
      <c r="D1048" t="s">
        <v>2044</v>
      </c>
      <c r="E1048" t="s">
        <v>2044</v>
      </c>
      <c r="F1048" t="s">
        <v>2044</v>
      </c>
      <c r="G1048" s="6">
        <v>171.97</v>
      </c>
      <c r="H1048" s="6"/>
      <c r="I1048" s="6">
        <f t="shared" si="80"/>
        <v>80.8259</v>
      </c>
      <c r="J1048" s="6">
        <f t="shared" si="81"/>
        <v>85.985</v>
      </c>
      <c r="K1048" s="6">
        <f t="shared" si="82"/>
        <v>94.5835</v>
      </c>
      <c r="L1048" s="6">
        <f t="shared" si="83"/>
        <v>120.379</v>
      </c>
      <c r="M1048" s="6">
        <f t="shared" si="84"/>
        <v>146.1745</v>
      </c>
    </row>
    <row r="1049" spans="1:13">
      <c r="A1049" t="s">
        <v>13</v>
      </c>
      <c r="B1049" t="s">
        <v>2045</v>
      </c>
      <c r="C1049" t="s">
        <v>2046</v>
      </c>
      <c r="D1049" t="s">
        <v>2046</v>
      </c>
      <c r="E1049" t="s">
        <v>2046</v>
      </c>
      <c r="F1049" t="s">
        <v>2046</v>
      </c>
      <c r="G1049" s="6">
        <v>171.97</v>
      </c>
      <c r="H1049" s="6"/>
      <c r="I1049" s="6">
        <f t="shared" si="80"/>
        <v>80.8259</v>
      </c>
      <c r="J1049" s="6">
        <f t="shared" si="81"/>
        <v>85.985</v>
      </c>
      <c r="K1049" s="6">
        <f t="shared" si="82"/>
        <v>94.5835</v>
      </c>
      <c r="L1049" s="6">
        <f t="shared" si="83"/>
        <v>120.379</v>
      </c>
      <c r="M1049" s="6">
        <f t="shared" si="84"/>
        <v>146.1745</v>
      </c>
    </row>
    <row r="1050" spans="1:13">
      <c r="A1050" t="s">
        <v>13</v>
      </c>
      <c r="B1050" t="s">
        <v>2047</v>
      </c>
      <c r="C1050" t="s">
        <v>2048</v>
      </c>
      <c r="D1050" t="s">
        <v>2048</v>
      </c>
      <c r="E1050" t="s">
        <v>2048</v>
      </c>
      <c r="F1050" t="s">
        <v>2048</v>
      </c>
      <c r="G1050" s="6">
        <v>98.02</v>
      </c>
      <c r="H1050" s="6"/>
      <c r="I1050" s="6">
        <f t="shared" si="80"/>
        <v>46.0694</v>
      </c>
      <c r="J1050" s="6">
        <f t="shared" si="81"/>
        <v>49.01</v>
      </c>
      <c r="K1050" s="6">
        <f t="shared" si="82"/>
        <v>53.911</v>
      </c>
      <c r="L1050" s="6">
        <f t="shared" si="83"/>
        <v>68.614</v>
      </c>
      <c r="M1050" s="6">
        <f t="shared" si="84"/>
        <v>83.317</v>
      </c>
    </row>
    <row r="1051" spans="1:13">
      <c r="A1051" t="s">
        <v>13</v>
      </c>
      <c r="B1051" t="s">
        <v>2049</v>
      </c>
      <c r="C1051" t="s">
        <v>2050</v>
      </c>
      <c r="D1051" t="s">
        <v>2050</v>
      </c>
      <c r="E1051" t="s">
        <v>2050</v>
      </c>
      <c r="F1051" t="s">
        <v>2050</v>
      </c>
      <c r="G1051" s="6">
        <v>509.59</v>
      </c>
      <c r="H1051" s="6"/>
      <c r="I1051" s="6">
        <f t="shared" si="80"/>
        <v>239.5073</v>
      </c>
      <c r="J1051" s="6">
        <f t="shared" si="81"/>
        <v>254.795</v>
      </c>
      <c r="K1051" s="6">
        <f t="shared" si="82"/>
        <v>280.2745</v>
      </c>
      <c r="L1051" s="6">
        <f t="shared" si="83"/>
        <v>356.713</v>
      </c>
      <c r="M1051" s="6">
        <f t="shared" si="84"/>
        <v>433.1515</v>
      </c>
    </row>
    <row r="1052" spans="1:13">
      <c r="A1052" t="s">
        <v>13</v>
      </c>
      <c r="B1052" t="s">
        <v>2051</v>
      </c>
      <c r="C1052" t="s">
        <v>2052</v>
      </c>
      <c r="D1052" t="s">
        <v>2052</v>
      </c>
      <c r="E1052" t="s">
        <v>2052</v>
      </c>
      <c r="F1052" t="s">
        <v>2052</v>
      </c>
      <c r="G1052" s="6">
        <v>118.32</v>
      </c>
      <c r="H1052" s="6"/>
      <c r="I1052" s="6">
        <f t="shared" si="80"/>
        <v>55.6104</v>
      </c>
      <c r="J1052" s="6">
        <f t="shared" si="81"/>
        <v>59.16</v>
      </c>
      <c r="K1052" s="6">
        <f t="shared" si="82"/>
        <v>65.076</v>
      </c>
      <c r="L1052" s="6">
        <f t="shared" si="83"/>
        <v>82.824</v>
      </c>
      <c r="M1052" s="6">
        <f t="shared" si="84"/>
        <v>100.572</v>
      </c>
    </row>
    <row r="1053" spans="1:13">
      <c r="A1053" t="s">
        <v>13</v>
      </c>
      <c r="B1053" t="s">
        <v>2053</v>
      </c>
      <c r="C1053" t="s">
        <v>2054</v>
      </c>
      <c r="D1053" t="s">
        <v>2054</v>
      </c>
      <c r="E1053" t="s">
        <v>2054</v>
      </c>
      <c r="F1053" t="s">
        <v>2054</v>
      </c>
      <c r="G1053" s="6">
        <v>114.14</v>
      </c>
      <c r="H1053" s="6"/>
      <c r="I1053" s="6">
        <f t="shared" si="80"/>
        <v>53.6458</v>
      </c>
      <c r="J1053" s="6">
        <f t="shared" si="81"/>
        <v>57.07</v>
      </c>
      <c r="K1053" s="6">
        <f t="shared" si="82"/>
        <v>62.777</v>
      </c>
      <c r="L1053" s="6">
        <f t="shared" si="83"/>
        <v>79.898</v>
      </c>
      <c r="M1053" s="6">
        <f t="shared" si="84"/>
        <v>97.019</v>
      </c>
    </row>
    <row r="1054" spans="1:13">
      <c r="A1054" t="s">
        <v>13</v>
      </c>
      <c r="B1054" t="s">
        <v>2055</v>
      </c>
      <c r="C1054" t="s">
        <v>2056</v>
      </c>
      <c r="D1054" t="s">
        <v>2056</v>
      </c>
      <c r="E1054" t="s">
        <v>2056</v>
      </c>
      <c r="F1054" t="s">
        <v>2056</v>
      </c>
      <c r="G1054" s="6">
        <v>155.24</v>
      </c>
      <c r="H1054" s="6"/>
      <c r="I1054" s="6">
        <f t="shared" si="80"/>
        <v>72.9628</v>
      </c>
      <c r="J1054" s="6">
        <f t="shared" si="81"/>
        <v>77.62</v>
      </c>
      <c r="K1054" s="6">
        <f t="shared" si="82"/>
        <v>85.382</v>
      </c>
      <c r="L1054" s="6">
        <f t="shared" si="83"/>
        <v>108.668</v>
      </c>
      <c r="M1054" s="6">
        <f t="shared" si="84"/>
        <v>131.954</v>
      </c>
    </row>
    <row r="1055" spans="1:13">
      <c r="A1055" t="s">
        <v>13</v>
      </c>
      <c r="B1055" t="s">
        <v>2057</v>
      </c>
      <c r="C1055" t="s">
        <v>2058</v>
      </c>
      <c r="D1055" t="s">
        <v>2058</v>
      </c>
      <c r="E1055" t="s">
        <v>2058</v>
      </c>
      <c r="F1055" t="s">
        <v>2058</v>
      </c>
      <c r="G1055" s="6">
        <v>155.24</v>
      </c>
      <c r="H1055" s="6"/>
      <c r="I1055" s="6">
        <f t="shared" si="80"/>
        <v>72.9628</v>
      </c>
      <c r="J1055" s="6">
        <f t="shared" si="81"/>
        <v>77.62</v>
      </c>
      <c r="K1055" s="6">
        <f t="shared" si="82"/>
        <v>85.382</v>
      </c>
      <c r="L1055" s="6">
        <f t="shared" si="83"/>
        <v>108.668</v>
      </c>
      <c r="M1055" s="6">
        <f t="shared" si="84"/>
        <v>131.954</v>
      </c>
    </row>
    <row r="1056" spans="1:13">
      <c r="A1056" t="s">
        <v>13</v>
      </c>
      <c r="B1056" t="s">
        <v>2059</v>
      </c>
      <c r="C1056" t="s">
        <v>2060</v>
      </c>
      <c r="D1056" t="s">
        <v>2060</v>
      </c>
      <c r="E1056" t="s">
        <v>2060</v>
      </c>
      <c r="F1056" t="s">
        <v>2060</v>
      </c>
      <c r="G1056" s="6">
        <v>217.67</v>
      </c>
      <c r="H1056" s="6"/>
      <c r="I1056" s="6">
        <f t="shared" si="80"/>
        <v>102.3049</v>
      </c>
      <c r="J1056" s="6">
        <f t="shared" si="81"/>
        <v>108.835</v>
      </c>
      <c r="K1056" s="6">
        <f t="shared" si="82"/>
        <v>119.7185</v>
      </c>
      <c r="L1056" s="6">
        <f t="shared" si="83"/>
        <v>152.369</v>
      </c>
      <c r="M1056" s="6">
        <f t="shared" si="84"/>
        <v>185.0195</v>
      </c>
    </row>
    <row r="1057" spans="1:13">
      <c r="A1057" t="s">
        <v>13</v>
      </c>
      <c r="B1057" t="s">
        <v>2061</v>
      </c>
      <c r="C1057" t="s">
        <v>2062</v>
      </c>
      <c r="D1057" t="s">
        <v>2062</v>
      </c>
      <c r="E1057" t="s">
        <v>2062</v>
      </c>
      <c r="F1057" t="s">
        <v>2062</v>
      </c>
      <c r="G1057" s="6">
        <v>217.67</v>
      </c>
      <c r="H1057" s="6"/>
      <c r="I1057" s="6">
        <f t="shared" si="80"/>
        <v>102.3049</v>
      </c>
      <c r="J1057" s="6">
        <f t="shared" si="81"/>
        <v>108.835</v>
      </c>
      <c r="K1057" s="6">
        <f t="shared" si="82"/>
        <v>119.7185</v>
      </c>
      <c r="L1057" s="6">
        <f t="shared" si="83"/>
        <v>152.369</v>
      </c>
      <c r="M1057" s="6">
        <f t="shared" si="84"/>
        <v>185.0195</v>
      </c>
    </row>
    <row r="1058" spans="1:13">
      <c r="A1058" t="s">
        <v>13</v>
      </c>
      <c r="B1058" t="s">
        <v>2063</v>
      </c>
      <c r="C1058" t="s">
        <v>2064</v>
      </c>
      <c r="D1058" t="s">
        <v>2064</v>
      </c>
      <c r="E1058" t="s">
        <v>2064</v>
      </c>
      <c r="F1058" t="s">
        <v>2064</v>
      </c>
      <c r="G1058" s="6">
        <v>681.67</v>
      </c>
      <c r="H1058" s="6"/>
      <c r="I1058" s="6">
        <f t="shared" si="80"/>
        <v>320.3849</v>
      </c>
      <c r="J1058" s="6">
        <f t="shared" si="81"/>
        <v>340.835</v>
      </c>
      <c r="K1058" s="6">
        <f t="shared" si="82"/>
        <v>374.9185</v>
      </c>
      <c r="L1058" s="6">
        <f t="shared" si="83"/>
        <v>477.169</v>
      </c>
      <c r="M1058" s="6">
        <f t="shared" si="84"/>
        <v>579.4195</v>
      </c>
    </row>
    <row r="1059" spans="1:13">
      <c r="A1059" t="s">
        <v>13</v>
      </c>
      <c r="B1059" t="s">
        <v>2065</v>
      </c>
      <c r="C1059" t="s">
        <v>2066</v>
      </c>
      <c r="D1059" t="s">
        <v>2066</v>
      </c>
      <c r="E1059" t="s">
        <v>2066</v>
      </c>
      <c r="F1059" t="s">
        <v>2066</v>
      </c>
      <c r="G1059" s="6">
        <v>202.47</v>
      </c>
      <c r="H1059" s="6"/>
      <c r="I1059" s="6">
        <f t="shared" si="80"/>
        <v>95.1609</v>
      </c>
      <c r="J1059" s="6">
        <f t="shared" si="81"/>
        <v>101.235</v>
      </c>
      <c r="K1059" s="6">
        <f t="shared" si="82"/>
        <v>111.3585</v>
      </c>
      <c r="L1059" s="6">
        <f t="shared" si="83"/>
        <v>141.729</v>
      </c>
      <c r="M1059" s="6">
        <f t="shared" si="84"/>
        <v>172.0995</v>
      </c>
    </row>
    <row r="1060" spans="1:13">
      <c r="A1060" t="s">
        <v>13</v>
      </c>
      <c r="B1060" t="s">
        <v>2067</v>
      </c>
      <c r="C1060" t="s">
        <v>2068</v>
      </c>
      <c r="D1060" t="s">
        <v>2068</v>
      </c>
      <c r="E1060" t="s">
        <v>2068</v>
      </c>
      <c r="F1060" t="s">
        <v>2068</v>
      </c>
      <c r="G1060" s="6">
        <v>273.67</v>
      </c>
      <c r="H1060" s="6"/>
      <c r="I1060" s="6">
        <f t="shared" si="80"/>
        <v>128.6249</v>
      </c>
      <c r="J1060" s="6">
        <f t="shared" si="81"/>
        <v>136.835</v>
      </c>
      <c r="K1060" s="6">
        <f t="shared" si="82"/>
        <v>150.5185</v>
      </c>
      <c r="L1060" s="6">
        <f t="shared" si="83"/>
        <v>191.569</v>
      </c>
      <c r="M1060" s="6">
        <f t="shared" si="84"/>
        <v>232.6195</v>
      </c>
    </row>
    <row r="1061" spans="1:13">
      <c r="A1061" t="s">
        <v>13</v>
      </c>
      <c r="B1061" t="s">
        <v>2069</v>
      </c>
      <c r="C1061" t="s">
        <v>2070</v>
      </c>
      <c r="D1061" t="s">
        <v>2070</v>
      </c>
      <c r="E1061" t="s">
        <v>2070</v>
      </c>
      <c r="F1061" t="s">
        <v>2070</v>
      </c>
      <c r="G1061" s="6">
        <v>273.67</v>
      </c>
      <c r="H1061" s="6"/>
      <c r="I1061" s="6">
        <f t="shared" si="80"/>
        <v>128.6249</v>
      </c>
      <c r="J1061" s="6">
        <f t="shared" si="81"/>
        <v>136.835</v>
      </c>
      <c r="K1061" s="6">
        <f t="shared" si="82"/>
        <v>150.5185</v>
      </c>
      <c r="L1061" s="6">
        <f t="shared" si="83"/>
        <v>191.569</v>
      </c>
      <c r="M1061" s="6">
        <f t="shared" si="84"/>
        <v>232.6195</v>
      </c>
    </row>
    <row r="1062" spans="1:13">
      <c r="A1062" t="s">
        <v>13</v>
      </c>
      <c r="B1062" t="s">
        <v>2071</v>
      </c>
      <c r="C1062" t="s">
        <v>2072</v>
      </c>
      <c r="D1062" t="s">
        <v>2072</v>
      </c>
      <c r="E1062" t="s">
        <v>2072</v>
      </c>
      <c r="F1062" t="s">
        <v>2072</v>
      </c>
      <c r="G1062" s="6">
        <v>456.14</v>
      </c>
      <c r="H1062" s="6"/>
      <c r="I1062" s="6">
        <f t="shared" si="80"/>
        <v>214.3858</v>
      </c>
      <c r="J1062" s="6">
        <f t="shared" si="81"/>
        <v>228.07</v>
      </c>
      <c r="K1062" s="6">
        <f t="shared" si="82"/>
        <v>250.877</v>
      </c>
      <c r="L1062" s="6">
        <f t="shared" si="83"/>
        <v>319.298</v>
      </c>
      <c r="M1062" s="6">
        <f t="shared" si="84"/>
        <v>387.719</v>
      </c>
    </row>
    <row r="1063" spans="1:13">
      <c r="A1063" t="s">
        <v>13</v>
      </c>
      <c r="B1063" t="s">
        <v>2073</v>
      </c>
      <c r="C1063" t="s">
        <v>2074</v>
      </c>
      <c r="D1063" t="s">
        <v>2074</v>
      </c>
      <c r="E1063" t="s">
        <v>2074</v>
      </c>
      <c r="F1063" t="s">
        <v>2074</v>
      </c>
      <c r="G1063" s="6">
        <v>637.91</v>
      </c>
      <c r="H1063" s="6"/>
      <c r="I1063" s="6">
        <f t="shared" si="80"/>
        <v>299.8177</v>
      </c>
      <c r="J1063" s="6">
        <f t="shared" si="81"/>
        <v>318.955</v>
      </c>
      <c r="K1063" s="6">
        <f t="shared" si="82"/>
        <v>350.8505</v>
      </c>
      <c r="L1063" s="6">
        <f t="shared" si="83"/>
        <v>446.537</v>
      </c>
      <c r="M1063" s="6">
        <f t="shared" si="84"/>
        <v>542.2235</v>
      </c>
    </row>
    <row r="1064" spans="1:13">
      <c r="A1064" t="s">
        <v>13</v>
      </c>
      <c r="B1064" t="s">
        <v>2075</v>
      </c>
      <c r="C1064" t="s">
        <v>2076</v>
      </c>
      <c r="D1064" t="s">
        <v>2076</v>
      </c>
      <c r="E1064" t="s">
        <v>2076</v>
      </c>
      <c r="F1064" t="s">
        <v>2076</v>
      </c>
      <c r="G1064" s="6">
        <v>161.36</v>
      </c>
      <c r="H1064" s="6"/>
      <c r="I1064" s="6">
        <f t="shared" si="80"/>
        <v>75.8392</v>
      </c>
      <c r="J1064" s="6">
        <f t="shared" si="81"/>
        <v>80.68</v>
      </c>
      <c r="K1064" s="6">
        <f t="shared" si="82"/>
        <v>88.748</v>
      </c>
      <c r="L1064" s="6">
        <f t="shared" si="83"/>
        <v>112.952</v>
      </c>
      <c r="M1064" s="6">
        <f t="shared" si="84"/>
        <v>137.156</v>
      </c>
    </row>
    <row r="1065" spans="1:13">
      <c r="A1065" t="s">
        <v>13</v>
      </c>
      <c r="B1065" t="s">
        <v>2077</v>
      </c>
      <c r="C1065" t="s">
        <v>2078</v>
      </c>
      <c r="D1065" t="s">
        <v>2078</v>
      </c>
      <c r="E1065" t="s">
        <v>2078</v>
      </c>
      <c r="F1065" t="s">
        <v>2078</v>
      </c>
      <c r="G1065" s="6">
        <v>7.25</v>
      </c>
      <c r="H1065" s="6"/>
      <c r="I1065" s="6">
        <f t="shared" si="80"/>
        <v>3.4075</v>
      </c>
      <c r="J1065" s="6">
        <f t="shared" si="81"/>
        <v>3.625</v>
      </c>
      <c r="K1065" s="6">
        <f t="shared" si="82"/>
        <v>3.9875</v>
      </c>
      <c r="L1065" s="6">
        <f t="shared" si="83"/>
        <v>5.075</v>
      </c>
      <c r="M1065" s="6">
        <f t="shared" si="84"/>
        <v>6.1625</v>
      </c>
    </row>
    <row r="1066" spans="1:13">
      <c r="A1066" t="s">
        <v>13</v>
      </c>
      <c r="B1066" t="s">
        <v>2079</v>
      </c>
      <c r="C1066" t="s">
        <v>2080</v>
      </c>
      <c r="D1066" t="s">
        <v>2080</v>
      </c>
      <c r="E1066" t="s">
        <v>2080</v>
      </c>
      <c r="F1066" t="s">
        <v>2080</v>
      </c>
      <c r="G1066" s="6">
        <v>7.25</v>
      </c>
      <c r="H1066" s="6"/>
      <c r="I1066" s="6">
        <f t="shared" si="80"/>
        <v>3.4075</v>
      </c>
      <c r="J1066" s="6">
        <f t="shared" si="81"/>
        <v>3.625</v>
      </c>
      <c r="K1066" s="6">
        <f t="shared" si="82"/>
        <v>3.9875</v>
      </c>
      <c r="L1066" s="6">
        <f t="shared" si="83"/>
        <v>5.075</v>
      </c>
      <c r="M1066" s="6">
        <f t="shared" si="84"/>
        <v>6.1625</v>
      </c>
    </row>
    <row r="1067" spans="1:13">
      <c r="A1067" t="s">
        <v>13</v>
      </c>
      <c r="B1067" t="s">
        <v>2081</v>
      </c>
      <c r="C1067" t="s">
        <v>2082</v>
      </c>
      <c r="D1067" t="s">
        <v>2082</v>
      </c>
      <c r="E1067" t="s">
        <v>2082</v>
      </c>
      <c r="F1067" t="s">
        <v>2082</v>
      </c>
      <c r="G1067" s="6">
        <v>7.25</v>
      </c>
      <c r="H1067" s="6"/>
      <c r="I1067" s="6">
        <f t="shared" si="80"/>
        <v>3.4075</v>
      </c>
      <c r="J1067" s="6">
        <f t="shared" si="81"/>
        <v>3.625</v>
      </c>
      <c r="K1067" s="6">
        <f t="shared" si="82"/>
        <v>3.9875</v>
      </c>
      <c r="L1067" s="6">
        <f t="shared" si="83"/>
        <v>5.075</v>
      </c>
      <c r="M1067" s="6">
        <f t="shared" si="84"/>
        <v>6.1625</v>
      </c>
    </row>
    <row r="1068" spans="1:13">
      <c r="A1068" t="s">
        <v>13</v>
      </c>
      <c r="B1068" t="s">
        <v>2083</v>
      </c>
      <c r="C1068" t="s">
        <v>2084</v>
      </c>
      <c r="D1068" t="s">
        <v>2084</v>
      </c>
      <c r="E1068" t="s">
        <v>2084</v>
      </c>
      <c r="F1068" t="s">
        <v>2084</v>
      </c>
      <c r="G1068" s="6">
        <v>7.25</v>
      </c>
      <c r="H1068" s="6"/>
      <c r="I1068" s="6">
        <f t="shared" si="80"/>
        <v>3.4075</v>
      </c>
      <c r="J1068" s="6">
        <f t="shared" si="81"/>
        <v>3.625</v>
      </c>
      <c r="K1068" s="6">
        <f t="shared" si="82"/>
        <v>3.9875</v>
      </c>
      <c r="L1068" s="6">
        <f t="shared" si="83"/>
        <v>5.075</v>
      </c>
      <c r="M1068" s="6">
        <f t="shared" si="84"/>
        <v>6.1625</v>
      </c>
    </row>
    <row r="1069" spans="1:13">
      <c r="A1069" t="s">
        <v>13</v>
      </c>
      <c r="B1069" t="s">
        <v>2085</v>
      </c>
      <c r="C1069" t="s">
        <v>2086</v>
      </c>
      <c r="D1069" t="s">
        <v>2086</v>
      </c>
      <c r="E1069" t="s">
        <v>2086</v>
      </c>
      <c r="F1069" t="s">
        <v>2086</v>
      </c>
      <c r="G1069" s="6">
        <v>7.25</v>
      </c>
      <c r="H1069" s="6"/>
      <c r="I1069" s="6">
        <f t="shared" si="80"/>
        <v>3.4075</v>
      </c>
      <c r="J1069" s="6">
        <f t="shared" si="81"/>
        <v>3.625</v>
      </c>
      <c r="K1069" s="6">
        <f t="shared" si="82"/>
        <v>3.9875</v>
      </c>
      <c r="L1069" s="6">
        <f t="shared" si="83"/>
        <v>5.075</v>
      </c>
      <c r="M1069" s="6">
        <f t="shared" si="84"/>
        <v>6.1625</v>
      </c>
    </row>
    <row r="1070" spans="1:13">
      <c r="A1070" t="s">
        <v>13</v>
      </c>
      <c r="B1070" t="s">
        <v>2087</v>
      </c>
      <c r="C1070" t="s">
        <v>2088</v>
      </c>
      <c r="D1070" t="s">
        <v>2088</v>
      </c>
      <c r="E1070" t="s">
        <v>2088</v>
      </c>
      <c r="F1070" t="s">
        <v>2088</v>
      </c>
      <c r="G1070" s="6">
        <v>7.25</v>
      </c>
      <c r="H1070" s="6"/>
      <c r="I1070" s="6">
        <f t="shared" si="80"/>
        <v>3.4075</v>
      </c>
      <c r="J1070" s="6">
        <f t="shared" si="81"/>
        <v>3.625</v>
      </c>
      <c r="K1070" s="6">
        <f t="shared" si="82"/>
        <v>3.9875</v>
      </c>
      <c r="L1070" s="6">
        <f t="shared" si="83"/>
        <v>5.075</v>
      </c>
      <c r="M1070" s="6">
        <f t="shared" si="84"/>
        <v>6.1625</v>
      </c>
    </row>
    <row r="1071" spans="1:13">
      <c r="A1071" t="s">
        <v>13</v>
      </c>
      <c r="B1071" t="s">
        <v>2089</v>
      </c>
      <c r="C1071" t="s">
        <v>2090</v>
      </c>
      <c r="D1071" t="s">
        <v>2090</v>
      </c>
      <c r="E1071" t="s">
        <v>2090</v>
      </c>
      <c r="F1071" t="s">
        <v>2090</v>
      </c>
      <c r="G1071" s="6">
        <v>7.25</v>
      </c>
      <c r="H1071" s="6"/>
      <c r="I1071" s="6">
        <f t="shared" si="80"/>
        <v>3.4075</v>
      </c>
      <c r="J1071" s="6">
        <f t="shared" si="81"/>
        <v>3.625</v>
      </c>
      <c r="K1071" s="6">
        <f t="shared" si="82"/>
        <v>3.9875</v>
      </c>
      <c r="L1071" s="6">
        <f t="shared" si="83"/>
        <v>5.075</v>
      </c>
      <c r="M1071" s="6">
        <f t="shared" si="84"/>
        <v>6.1625</v>
      </c>
    </row>
    <row r="1072" spans="1:13">
      <c r="A1072" t="s">
        <v>13</v>
      </c>
      <c r="B1072" t="s">
        <v>2091</v>
      </c>
      <c r="C1072" t="s">
        <v>2092</v>
      </c>
      <c r="D1072" t="s">
        <v>2092</v>
      </c>
      <c r="E1072" t="s">
        <v>2092</v>
      </c>
      <c r="F1072" t="s">
        <v>2092</v>
      </c>
      <c r="G1072" s="6">
        <v>7.25</v>
      </c>
      <c r="H1072" s="6"/>
      <c r="I1072" s="6">
        <f t="shared" si="80"/>
        <v>3.4075</v>
      </c>
      <c r="J1072" s="6">
        <f t="shared" si="81"/>
        <v>3.625</v>
      </c>
      <c r="K1072" s="6">
        <f t="shared" si="82"/>
        <v>3.9875</v>
      </c>
      <c r="L1072" s="6">
        <f t="shared" si="83"/>
        <v>5.075</v>
      </c>
      <c r="M1072" s="6">
        <f t="shared" si="84"/>
        <v>6.1625</v>
      </c>
    </row>
    <row r="1073" spans="1:13">
      <c r="A1073" t="s">
        <v>13</v>
      </c>
      <c r="B1073" t="s">
        <v>2093</v>
      </c>
      <c r="C1073" t="s">
        <v>2094</v>
      </c>
      <c r="D1073" t="s">
        <v>2094</v>
      </c>
      <c r="E1073" t="s">
        <v>2094</v>
      </c>
      <c r="F1073" t="s">
        <v>2094</v>
      </c>
      <c r="G1073" s="6">
        <v>188.9</v>
      </c>
      <c r="H1073" s="6"/>
      <c r="I1073" s="6">
        <f t="shared" si="80"/>
        <v>88.783</v>
      </c>
      <c r="J1073" s="6">
        <f t="shared" si="81"/>
        <v>94.45</v>
      </c>
      <c r="K1073" s="6">
        <f t="shared" si="82"/>
        <v>103.895</v>
      </c>
      <c r="L1073" s="6">
        <f t="shared" si="83"/>
        <v>132.23</v>
      </c>
      <c r="M1073" s="6">
        <f t="shared" si="84"/>
        <v>160.565</v>
      </c>
    </row>
    <row r="1074" spans="1:13">
      <c r="A1074" t="s">
        <v>13</v>
      </c>
      <c r="B1074" t="s">
        <v>2095</v>
      </c>
      <c r="C1074" t="s">
        <v>2096</v>
      </c>
      <c r="D1074" t="s">
        <v>2096</v>
      </c>
      <c r="E1074" t="s">
        <v>2096</v>
      </c>
      <c r="F1074" t="s">
        <v>2096</v>
      </c>
      <c r="G1074" s="6">
        <v>6.73</v>
      </c>
      <c r="H1074" s="6"/>
      <c r="I1074" s="6">
        <f t="shared" si="80"/>
        <v>3.1631</v>
      </c>
      <c r="J1074" s="6">
        <f t="shared" si="81"/>
        <v>3.365</v>
      </c>
      <c r="K1074" s="6">
        <f t="shared" si="82"/>
        <v>3.7015</v>
      </c>
      <c r="L1074" s="6">
        <f t="shared" si="83"/>
        <v>4.711</v>
      </c>
      <c r="M1074" s="6">
        <f t="shared" si="84"/>
        <v>5.7205</v>
      </c>
    </row>
    <row r="1075" spans="1:13">
      <c r="A1075" t="s">
        <v>13</v>
      </c>
      <c r="B1075" t="s">
        <v>2097</v>
      </c>
      <c r="C1075" t="s">
        <v>2098</v>
      </c>
      <c r="D1075" t="s">
        <v>2098</v>
      </c>
      <c r="E1075" t="s">
        <v>2098</v>
      </c>
      <c r="F1075" t="s">
        <v>2098</v>
      </c>
      <c r="G1075" s="6">
        <v>21.62</v>
      </c>
      <c r="H1075" s="6"/>
      <c r="I1075" s="6">
        <f t="shared" si="80"/>
        <v>10.1614</v>
      </c>
      <c r="J1075" s="6">
        <f t="shared" si="81"/>
        <v>10.81</v>
      </c>
      <c r="K1075" s="6">
        <f t="shared" si="82"/>
        <v>11.891</v>
      </c>
      <c r="L1075" s="6">
        <f t="shared" si="83"/>
        <v>15.134</v>
      </c>
      <c r="M1075" s="6">
        <f t="shared" si="84"/>
        <v>18.377</v>
      </c>
    </row>
    <row r="1076" spans="1:13">
      <c r="A1076" t="s">
        <v>13</v>
      </c>
      <c r="B1076" t="s">
        <v>2099</v>
      </c>
      <c r="C1076" t="s">
        <v>2100</v>
      </c>
      <c r="D1076" t="s">
        <v>2100</v>
      </c>
      <c r="E1076" t="s">
        <v>2100</v>
      </c>
      <c r="F1076" t="s">
        <v>2100</v>
      </c>
      <c r="G1076" s="6">
        <v>18.07</v>
      </c>
      <c r="H1076" s="6"/>
      <c r="I1076" s="6">
        <f t="shared" si="80"/>
        <v>8.4929</v>
      </c>
      <c r="J1076" s="6">
        <f t="shared" si="81"/>
        <v>9.035</v>
      </c>
      <c r="K1076" s="6">
        <f t="shared" si="82"/>
        <v>9.9385</v>
      </c>
      <c r="L1076" s="6">
        <f t="shared" si="83"/>
        <v>12.649</v>
      </c>
      <c r="M1076" s="6">
        <f t="shared" si="84"/>
        <v>15.3595</v>
      </c>
    </row>
    <row r="1077" spans="1:13">
      <c r="A1077" t="s">
        <v>13</v>
      </c>
      <c r="B1077" t="s">
        <v>2101</v>
      </c>
      <c r="C1077" t="s">
        <v>2102</v>
      </c>
      <c r="D1077" t="s">
        <v>2102</v>
      </c>
      <c r="E1077" t="s">
        <v>2102</v>
      </c>
      <c r="F1077" t="s">
        <v>2102</v>
      </c>
      <c r="G1077" s="6">
        <v>156.47</v>
      </c>
      <c r="H1077" s="6"/>
      <c r="I1077" s="6">
        <f t="shared" si="80"/>
        <v>73.5409</v>
      </c>
      <c r="J1077" s="6">
        <f t="shared" si="81"/>
        <v>78.235</v>
      </c>
      <c r="K1077" s="6">
        <f t="shared" si="82"/>
        <v>86.0585</v>
      </c>
      <c r="L1077" s="6">
        <f t="shared" si="83"/>
        <v>109.529</v>
      </c>
      <c r="M1077" s="6">
        <f t="shared" si="84"/>
        <v>132.9995</v>
      </c>
    </row>
    <row r="1078" spans="1:13">
      <c r="A1078" t="s">
        <v>13</v>
      </c>
      <c r="B1078" t="s">
        <v>2103</v>
      </c>
      <c r="C1078" t="s">
        <v>2104</v>
      </c>
      <c r="D1078" t="s">
        <v>2104</v>
      </c>
      <c r="E1078" t="s">
        <v>2104</v>
      </c>
      <c r="F1078" t="s">
        <v>2104</v>
      </c>
      <c r="G1078" s="6">
        <v>429.01</v>
      </c>
      <c r="H1078" s="6"/>
      <c r="I1078" s="6">
        <f t="shared" si="80"/>
        <v>201.6347</v>
      </c>
      <c r="J1078" s="6">
        <f t="shared" si="81"/>
        <v>214.505</v>
      </c>
      <c r="K1078" s="6">
        <f t="shared" si="82"/>
        <v>235.9555</v>
      </c>
      <c r="L1078" s="6">
        <f t="shared" si="83"/>
        <v>300.307</v>
      </c>
      <c r="M1078" s="6">
        <f t="shared" si="84"/>
        <v>364.6585</v>
      </c>
    </row>
    <row r="1079" spans="1:13">
      <c r="A1079" t="s">
        <v>13</v>
      </c>
      <c r="B1079" t="s">
        <v>2105</v>
      </c>
      <c r="C1079" t="s">
        <v>2106</v>
      </c>
      <c r="D1079" t="s">
        <v>2106</v>
      </c>
      <c r="E1079" t="s">
        <v>2106</v>
      </c>
      <c r="F1079" t="s">
        <v>2106</v>
      </c>
      <c r="G1079" s="6">
        <v>241.13</v>
      </c>
      <c r="H1079" s="6"/>
      <c r="I1079" s="6">
        <f t="shared" si="80"/>
        <v>113.3311</v>
      </c>
      <c r="J1079" s="6">
        <f t="shared" si="81"/>
        <v>120.565</v>
      </c>
      <c r="K1079" s="6">
        <f t="shared" si="82"/>
        <v>132.6215</v>
      </c>
      <c r="L1079" s="6">
        <f t="shared" si="83"/>
        <v>168.791</v>
      </c>
      <c r="M1079" s="6">
        <f t="shared" si="84"/>
        <v>204.9605</v>
      </c>
    </row>
    <row r="1080" spans="1:13">
      <c r="A1080" t="s">
        <v>13</v>
      </c>
      <c r="B1080" t="s">
        <v>2107</v>
      </c>
      <c r="C1080" t="s">
        <v>2108</v>
      </c>
      <c r="D1080" t="s">
        <v>2108</v>
      </c>
      <c r="E1080" t="s">
        <v>2108</v>
      </c>
      <c r="F1080" t="s">
        <v>2108</v>
      </c>
      <c r="G1080" s="6">
        <v>16.42</v>
      </c>
      <c r="H1080" s="6"/>
      <c r="I1080" s="6">
        <f t="shared" si="80"/>
        <v>7.7174</v>
      </c>
      <c r="J1080" s="6">
        <f t="shared" si="81"/>
        <v>8.21</v>
      </c>
      <c r="K1080" s="6">
        <f t="shared" si="82"/>
        <v>9.031</v>
      </c>
      <c r="L1080" s="6">
        <f t="shared" si="83"/>
        <v>11.494</v>
      </c>
      <c r="M1080" s="6">
        <f t="shared" si="84"/>
        <v>13.957</v>
      </c>
    </row>
    <row r="1081" spans="1:13">
      <c r="A1081" t="s">
        <v>13</v>
      </c>
      <c r="B1081" t="s">
        <v>2109</v>
      </c>
      <c r="C1081" t="s">
        <v>2110</v>
      </c>
      <c r="D1081" t="s">
        <v>2110</v>
      </c>
      <c r="E1081" t="s">
        <v>2110</v>
      </c>
      <c r="F1081" t="s">
        <v>2110</v>
      </c>
      <c r="G1081" s="6">
        <v>478.07</v>
      </c>
      <c r="H1081" s="6"/>
      <c r="I1081" s="6">
        <f t="shared" si="80"/>
        <v>224.6929</v>
      </c>
      <c r="J1081" s="6">
        <f t="shared" si="81"/>
        <v>239.035</v>
      </c>
      <c r="K1081" s="6">
        <f t="shared" si="82"/>
        <v>262.9385</v>
      </c>
      <c r="L1081" s="6">
        <f t="shared" si="83"/>
        <v>334.649</v>
      </c>
      <c r="M1081" s="6">
        <f t="shared" si="84"/>
        <v>406.3595</v>
      </c>
    </row>
    <row r="1082" spans="1:13">
      <c r="A1082" t="s">
        <v>13</v>
      </c>
      <c r="B1082" t="s">
        <v>2111</v>
      </c>
      <c r="C1082" t="s">
        <v>2112</v>
      </c>
      <c r="D1082" t="s">
        <v>2112</v>
      </c>
      <c r="E1082" t="s">
        <v>2112</v>
      </c>
      <c r="F1082" t="s">
        <v>2112</v>
      </c>
      <c r="G1082" s="6">
        <v>21.62</v>
      </c>
      <c r="H1082" s="6"/>
      <c r="I1082" s="6">
        <f t="shared" si="80"/>
        <v>10.1614</v>
      </c>
      <c r="J1082" s="6">
        <f t="shared" si="81"/>
        <v>10.81</v>
      </c>
      <c r="K1082" s="6">
        <f t="shared" si="82"/>
        <v>11.891</v>
      </c>
      <c r="L1082" s="6">
        <f t="shared" si="83"/>
        <v>15.134</v>
      </c>
      <c r="M1082" s="6">
        <f t="shared" si="84"/>
        <v>18.377</v>
      </c>
    </row>
    <row r="1083" spans="1:13">
      <c r="A1083" t="s">
        <v>13</v>
      </c>
      <c r="B1083" t="s">
        <v>2113</v>
      </c>
      <c r="C1083" t="s">
        <v>2114</v>
      </c>
      <c r="D1083" t="s">
        <v>2114</v>
      </c>
      <c r="E1083" t="s">
        <v>2114</v>
      </c>
      <c r="F1083" t="s">
        <v>2114</v>
      </c>
      <c r="G1083" s="6">
        <v>685.54</v>
      </c>
      <c r="H1083" s="6"/>
      <c r="I1083" s="6">
        <f t="shared" si="80"/>
        <v>322.2038</v>
      </c>
      <c r="J1083" s="6">
        <f t="shared" si="81"/>
        <v>342.77</v>
      </c>
      <c r="K1083" s="6">
        <f t="shared" si="82"/>
        <v>377.047</v>
      </c>
      <c r="L1083" s="6">
        <f t="shared" si="83"/>
        <v>479.878</v>
      </c>
      <c r="M1083" s="6">
        <f t="shared" si="84"/>
        <v>582.709</v>
      </c>
    </row>
    <row r="1084" spans="1:13">
      <c r="A1084" t="s">
        <v>13</v>
      </c>
      <c r="B1084" t="s">
        <v>2115</v>
      </c>
      <c r="C1084" t="s">
        <v>2116</v>
      </c>
      <c r="D1084" t="s">
        <v>2116</v>
      </c>
      <c r="E1084" t="s">
        <v>2116</v>
      </c>
      <c r="F1084" t="s">
        <v>2116</v>
      </c>
      <c r="G1084" s="6">
        <v>201.76</v>
      </c>
      <c r="H1084" s="6"/>
      <c r="I1084" s="6">
        <f t="shared" si="80"/>
        <v>94.8272</v>
      </c>
      <c r="J1084" s="6">
        <f t="shared" si="81"/>
        <v>100.88</v>
      </c>
      <c r="K1084" s="6">
        <f t="shared" si="82"/>
        <v>110.968</v>
      </c>
      <c r="L1084" s="6">
        <f t="shared" si="83"/>
        <v>141.232</v>
      </c>
      <c r="M1084" s="6">
        <f t="shared" si="84"/>
        <v>171.496</v>
      </c>
    </row>
    <row r="1085" spans="1:13">
      <c r="A1085" t="s">
        <v>13</v>
      </c>
      <c r="B1085" t="s">
        <v>2117</v>
      </c>
      <c r="C1085" t="s">
        <v>2118</v>
      </c>
      <c r="D1085" t="s">
        <v>2118</v>
      </c>
      <c r="E1085" t="s">
        <v>2118</v>
      </c>
      <c r="F1085" t="s">
        <v>2118</v>
      </c>
      <c r="G1085" s="6">
        <v>254.39</v>
      </c>
      <c r="H1085" s="6"/>
      <c r="I1085" s="6">
        <f t="shared" si="80"/>
        <v>119.5633</v>
      </c>
      <c r="J1085" s="6">
        <f t="shared" si="81"/>
        <v>127.195</v>
      </c>
      <c r="K1085" s="6">
        <f t="shared" si="82"/>
        <v>139.9145</v>
      </c>
      <c r="L1085" s="6">
        <f t="shared" si="83"/>
        <v>178.073</v>
      </c>
      <c r="M1085" s="6">
        <f t="shared" si="84"/>
        <v>216.2315</v>
      </c>
    </row>
    <row r="1086" spans="1:13">
      <c r="A1086" t="s">
        <v>13</v>
      </c>
      <c r="B1086" t="s">
        <v>2119</v>
      </c>
      <c r="C1086" t="s">
        <v>2120</v>
      </c>
      <c r="D1086" t="s">
        <v>2120</v>
      </c>
      <c r="E1086" t="s">
        <v>2120</v>
      </c>
      <c r="F1086" t="s">
        <v>2120</v>
      </c>
      <c r="G1086" s="6">
        <v>331.5</v>
      </c>
      <c r="H1086" s="6"/>
      <c r="I1086" s="6">
        <f t="shared" si="80"/>
        <v>155.805</v>
      </c>
      <c r="J1086" s="6">
        <f t="shared" si="81"/>
        <v>165.75</v>
      </c>
      <c r="K1086" s="6">
        <f t="shared" si="82"/>
        <v>182.325</v>
      </c>
      <c r="L1086" s="6">
        <f t="shared" si="83"/>
        <v>232.05</v>
      </c>
      <c r="M1086" s="6">
        <f t="shared" si="84"/>
        <v>281.775</v>
      </c>
    </row>
    <row r="1087" spans="1:13">
      <c r="A1087" t="s">
        <v>13</v>
      </c>
      <c r="B1087" t="s">
        <v>2121</v>
      </c>
      <c r="C1087" t="s">
        <v>2122</v>
      </c>
      <c r="D1087" t="s">
        <v>2122</v>
      </c>
      <c r="E1087" t="s">
        <v>2122</v>
      </c>
      <c r="F1087" t="s">
        <v>2122</v>
      </c>
      <c r="G1087" s="6">
        <v>250.31</v>
      </c>
      <c r="H1087" s="6"/>
      <c r="I1087" s="6">
        <f t="shared" si="80"/>
        <v>117.6457</v>
      </c>
      <c r="J1087" s="6">
        <f t="shared" si="81"/>
        <v>125.155</v>
      </c>
      <c r="K1087" s="6">
        <f t="shared" si="82"/>
        <v>137.6705</v>
      </c>
      <c r="L1087" s="6">
        <f t="shared" si="83"/>
        <v>175.217</v>
      </c>
      <c r="M1087" s="6">
        <f t="shared" si="84"/>
        <v>212.7635</v>
      </c>
    </row>
    <row r="1088" spans="1:13">
      <c r="A1088" t="s">
        <v>13</v>
      </c>
      <c r="B1088" t="s">
        <v>2123</v>
      </c>
      <c r="C1088" t="s">
        <v>2124</v>
      </c>
      <c r="D1088" t="s">
        <v>2124</v>
      </c>
      <c r="E1088" t="s">
        <v>2124</v>
      </c>
      <c r="F1088" t="s">
        <v>2124</v>
      </c>
      <c r="G1088" s="6">
        <v>127.17</v>
      </c>
      <c r="H1088" s="6"/>
      <c r="I1088" s="6">
        <f t="shared" si="80"/>
        <v>59.7699</v>
      </c>
      <c r="J1088" s="6">
        <f t="shared" si="81"/>
        <v>63.585</v>
      </c>
      <c r="K1088" s="6">
        <f t="shared" si="82"/>
        <v>69.9435</v>
      </c>
      <c r="L1088" s="6">
        <f t="shared" si="83"/>
        <v>89.019</v>
      </c>
      <c r="M1088" s="6">
        <f t="shared" si="84"/>
        <v>108.0945</v>
      </c>
    </row>
    <row r="1089" spans="1:13">
      <c r="A1089" t="s">
        <v>13</v>
      </c>
      <c r="B1089" t="s">
        <v>2125</v>
      </c>
      <c r="C1089" t="s">
        <v>2126</v>
      </c>
      <c r="D1089" t="s">
        <v>2126</v>
      </c>
      <c r="E1089" t="s">
        <v>2126</v>
      </c>
      <c r="F1089" t="s">
        <v>2126</v>
      </c>
      <c r="G1089" s="6">
        <v>1042.64</v>
      </c>
      <c r="H1089" s="6"/>
      <c r="I1089" s="6">
        <f t="shared" si="80"/>
        <v>490.0408</v>
      </c>
      <c r="J1089" s="6">
        <f t="shared" si="81"/>
        <v>521.32</v>
      </c>
      <c r="K1089" s="6">
        <f t="shared" si="82"/>
        <v>573.452</v>
      </c>
      <c r="L1089" s="6">
        <f t="shared" si="83"/>
        <v>729.848</v>
      </c>
      <c r="M1089" s="6">
        <f t="shared" si="84"/>
        <v>886.244</v>
      </c>
    </row>
    <row r="1090" spans="1:13">
      <c r="A1090" t="s">
        <v>13</v>
      </c>
      <c r="B1090" t="s">
        <v>2127</v>
      </c>
      <c r="C1090" t="s">
        <v>2128</v>
      </c>
      <c r="D1090" t="s">
        <v>2128</v>
      </c>
      <c r="E1090" t="s">
        <v>2128</v>
      </c>
      <c r="F1090" t="s">
        <v>2128</v>
      </c>
      <c r="G1090" s="6">
        <v>171.97</v>
      </c>
      <c r="H1090" s="6"/>
      <c r="I1090" s="6">
        <f t="shared" si="80"/>
        <v>80.8259</v>
      </c>
      <c r="J1090" s="6">
        <f t="shared" si="81"/>
        <v>85.985</v>
      </c>
      <c r="K1090" s="6">
        <f t="shared" si="82"/>
        <v>94.5835</v>
      </c>
      <c r="L1090" s="6">
        <f t="shared" si="83"/>
        <v>120.379</v>
      </c>
      <c r="M1090" s="6">
        <f t="shared" si="84"/>
        <v>146.1745</v>
      </c>
    </row>
    <row r="1091" spans="1:13">
      <c r="A1091" t="s">
        <v>13</v>
      </c>
      <c r="B1091" t="s">
        <v>2129</v>
      </c>
      <c r="C1091" t="s">
        <v>2130</v>
      </c>
      <c r="D1091" t="s">
        <v>2130</v>
      </c>
      <c r="E1091" t="s">
        <v>2130</v>
      </c>
      <c r="F1091" t="s">
        <v>2130</v>
      </c>
      <c r="G1091" s="6">
        <v>296.21</v>
      </c>
      <c r="H1091" s="6"/>
      <c r="I1091" s="6">
        <f t="shared" si="80"/>
        <v>139.2187</v>
      </c>
      <c r="J1091" s="6">
        <f t="shared" si="81"/>
        <v>148.105</v>
      </c>
      <c r="K1091" s="6">
        <f t="shared" si="82"/>
        <v>162.9155</v>
      </c>
      <c r="L1091" s="6">
        <f t="shared" si="83"/>
        <v>207.347</v>
      </c>
      <c r="M1091" s="6">
        <f t="shared" si="84"/>
        <v>251.7785</v>
      </c>
    </row>
    <row r="1092" spans="1:13">
      <c r="A1092" t="s">
        <v>13</v>
      </c>
      <c r="B1092" t="s">
        <v>2131</v>
      </c>
      <c r="C1092" t="s">
        <v>2132</v>
      </c>
      <c r="D1092" t="s">
        <v>2132</v>
      </c>
      <c r="E1092" t="s">
        <v>2132</v>
      </c>
      <c r="F1092" t="s">
        <v>2132</v>
      </c>
      <c r="G1092" s="6">
        <v>308.96</v>
      </c>
      <c r="H1092" s="6"/>
      <c r="I1092" s="6">
        <f t="shared" ref="I1092:I1155" si="85">G1092*0.47</f>
        <v>145.2112</v>
      </c>
      <c r="J1092" s="6">
        <f t="shared" ref="J1092:J1155" si="86">G1092*0.5</f>
        <v>154.48</v>
      </c>
      <c r="K1092" s="6">
        <f t="shared" ref="K1092:K1155" si="87">G1092*0.55</f>
        <v>169.928</v>
      </c>
      <c r="L1092" s="6">
        <f t="shared" ref="L1092:L1155" si="88">G1092*0.7</f>
        <v>216.272</v>
      </c>
      <c r="M1092" s="6">
        <f t="shared" ref="M1092:M1155" si="89">G1092*0.85</f>
        <v>262.616</v>
      </c>
    </row>
    <row r="1093" spans="1:13">
      <c r="A1093" t="s">
        <v>13</v>
      </c>
      <c r="B1093" t="s">
        <v>2133</v>
      </c>
      <c r="C1093" t="s">
        <v>2134</v>
      </c>
      <c r="D1093" t="s">
        <v>2134</v>
      </c>
      <c r="E1093" t="s">
        <v>2134</v>
      </c>
      <c r="F1093" t="s">
        <v>2134</v>
      </c>
      <c r="G1093" s="6">
        <v>308.96</v>
      </c>
      <c r="H1093" s="6"/>
      <c r="I1093" s="6">
        <f t="shared" si="85"/>
        <v>145.2112</v>
      </c>
      <c r="J1093" s="6">
        <f t="shared" si="86"/>
        <v>154.48</v>
      </c>
      <c r="K1093" s="6">
        <f t="shared" si="87"/>
        <v>169.928</v>
      </c>
      <c r="L1093" s="6">
        <f t="shared" si="88"/>
        <v>216.272</v>
      </c>
      <c r="M1093" s="6">
        <f t="shared" si="89"/>
        <v>262.616</v>
      </c>
    </row>
    <row r="1094" spans="1:13">
      <c r="A1094" t="s">
        <v>13</v>
      </c>
      <c r="B1094" t="s">
        <v>2135</v>
      </c>
      <c r="C1094" t="s">
        <v>2136</v>
      </c>
      <c r="D1094" t="s">
        <v>2136</v>
      </c>
      <c r="E1094" t="s">
        <v>2136</v>
      </c>
      <c r="F1094" t="s">
        <v>2136</v>
      </c>
      <c r="G1094" s="6">
        <v>456.14</v>
      </c>
      <c r="H1094" s="6"/>
      <c r="I1094" s="6">
        <f t="shared" si="85"/>
        <v>214.3858</v>
      </c>
      <c r="J1094" s="6">
        <f t="shared" si="86"/>
        <v>228.07</v>
      </c>
      <c r="K1094" s="6">
        <f t="shared" si="87"/>
        <v>250.877</v>
      </c>
      <c r="L1094" s="6">
        <f t="shared" si="88"/>
        <v>319.298</v>
      </c>
      <c r="M1094" s="6">
        <f t="shared" si="89"/>
        <v>387.719</v>
      </c>
    </row>
    <row r="1095" spans="1:13">
      <c r="A1095" t="s">
        <v>13</v>
      </c>
      <c r="B1095" t="s">
        <v>2137</v>
      </c>
      <c r="C1095" t="s">
        <v>2138</v>
      </c>
      <c r="D1095" t="s">
        <v>2138</v>
      </c>
      <c r="E1095" t="s">
        <v>2138</v>
      </c>
      <c r="F1095" t="s">
        <v>2138</v>
      </c>
      <c r="G1095" s="6">
        <v>753.58</v>
      </c>
      <c r="H1095" s="6"/>
      <c r="I1095" s="6">
        <f t="shared" si="85"/>
        <v>354.1826</v>
      </c>
      <c r="J1095" s="6">
        <f t="shared" si="86"/>
        <v>376.79</v>
      </c>
      <c r="K1095" s="6">
        <f t="shared" si="87"/>
        <v>414.469</v>
      </c>
      <c r="L1095" s="6">
        <f t="shared" si="88"/>
        <v>527.506</v>
      </c>
      <c r="M1095" s="6">
        <f t="shared" si="89"/>
        <v>640.543</v>
      </c>
    </row>
    <row r="1096" spans="1:13">
      <c r="A1096" t="s">
        <v>13</v>
      </c>
      <c r="B1096" t="s">
        <v>2139</v>
      </c>
      <c r="C1096" t="s">
        <v>2140</v>
      </c>
      <c r="D1096" t="s">
        <v>2140</v>
      </c>
      <c r="E1096" t="s">
        <v>2140</v>
      </c>
      <c r="F1096" t="s">
        <v>2140</v>
      </c>
      <c r="G1096" s="6">
        <v>378.01</v>
      </c>
      <c r="H1096" s="6"/>
      <c r="I1096" s="6">
        <f t="shared" si="85"/>
        <v>177.6647</v>
      </c>
      <c r="J1096" s="6">
        <f t="shared" si="86"/>
        <v>189.005</v>
      </c>
      <c r="K1096" s="6">
        <f t="shared" si="87"/>
        <v>207.9055</v>
      </c>
      <c r="L1096" s="6">
        <f t="shared" si="88"/>
        <v>264.607</v>
      </c>
      <c r="M1096" s="6">
        <f t="shared" si="89"/>
        <v>321.3085</v>
      </c>
    </row>
    <row r="1097" spans="1:13">
      <c r="A1097" t="s">
        <v>13</v>
      </c>
      <c r="B1097" t="s">
        <v>2141</v>
      </c>
      <c r="C1097" t="s">
        <v>2142</v>
      </c>
      <c r="D1097" t="s">
        <v>2142</v>
      </c>
      <c r="E1097" t="s">
        <v>2142</v>
      </c>
      <c r="F1097" t="s">
        <v>2142</v>
      </c>
      <c r="G1097" s="6">
        <v>378.01</v>
      </c>
      <c r="H1097" s="6"/>
      <c r="I1097" s="6">
        <f t="shared" si="85"/>
        <v>177.6647</v>
      </c>
      <c r="J1097" s="6">
        <f t="shared" si="86"/>
        <v>189.005</v>
      </c>
      <c r="K1097" s="6">
        <f t="shared" si="87"/>
        <v>207.9055</v>
      </c>
      <c r="L1097" s="6">
        <f t="shared" si="88"/>
        <v>264.607</v>
      </c>
      <c r="M1097" s="6">
        <f t="shared" si="89"/>
        <v>321.3085</v>
      </c>
    </row>
    <row r="1098" spans="1:13">
      <c r="A1098" t="s">
        <v>13</v>
      </c>
      <c r="B1098" t="s">
        <v>2143</v>
      </c>
      <c r="C1098" t="s">
        <v>2144</v>
      </c>
      <c r="D1098" t="s">
        <v>2144</v>
      </c>
      <c r="E1098" t="s">
        <v>2144</v>
      </c>
      <c r="F1098" t="s">
        <v>2144</v>
      </c>
      <c r="G1098" s="6">
        <v>1564.48</v>
      </c>
      <c r="H1098" s="6"/>
      <c r="I1098" s="6">
        <f t="shared" si="85"/>
        <v>735.3056</v>
      </c>
      <c r="J1098" s="6">
        <f t="shared" si="86"/>
        <v>782.24</v>
      </c>
      <c r="K1098" s="6">
        <f t="shared" si="87"/>
        <v>860.464</v>
      </c>
      <c r="L1098" s="6">
        <f t="shared" si="88"/>
        <v>1095.136</v>
      </c>
      <c r="M1098" s="6">
        <f t="shared" si="89"/>
        <v>1329.808</v>
      </c>
    </row>
    <row r="1099" spans="1:13">
      <c r="A1099" t="s">
        <v>13</v>
      </c>
      <c r="B1099" t="s">
        <v>2145</v>
      </c>
      <c r="C1099" t="s">
        <v>2146</v>
      </c>
      <c r="D1099" t="s">
        <v>2146</v>
      </c>
      <c r="E1099" t="s">
        <v>2146</v>
      </c>
      <c r="F1099" t="s">
        <v>2146</v>
      </c>
      <c r="G1099" s="6">
        <v>75.89</v>
      </c>
      <c r="H1099" s="6"/>
      <c r="I1099" s="6">
        <f t="shared" si="85"/>
        <v>35.6683</v>
      </c>
      <c r="J1099" s="6">
        <f t="shared" si="86"/>
        <v>37.945</v>
      </c>
      <c r="K1099" s="6">
        <f t="shared" si="87"/>
        <v>41.7395</v>
      </c>
      <c r="L1099" s="6">
        <f t="shared" si="88"/>
        <v>53.123</v>
      </c>
      <c r="M1099" s="6">
        <f t="shared" si="89"/>
        <v>64.5065</v>
      </c>
    </row>
    <row r="1100" spans="1:13">
      <c r="A1100" t="s">
        <v>13</v>
      </c>
      <c r="B1100" t="s">
        <v>2147</v>
      </c>
      <c r="C1100" t="s">
        <v>2148</v>
      </c>
      <c r="D1100" t="s">
        <v>2148</v>
      </c>
      <c r="E1100" t="s">
        <v>2148</v>
      </c>
      <c r="F1100" t="s">
        <v>2148</v>
      </c>
      <c r="G1100" s="6">
        <v>113.83</v>
      </c>
      <c r="H1100" s="6"/>
      <c r="I1100" s="6">
        <f t="shared" si="85"/>
        <v>53.5001</v>
      </c>
      <c r="J1100" s="6">
        <f t="shared" si="86"/>
        <v>56.915</v>
      </c>
      <c r="K1100" s="6">
        <f t="shared" si="87"/>
        <v>62.6065</v>
      </c>
      <c r="L1100" s="6">
        <f t="shared" si="88"/>
        <v>79.681</v>
      </c>
      <c r="M1100" s="6">
        <f t="shared" si="89"/>
        <v>96.7555</v>
      </c>
    </row>
    <row r="1101" spans="1:13">
      <c r="A1101" t="s">
        <v>13</v>
      </c>
      <c r="B1101" t="s">
        <v>2149</v>
      </c>
      <c r="C1101" t="s">
        <v>2150</v>
      </c>
      <c r="D1101" t="s">
        <v>2150</v>
      </c>
      <c r="E1101" t="s">
        <v>2150</v>
      </c>
      <c r="F1101" t="s">
        <v>2150</v>
      </c>
      <c r="G1101" s="6">
        <v>177.17</v>
      </c>
      <c r="H1101" s="6"/>
      <c r="I1101" s="6">
        <f t="shared" si="85"/>
        <v>83.2699</v>
      </c>
      <c r="J1101" s="6">
        <f t="shared" si="86"/>
        <v>88.585</v>
      </c>
      <c r="K1101" s="6">
        <f t="shared" si="87"/>
        <v>97.4435</v>
      </c>
      <c r="L1101" s="6">
        <f t="shared" si="88"/>
        <v>124.019</v>
      </c>
      <c r="M1101" s="6">
        <f t="shared" si="89"/>
        <v>150.5945</v>
      </c>
    </row>
    <row r="1102" spans="1:13">
      <c r="A1102" t="s">
        <v>13</v>
      </c>
      <c r="B1102" t="s">
        <v>2151</v>
      </c>
      <c r="C1102" t="s">
        <v>2152</v>
      </c>
      <c r="D1102" t="s">
        <v>2152</v>
      </c>
      <c r="E1102" t="s">
        <v>2152</v>
      </c>
      <c r="F1102" t="s">
        <v>2152</v>
      </c>
      <c r="G1102" s="6">
        <v>347.31</v>
      </c>
      <c r="H1102" s="6"/>
      <c r="I1102" s="6">
        <f t="shared" si="85"/>
        <v>163.2357</v>
      </c>
      <c r="J1102" s="6">
        <f t="shared" si="86"/>
        <v>173.655</v>
      </c>
      <c r="K1102" s="6">
        <f t="shared" si="87"/>
        <v>191.0205</v>
      </c>
      <c r="L1102" s="6">
        <f t="shared" si="88"/>
        <v>243.117</v>
      </c>
      <c r="M1102" s="6">
        <f t="shared" si="89"/>
        <v>295.2135</v>
      </c>
    </row>
    <row r="1103" spans="1:13">
      <c r="A1103" t="s">
        <v>13</v>
      </c>
      <c r="B1103" t="s">
        <v>2153</v>
      </c>
      <c r="C1103" t="s">
        <v>2154</v>
      </c>
      <c r="D1103" t="s">
        <v>2154</v>
      </c>
      <c r="E1103" t="s">
        <v>2154</v>
      </c>
      <c r="F1103" t="s">
        <v>2154</v>
      </c>
      <c r="G1103" s="6">
        <v>618.02</v>
      </c>
      <c r="H1103" s="6"/>
      <c r="I1103" s="6">
        <f t="shared" si="85"/>
        <v>290.4694</v>
      </c>
      <c r="J1103" s="6">
        <f t="shared" si="86"/>
        <v>309.01</v>
      </c>
      <c r="K1103" s="6">
        <f t="shared" si="87"/>
        <v>339.911</v>
      </c>
      <c r="L1103" s="6">
        <f t="shared" si="88"/>
        <v>432.614</v>
      </c>
      <c r="M1103" s="6">
        <f t="shared" si="89"/>
        <v>525.317</v>
      </c>
    </row>
    <row r="1104" spans="1:13">
      <c r="A1104" t="s">
        <v>13</v>
      </c>
      <c r="B1104" t="s">
        <v>2155</v>
      </c>
      <c r="C1104" t="s">
        <v>2156</v>
      </c>
      <c r="D1104" t="s">
        <v>2156</v>
      </c>
      <c r="E1104" t="s">
        <v>2156</v>
      </c>
      <c r="F1104" t="s">
        <v>2156</v>
      </c>
      <c r="G1104" s="6">
        <v>33.86</v>
      </c>
      <c r="H1104" s="6"/>
      <c r="I1104" s="6">
        <f t="shared" si="85"/>
        <v>15.9142</v>
      </c>
      <c r="J1104" s="6">
        <f t="shared" si="86"/>
        <v>16.93</v>
      </c>
      <c r="K1104" s="6">
        <f t="shared" si="87"/>
        <v>18.623</v>
      </c>
      <c r="L1104" s="6">
        <f t="shared" si="88"/>
        <v>23.702</v>
      </c>
      <c r="M1104" s="6">
        <f t="shared" si="89"/>
        <v>28.781</v>
      </c>
    </row>
    <row r="1105" spans="1:13">
      <c r="A1105" t="s">
        <v>13</v>
      </c>
      <c r="B1105" t="s">
        <v>2157</v>
      </c>
      <c r="C1105" t="s">
        <v>2158</v>
      </c>
      <c r="D1105" t="s">
        <v>2158</v>
      </c>
      <c r="E1105" t="s">
        <v>2158</v>
      </c>
      <c r="F1105" t="s">
        <v>2158</v>
      </c>
      <c r="G1105" s="6">
        <v>3349.58</v>
      </c>
      <c r="H1105" s="6"/>
      <c r="I1105" s="6">
        <f t="shared" si="85"/>
        <v>1574.3026</v>
      </c>
      <c r="J1105" s="6">
        <f t="shared" si="86"/>
        <v>1674.79</v>
      </c>
      <c r="K1105" s="6">
        <f t="shared" si="87"/>
        <v>1842.269</v>
      </c>
      <c r="L1105" s="6">
        <f t="shared" si="88"/>
        <v>2344.706</v>
      </c>
      <c r="M1105" s="6">
        <f t="shared" si="89"/>
        <v>2847.143</v>
      </c>
    </row>
    <row r="1106" spans="1:13">
      <c r="A1106" t="s">
        <v>13</v>
      </c>
      <c r="B1106" t="s">
        <v>2159</v>
      </c>
      <c r="C1106" t="s">
        <v>2160</v>
      </c>
      <c r="D1106" t="s">
        <v>2160</v>
      </c>
      <c r="E1106" t="s">
        <v>2160</v>
      </c>
      <c r="F1106" t="s">
        <v>2160</v>
      </c>
      <c r="G1106" s="6">
        <v>3349.58</v>
      </c>
      <c r="H1106" s="6"/>
      <c r="I1106" s="6">
        <f t="shared" si="85"/>
        <v>1574.3026</v>
      </c>
      <c r="J1106" s="6">
        <f t="shared" si="86"/>
        <v>1674.79</v>
      </c>
      <c r="K1106" s="6">
        <f t="shared" si="87"/>
        <v>1842.269</v>
      </c>
      <c r="L1106" s="6">
        <f t="shared" si="88"/>
        <v>2344.706</v>
      </c>
      <c r="M1106" s="6">
        <f t="shared" si="89"/>
        <v>2847.143</v>
      </c>
    </row>
    <row r="1107" spans="1:13">
      <c r="A1107" t="s">
        <v>13</v>
      </c>
      <c r="B1107" t="s">
        <v>2161</v>
      </c>
      <c r="C1107" t="s">
        <v>2162</v>
      </c>
      <c r="D1107" t="s">
        <v>2162</v>
      </c>
      <c r="E1107" t="s">
        <v>2162</v>
      </c>
      <c r="F1107" t="s">
        <v>2162</v>
      </c>
      <c r="G1107" s="6">
        <v>3349.58</v>
      </c>
      <c r="H1107" s="6"/>
      <c r="I1107" s="6">
        <f t="shared" si="85"/>
        <v>1574.3026</v>
      </c>
      <c r="J1107" s="6">
        <f t="shared" si="86"/>
        <v>1674.79</v>
      </c>
      <c r="K1107" s="6">
        <f t="shared" si="87"/>
        <v>1842.269</v>
      </c>
      <c r="L1107" s="6">
        <f t="shared" si="88"/>
        <v>2344.706</v>
      </c>
      <c r="M1107" s="6">
        <f t="shared" si="89"/>
        <v>2847.143</v>
      </c>
    </row>
    <row r="1108" spans="1:13">
      <c r="A1108" t="s">
        <v>13</v>
      </c>
      <c r="B1108" t="s">
        <v>2163</v>
      </c>
      <c r="C1108" t="s">
        <v>2164</v>
      </c>
      <c r="D1108" t="s">
        <v>2164</v>
      </c>
      <c r="E1108" t="s">
        <v>2164</v>
      </c>
      <c r="F1108" t="s">
        <v>2164</v>
      </c>
      <c r="G1108" s="6">
        <v>3892.32</v>
      </c>
      <c r="H1108" s="6"/>
      <c r="I1108" s="6">
        <f t="shared" si="85"/>
        <v>1829.3904</v>
      </c>
      <c r="J1108" s="6">
        <f t="shared" si="86"/>
        <v>1946.16</v>
      </c>
      <c r="K1108" s="6">
        <f t="shared" si="87"/>
        <v>2140.776</v>
      </c>
      <c r="L1108" s="6">
        <f t="shared" si="88"/>
        <v>2724.624</v>
      </c>
      <c r="M1108" s="6">
        <f t="shared" si="89"/>
        <v>3308.472</v>
      </c>
    </row>
    <row r="1109" spans="1:13">
      <c r="A1109" t="s">
        <v>13</v>
      </c>
      <c r="B1109" t="s">
        <v>2165</v>
      </c>
      <c r="C1109" t="s">
        <v>2166</v>
      </c>
      <c r="D1109" t="s">
        <v>2166</v>
      </c>
      <c r="E1109" t="s">
        <v>2166</v>
      </c>
      <c r="F1109" t="s">
        <v>2166</v>
      </c>
      <c r="G1109" s="6">
        <v>3892.32</v>
      </c>
      <c r="H1109" s="6"/>
      <c r="I1109" s="6">
        <f t="shared" si="85"/>
        <v>1829.3904</v>
      </c>
      <c r="J1109" s="6">
        <f t="shared" si="86"/>
        <v>1946.16</v>
      </c>
      <c r="K1109" s="6">
        <f t="shared" si="87"/>
        <v>2140.776</v>
      </c>
      <c r="L1109" s="6">
        <f t="shared" si="88"/>
        <v>2724.624</v>
      </c>
      <c r="M1109" s="6">
        <f t="shared" si="89"/>
        <v>3308.472</v>
      </c>
    </row>
    <row r="1110" spans="1:13">
      <c r="A1110" t="s">
        <v>13</v>
      </c>
      <c r="B1110" t="s">
        <v>2167</v>
      </c>
      <c r="C1110" t="s">
        <v>2168</v>
      </c>
      <c r="D1110" t="s">
        <v>2168</v>
      </c>
      <c r="E1110" t="s">
        <v>2168</v>
      </c>
      <c r="F1110" t="s">
        <v>2168</v>
      </c>
      <c r="G1110" s="6">
        <v>3892.32</v>
      </c>
      <c r="H1110" s="6"/>
      <c r="I1110" s="6">
        <f t="shared" si="85"/>
        <v>1829.3904</v>
      </c>
      <c r="J1110" s="6">
        <f t="shared" si="86"/>
        <v>1946.16</v>
      </c>
      <c r="K1110" s="6">
        <f t="shared" si="87"/>
        <v>2140.776</v>
      </c>
      <c r="L1110" s="6">
        <f t="shared" si="88"/>
        <v>2724.624</v>
      </c>
      <c r="M1110" s="6">
        <f t="shared" si="89"/>
        <v>3308.472</v>
      </c>
    </row>
    <row r="1111" spans="1:13">
      <c r="A1111" t="s">
        <v>13</v>
      </c>
      <c r="B1111" t="s">
        <v>2169</v>
      </c>
      <c r="C1111" t="s">
        <v>2170</v>
      </c>
      <c r="D1111" t="s">
        <v>2170</v>
      </c>
      <c r="E1111" t="s">
        <v>2170</v>
      </c>
      <c r="F1111" t="s">
        <v>2170</v>
      </c>
      <c r="G1111" s="6">
        <v>3892.32</v>
      </c>
      <c r="H1111" s="6"/>
      <c r="I1111" s="6">
        <f t="shared" si="85"/>
        <v>1829.3904</v>
      </c>
      <c r="J1111" s="6">
        <f t="shared" si="86"/>
        <v>1946.16</v>
      </c>
      <c r="K1111" s="6">
        <f t="shared" si="87"/>
        <v>2140.776</v>
      </c>
      <c r="L1111" s="6">
        <f t="shared" si="88"/>
        <v>2724.624</v>
      </c>
      <c r="M1111" s="6">
        <f t="shared" si="89"/>
        <v>3308.472</v>
      </c>
    </row>
    <row r="1112" spans="1:13">
      <c r="A1112" t="s">
        <v>13</v>
      </c>
      <c r="B1112" t="s">
        <v>2171</v>
      </c>
      <c r="C1112" t="s">
        <v>2172</v>
      </c>
      <c r="D1112" t="s">
        <v>2172</v>
      </c>
      <c r="E1112" t="s">
        <v>2172</v>
      </c>
      <c r="F1112" t="s">
        <v>2172</v>
      </c>
      <c r="G1112" s="6">
        <v>2977.58</v>
      </c>
      <c r="H1112" s="6"/>
      <c r="I1112" s="6">
        <f t="shared" si="85"/>
        <v>1399.4626</v>
      </c>
      <c r="J1112" s="6">
        <f t="shared" si="86"/>
        <v>1488.79</v>
      </c>
      <c r="K1112" s="6">
        <f t="shared" si="87"/>
        <v>1637.669</v>
      </c>
      <c r="L1112" s="6">
        <f t="shared" si="88"/>
        <v>2084.306</v>
      </c>
      <c r="M1112" s="6">
        <f t="shared" si="89"/>
        <v>2530.943</v>
      </c>
    </row>
    <row r="1113" spans="1:13">
      <c r="A1113" t="s">
        <v>13</v>
      </c>
      <c r="B1113" t="s">
        <v>2173</v>
      </c>
      <c r="C1113" t="s">
        <v>2174</v>
      </c>
      <c r="D1113" t="s">
        <v>2174</v>
      </c>
      <c r="E1113" t="s">
        <v>2174</v>
      </c>
      <c r="F1113" t="s">
        <v>2174</v>
      </c>
      <c r="G1113" s="6">
        <v>2977.58</v>
      </c>
      <c r="H1113" s="6"/>
      <c r="I1113" s="6">
        <f t="shared" si="85"/>
        <v>1399.4626</v>
      </c>
      <c r="J1113" s="6">
        <f t="shared" si="86"/>
        <v>1488.79</v>
      </c>
      <c r="K1113" s="6">
        <f t="shared" si="87"/>
        <v>1637.669</v>
      </c>
      <c r="L1113" s="6">
        <f t="shared" si="88"/>
        <v>2084.306</v>
      </c>
      <c r="M1113" s="6">
        <f t="shared" si="89"/>
        <v>2530.943</v>
      </c>
    </row>
    <row r="1114" spans="1:13">
      <c r="A1114" t="s">
        <v>13</v>
      </c>
      <c r="B1114" t="s">
        <v>2175</v>
      </c>
      <c r="C1114" t="s">
        <v>2176</v>
      </c>
      <c r="D1114" t="s">
        <v>2176</v>
      </c>
      <c r="E1114" t="s">
        <v>2176</v>
      </c>
      <c r="F1114" t="s">
        <v>2176</v>
      </c>
      <c r="G1114" s="6">
        <v>2977.58</v>
      </c>
      <c r="H1114" s="6"/>
      <c r="I1114" s="6">
        <f t="shared" si="85"/>
        <v>1399.4626</v>
      </c>
      <c r="J1114" s="6">
        <f t="shared" si="86"/>
        <v>1488.79</v>
      </c>
      <c r="K1114" s="6">
        <f t="shared" si="87"/>
        <v>1637.669</v>
      </c>
      <c r="L1114" s="6">
        <f t="shared" si="88"/>
        <v>2084.306</v>
      </c>
      <c r="M1114" s="6">
        <f t="shared" si="89"/>
        <v>2530.943</v>
      </c>
    </row>
    <row r="1115" spans="1:13">
      <c r="A1115" t="s">
        <v>13</v>
      </c>
      <c r="B1115" t="s">
        <v>2177</v>
      </c>
      <c r="C1115" t="s">
        <v>2178</v>
      </c>
      <c r="D1115" t="s">
        <v>2178</v>
      </c>
      <c r="E1115" t="s">
        <v>2178</v>
      </c>
      <c r="F1115" t="s">
        <v>2178</v>
      </c>
      <c r="G1115" s="6">
        <v>2151.18</v>
      </c>
      <c r="H1115" s="6"/>
      <c r="I1115" s="6">
        <f t="shared" si="85"/>
        <v>1011.0546</v>
      </c>
      <c r="J1115" s="6">
        <f t="shared" si="86"/>
        <v>1075.59</v>
      </c>
      <c r="K1115" s="6">
        <f t="shared" si="87"/>
        <v>1183.149</v>
      </c>
      <c r="L1115" s="6">
        <f t="shared" si="88"/>
        <v>1505.826</v>
      </c>
      <c r="M1115" s="6">
        <f t="shared" si="89"/>
        <v>1828.503</v>
      </c>
    </row>
    <row r="1116" spans="1:13">
      <c r="A1116" t="s">
        <v>13</v>
      </c>
      <c r="B1116" t="s">
        <v>2179</v>
      </c>
      <c r="C1116" t="s">
        <v>2180</v>
      </c>
      <c r="D1116" t="s">
        <v>2180</v>
      </c>
      <c r="E1116" t="s">
        <v>2180</v>
      </c>
      <c r="F1116" t="s">
        <v>2180</v>
      </c>
      <c r="G1116" s="6">
        <v>212.77</v>
      </c>
      <c r="H1116" s="6"/>
      <c r="I1116" s="6">
        <f t="shared" si="85"/>
        <v>100.0019</v>
      </c>
      <c r="J1116" s="6">
        <f t="shared" si="86"/>
        <v>106.385</v>
      </c>
      <c r="K1116" s="6">
        <f t="shared" si="87"/>
        <v>117.0235</v>
      </c>
      <c r="L1116" s="6">
        <f t="shared" si="88"/>
        <v>148.939</v>
      </c>
      <c r="M1116" s="6">
        <f t="shared" si="89"/>
        <v>180.8545</v>
      </c>
    </row>
    <row r="1117" spans="1:13">
      <c r="A1117" t="s">
        <v>13</v>
      </c>
      <c r="B1117" t="s">
        <v>2181</v>
      </c>
      <c r="C1117" t="s">
        <v>2182</v>
      </c>
      <c r="D1117" t="s">
        <v>2182</v>
      </c>
      <c r="E1117" t="s">
        <v>2182</v>
      </c>
      <c r="F1117" t="s">
        <v>2182</v>
      </c>
      <c r="G1117" s="6">
        <v>328.34</v>
      </c>
      <c r="H1117" s="6"/>
      <c r="I1117" s="6">
        <f t="shared" si="85"/>
        <v>154.3198</v>
      </c>
      <c r="J1117" s="6">
        <f t="shared" si="86"/>
        <v>164.17</v>
      </c>
      <c r="K1117" s="6">
        <f t="shared" si="87"/>
        <v>180.587</v>
      </c>
      <c r="L1117" s="6">
        <f t="shared" si="88"/>
        <v>229.838</v>
      </c>
      <c r="M1117" s="6">
        <f t="shared" si="89"/>
        <v>279.089</v>
      </c>
    </row>
    <row r="1118" spans="1:13">
      <c r="A1118" t="s">
        <v>13</v>
      </c>
      <c r="B1118" t="s">
        <v>2183</v>
      </c>
      <c r="C1118" t="s">
        <v>2184</v>
      </c>
      <c r="D1118" t="s">
        <v>2184</v>
      </c>
      <c r="E1118" t="s">
        <v>2184</v>
      </c>
      <c r="F1118" t="s">
        <v>2184</v>
      </c>
      <c r="G1118" s="6">
        <v>77.83</v>
      </c>
      <c r="H1118" s="6"/>
      <c r="I1118" s="6">
        <f t="shared" si="85"/>
        <v>36.5801</v>
      </c>
      <c r="J1118" s="6">
        <f t="shared" si="86"/>
        <v>38.915</v>
      </c>
      <c r="K1118" s="6">
        <f t="shared" si="87"/>
        <v>42.8065</v>
      </c>
      <c r="L1118" s="6">
        <f t="shared" si="88"/>
        <v>54.481</v>
      </c>
      <c r="M1118" s="6">
        <f t="shared" si="89"/>
        <v>66.1555</v>
      </c>
    </row>
    <row r="1119" spans="1:13">
      <c r="A1119" t="s">
        <v>13</v>
      </c>
      <c r="B1119" t="s">
        <v>2185</v>
      </c>
      <c r="C1119" t="s">
        <v>2186</v>
      </c>
      <c r="D1119" t="s">
        <v>2186</v>
      </c>
      <c r="E1119" t="s">
        <v>2186</v>
      </c>
      <c r="F1119" t="s">
        <v>2186</v>
      </c>
      <c r="G1119" s="6">
        <v>90.07</v>
      </c>
      <c r="H1119" s="6"/>
      <c r="I1119" s="6">
        <f t="shared" si="85"/>
        <v>42.3329</v>
      </c>
      <c r="J1119" s="6">
        <f t="shared" si="86"/>
        <v>45.035</v>
      </c>
      <c r="K1119" s="6">
        <f t="shared" si="87"/>
        <v>49.5385</v>
      </c>
      <c r="L1119" s="6">
        <f t="shared" si="88"/>
        <v>63.049</v>
      </c>
      <c r="M1119" s="6">
        <f t="shared" si="89"/>
        <v>76.5595</v>
      </c>
    </row>
    <row r="1120" spans="1:13">
      <c r="A1120" t="s">
        <v>13</v>
      </c>
      <c r="B1120" t="s">
        <v>2187</v>
      </c>
      <c r="C1120" t="s">
        <v>2188</v>
      </c>
      <c r="D1120" t="s">
        <v>2188</v>
      </c>
      <c r="E1120" t="s">
        <v>2188</v>
      </c>
      <c r="F1120" t="s">
        <v>2188</v>
      </c>
      <c r="G1120" s="6">
        <v>148.31</v>
      </c>
      <c r="H1120" s="6"/>
      <c r="I1120" s="6">
        <f t="shared" si="85"/>
        <v>69.7057</v>
      </c>
      <c r="J1120" s="6">
        <f t="shared" si="86"/>
        <v>74.155</v>
      </c>
      <c r="K1120" s="6">
        <f t="shared" si="87"/>
        <v>81.5705</v>
      </c>
      <c r="L1120" s="6">
        <f t="shared" si="88"/>
        <v>103.817</v>
      </c>
      <c r="M1120" s="6">
        <f t="shared" si="89"/>
        <v>126.0635</v>
      </c>
    </row>
    <row r="1121" spans="1:13">
      <c r="A1121" t="s">
        <v>13</v>
      </c>
      <c r="B1121" t="s">
        <v>2189</v>
      </c>
      <c r="C1121" t="s">
        <v>2190</v>
      </c>
      <c r="D1121" t="s">
        <v>2190</v>
      </c>
      <c r="E1121" t="s">
        <v>2190</v>
      </c>
      <c r="F1121" t="s">
        <v>2190</v>
      </c>
      <c r="G1121" s="6">
        <v>160.45</v>
      </c>
      <c r="H1121" s="6"/>
      <c r="I1121" s="6">
        <f t="shared" si="85"/>
        <v>75.4115</v>
      </c>
      <c r="J1121" s="6">
        <f t="shared" si="86"/>
        <v>80.225</v>
      </c>
      <c r="K1121" s="6">
        <f t="shared" si="87"/>
        <v>88.2475</v>
      </c>
      <c r="L1121" s="6">
        <f t="shared" si="88"/>
        <v>112.315</v>
      </c>
      <c r="M1121" s="6">
        <f t="shared" si="89"/>
        <v>136.3825</v>
      </c>
    </row>
    <row r="1122" spans="1:13">
      <c r="A1122" t="s">
        <v>13</v>
      </c>
      <c r="B1122" t="s">
        <v>2191</v>
      </c>
      <c r="C1122" t="s">
        <v>2192</v>
      </c>
      <c r="D1122" t="s">
        <v>2192</v>
      </c>
      <c r="E1122" t="s">
        <v>2192</v>
      </c>
      <c r="F1122" t="s">
        <v>2192</v>
      </c>
      <c r="G1122" s="6">
        <v>111.89</v>
      </c>
      <c r="H1122" s="6"/>
      <c r="I1122" s="6">
        <f t="shared" si="85"/>
        <v>52.5883</v>
      </c>
      <c r="J1122" s="6">
        <f t="shared" si="86"/>
        <v>55.945</v>
      </c>
      <c r="K1122" s="6">
        <f t="shared" si="87"/>
        <v>61.5395</v>
      </c>
      <c r="L1122" s="6">
        <f t="shared" si="88"/>
        <v>78.323</v>
      </c>
      <c r="M1122" s="6">
        <f t="shared" si="89"/>
        <v>95.1065</v>
      </c>
    </row>
    <row r="1123" spans="1:13">
      <c r="A1123" t="s">
        <v>13</v>
      </c>
      <c r="B1123" t="s">
        <v>2193</v>
      </c>
      <c r="C1123" t="s">
        <v>2194</v>
      </c>
      <c r="D1123" t="s">
        <v>2194</v>
      </c>
      <c r="E1123" t="s">
        <v>2194</v>
      </c>
      <c r="F1123" t="s">
        <v>2194</v>
      </c>
      <c r="G1123" s="6">
        <v>127.7</v>
      </c>
      <c r="H1123" s="6"/>
      <c r="I1123" s="6">
        <f t="shared" si="85"/>
        <v>60.019</v>
      </c>
      <c r="J1123" s="6">
        <f t="shared" si="86"/>
        <v>63.85</v>
      </c>
      <c r="K1123" s="6">
        <f t="shared" si="87"/>
        <v>70.235</v>
      </c>
      <c r="L1123" s="6">
        <f t="shared" si="88"/>
        <v>89.39</v>
      </c>
      <c r="M1123" s="6">
        <f t="shared" si="89"/>
        <v>108.545</v>
      </c>
    </row>
    <row r="1124" spans="1:13">
      <c r="A1124" t="s">
        <v>13</v>
      </c>
      <c r="B1124" t="s">
        <v>2195</v>
      </c>
      <c r="C1124" t="s">
        <v>2196</v>
      </c>
      <c r="D1124" t="s">
        <v>2196</v>
      </c>
      <c r="E1124" t="s">
        <v>2196</v>
      </c>
      <c r="F1124" t="s">
        <v>2196</v>
      </c>
      <c r="G1124" s="6">
        <v>201.96</v>
      </c>
      <c r="H1124" s="6"/>
      <c r="I1124" s="6">
        <f t="shared" si="85"/>
        <v>94.9212</v>
      </c>
      <c r="J1124" s="6">
        <f t="shared" si="86"/>
        <v>100.98</v>
      </c>
      <c r="K1124" s="6">
        <f t="shared" si="87"/>
        <v>111.078</v>
      </c>
      <c r="L1124" s="6">
        <f t="shared" si="88"/>
        <v>141.372</v>
      </c>
      <c r="M1124" s="6">
        <f t="shared" si="89"/>
        <v>171.666</v>
      </c>
    </row>
    <row r="1125" spans="1:13">
      <c r="A1125" t="s">
        <v>13</v>
      </c>
      <c r="B1125" t="s">
        <v>2197</v>
      </c>
      <c r="C1125" t="s">
        <v>2198</v>
      </c>
      <c r="D1125" t="s">
        <v>2198</v>
      </c>
      <c r="E1125" t="s">
        <v>2198</v>
      </c>
      <c r="F1125" t="s">
        <v>2198</v>
      </c>
      <c r="G1125" s="6">
        <v>217.77</v>
      </c>
      <c r="H1125" s="6"/>
      <c r="I1125" s="6">
        <f t="shared" si="85"/>
        <v>102.3519</v>
      </c>
      <c r="J1125" s="6">
        <f t="shared" si="86"/>
        <v>108.885</v>
      </c>
      <c r="K1125" s="6">
        <f t="shared" si="87"/>
        <v>119.7735</v>
      </c>
      <c r="L1125" s="6">
        <f t="shared" si="88"/>
        <v>152.439</v>
      </c>
      <c r="M1125" s="6">
        <f t="shared" si="89"/>
        <v>185.1045</v>
      </c>
    </row>
    <row r="1126" spans="1:13">
      <c r="A1126" t="s">
        <v>13</v>
      </c>
      <c r="B1126" t="s">
        <v>2199</v>
      </c>
      <c r="C1126" t="s">
        <v>2200</v>
      </c>
      <c r="D1126" t="s">
        <v>2200</v>
      </c>
      <c r="E1126" t="s">
        <v>2200</v>
      </c>
      <c r="F1126" t="s">
        <v>2200</v>
      </c>
      <c r="G1126" s="6">
        <v>145.86</v>
      </c>
      <c r="H1126" s="6"/>
      <c r="I1126" s="6">
        <f t="shared" si="85"/>
        <v>68.5542</v>
      </c>
      <c r="J1126" s="6">
        <f t="shared" si="86"/>
        <v>72.93</v>
      </c>
      <c r="K1126" s="6">
        <f t="shared" si="87"/>
        <v>80.223</v>
      </c>
      <c r="L1126" s="6">
        <f t="shared" si="88"/>
        <v>102.102</v>
      </c>
      <c r="M1126" s="6">
        <f t="shared" si="89"/>
        <v>123.981</v>
      </c>
    </row>
    <row r="1127" spans="1:13">
      <c r="A1127" t="s">
        <v>13</v>
      </c>
      <c r="B1127" t="s">
        <v>2201</v>
      </c>
      <c r="C1127" t="s">
        <v>2202</v>
      </c>
      <c r="D1127" t="s">
        <v>2202</v>
      </c>
      <c r="E1127" t="s">
        <v>2202</v>
      </c>
      <c r="F1127" t="s">
        <v>2202</v>
      </c>
      <c r="G1127" s="6">
        <v>165.44</v>
      </c>
      <c r="H1127" s="6"/>
      <c r="I1127" s="6">
        <f t="shared" si="85"/>
        <v>77.7568</v>
      </c>
      <c r="J1127" s="6">
        <f t="shared" si="86"/>
        <v>82.72</v>
      </c>
      <c r="K1127" s="6">
        <f t="shared" si="87"/>
        <v>90.992</v>
      </c>
      <c r="L1127" s="6">
        <f t="shared" si="88"/>
        <v>115.808</v>
      </c>
      <c r="M1127" s="6">
        <f t="shared" si="89"/>
        <v>140.624</v>
      </c>
    </row>
    <row r="1128" spans="1:13">
      <c r="A1128" t="s">
        <v>13</v>
      </c>
      <c r="B1128" t="s">
        <v>2203</v>
      </c>
      <c r="C1128" t="s">
        <v>2204</v>
      </c>
      <c r="D1128" t="s">
        <v>2204</v>
      </c>
      <c r="E1128" t="s">
        <v>2204</v>
      </c>
      <c r="F1128" t="s">
        <v>2204</v>
      </c>
      <c r="G1128" s="6">
        <v>200.63</v>
      </c>
      <c r="H1128" s="6"/>
      <c r="I1128" s="6">
        <f t="shared" si="85"/>
        <v>94.2961</v>
      </c>
      <c r="J1128" s="6">
        <f t="shared" si="86"/>
        <v>100.315</v>
      </c>
      <c r="K1128" s="6">
        <f t="shared" si="87"/>
        <v>110.3465</v>
      </c>
      <c r="L1128" s="6">
        <f t="shared" si="88"/>
        <v>140.441</v>
      </c>
      <c r="M1128" s="6">
        <f t="shared" si="89"/>
        <v>170.5355</v>
      </c>
    </row>
    <row r="1129" spans="1:13">
      <c r="A1129" t="s">
        <v>13</v>
      </c>
      <c r="B1129" t="s">
        <v>2205</v>
      </c>
      <c r="C1129" t="s">
        <v>2206</v>
      </c>
      <c r="D1129" t="s">
        <v>2206</v>
      </c>
      <c r="E1129" t="s">
        <v>2206</v>
      </c>
      <c r="F1129" t="s">
        <v>2206</v>
      </c>
      <c r="G1129" s="6">
        <v>231.13</v>
      </c>
      <c r="H1129" s="6"/>
      <c r="I1129" s="6">
        <f t="shared" si="85"/>
        <v>108.6311</v>
      </c>
      <c r="J1129" s="6">
        <f t="shared" si="86"/>
        <v>115.565</v>
      </c>
      <c r="K1129" s="6">
        <f t="shared" si="87"/>
        <v>127.1215</v>
      </c>
      <c r="L1129" s="6">
        <f t="shared" si="88"/>
        <v>161.791</v>
      </c>
      <c r="M1129" s="6">
        <f t="shared" si="89"/>
        <v>196.4605</v>
      </c>
    </row>
    <row r="1130" spans="1:13">
      <c r="A1130" t="s">
        <v>13</v>
      </c>
      <c r="B1130" t="s">
        <v>2207</v>
      </c>
      <c r="C1130" t="s">
        <v>2208</v>
      </c>
      <c r="D1130" t="s">
        <v>2208</v>
      </c>
      <c r="E1130" t="s">
        <v>2208</v>
      </c>
      <c r="F1130" t="s">
        <v>2208</v>
      </c>
      <c r="G1130" s="6">
        <v>437.78</v>
      </c>
      <c r="H1130" s="6"/>
      <c r="I1130" s="6">
        <f t="shared" si="85"/>
        <v>205.7566</v>
      </c>
      <c r="J1130" s="6">
        <f t="shared" si="86"/>
        <v>218.89</v>
      </c>
      <c r="K1130" s="6">
        <f t="shared" si="87"/>
        <v>240.779</v>
      </c>
      <c r="L1130" s="6">
        <f t="shared" si="88"/>
        <v>306.446</v>
      </c>
      <c r="M1130" s="6">
        <f t="shared" si="89"/>
        <v>372.113</v>
      </c>
    </row>
    <row r="1131" spans="1:13">
      <c r="A1131" t="s">
        <v>13</v>
      </c>
      <c r="B1131" t="s">
        <v>2209</v>
      </c>
      <c r="C1131" t="s">
        <v>2210</v>
      </c>
      <c r="D1131" t="s">
        <v>2210</v>
      </c>
      <c r="E1131" t="s">
        <v>2210</v>
      </c>
      <c r="F1131" t="s">
        <v>2210</v>
      </c>
      <c r="G1131" s="6">
        <v>475.52</v>
      </c>
      <c r="H1131" s="6"/>
      <c r="I1131" s="6">
        <f t="shared" si="85"/>
        <v>223.4944</v>
      </c>
      <c r="J1131" s="6">
        <f t="shared" si="86"/>
        <v>237.76</v>
      </c>
      <c r="K1131" s="6">
        <f t="shared" si="87"/>
        <v>261.536</v>
      </c>
      <c r="L1131" s="6">
        <f t="shared" si="88"/>
        <v>332.864</v>
      </c>
      <c r="M1131" s="6">
        <f t="shared" si="89"/>
        <v>404.192</v>
      </c>
    </row>
    <row r="1132" spans="1:13">
      <c r="A1132" t="s">
        <v>13</v>
      </c>
      <c r="B1132" t="s">
        <v>2211</v>
      </c>
      <c r="C1132" t="s">
        <v>2212</v>
      </c>
      <c r="D1132" t="s">
        <v>2212</v>
      </c>
      <c r="E1132" t="s">
        <v>2212</v>
      </c>
      <c r="F1132" t="s">
        <v>2212</v>
      </c>
      <c r="G1132" s="6">
        <v>717.57</v>
      </c>
      <c r="H1132" s="6"/>
      <c r="I1132" s="6">
        <f t="shared" si="85"/>
        <v>337.2579</v>
      </c>
      <c r="J1132" s="6">
        <f t="shared" si="86"/>
        <v>358.785</v>
      </c>
      <c r="K1132" s="6">
        <f t="shared" si="87"/>
        <v>394.6635</v>
      </c>
      <c r="L1132" s="6">
        <f t="shared" si="88"/>
        <v>502.299</v>
      </c>
      <c r="M1132" s="6">
        <f t="shared" si="89"/>
        <v>609.9345</v>
      </c>
    </row>
    <row r="1133" spans="1:13">
      <c r="A1133" t="s">
        <v>13</v>
      </c>
      <c r="B1133" t="s">
        <v>2213</v>
      </c>
      <c r="C1133" t="s">
        <v>2214</v>
      </c>
      <c r="D1133" t="s">
        <v>2214</v>
      </c>
      <c r="E1133" t="s">
        <v>2214</v>
      </c>
      <c r="F1133" t="s">
        <v>2214</v>
      </c>
      <c r="G1133" s="6">
        <v>774.79</v>
      </c>
      <c r="H1133" s="6"/>
      <c r="I1133" s="6">
        <f t="shared" si="85"/>
        <v>364.1513</v>
      </c>
      <c r="J1133" s="6">
        <f t="shared" si="86"/>
        <v>387.395</v>
      </c>
      <c r="K1133" s="6">
        <f t="shared" si="87"/>
        <v>426.1345</v>
      </c>
      <c r="L1133" s="6">
        <f t="shared" si="88"/>
        <v>542.353</v>
      </c>
      <c r="M1133" s="6">
        <f t="shared" si="89"/>
        <v>658.5715</v>
      </c>
    </row>
    <row r="1134" spans="1:13">
      <c r="A1134" t="s">
        <v>13</v>
      </c>
      <c r="B1134" t="s">
        <v>2215</v>
      </c>
      <c r="C1134" t="s">
        <v>2216</v>
      </c>
      <c r="D1134" t="s">
        <v>2216</v>
      </c>
      <c r="E1134" t="s">
        <v>2216</v>
      </c>
      <c r="F1134" t="s">
        <v>2216</v>
      </c>
      <c r="G1134" s="6">
        <v>273.67</v>
      </c>
      <c r="H1134" s="6"/>
      <c r="I1134" s="6">
        <f t="shared" si="85"/>
        <v>128.6249</v>
      </c>
      <c r="J1134" s="6">
        <f t="shared" si="86"/>
        <v>136.835</v>
      </c>
      <c r="K1134" s="6">
        <f t="shared" si="87"/>
        <v>150.5185</v>
      </c>
      <c r="L1134" s="6">
        <f t="shared" si="88"/>
        <v>191.569</v>
      </c>
      <c r="M1134" s="6">
        <f t="shared" si="89"/>
        <v>232.6195</v>
      </c>
    </row>
    <row r="1135" spans="1:13">
      <c r="A1135" t="s">
        <v>13</v>
      </c>
      <c r="B1135" t="s">
        <v>2217</v>
      </c>
      <c r="C1135" t="s">
        <v>2218</v>
      </c>
      <c r="D1135" t="s">
        <v>2218</v>
      </c>
      <c r="E1135" t="s">
        <v>2218</v>
      </c>
      <c r="F1135" t="s">
        <v>2218</v>
      </c>
      <c r="G1135" s="6">
        <v>407.39</v>
      </c>
      <c r="H1135" s="6"/>
      <c r="I1135" s="6">
        <f t="shared" si="85"/>
        <v>191.4733</v>
      </c>
      <c r="J1135" s="6">
        <f t="shared" si="86"/>
        <v>203.695</v>
      </c>
      <c r="K1135" s="6">
        <f t="shared" si="87"/>
        <v>224.0645</v>
      </c>
      <c r="L1135" s="6">
        <f t="shared" si="88"/>
        <v>285.173</v>
      </c>
      <c r="M1135" s="6">
        <f t="shared" si="89"/>
        <v>346.2815</v>
      </c>
    </row>
    <row r="1136" spans="1:13">
      <c r="A1136" t="s">
        <v>13</v>
      </c>
      <c r="B1136" t="s">
        <v>2219</v>
      </c>
      <c r="C1136" t="s">
        <v>2220</v>
      </c>
      <c r="D1136" t="s">
        <v>2220</v>
      </c>
      <c r="E1136" t="s">
        <v>2220</v>
      </c>
      <c r="F1136" t="s">
        <v>2220</v>
      </c>
      <c r="G1136" s="6">
        <v>110.15</v>
      </c>
      <c r="H1136" s="6"/>
      <c r="I1136" s="6">
        <f t="shared" si="85"/>
        <v>51.7705</v>
      </c>
      <c r="J1136" s="6">
        <f t="shared" si="86"/>
        <v>55.075</v>
      </c>
      <c r="K1136" s="6">
        <f t="shared" si="87"/>
        <v>60.5825</v>
      </c>
      <c r="L1136" s="6">
        <f t="shared" si="88"/>
        <v>77.105</v>
      </c>
      <c r="M1136" s="6">
        <f t="shared" si="89"/>
        <v>93.6275</v>
      </c>
    </row>
    <row r="1137" spans="1:13">
      <c r="A1137" t="s">
        <v>13</v>
      </c>
      <c r="B1137" t="s">
        <v>2221</v>
      </c>
      <c r="C1137" t="s">
        <v>2222</v>
      </c>
      <c r="D1137" t="s">
        <v>2222</v>
      </c>
      <c r="E1137" t="s">
        <v>2222</v>
      </c>
      <c r="F1137" t="s">
        <v>2222</v>
      </c>
      <c r="G1137" s="6">
        <v>128.48</v>
      </c>
      <c r="H1137" s="6"/>
      <c r="I1137" s="6">
        <f t="shared" si="85"/>
        <v>60.3856</v>
      </c>
      <c r="J1137" s="6">
        <f t="shared" si="86"/>
        <v>64.24</v>
      </c>
      <c r="K1137" s="6">
        <f t="shared" si="87"/>
        <v>70.664</v>
      </c>
      <c r="L1137" s="6">
        <f t="shared" si="88"/>
        <v>89.936</v>
      </c>
      <c r="M1137" s="6">
        <f t="shared" si="89"/>
        <v>109.208</v>
      </c>
    </row>
    <row r="1138" spans="1:13">
      <c r="A1138" t="s">
        <v>13</v>
      </c>
      <c r="B1138" t="s">
        <v>2223</v>
      </c>
      <c r="C1138" t="s">
        <v>2224</v>
      </c>
      <c r="D1138" t="s">
        <v>2224</v>
      </c>
      <c r="E1138" t="s">
        <v>2224</v>
      </c>
      <c r="F1138" t="s">
        <v>2224</v>
      </c>
      <c r="G1138" s="6">
        <v>177.58</v>
      </c>
      <c r="H1138" s="6"/>
      <c r="I1138" s="6">
        <f t="shared" si="85"/>
        <v>83.4626</v>
      </c>
      <c r="J1138" s="6">
        <f t="shared" si="86"/>
        <v>88.79</v>
      </c>
      <c r="K1138" s="6">
        <f t="shared" si="87"/>
        <v>97.669</v>
      </c>
      <c r="L1138" s="6">
        <f t="shared" si="88"/>
        <v>124.306</v>
      </c>
      <c r="M1138" s="6">
        <f t="shared" si="89"/>
        <v>150.943</v>
      </c>
    </row>
    <row r="1139" spans="1:13">
      <c r="A1139" t="s">
        <v>13</v>
      </c>
      <c r="B1139" t="s">
        <v>2225</v>
      </c>
      <c r="C1139" t="s">
        <v>2226</v>
      </c>
      <c r="D1139" t="s">
        <v>2226</v>
      </c>
      <c r="E1139" t="s">
        <v>2226</v>
      </c>
      <c r="F1139" t="s">
        <v>2226</v>
      </c>
      <c r="G1139" s="6">
        <v>189.62</v>
      </c>
      <c r="H1139" s="6"/>
      <c r="I1139" s="6">
        <f t="shared" si="85"/>
        <v>89.1214</v>
      </c>
      <c r="J1139" s="6">
        <f t="shared" si="86"/>
        <v>94.81</v>
      </c>
      <c r="K1139" s="6">
        <f t="shared" si="87"/>
        <v>104.291</v>
      </c>
      <c r="L1139" s="6">
        <f t="shared" si="88"/>
        <v>132.734</v>
      </c>
      <c r="M1139" s="6">
        <f t="shared" si="89"/>
        <v>161.177</v>
      </c>
    </row>
    <row r="1140" spans="1:13">
      <c r="A1140" t="s">
        <v>13</v>
      </c>
      <c r="B1140" t="s">
        <v>2227</v>
      </c>
      <c r="C1140" t="s">
        <v>2228</v>
      </c>
      <c r="D1140" t="s">
        <v>2228</v>
      </c>
      <c r="E1140" t="s">
        <v>2228</v>
      </c>
      <c r="F1140" t="s">
        <v>2228</v>
      </c>
      <c r="G1140" s="6">
        <v>150.86</v>
      </c>
      <c r="H1140" s="6"/>
      <c r="I1140" s="6">
        <f t="shared" si="85"/>
        <v>70.9042</v>
      </c>
      <c r="J1140" s="6">
        <f t="shared" si="86"/>
        <v>75.43</v>
      </c>
      <c r="K1140" s="6">
        <f t="shared" si="87"/>
        <v>82.973</v>
      </c>
      <c r="L1140" s="6">
        <f t="shared" si="88"/>
        <v>105.602</v>
      </c>
      <c r="M1140" s="6">
        <f t="shared" si="89"/>
        <v>128.231</v>
      </c>
    </row>
    <row r="1141" spans="1:13">
      <c r="A1141" t="s">
        <v>13</v>
      </c>
      <c r="B1141" t="s">
        <v>2229</v>
      </c>
      <c r="C1141" t="s">
        <v>2230</v>
      </c>
      <c r="D1141" t="s">
        <v>2230</v>
      </c>
      <c r="E1141" t="s">
        <v>2230</v>
      </c>
      <c r="F1141" t="s">
        <v>2230</v>
      </c>
      <c r="G1141" s="6">
        <v>179.63</v>
      </c>
      <c r="H1141" s="6"/>
      <c r="I1141" s="6">
        <f t="shared" si="85"/>
        <v>84.4261</v>
      </c>
      <c r="J1141" s="6">
        <f t="shared" si="86"/>
        <v>89.815</v>
      </c>
      <c r="K1141" s="6">
        <f t="shared" si="87"/>
        <v>98.7965</v>
      </c>
      <c r="L1141" s="6">
        <f t="shared" si="88"/>
        <v>125.741</v>
      </c>
      <c r="M1141" s="6">
        <f t="shared" si="89"/>
        <v>152.6855</v>
      </c>
    </row>
    <row r="1142" spans="1:13">
      <c r="A1142" t="s">
        <v>13</v>
      </c>
      <c r="B1142" t="s">
        <v>2231</v>
      </c>
      <c r="C1142" t="s">
        <v>2232</v>
      </c>
      <c r="D1142" t="s">
        <v>2232</v>
      </c>
      <c r="E1142" t="s">
        <v>2232</v>
      </c>
      <c r="F1142" t="s">
        <v>2232</v>
      </c>
      <c r="G1142" s="6">
        <v>240.82</v>
      </c>
      <c r="H1142" s="6"/>
      <c r="I1142" s="6">
        <f t="shared" si="85"/>
        <v>113.1854</v>
      </c>
      <c r="J1142" s="6">
        <f t="shared" si="86"/>
        <v>120.41</v>
      </c>
      <c r="K1142" s="6">
        <f t="shared" si="87"/>
        <v>132.451</v>
      </c>
      <c r="L1142" s="6">
        <f t="shared" si="88"/>
        <v>168.574</v>
      </c>
      <c r="M1142" s="6">
        <f t="shared" si="89"/>
        <v>204.697</v>
      </c>
    </row>
    <row r="1143" spans="1:13">
      <c r="A1143" t="s">
        <v>13</v>
      </c>
      <c r="B1143" t="s">
        <v>2233</v>
      </c>
      <c r="C1143" t="s">
        <v>2234</v>
      </c>
      <c r="D1143" t="s">
        <v>2234</v>
      </c>
      <c r="E1143" t="s">
        <v>2234</v>
      </c>
      <c r="F1143" t="s">
        <v>2234</v>
      </c>
      <c r="G1143" s="6">
        <v>256.53</v>
      </c>
      <c r="H1143" s="6"/>
      <c r="I1143" s="6">
        <f t="shared" si="85"/>
        <v>120.5691</v>
      </c>
      <c r="J1143" s="6">
        <f t="shared" si="86"/>
        <v>128.265</v>
      </c>
      <c r="K1143" s="6">
        <f t="shared" si="87"/>
        <v>141.0915</v>
      </c>
      <c r="L1143" s="6">
        <f t="shared" si="88"/>
        <v>179.571</v>
      </c>
      <c r="M1143" s="6">
        <f t="shared" si="89"/>
        <v>218.0505</v>
      </c>
    </row>
    <row r="1144" spans="1:13">
      <c r="A1144" t="s">
        <v>13</v>
      </c>
      <c r="B1144" t="s">
        <v>2235</v>
      </c>
      <c r="C1144" t="s">
        <v>2236</v>
      </c>
      <c r="D1144" t="s">
        <v>2236</v>
      </c>
      <c r="E1144" t="s">
        <v>2236</v>
      </c>
      <c r="F1144" t="s">
        <v>2236</v>
      </c>
      <c r="G1144" s="6">
        <v>196.96</v>
      </c>
      <c r="H1144" s="6"/>
      <c r="I1144" s="6">
        <f t="shared" si="85"/>
        <v>92.5712</v>
      </c>
      <c r="J1144" s="6">
        <f t="shared" si="86"/>
        <v>98.48</v>
      </c>
      <c r="K1144" s="6">
        <f t="shared" si="87"/>
        <v>108.328</v>
      </c>
      <c r="L1144" s="6">
        <f t="shared" si="88"/>
        <v>137.872</v>
      </c>
      <c r="M1144" s="6">
        <f t="shared" si="89"/>
        <v>167.416</v>
      </c>
    </row>
    <row r="1145" spans="1:13">
      <c r="A1145" t="s">
        <v>13</v>
      </c>
      <c r="B1145" t="s">
        <v>2237</v>
      </c>
      <c r="C1145" t="s">
        <v>2238</v>
      </c>
      <c r="D1145" t="s">
        <v>2238</v>
      </c>
      <c r="E1145" t="s">
        <v>2238</v>
      </c>
      <c r="F1145" t="s">
        <v>2238</v>
      </c>
      <c r="G1145" s="6">
        <v>216.44</v>
      </c>
      <c r="H1145" s="6"/>
      <c r="I1145" s="6">
        <f t="shared" si="85"/>
        <v>101.7268</v>
      </c>
      <c r="J1145" s="6">
        <f t="shared" si="86"/>
        <v>108.22</v>
      </c>
      <c r="K1145" s="6">
        <f t="shared" si="87"/>
        <v>119.042</v>
      </c>
      <c r="L1145" s="6">
        <f t="shared" si="88"/>
        <v>151.508</v>
      </c>
      <c r="M1145" s="6">
        <f t="shared" si="89"/>
        <v>183.974</v>
      </c>
    </row>
    <row r="1146" spans="1:13">
      <c r="A1146" t="s">
        <v>13</v>
      </c>
      <c r="B1146" t="s">
        <v>2239</v>
      </c>
      <c r="C1146" t="s">
        <v>2240</v>
      </c>
      <c r="D1146" t="s">
        <v>2240</v>
      </c>
      <c r="E1146" t="s">
        <v>2240</v>
      </c>
      <c r="F1146" t="s">
        <v>2240</v>
      </c>
      <c r="G1146" s="6">
        <v>369.65</v>
      </c>
      <c r="H1146" s="6"/>
      <c r="I1146" s="6">
        <f t="shared" si="85"/>
        <v>173.7355</v>
      </c>
      <c r="J1146" s="6">
        <f t="shared" si="86"/>
        <v>184.825</v>
      </c>
      <c r="K1146" s="6">
        <f t="shared" si="87"/>
        <v>203.3075</v>
      </c>
      <c r="L1146" s="6">
        <f t="shared" si="88"/>
        <v>258.755</v>
      </c>
      <c r="M1146" s="6">
        <f t="shared" si="89"/>
        <v>314.2025</v>
      </c>
    </row>
    <row r="1147" spans="1:13">
      <c r="A1147" t="s">
        <v>13</v>
      </c>
      <c r="B1147" t="s">
        <v>2241</v>
      </c>
      <c r="C1147" t="s">
        <v>2242</v>
      </c>
      <c r="D1147" t="s">
        <v>2242</v>
      </c>
      <c r="E1147" t="s">
        <v>2242</v>
      </c>
      <c r="F1147" t="s">
        <v>2242</v>
      </c>
      <c r="G1147" s="6">
        <v>389.23</v>
      </c>
      <c r="H1147" s="6"/>
      <c r="I1147" s="6">
        <f t="shared" si="85"/>
        <v>182.9381</v>
      </c>
      <c r="J1147" s="6">
        <f t="shared" si="86"/>
        <v>194.615</v>
      </c>
      <c r="K1147" s="6">
        <f t="shared" si="87"/>
        <v>214.0765</v>
      </c>
      <c r="L1147" s="6">
        <f t="shared" si="88"/>
        <v>272.461</v>
      </c>
      <c r="M1147" s="6">
        <f t="shared" si="89"/>
        <v>330.8455</v>
      </c>
    </row>
    <row r="1148" spans="1:13">
      <c r="A1148" t="s">
        <v>13</v>
      </c>
      <c r="B1148" t="s">
        <v>2243</v>
      </c>
      <c r="C1148" t="s">
        <v>2244</v>
      </c>
      <c r="D1148" t="s">
        <v>2244</v>
      </c>
      <c r="E1148" t="s">
        <v>2244</v>
      </c>
      <c r="F1148" t="s">
        <v>2244</v>
      </c>
      <c r="G1148" s="6">
        <v>268.77</v>
      </c>
      <c r="H1148" s="6"/>
      <c r="I1148" s="6">
        <f t="shared" si="85"/>
        <v>126.3219</v>
      </c>
      <c r="J1148" s="6">
        <f t="shared" si="86"/>
        <v>134.385</v>
      </c>
      <c r="K1148" s="6">
        <f t="shared" si="87"/>
        <v>147.8235</v>
      </c>
      <c r="L1148" s="6">
        <f t="shared" si="88"/>
        <v>188.139</v>
      </c>
      <c r="M1148" s="6">
        <f t="shared" si="89"/>
        <v>228.4545</v>
      </c>
    </row>
    <row r="1149" spans="1:13">
      <c r="A1149" t="s">
        <v>13</v>
      </c>
      <c r="B1149" t="s">
        <v>2245</v>
      </c>
      <c r="C1149" t="s">
        <v>2246</v>
      </c>
      <c r="D1149" t="s">
        <v>2246</v>
      </c>
      <c r="E1149" t="s">
        <v>2246</v>
      </c>
      <c r="F1149" t="s">
        <v>2246</v>
      </c>
      <c r="G1149" s="6">
        <v>299.17</v>
      </c>
      <c r="H1149" s="6"/>
      <c r="I1149" s="6">
        <f t="shared" si="85"/>
        <v>140.6099</v>
      </c>
      <c r="J1149" s="6">
        <f t="shared" si="86"/>
        <v>149.585</v>
      </c>
      <c r="K1149" s="6">
        <f t="shared" si="87"/>
        <v>164.5435</v>
      </c>
      <c r="L1149" s="6">
        <f t="shared" si="88"/>
        <v>209.419</v>
      </c>
      <c r="M1149" s="6">
        <f t="shared" si="89"/>
        <v>254.2945</v>
      </c>
    </row>
    <row r="1150" spans="1:13">
      <c r="A1150" t="s">
        <v>13</v>
      </c>
      <c r="B1150" t="s">
        <v>2247</v>
      </c>
      <c r="C1150" t="s">
        <v>2248</v>
      </c>
      <c r="D1150" t="s">
        <v>2248</v>
      </c>
      <c r="E1150" t="s">
        <v>2248</v>
      </c>
      <c r="F1150" t="s">
        <v>2248</v>
      </c>
      <c r="G1150" s="6">
        <v>522.95</v>
      </c>
      <c r="H1150" s="6"/>
      <c r="I1150" s="6">
        <f t="shared" si="85"/>
        <v>245.7865</v>
      </c>
      <c r="J1150" s="6">
        <f t="shared" si="86"/>
        <v>261.475</v>
      </c>
      <c r="K1150" s="6">
        <f t="shared" si="87"/>
        <v>287.6225</v>
      </c>
      <c r="L1150" s="6">
        <f t="shared" si="88"/>
        <v>366.065</v>
      </c>
      <c r="M1150" s="6">
        <f t="shared" si="89"/>
        <v>444.5075</v>
      </c>
    </row>
    <row r="1151" spans="1:13">
      <c r="A1151" t="s">
        <v>13</v>
      </c>
      <c r="B1151" t="s">
        <v>2249</v>
      </c>
      <c r="C1151" t="s">
        <v>2250</v>
      </c>
      <c r="D1151" t="s">
        <v>2250</v>
      </c>
      <c r="E1151" t="s">
        <v>2250</v>
      </c>
      <c r="F1151" t="s">
        <v>2250</v>
      </c>
      <c r="G1151" s="6">
        <v>560.69</v>
      </c>
      <c r="H1151" s="6"/>
      <c r="I1151" s="6">
        <f t="shared" si="85"/>
        <v>263.5243</v>
      </c>
      <c r="J1151" s="6">
        <f t="shared" si="86"/>
        <v>280.345</v>
      </c>
      <c r="K1151" s="6">
        <f t="shared" si="87"/>
        <v>308.3795</v>
      </c>
      <c r="L1151" s="6">
        <f t="shared" si="88"/>
        <v>392.483</v>
      </c>
      <c r="M1151" s="6">
        <f t="shared" si="89"/>
        <v>476.5865</v>
      </c>
    </row>
    <row r="1152" spans="1:13">
      <c r="A1152" t="s">
        <v>13</v>
      </c>
      <c r="B1152" t="s">
        <v>2251</v>
      </c>
      <c r="C1152" t="s">
        <v>2252</v>
      </c>
      <c r="D1152" t="s">
        <v>2252</v>
      </c>
      <c r="E1152" t="s">
        <v>2252</v>
      </c>
      <c r="F1152" t="s">
        <v>2252</v>
      </c>
      <c r="G1152" s="6">
        <v>832.01</v>
      </c>
      <c r="H1152" s="6"/>
      <c r="I1152" s="6">
        <f t="shared" si="85"/>
        <v>391.0447</v>
      </c>
      <c r="J1152" s="6">
        <f t="shared" si="86"/>
        <v>416.005</v>
      </c>
      <c r="K1152" s="6">
        <f t="shared" si="87"/>
        <v>457.6055</v>
      </c>
      <c r="L1152" s="6">
        <f t="shared" si="88"/>
        <v>582.407</v>
      </c>
      <c r="M1152" s="6">
        <f t="shared" si="89"/>
        <v>707.2085</v>
      </c>
    </row>
    <row r="1153" spans="1:13">
      <c r="A1153" t="s">
        <v>13</v>
      </c>
      <c r="B1153" t="s">
        <v>2253</v>
      </c>
      <c r="C1153" t="s">
        <v>2254</v>
      </c>
      <c r="D1153" t="s">
        <v>2254</v>
      </c>
      <c r="E1153" t="s">
        <v>2254</v>
      </c>
      <c r="F1153" t="s">
        <v>2254</v>
      </c>
      <c r="G1153" s="6">
        <v>888.93</v>
      </c>
      <c r="H1153" s="6"/>
      <c r="I1153" s="6">
        <f t="shared" si="85"/>
        <v>417.7971</v>
      </c>
      <c r="J1153" s="6">
        <f t="shared" si="86"/>
        <v>444.465</v>
      </c>
      <c r="K1153" s="6">
        <f t="shared" si="87"/>
        <v>488.9115</v>
      </c>
      <c r="L1153" s="6">
        <f t="shared" si="88"/>
        <v>622.251</v>
      </c>
      <c r="M1153" s="6">
        <f t="shared" si="89"/>
        <v>755.5905</v>
      </c>
    </row>
    <row r="1154" spans="1:13">
      <c r="A1154" t="s">
        <v>13</v>
      </c>
      <c r="B1154" t="s">
        <v>2255</v>
      </c>
      <c r="C1154" t="s">
        <v>2256</v>
      </c>
      <c r="D1154" t="s">
        <v>2256</v>
      </c>
      <c r="E1154" t="s">
        <v>2256</v>
      </c>
      <c r="F1154" t="s">
        <v>2256</v>
      </c>
      <c r="G1154" s="6">
        <v>30.14</v>
      </c>
      <c r="H1154" s="6"/>
      <c r="I1154" s="6">
        <f t="shared" si="85"/>
        <v>14.1658</v>
      </c>
      <c r="J1154" s="6">
        <f t="shared" si="86"/>
        <v>15.07</v>
      </c>
      <c r="K1154" s="6">
        <f t="shared" si="87"/>
        <v>16.577</v>
      </c>
      <c r="L1154" s="6">
        <f t="shared" si="88"/>
        <v>21.098</v>
      </c>
      <c r="M1154" s="6">
        <f t="shared" si="89"/>
        <v>25.619</v>
      </c>
    </row>
    <row r="1155" spans="1:13">
      <c r="A1155" t="s">
        <v>13</v>
      </c>
      <c r="B1155" t="s">
        <v>2257</v>
      </c>
      <c r="C1155" t="s">
        <v>2258</v>
      </c>
      <c r="D1155" t="s">
        <v>2258</v>
      </c>
      <c r="E1155" t="s">
        <v>2258</v>
      </c>
      <c r="F1155" t="s">
        <v>2258</v>
      </c>
      <c r="G1155" s="6">
        <v>35.19</v>
      </c>
      <c r="H1155" s="6"/>
      <c r="I1155" s="6">
        <f t="shared" si="85"/>
        <v>16.5393</v>
      </c>
      <c r="J1155" s="6">
        <f t="shared" si="86"/>
        <v>17.595</v>
      </c>
      <c r="K1155" s="6">
        <f t="shared" si="87"/>
        <v>19.3545</v>
      </c>
      <c r="L1155" s="6">
        <f t="shared" si="88"/>
        <v>24.633</v>
      </c>
      <c r="M1155" s="6">
        <f t="shared" si="89"/>
        <v>29.9115</v>
      </c>
    </row>
    <row r="1156" spans="1:13">
      <c r="A1156" t="s">
        <v>13</v>
      </c>
      <c r="B1156" t="s">
        <v>2259</v>
      </c>
      <c r="C1156" t="s">
        <v>2260</v>
      </c>
      <c r="D1156" t="s">
        <v>2260</v>
      </c>
      <c r="E1156" t="s">
        <v>2260</v>
      </c>
      <c r="F1156" t="s">
        <v>2260</v>
      </c>
      <c r="G1156" s="6">
        <v>28.98</v>
      </c>
      <c r="H1156" s="6"/>
      <c r="I1156" s="6">
        <f t="shared" ref="I1156:I1219" si="90">G1156*0.47</f>
        <v>13.6206</v>
      </c>
      <c r="J1156" s="6">
        <f t="shared" ref="J1156:J1219" si="91">G1156*0.5</f>
        <v>14.49</v>
      </c>
      <c r="K1156" s="6">
        <f t="shared" ref="K1156:K1219" si="92">G1156*0.55</f>
        <v>15.939</v>
      </c>
      <c r="L1156" s="6">
        <f t="shared" ref="L1156:L1219" si="93">G1156*0.7</f>
        <v>20.286</v>
      </c>
      <c r="M1156" s="6">
        <f t="shared" ref="M1156:M1219" si="94">G1156*0.85</f>
        <v>24.633</v>
      </c>
    </row>
    <row r="1157" spans="1:13">
      <c r="A1157" t="s">
        <v>13</v>
      </c>
      <c r="B1157" t="s">
        <v>2261</v>
      </c>
      <c r="C1157" t="s">
        <v>2262</v>
      </c>
      <c r="D1157" t="s">
        <v>2262</v>
      </c>
      <c r="E1157" t="s">
        <v>2262</v>
      </c>
      <c r="F1157" t="s">
        <v>2262</v>
      </c>
      <c r="G1157" s="6">
        <v>39.07</v>
      </c>
      <c r="H1157" s="6"/>
      <c r="I1157" s="6">
        <f t="shared" si="90"/>
        <v>18.3629</v>
      </c>
      <c r="J1157" s="6">
        <f t="shared" si="91"/>
        <v>19.535</v>
      </c>
      <c r="K1157" s="6">
        <f t="shared" si="92"/>
        <v>21.4885</v>
      </c>
      <c r="L1157" s="6">
        <f t="shared" si="93"/>
        <v>27.349</v>
      </c>
      <c r="M1157" s="6">
        <f t="shared" si="94"/>
        <v>33.2095</v>
      </c>
    </row>
    <row r="1158" spans="1:13">
      <c r="A1158" t="s">
        <v>13</v>
      </c>
      <c r="B1158" t="s">
        <v>2263</v>
      </c>
      <c r="C1158" t="s">
        <v>2264</v>
      </c>
      <c r="D1158" t="s">
        <v>2264</v>
      </c>
      <c r="E1158" t="s">
        <v>2264</v>
      </c>
      <c r="F1158" t="s">
        <v>2264</v>
      </c>
      <c r="G1158" s="6">
        <v>46.82</v>
      </c>
      <c r="H1158" s="6"/>
      <c r="I1158" s="6">
        <f t="shared" si="90"/>
        <v>22.0054</v>
      </c>
      <c r="J1158" s="6">
        <f t="shared" si="91"/>
        <v>23.41</v>
      </c>
      <c r="K1158" s="6">
        <f t="shared" si="92"/>
        <v>25.751</v>
      </c>
      <c r="L1158" s="6">
        <f t="shared" si="93"/>
        <v>32.774</v>
      </c>
      <c r="M1158" s="6">
        <f t="shared" si="94"/>
        <v>39.797</v>
      </c>
    </row>
    <row r="1159" spans="1:13">
      <c r="A1159" t="s">
        <v>13</v>
      </c>
      <c r="B1159" t="s">
        <v>2265</v>
      </c>
      <c r="C1159" t="s">
        <v>2266</v>
      </c>
      <c r="D1159" t="s">
        <v>2266</v>
      </c>
      <c r="E1159" t="s">
        <v>2266</v>
      </c>
      <c r="F1159" t="s">
        <v>2266</v>
      </c>
      <c r="G1159" s="6">
        <v>12.24</v>
      </c>
      <c r="H1159" s="6"/>
      <c r="I1159" s="6">
        <f t="shared" si="90"/>
        <v>5.7528</v>
      </c>
      <c r="J1159" s="6">
        <f t="shared" si="91"/>
        <v>6.12</v>
      </c>
      <c r="K1159" s="6">
        <f t="shared" si="92"/>
        <v>6.732</v>
      </c>
      <c r="L1159" s="6">
        <f t="shared" si="93"/>
        <v>8.568</v>
      </c>
      <c r="M1159" s="6">
        <f t="shared" si="94"/>
        <v>10.404</v>
      </c>
    </row>
    <row r="1160" spans="1:13">
      <c r="A1160" t="s">
        <v>13</v>
      </c>
      <c r="B1160" t="s">
        <v>2267</v>
      </c>
      <c r="C1160" t="s">
        <v>2268</v>
      </c>
      <c r="D1160" t="s">
        <v>2268</v>
      </c>
      <c r="E1160" t="s">
        <v>2268</v>
      </c>
      <c r="F1160" t="s">
        <v>2268</v>
      </c>
      <c r="G1160" s="6">
        <v>37.43</v>
      </c>
      <c r="H1160" s="6"/>
      <c r="I1160" s="6">
        <f t="shared" si="90"/>
        <v>17.5921</v>
      </c>
      <c r="J1160" s="6">
        <f t="shared" si="91"/>
        <v>18.715</v>
      </c>
      <c r="K1160" s="6">
        <f t="shared" si="92"/>
        <v>20.5865</v>
      </c>
      <c r="L1160" s="6">
        <f t="shared" si="93"/>
        <v>26.201</v>
      </c>
      <c r="M1160" s="6">
        <f t="shared" si="94"/>
        <v>31.8155</v>
      </c>
    </row>
    <row r="1161" spans="1:13">
      <c r="A1161" t="s">
        <v>13</v>
      </c>
      <c r="B1161" t="s">
        <v>2269</v>
      </c>
      <c r="C1161" t="s">
        <v>2270</v>
      </c>
      <c r="D1161" t="s">
        <v>2270</v>
      </c>
      <c r="E1161" t="s">
        <v>2270</v>
      </c>
      <c r="F1161" t="s">
        <v>2270</v>
      </c>
      <c r="G1161" s="6">
        <v>51.1</v>
      </c>
      <c r="H1161" s="6"/>
      <c r="I1161" s="6">
        <f t="shared" si="90"/>
        <v>24.017</v>
      </c>
      <c r="J1161" s="6">
        <f t="shared" si="91"/>
        <v>25.55</v>
      </c>
      <c r="K1161" s="6">
        <f t="shared" si="92"/>
        <v>28.105</v>
      </c>
      <c r="L1161" s="6">
        <f t="shared" si="93"/>
        <v>35.77</v>
      </c>
      <c r="M1161" s="6">
        <f t="shared" si="94"/>
        <v>43.435</v>
      </c>
    </row>
    <row r="1162" spans="1:13">
      <c r="A1162" t="s">
        <v>13</v>
      </c>
      <c r="B1162" t="s">
        <v>2271</v>
      </c>
      <c r="C1162" t="s">
        <v>2272</v>
      </c>
      <c r="D1162" t="s">
        <v>2272</v>
      </c>
      <c r="E1162" t="s">
        <v>2272</v>
      </c>
      <c r="F1162" t="s">
        <v>2272</v>
      </c>
      <c r="G1162" s="6">
        <v>61.2</v>
      </c>
      <c r="H1162" s="6"/>
      <c r="I1162" s="6">
        <f t="shared" si="90"/>
        <v>28.764</v>
      </c>
      <c r="J1162" s="6">
        <f t="shared" si="91"/>
        <v>30.6</v>
      </c>
      <c r="K1162" s="6">
        <f t="shared" si="92"/>
        <v>33.66</v>
      </c>
      <c r="L1162" s="6">
        <f t="shared" si="93"/>
        <v>42.84</v>
      </c>
      <c r="M1162" s="6">
        <f t="shared" si="94"/>
        <v>52.02</v>
      </c>
    </row>
    <row r="1163" spans="1:13">
      <c r="A1163" t="s">
        <v>13</v>
      </c>
      <c r="B1163" t="s">
        <v>2273</v>
      </c>
      <c r="C1163" t="s">
        <v>2274</v>
      </c>
      <c r="D1163" t="s">
        <v>2274</v>
      </c>
      <c r="E1163" t="s">
        <v>2274</v>
      </c>
      <c r="F1163" t="s">
        <v>2274</v>
      </c>
      <c r="G1163" s="6">
        <v>14.48</v>
      </c>
      <c r="H1163" s="6"/>
      <c r="I1163" s="6">
        <f t="shared" si="90"/>
        <v>6.8056</v>
      </c>
      <c r="J1163" s="6">
        <f t="shared" si="91"/>
        <v>7.24</v>
      </c>
      <c r="K1163" s="6">
        <f t="shared" si="92"/>
        <v>7.964</v>
      </c>
      <c r="L1163" s="6">
        <f t="shared" si="93"/>
        <v>10.136</v>
      </c>
      <c r="M1163" s="6">
        <f t="shared" si="94"/>
        <v>12.308</v>
      </c>
    </row>
    <row r="1164" spans="1:13">
      <c r="A1164" t="s">
        <v>13</v>
      </c>
      <c r="B1164" t="s">
        <v>2275</v>
      </c>
      <c r="C1164" t="s">
        <v>2276</v>
      </c>
      <c r="D1164" t="s">
        <v>2276</v>
      </c>
      <c r="E1164" t="s">
        <v>2276</v>
      </c>
      <c r="F1164" t="s">
        <v>2276</v>
      </c>
      <c r="G1164" s="6">
        <v>58.96</v>
      </c>
      <c r="H1164" s="6"/>
      <c r="I1164" s="6">
        <f t="shared" si="90"/>
        <v>27.7112</v>
      </c>
      <c r="J1164" s="6">
        <f t="shared" si="91"/>
        <v>29.48</v>
      </c>
      <c r="K1164" s="6">
        <f t="shared" si="92"/>
        <v>32.428</v>
      </c>
      <c r="L1164" s="6">
        <f t="shared" si="93"/>
        <v>41.272</v>
      </c>
      <c r="M1164" s="6">
        <f t="shared" si="94"/>
        <v>50.116</v>
      </c>
    </row>
    <row r="1165" spans="1:13">
      <c r="A1165" t="s">
        <v>13</v>
      </c>
      <c r="B1165" t="s">
        <v>2277</v>
      </c>
      <c r="C1165" t="s">
        <v>2278</v>
      </c>
      <c r="D1165" t="s">
        <v>2278</v>
      </c>
      <c r="E1165" t="s">
        <v>2278</v>
      </c>
      <c r="F1165" t="s">
        <v>2278</v>
      </c>
      <c r="G1165" s="6">
        <v>49.06</v>
      </c>
      <c r="H1165" s="6"/>
      <c r="I1165" s="6">
        <f t="shared" si="90"/>
        <v>23.0582</v>
      </c>
      <c r="J1165" s="6">
        <f t="shared" si="91"/>
        <v>24.53</v>
      </c>
      <c r="K1165" s="6">
        <f t="shared" si="92"/>
        <v>26.983</v>
      </c>
      <c r="L1165" s="6">
        <f t="shared" si="93"/>
        <v>34.342</v>
      </c>
      <c r="M1165" s="6">
        <f t="shared" si="94"/>
        <v>41.701</v>
      </c>
    </row>
    <row r="1166" spans="1:13">
      <c r="A1166" t="s">
        <v>13</v>
      </c>
      <c r="B1166" t="s">
        <v>2279</v>
      </c>
      <c r="C1166" t="s">
        <v>2280</v>
      </c>
      <c r="D1166" t="s">
        <v>2280</v>
      </c>
      <c r="E1166" t="s">
        <v>2280</v>
      </c>
      <c r="F1166" t="s">
        <v>2280</v>
      </c>
      <c r="G1166" s="6">
        <v>68.14</v>
      </c>
      <c r="H1166" s="6"/>
      <c r="I1166" s="6">
        <f t="shared" si="90"/>
        <v>32.0258</v>
      </c>
      <c r="J1166" s="6">
        <f t="shared" si="91"/>
        <v>34.07</v>
      </c>
      <c r="K1166" s="6">
        <f t="shared" si="92"/>
        <v>37.477</v>
      </c>
      <c r="L1166" s="6">
        <f t="shared" si="93"/>
        <v>47.698</v>
      </c>
      <c r="M1166" s="6">
        <f t="shared" si="94"/>
        <v>57.919</v>
      </c>
    </row>
    <row r="1167" spans="1:13">
      <c r="A1167" t="s">
        <v>13</v>
      </c>
      <c r="B1167" t="s">
        <v>2281</v>
      </c>
      <c r="C1167" t="s">
        <v>2282</v>
      </c>
      <c r="D1167" t="s">
        <v>2282</v>
      </c>
      <c r="E1167" t="s">
        <v>2282</v>
      </c>
      <c r="F1167" t="s">
        <v>2282</v>
      </c>
      <c r="G1167" s="6">
        <v>82.82</v>
      </c>
      <c r="H1167" s="6"/>
      <c r="I1167" s="6">
        <f t="shared" si="90"/>
        <v>38.9254</v>
      </c>
      <c r="J1167" s="6">
        <f t="shared" si="91"/>
        <v>41.41</v>
      </c>
      <c r="K1167" s="6">
        <f t="shared" si="92"/>
        <v>45.551</v>
      </c>
      <c r="L1167" s="6">
        <f t="shared" si="93"/>
        <v>57.974</v>
      </c>
      <c r="M1167" s="6">
        <f t="shared" si="94"/>
        <v>70.397</v>
      </c>
    </row>
    <row r="1168" spans="1:13">
      <c r="A1168" t="s">
        <v>13</v>
      </c>
      <c r="B1168" t="s">
        <v>2283</v>
      </c>
      <c r="C1168" t="s">
        <v>2284</v>
      </c>
      <c r="D1168" t="s">
        <v>2284</v>
      </c>
      <c r="E1168" t="s">
        <v>2284</v>
      </c>
      <c r="F1168" t="s">
        <v>2284</v>
      </c>
      <c r="G1168" s="6">
        <v>18.26</v>
      </c>
      <c r="H1168" s="6"/>
      <c r="I1168" s="6">
        <f t="shared" si="90"/>
        <v>8.5822</v>
      </c>
      <c r="J1168" s="6">
        <f t="shared" si="91"/>
        <v>9.13</v>
      </c>
      <c r="K1168" s="6">
        <f t="shared" si="92"/>
        <v>10.043</v>
      </c>
      <c r="L1168" s="6">
        <f t="shared" si="93"/>
        <v>12.782</v>
      </c>
      <c r="M1168" s="6">
        <f t="shared" si="94"/>
        <v>15.521</v>
      </c>
    </row>
    <row r="1169" spans="1:13">
      <c r="A1169" t="s">
        <v>13</v>
      </c>
      <c r="B1169" t="s">
        <v>2285</v>
      </c>
      <c r="C1169" t="s">
        <v>2286</v>
      </c>
      <c r="D1169" t="s">
        <v>2286</v>
      </c>
      <c r="E1169" t="s">
        <v>2286</v>
      </c>
      <c r="F1169" t="s">
        <v>2286</v>
      </c>
      <c r="G1169" s="6">
        <v>79.15</v>
      </c>
      <c r="H1169" s="6"/>
      <c r="I1169" s="6">
        <f t="shared" si="90"/>
        <v>37.2005</v>
      </c>
      <c r="J1169" s="6">
        <f t="shared" si="91"/>
        <v>39.575</v>
      </c>
      <c r="K1169" s="6">
        <f t="shared" si="92"/>
        <v>43.5325</v>
      </c>
      <c r="L1169" s="6">
        <f t="shared" si="93"/>
        <v>55.405</v>
      </c>
      <c r="M1169" s="6">
        <f t="shared" si="94"/>
        <v>67.2775</v>
      </c>
    </row>
    <row r="1170" spans="1:13">
      <c r="A1170" t="s">
        <v>13</v>
      </c>
      <c r="B1170" t="s">
        <v>2287</v>
      </c>
      <c r="C1170" t="s">
        <v>2288</v>
      </c>
      <c r="D1170" t="s">
        <v>2288</v>
      </c>
      <c r="E1170" t="s">
        <v>2288</v>
      </c>
      <c r="F1170" t="s">
        <v>2288</v>
      </c>
      <c r="G1170" s="6">
        <v>65.48</v>
      </c>
      <c r="H1170" s="6"/>
      <c r="I1170" s="6">
        <f t="shared" si="90"/>
        <v>30.7756</v>
      </c>
      <c r="J1170" s="6">
        <f t="shared" si="91"/>
        <v>32.74</v>
      </c>
      <c r="K1170" s="6">
        <f t="shared" si="92"/>
        <v>36.014</v>
      </c>
      <c r="L1170" s="6">
        <f t="shared" si="93"/>
        <v>45.836</v>
      </c>
      <c r="M1170" s="6">
        <f t="shared" si="94"/>
        <v>55.658</v>
      </c>
    </row>
    <row r="1171" spans="1:13">
      <c r="A1171" t="s">
        <v>13</v>
      </c>
      <c r="B1171" t="s">
        <v>2289</v>
      </c>
      <c r="C1171" t="s">
        <v>2290</v>
      </c>
      <c r="D1171" t="s">
        <v>2290</v>
      </c>
      <c r="E1171" t="s">
        <v>2290</v>
      </c>
      <c r="F1171" t="s">
        <v>2290</v>
      </c>
      <c r="G1171" s="6">
        <v>85.17</v>
      </c>
      <c r="H1171" s="6"/>
      <c r="I1171" s="6">
        <f t="shared" si="90"/>
        <v>40.0299</v>
      </c>
      <c r="J1171" s="6">
        <f t="shared" si="91"/>
        <v>42.585</v>
      </c>
      <c r="K1171" s="6">
        <f t="shared" si="92"/>
        <v>46.8435</v>
      </c>
      <c r="L1171" s="6">
        <f t="shared" si="93"/>
        <v>59.619</v>
      </c>
      <c r="M1171" s="6">
        <f t="shared" si="94"/>
        <v>72.3945</v>
      </c>
    </row>
    <row r="1172" spans="1:13">
      <c r="A1172" t="s">
        <v>13</v>
      </c>
      <c r="B1172" t="s">
        <v>2291</v>
      </c>
      <c r="C1172" t="s">
        <v>2292</v>
      </c>
      <c r="D1172" t="s">
        <v>2292</v>
      </c>
      <c r="E1172" t="s">
        <v>2292</v>
      </c>
      <c r="F1172" t="s">
        <v>2292</v>
      </c>
      <c r="G1172" s="6">
        <v>23.26</v>
      </c>
      <c r="H1172" s="6"/>
      <c r="I1172" s="6">
        <f t="shared" si="90"/>
        <v>10.9322</v>
      </c>
      <c r="J1172" s="6">
        <f t="shared" si="91"/>
        <v>11.63</v>
      </c>
      <c r="K1172" s="6">
        <f t="shared" si="92"/>
        <v>12.793</v>
      </c>
      <c r="L1172" s="6">
        <f t="shared" si="93"/>
        <v>16.282</v>
      </c>
      <c r="M1172" s="6">
        <f t="shared" si="94"/>
        <v>19.771</v>
      </c>
    </row>
    <row r="1173" spans="1:13">
      <c r="A1173" t="s">
        <v>13</v>
      </c>
      <c r="B1173" t="s">
        <v>2293</v>
      </c>
      <c r="C1173" t="s">
        <v>2294</v>
      </c>
      <c r="D1173" t="s">
        <v>2294</v>
      </c>
      <c r="E1173" t="s">
        <v>2294</v>
      </c>
      <c r="F1173" t="s">
        <v>2294</v>
      </c>
      <c r="G1173" s="6">
        <v>158.2</v>
      </c>
      <c r="H1173" s="6"/>
      <c r="I1173" s="6">
        <f t="shared" si="90"/>
        <v>74.354</v>
      </c>
      <c r="J1173" s="6">
        <f t="shared" si="91"/>
        <v>79.1</v>
      </c>
      <c r="K1173" s="6">
        <f t="shared" si="92"/>
        <v>87.01</v>
      </c>
      <c r="L1173" s="6">
        <f t="shared" si="93"/>
        <v>110.74</v>
      </c>
      <c r="M1173" s="6">
        <f t="shared" si="94"/>
        <v>134.47</v>
      </c>
    </row>
    <row r="1174" spans="1:13">
      <c r="A1174" t="s">
        <v>13</v>
      </c>
      <c r="B1174" t="s">
        <v>2295</v>
      </c>
      <c r="C1174" t="s">
        <v>2296</v>
      </c>
      <c r="D1174" t="s">
        <v>2296</v>
      </c>
      <c r="E1174" t="s">
        <v>2296</v>
      </c>
      <c r="F1174" t="s">
        <v>2296</v>
      </c>
      <c r="G1174" s="6">
        <v>28.15</v>
      </c>
      <c r="H1174" s="6"/>
      <c r="I1174" s="6">
        <f t="shared" si="90"/>
        <v>13.2305</v>
      </c>
      <c r="J1174" s="6">
        <f t="shared" si="91"/>
        <v>14.075</v>
      </c>
      <c r="K1174" s="6">
        <f t="shared" si="92"/>
        <v>15.4825</v>
      </c>
      <c r="L1174" s="6">
        <f t="shared" si="93"/>
        <v>19.705</v>
      </c>
      <c r="M1174" s="6">
        <f t="shared" si="94"/>
        <v>23.9275</v>
      </c>
    </row>
    <row r="1175" spans="1:13">
      <c r="A1175" t="s">
        <v>13</v>
      </c>
      <c r="B1175" t="s">
        <v>2297</v>
      </c>
      <c r="C1175" t="s">
        <v>2298</v>
      </c>
      <c r="D1175" t="s">
        <v>2298</v>
      </c>
      <c r="E1175" t="s">
        <v>2298</v>
      </c>
      <c r="F1175" t="s">
        <v>2298</v>
      </c>
      <c r="G1175" s="6">
        <v>275.4</v>
      </c>
      <c r="H1175" s="6"/>
      <c r="I1175" s="6">
        <f t="shared" si="90"/>
        <v>129.438</v>
      </c>
      <c r="J1175" s="6">
        <f t="shared" si="91"/>
        <v>137.7</v>
      </c>
      <c r="K1175" s="6">
        <f t="shared" si="92"/>
        <v>151.47</v>
      </c>
      <c r="L1175" s="6">
        <f t="shared" si="93"/>
        <v>192.78</v>
      </c>
      <c r="M1175" s="6">
        <f t="shared" si="94"/>
        <v>234.09</v>
      </c>
    </row>
    <row r="1176" spans="1:13">
      <c r="A1176" t="s">
        <v>13</v>
      </c>
      <c r="B1176" t="s">
        <v>2299</v>
      </c>
      <c r="C1176" t="s">
        <v>2300</v>
      </c>
      <c r="D1176" t="s">
        <v>2300</v>
      </c>
      <c r="E1176" t="s">
        <v>2300</v>
      </c>
      <c r="F1176" t="s">
        <v>2300</v>
      </c>
      <c r="G1176" s="6">
        <v>415.65</v>
      </c>
      <c r="H1176" s="6"/>
      <c r="I1176" s="6">
        <f t="shared" si="90"/>
        <v>195.3555</v>
      </c>
      <c r="J1176" s="6">
        <f t="shared" si="91"/>
        <v>207.825</v>
      </c>
      <c r="K1176" s="6">
        <f t="shared" si="92"/>
        <v>228.6075</v>
      </c>
      <c r="L1176" s="6">
        <f t="shared" si="93"/>
        <v>290.955</v>
      </c>
      <c r="M1176" s="6">
        <f t="shared" si="94"/>
        <v>353.3025</v>
      </c>
    </row>
    <row r="1177" spans="1:13">
      <c r="A1177" t="s">
        <v>13</v>
      </c>
      <c r="B1177" t="s">
        <v>2301</v>
      </c>
      <c r="C1177" t="s">
        <v>2302</v>
      </c>
      <c r="D1177" t="s">
        <v>2302</v>
      </c>
      <c r="E1177" t="s">
        <v>2302</v>
      </c>
      <c r="F1177" t="s">
        <v>2302</v>
      </c>
      <c r="G1177" s="6">
        <v>148.7</v>
      </c>
      <c r="H1177" s="6"/>
      <c r="I1177" s="6">
        <f t="shared" si="90"/>
        <v>69.889</v>
      </c>
      <c r="J1177" s="6">
        <f t="shared" si="91"/>
        <v>74.35</v>
      </c>
      <c r="K1177" s="6">
        <f t="shared" si="92"/>
        <v>81.785</v>
      </c>
      <c r="L1177" s="6">
        <f t="shared" si="93"/>
        <v>104.09</v>
      </c>
      <c r="M1177" s="6">
        <f t="shared" si="94"/>
        <v>126.395</v>
      </c>
    </row>
    <row r="1178" spans="1:13">
      <c r="A1178" t="s">
        <v>13</v>
      </c>
      <c r="B1178" t="s">
        <v>2303</v>
      </c>
      <c r="C1178" t="s">
        <v>2304</v>
      </c>
      <c r="D1178" t="s">
        <v>2304</v>
      </c>
      <c r="E1178" t="s">
        <v>2304</v>
      </c>
      <c r="F1178" t="s">
        <v>2304</v>
      </c>
      <c r="G1178" s="6">
        <v>148.7</v>
      </c>
      <c r="H1178" s="6"/>
      <c r="I1178" s="6">
        <f t="shared" si="90"/>
        <v>69.889</v>
      </c>
      <c r="J1178" s="6">
        <f t="shared" si="91"/>
        <v>74.35</v>
      </c>
      <c r="K1178" s="6">
        <f t="shared" si="92"/>
        <v>81.785</v>
      </c>
      <c r="L1178" s="6">
        <f t="shared" si="93"/>
        <v>104.09</v>
      </c>
      <c r="M1178" s="6">
        <f t="shared" si="94"/>
        <v>126.395</v>
      </c>
    </row>
    <row r="1179" spans="1:13">
      <c r="A1179" t="s">
        <v>13</v>
      </c>
      <c r="B1179" t="s">
        <v>2305</v>
      </c>
      <c r="C1179" t="s">
        <v>417</v>
      </c>
      <c r="D1179" t="s">
        <v>417</v>
      </c>
      <c r="E1179" t="s">
        <v>417</v>
      </c>
      <c r="F1179" t="s">
        <v>417</v>
      </c>
      <c r="G1179" s="6">
        <v>370</v>
      </c>
      <c r="H1179" s="6"/>
      <c r="I1179" s="6">
        <f t="shared" si="90"/>
        <v>173.9</v>
      </c>
      <c r="J1179" s="6">
        <f t="shared" si="91"/>
        <v>185</v>
      </c>
      <c r="K1179" s="6">
        <f t="shared" si="92"/>
        <v>203.5</v>
      </c>
      <c r="L1179" s="6">
        <f t="shared" si="93"/>
        <v>259</v>
      </c>
      <c r="M1179" s="6">
        <f t="shared" si="94"/>
        <v>314.5</v>
      </c>
    </row>
    <row r="1180" spans="1:13">
      <c r="A1180" t="s">
        <v>13</v>
      </c>
      <c r="B1180" t="s">
        <v>2306</v>
      </c>
      <c r="C1180" t="s">
        <v>2307</v>
      </c>
      <c r="D1180" t="s">
        <v>2307</v>
      </c>
      <c r="E1180" t="s">
        <v>2307</v>
      </c>
      <c r="F1180" t="s">
        <v>2307</v>
      </c>
      <c r="G1180" s="6">
        <v>52.84</v>
      </c>
      <c r="H1180" s="6"/>
      <c r="I1180" s="6">
        <f t="shared" si="90"/>
        <v>24.8348</v>
      </c>
      <c r="J1180" s="6">
        <f t="shared" si="91"/>
        <v>26.42</v>
      </c>
      <c r="K1180" s="6">
        <f t="shared" si="92"/>
        <v>29.062</v>
      </c>
      <c r="L1180" s="6">
        <f t="shared" si="93"/>
        <v>36.988</v>
      </c>
      <c r="M1180" s="6">
        <f t="shared" si="94"/>
        <v>44.914</v>
      </c>
    </row>
    <row r="1181" spans="1:13">
      <c r="A1181" t="s">
        <v>13</v>
      </c>
      <c r="B1181" t="s">
        <v>2308</v>
      </c>
      <c r="C1181" t="s">
        <v>2309</v>
      </c>
      <c r="D1181" t="s">
        <v>2309</v>
      </c>
      <c r="E1181" t="s">
        <v>2309</v>
      </c>
      <c r="F1181" t="s">
        <v>2309</v>
      </c>
      <c r="G1181" s="6">
        <v>62.02</v>
      </c>
      <c r="H1181" s="6"/>
      <c r="I1181" s="6">
        <f t="shared" si="90"/>
        <v>29.1494</v>
      </c>
      <c r="J1181" s="6">
        <f t="shared" si="91"/>
        <v>31.01</v>
      </c>
      <c r="K1181" s="6">
        <f t="shared" si="92"/>
        <v>34.111</v>
      </c>
      <c r="L1181" s="6">
        <f t="shared" si="93"/>
        <v>43.414</v>
      </c>
      <c r="M1181" s="6">
        <f t="shared" si="94"/>
        <v>52.717</v>
      </c>
    </row>
    <row r="1182" spans="1:13">
      <c r="A1182" t="s">
        <v>13</v>
      </c>
      <c r="B1182" t="s">
        <v>2310</v>
      </c>
      <c r="C1182" t="s">
        <v>2311</v>
      </c>
      <c r="D1182" t="s">
        <v>2311</v>
      </c>
      <c r="E1182" t="s">
        <v>2311</v>
      </c>
      <c r="F1182" t="s">
        <v>2311</v>
      </c>
      <c r="G1182" s="6">
        <v>68.24</v>
      </c>
      <c r="H1182" s="6"/>
      <c r="I1182" s="6">
        <f t="shared" si="90"/>
        <v>32.0728</v>
      </c>
      <c r="J1182" s="6">
        <f t="shared" si="91"/>
        <v>34.12</v>
      </c>
      <c r="K1182" s="6">
        <f t="shared" si="92"/>
        <v>37.532</v>
      </c>
      <c r="L1182" s="6">
        <f t="shared" si="93"/>
        <v>47.768</v>
      </c>
      <c r="M1182" s="6">
        <f t="shared" si="94"/>
        <v>58.004</v>
      </c>
    </row>
    <row r="1183" spans="1:13">
      <c r="A1183" t="s">
        <v>13</v>
      </c>
      <c r="B1183" t="s">
        <v>2312</v>
      </c>
      <c r="C1183" t="s">
        <v>2313</v>
      </c>
      <c r="D1183" t="s">
        <v>2313</v>
      </c>
      <c r="E1183" t="s">
        <v>2313</v>
      </c>
      <c r="F1183" t="s">
        <v>2313</v>
      </c>
      <c r="G1183" s="6">
        <v>13.77</v>
      </c>
      <c r="H1183" s="6"/>
      <c r="I1183" s="6">
        <f t="shared" si="90"/>
        <v>6.4719</v>
      </c>
      <c r="J1183" s="6">
        <f t="shared" si="91"/>
        <v>6.885</v>
      </c>
      <c r="K1183" s="6">
        <f t="shared" si="92"/>
        <v>7.5735</v>
      </c>
      <c r="L1183" s="6">
        <f t="shared" si="93"/>
        <v>9.639</v>
      </c>
      <c r="M1183" s="6">
        <f t="shared" si="94"/>
        <v>11.7045</v>
      </c>
    </row>
    <row r="1184" spans="1:13">
      <c r="A1184" t="s">
        <v>13</v>
      </c>
      <c r="B1184" t="s">
        <v>2314</v>
      </c>
      <c r="C1184" t="s">
        <v>2315</v>
      </c>
      <c r="D1184" t="s">
        <v>2315</v>
      </c>
      <c r="E1184" t="s">
        <v>2315</v>
      </c>
      <c r="F1184" t="s">
        <v>2315</v>
      </c>
      <c r="G1184" s="6">
        <v>15.91</v>
      </c>
      <c r="H1184" s="6"/>
      <c r="I1184" s="6">
        <f t="shared" si="90"/>
        <v>7.4777</v>
      </c>
      <c r="J1184" s="6">
        <f t="shared" si="91"/>
        <v>7.955</v>
      </c>
      <c r="K1184" s="6">
        <f t="shared" si="92"/>
        <v>8.7505</v>
      </c>
      <c r="L1184" s="6">
        <f t="shared" si="93"/>
        <v>11.137</v>
      </c>
      <c r="M1184" s="6">
        <f t="shared" si="94"/>
        <v>13.5235</v>
      </c>
    </row>
    <row r="1185" spans="1:13">
      <c r="A1185" t="s">
        <v>13</v>
      </c>
      <c r="B1185" t="s">
        <v>2316</v>
      </c>
      <c r="C1185" t="s">
        <v>2317</v>
      </c>
      <c r="D1185" t="s">
        <v>2317</v>
      </c>
      <c r="E1185" t="s">
        <v>2317</v>
      </c>
      <c r="F1185" t="s">
        <v>2317</v>
      </c>
      <c r="G1185" s="6">
        <v>35.29</v>
      </c>
      <c r="H1185" s="6"/>
      <c r="I1185" s="6">
        <f t="shared" si="90"/>
        <v>16.5863</v>
      </c>
      <c r="J1185" s="6">
        <f t="shared" si="91"/>
        <v>17.645</v>
      </c>
      <c r="K1185" s="6">
        <f t="shared" si="92"/>
        <v>19.4095</v>
      </c>
      <c r="L1185" s="6">
        <f t="shared" si="93"/>
        <v>24.703</v>
      </c>
      <c r="M1185" s="6">
        <f t="shared" si="94"/>
        <v>29.9965</v>
      </c>
    </row>
    <row r="1186" spans="1:13">
      <c r="A1186" t="s">
        <v>13</v>
      </c>
      <c r="B1186" t="s">
        <v>2318</v>
      </c>
      <c r="C1186" t="s">
        <v>2319</v>
      </c>
      <c r="D1186" t="s">
        <v>2319</v>
      </c>
      <c r="E1186" t="s">
        <v>2319</v>
      </c>
      <c r="F1186" t="s">
        <v>2319</v>
      </c>
      <c r="G1186" s="6">
        <v>18.56</v>
      </c>
      <c r="H1186" s="6"/>
      <c r="I1186" s="6">
        <f t="shared" si="90"/>
        <v>8.7232</v>
      </c>
      <c r="J1186" s="6">
        <f t="shared" si="91"/>
        <v>9.28</v>
      </c>
      <c r="K1186" s="6">
        <f t="shared" si="92"/>
        <v>10.208</v>
      </c>
      <c r="L1186" s="6">
        <f t="shared" si="93"/>
        <v>12.992</v>
      </c>
      <c r="M1186" s="6">
        <f t="shared" si="94"/>
        <v>15.776</v>
      </c>
    </row>
    <row r="1187" spans="1:13">
      <c r="A1187" t="s">
        <v>13</v>
      </c>
      <c r="B1187" t="s">
        <v>2320</v>
      </c>
      <c r="C1187" t="s">
        <v>2321</v>
      </c>
      <c r="D1187" t="s">
        <v>2321</v>
      </c>
      <c r="E1187" t="s">
        <v>2321</v>
      </c>
      <c r="F1187" t="s">
        <v>2321</v>
      </c>
      <c r="G1187" s="6">
        <v>28.87</v>
      </c>
      <c r="H1187" s="6"/>
      <c r="I1187" s="6">
        <f t="shared" si="90"/>
        <v>13.5689</v>
      </c>
      <c r="J1187" s="6">
        <f t="shared" si="91"/>
        <v>14.435</v>
      </c>
      <c r="K1187" s="6">
        <f t="shared" si="92"/>
        <v>15.8785</v>
      </c>
      <c r="L1187" s="6">
        <f t="shared" si="93"/>
        <v>20.209</v>
      </c>
      <c r="M1187" s="6">
        <f t="shared" si="94"/>
        <v>24.5395</v>
      </c>
    </row>
    <row r="1188" spans="1:13">
      <c r="A1188" t="s">
        <v>13</v>
      </c>
      <c r="B1188" t="s">
        <v>2322</v>
      </c>
      <c r="C1188" t="s">
        <v>2323</v>
      </c>
      <c r="D1188" t="s">
        <v>2323</v>
      </c>
      <c r="E1188" t="s">
        <v>2323</v>
      </c>
      <c r="F1188" t="s">
        <v>2323</v>
      </c>
      <c r="G1188" s="6">
        <v>78.65</v>
      </c>
      <c r="H1188" s="6"/>
      <c r="I1188" s="6">
        <f t="shared" si="90"/>
        <v>36.9655</v>
      </c>
      <c r="J1188" s="6">
        <f t="shared" si="91"/>
        <v>39.325</v>
      </c>
      <c r="K1188" s="6">
        <f t="shared" si="92"/>
        <v>43.2575</v>
      </c>
      <c r="L1188" s="6">
        <f t="shared" si="93"/>
        <v>55.055</v>
      </c>
      <c r="M1188" s="6">
        <f t="shared" si="94"/>
        <v>66.8525</v>
      </c>
    </row>
    <row r="1189" spans="1:13">
      <c r="A1189" t="s">
        <v>13</v>
      </c>
      <c r="B1189" t="s">
        <v>2324</v>
      </c>
      <c r="C1189" t="s">
        <v>2325</v>
      </c>
      <c r="D1189" t="s">
        <v>2325</v>
      </c>
      <c r="E1189" t="s">
        <v>2325</v>
      </c>
      <c r="F1189" t="s">
        <v>2325</v>
      </c>
      <c r="G1189" s="6">
        <v>38.25</v>
      </c>
      <c r="H1189" s="6"/>
      <c r="I1189" s="6">
        <f t="shared" si="90"/>
        <v>17.9775</v>
      </c>
      <c r="J1189" s="6">
        <f t="shared" si="91"/>
        <v>19.125</v>
      </c>
      <c r="K1189" s="6">
        <f t="shared" si="92"/>
        <v>21.0375</v>
      </c>
      <c r="L1189" s="6">
        <f t="shared" si="93"/>
        <v>26.775</v>
      </c>
      <c r="M1189" s="6">
        <f t="shared" si="94"/>
        <v>32.5125</v>
      </c>
    </row>
    <row r="1190" spans="1:13">
      <c r="A1190" t="s">
        <v>13</v>
      </c>
      <c r="B1190" t="s">
        <v>2326</v>
      </c>
      <c r="C1190" t="s">
        <v>2327</v>
      </c>
      <c r="D1190" t="s">
        <v>2327</v>
      </c>
      <c r="E1190" t="s">
        <v>2327</v>
      </c>
      <c r="F1190" t="s">
        <v>2327</v>
      </c>
      <c r="G1190" s="6">
        <v>47.63</v>
      </c>
      <c r="H1190" s="6"/>
      <c r="I1190" s="6">
        <f t="shared" si="90"/>
        <v>22.3861</v>
      </c>
      <c r="J1190" s="6">
        <f t="shared" si="91"/>
        <v>23.815</v>
      </c>
      <c r="K1190" s="6">
        <f t="shared" si="92"/>
        <v>26.1965</v>
      </c>
      <c r="L1190" s="6">
        <f t="shared" si="93"/>
        <v>33.341</v>
      </c>
      <c r="M1190" s="6">
        <f t="shared" si="94"/>
        <v>40.4855</v>
      </c>
    </row>
    <row r="1191" spans="1:13">
      <c r="A1191" t="s">
        <v>13</v>
      </c>
      <c r="B1191" t="s">
        <v>2328</v>
      </c>
      <c r="C1191" t="s">
        <v>2329</v>
      </c>
      <c r="D1191" t="s">
        <v>2329</v>
      </c>
      <c r="E1191" t="s">
        <v>2329</v>
      </c>
      <c r="F1191" t="s">
        <v>2329</v>
      </c>
      <c r="G1191" s="6">
        <v>103.75</v>
      </c>
      <c r="H1191" s="6"/>
      <c r="I1191" s="6">
        <f t="shared" si="90"/>
        <v>48.7625</v>
      </c>
      <c r="J1191" s="6">
        <f t="shared" si="91"/>
        <v>51.875</v>
      </c>
      <c r="K1191" s="6">
        <f t="shared" si="92"/>
        <v>57.0625</v>
      </c>
      <c r="L1191" s="6">
        <f t="shared" si="93"/>
        <v>72.625</v>
      </c>
      <c r="M1191" s="6">
        <f t="shared" si="94"/>
        <v>88.1875</v>
      </c>
    </row>
    <row r="1192" spans="1:13">
      <c r="A1192" t="s">
        <v>13</v>
      </c>
      <c r="B1192" t="s">
        <v>2330</v>
      </c>
      <c r="C1192" t="s">
        <v>2331</v>
      </c>
      <c r="D1192" t="s">
        <v>2331</v>
      </c>
      <c r="E1192" t="s">
        <v>2331</v>
      </c>
      <c r="F1192" t="s">
        <v>2331</v>
      </c>
      <c r="G1192" s="6">
        <v>24.38</v>
      </c>
      <c r="H1192" s="6"/>
      <c r="I1192" s="6">
        <f t="shared" si="90"/>
        <v>11.4586</v>
      </c>
      <c r="J1192" s="6">
        <f t="shared" si="91"/>
        <v>12.19</v>
      </c>
      <c r="K1192" s="6">
        <f t="shared" si="92"/>
        <v>13.409</v>
      </c>
      <c r="L1192" s="6">
        <f t="shared" si="93"/>
        <v>17.066</v>
      </c>
      <c r="M1192" s="6">
        <f t="shared" si="94"/>
        <v>20.723</v>
      </c>
    </row>
    <row r="1193" spans="1:13">
      <c r="A1193" t="s">
        <v>13</v>
      </c>
      <c r="B1193" t="s">
        <v>2332</v>
      </c>
      <c r="C1193" t="s">
        <v>2333</v>
      </c>
      <c r="D1193" t="s">
        <v>2333</v>
      </c>
      <c r="E1193" t="s">
        <v>2333</v>
      </c>
      <c r="F1193" t="s">
        <v>2333</v>
      </c>
      <c r="G1193" s="6">
        <v>36</v>
      </c>
      <c r="H1193" s="6"/>
      <c r="I1193" s="6">
        <f t="shared" si="90"/>
        <v>16.92</v>
      </c>
      <c r="J1193" s="6">
        <f t="shared" si="91"/>
        <v>18</v>
      </c>
      <c r="K1193" s="6">
        <f t="shared" si="92"/>
        <v>19.8</v>
      </c>
      <c r="L1193" s="6">
        <f t="shared" si="93"/>
        <v>25.2</v>
      </c>
      <c r="M1193" s="6">
        <f t="shared" si="94"/>
        <v>30.6</v>
      </c>
    </row>
    <row r="1194" spans="1:13">
      <c r="A1194" t="s">
        <v>13</v>
      </c>
      <c r="B1194" t="s">
        <v>2334</v>
      </c>
      <c r="C1194" t="s">
        <v>2323</v>
      </c>
      <c r="D1194" t="s">
        <v>2323</v>
      </c>
      <c r="E1194" t="s">
        <v>2323</v>
      </c>
      <c r="F1194" t="s">
        <v>2323</v>
      </c>
      <c r="G1194" s="6">
        <v>77.11</v>
      </c>
      <c r="H1194" s="6"/>
      <c r="I1194" s="6">
        <f t="shared" si="90"/>
        <v>36.2417</v>
      </c>
      <c r="J1194" s="6">
        <f t="shared" si="91"/>
        <v>38.555</v>
      </c>
      <c r="K1194" s="6">
        <f t="shared" si="92"/>
        <v>42.4105</v>
      </c>
      <c r="L1194" s="6">
        <f t="shared" si="93"/>
        <v>53.977</v>
      </c>
      <c r="M1194" s="6">
        <f t="shared" si="94"/>
        <v>65.5435</v>
      </c>
    </row>
    <row r="1195" spans="1:13">
      <c r="A1195" t="s">
        <v>13</v>
      </c>
      <c r="B1195" t="s">
        <v>2335</v>
      </c>
      <c r="C1195" t="s">
        <v>2336</v>
      </c>
      <c r="D1195" t="s">
        <v>2336</v>
      </c>
      <c r="E1195" t="s">
        <v>2336</v>
      </c>
      <c r="F1195" t="s">
        <v>2336</v>
      </c>
      <c r="G1195" s="6">
        <v>25.88</v>
      </c>
      <c r="H1195" s="6"/>
      <c r="I1195" s="6">
        <f t="shared" si="90"/>
        <v>12.1636</v>
      </c>
      <c r="J1195" s="6">
        <f t="shared" si="91"/>
        <v>12.94</v>
      </c>
      <c r="K1195" s="6">
        <f t="shared" si="92"/>
        <v>14.234</v>
      </c>
      <c r="L1195" s="6">
        <f t="shared" si="93"/>
        <v>18.116</v>
      </c>
      <c r="M1195" s="6">
        <f t="shared" si="94"/>
        <v>21.998</v>
      </c>
    </row>
    <row r="1196" spans="1:13">
      <c r="A1196" t="s">
        <v>13</v>
      </c>
      <c r="B1196" t="s">
        <v>2337</v>
      </c>
      <c r="C1196" t="s">
        <v>2338</v>
      </c>
      <c r="D1196" t="s">
        <v>2338</v>
      </c>
      <c r="E1196" t="s">
        <v>2338</v>
      </c>
      <c r="F1196" t="s">
        <v>2338</v>
      </c>
      <c r="G1196" s="6">
        <v>36.11</v>
      </c>
      <c r="H1196" s="6"/>
      <c r="I1196" s="6">
        <f t="shared" si="90"/>
        <v>16.9717</v>
      </c>
      <c r="J1196" s="6">
        <f t="shared" si="91"/>
        <v>18.055</v>
      </c>
      <c r="K1196" s="6">
        <f t="shared" si="92"/>
        <v>19.8605</v>
      </c>
      <c r="L1196" s="6">
        <f t="shared" si="93"/>
        <v>25.277</v>
      </c>
      <c r="M1196" s="6">
        <f t="shared" si="94"/>
        <v>30.6935</v>
      </c>
    </row>
    <row r="1197" spans="1:13">
      <c r="A1197" t="s">
        <v>13</v>
      </c>
      <c r="B1197" t="s">
        <v>2339</v>
      </c>
      <c r="C1197" t="s">
        <v>2340</v>
      </c>
      <c r="D1197" t="s">
        <v>2340</v>
      </c>
      <c r="E1197" t="s">
        <v>2340</v>
      </c>
      <c r="F1197" t="s">
        <v>2340</v>
      </c>
      <c r="G1197" s="6">
        <v>71.6</v>
      </c>
      <c r="H1197" s="6"/>
      <c r="I1197" s="6">
        <f t="shared" si="90"/>
        <v>33.652</v>
      </c>
      <c r="J1197" s="6">
        <f t="shared" si="91"/>
        <v>35.8</v>
      </c>
      <c r="K1197" s="6">
        <f t="shared" si="92"/>
        <v>39.38</v>
      </c>
      <c r="L1197" s="6">
        <f t="shared" si="93"/>
        <v>50.12</v>
      </c>
      <c r="M1197" s="6">
        <f t="shared" si="94"/>
        <v>60.86</v>
      </c>
    </row>
    <row r="1198" spans="1:13">
      <c r="A1198" t="s">
        <v>13</v>
      </c>
      <c r="B1198" t="s">
        <v>2341</v>
      </c>
      <c r="C1198" t="s">
        <v>2342</v>
      </c>
      <c r="D1198" t="s">
        <v>2342</v>
      </c>
      <c r="E1198" t="s">
        <v>2342</v>
      </c>
      <c r="F1198" t="s">
        <v>2342</v>
      </c>
      <c r="G1198" s="6">
        <v>143.2</v>
      </c>
      <c r="H1198" s="6"/>
      <c r="I1198" s="6">
        <f t="shared" si="90"/>
        <v>67.304</v>
      </c>
      <c r="J1198" s="6">
        <f t="shared" si="91"/>
        <v>71.6</v>
      </c>
      <c r="K1198" s="6">
        <f t="shared" si="92"/>
        <v>78.76</v>
      </c>
      <c r="L1198" s="6">
        <f t="shared" si="93"/>
        <v>100.24</v>
      </c>
      <c r="M1198" s="6">
        <f t="shared" si="94"/>
        <v>121.72</v>
      </c>
    </row>
    <row r="1199" spans="1:13">
      <c r="A1199" t="s">
        <v>13</v>
      </c>
      <c r="B1199" t="s">
        <v>2343</v>
      </c>
      <c r="C1199" t="s">
        <v>2344</v>
      </c>
      <c r="D1199" t="s">
        <v>2344</v>
      </c>
      <c r="E1199" t="s">
        <v>2344</v>
      </c>
      <c r="F1199" t="s">
        <v>2344</v>
      </c>
      <c r="G1199" s="6">
        <v>25.5</v>
      </c>
      <c r="H1199" s="6"/>
      <c r="I1199" s="6">
        <f t="shared" si="90"/>
        <v>11.985</v>
      </c>
      <c r="J1199" s="6">
        <f t="shared" si="91"/>
        <v>12.75</v>
      </c>
      <c r="K1199" s="6">
        <f t="shared" si="92"/>
        <v>14.025</v>
      </c>
      <c r="L1199" s="6">
        <f t="shared" si="93"/>
        <v>17.85</v>
      </c>
      <c r="M1199" s="6">
        <f t="shared" si="94"/>
        <v>21.675</v>
      </c>
    </row>
    <row r="1200" spans="1:13">
      <c r="A1200" t="s">
        <v>13</v>
      </c>
      <c r="B1200" t="s">
        <v>2345</v>
      </c>
      <c r="C1200" t="s">
        <v>2346</v>
      </c>
      <c r="D1200" t="s">
        <v>2346</v>
      </c>
      <c r="E1200" t="s">
        <v>2346</v>
      </c>
      <c r="F1200" t="s">
        <v>2346</v>
      </c>
      <c r="G1200" s="6">
        <v>31.93</v>
      </c>
      <c r="H1200" s="6"/>
      <c r="I1200" s="6">
        <f t="shared" si="90"/>
        <v>15.0071</v>
      </c>
      <c r="J1200" s="6">
        <f t="shared" si="91"/>
        <v>15.965</v>
      </c>
      <c r="K1200" s="6">
        <f t="shared" si="92"/>
        <v>17.5615</v>
      </c>
      <c r="L1200" s="6">
        <f t="shared" si="93"/>
        <v>22.351</v>
      </c>
      <c r="M1200" s="6">
        <f t="shared" si="94"/>
        <v>27.1405</v>
      </c>
    </row>
    <row r="1201" spans="1:13">
      <c r="A1201" t="s">
        <v>13</v>
      </c>
      <c r="B1201" t="s">
        <v>2347</v>
      </c>
      <c r="C1201" t="s">
        <v>2348</v>
      </c>
      <c r="D1201" t="s">
        <v>2348</v>
      </c>
      <c r="E1201" t="s">
        <v>2348</v>
      </c>
      <c r="F1201" t="s">
        <v>2348</v>
      </c>
      <c r="G1201" s="6">
        <v>63.24</v>
      </c>
      <c r="H1201" s="6"/>
      <c r="I1201" s="6">
        <f t="shared" si="90"/>
        <v>29.7228</v>
      </c>
      <c r="J1201" s="6">
        <f t="shared" si="91"/>
        <v>31.62</v>
      </c>
      <c r="K1201" s="6">
        <f t="shared" si="92"/>
        <v>34.782</v>
      </c>
      <c r="L1201" s="6">
        <f t="shared" si="93"/>
        <v>44.268</v>
      </c>
      <c r="M1201" s="6">
        <f t="shared" si="94"/>
        <v>53.754</v>
      </c>
    </row>
    <row r="1202" spans="1:13">
      <c r="A1202" t="s">
        <v>13</v>
      </c>
      <c r="B1202" t="s">
        <v>2349</v>
      </c>
      <c r="C1202" t="s">
        <v>2350</v>
      </c>
      <c r="D1202" t="s">
        <v>2350</v>
      </c>
      <c r="E1202" t="s">
        <v>2350</v>
      </c>
      <c r="F1202" t="s">
        <v>2350</v>
      </c>
      <c r="G1202" s="6">
        <v>94.66</v>
      </c>
      <c r="H1202" s="6"/>
      <c r="I1202" s="6">
        <f t="shared" si="90"/>
        <v>44.4902</v>
      </c>
      <c r="J1202" s="6">
        <f t="shared" si="91"/>
        <v>47.33</v>
      </c>
      <c r="K1202" s="6">
        <f t="shared" si="92"/>
        <v>52.063</v>
      </c>
      <c r="L1202" s="6">
        <f t="shared" si="93"/>
        <v>66.262</v>
      </c>
      <c r="M1202" s="6">
        <f t="shared" si="94"/>
        <v>80.461</v>
      </c>
    </row>
    <row r="1203" spans="1:13">
      <c r="A1203" t="s">
        <v>13</v>
      </c>
      <c r="B1203" t="s">
        <v>2351</v>
      </c>
      <c r="C1203" t="s">
        <v>2352</v>
      </c>
      <c r="D1203" t="s">
        <v>2352</v>
      </c>
      <c r="E1203" t="s">
        <v>2352</v>
      </c>
      <c r="F1203" t="s">
        <v>2352</v>
      </c>
      <c r="G1203" s="6">
        <v>189.3</v>
      </c>
      <c r="H1203" s="6"/>
      <c r="I1203" s="6">
        <f t="shared" si="90"/>
        <v>88.971</v>
      </c>
      <c r="J1203" s="6">
        <f t="shared" si="91"/>
        <v>94.65</v>
      </c>
      <c r="K1203" s="6">
        <f t="shared" si="92"/>
        <v>104.115</v>
      </c>
      <c r="L1203" s="6">
        <f t="shared" si="93"/>
        <v>132.51</v>
      </c>
      <c r="M1203" s="6">
        <f t="shared" si="94"/>
        <v>160.905</v>
      </c>
    </row>
    <row r="1204" spans="1:13">
      <c r="A1204" t="s">
        <v>13</v>
      </c>
      <c r="B1204" t="s">
        <v>2353</v>
      </c>
      <c r="C1204" t="s">
        <v>2354</v>
      </c>
      <c r="D1204" t="s">
        <v>2354</v>
      </c>
      <c r="E1204" t="s">
        <v>2354</v>
      </c>
      <c r="F1204" t="s">
        <v>2354</v>
      </c>
      <c r="G1204" s="6">
        <v>41.51</v>
      </c>
      <c r="H1204" s="6"/>
      <c r="I1204" s="6">
        <f t="shared" si="90"/>
        <v>19.5097</v>
      </c>
      <c r="J1204" s="6">
        <f t="shared" si="91"/>
        <v>20.755</v>
      </c>
      <c r="K1204" s="6">
        <f t="shared" si="92"/>
        <v>22.8305</v>
      </c>
      <c r="L1204" s="6">
        <f t="shared" si="93"/>
        <v>29.057</v>
      </c>
      <c r="M1204" s="6">
        <f t="shared" si="94"/>
        <v>35.2835</v>
      </c>
    </row>
    <row r="1205" spans="1:13">
      <c r="A1205" t="s">
        <v>13</v>
      </c>
      <c r="B1205" t="s">
        <v>2355</v>
      </c>
      <c r="C1205" t="s">
        <v>2356</v>
      </c>
      <c r="D1205" t="s">
        <v>2356</v>
      </c>
      <c r="E1205" t="s">
        <v>2356</v>
      </c>
      <c r="F1205" t="s">
        <v>2356</v>
      </c>
      <c r="G1205" s="6">
        <v>117.5</v>
      </c>
      <c r="H1205" s="6"/>
      <c r="I1205" s="6">
        <f t="shared" si="90"/>
        <v>55.225</v>
      </c>
      <c r="J1205" s="6">
        <f t="shared" si="91"/>
        <v>58.75</v>
      </c>
      <c r="K1205" s="6">
        <f t="shared" si="92"/>
        <v>64.625</v>
      </c>
      <c r="L1205" s="6">
        <f t="shared" si="93"/>
        <v>82.25</v>
      </c>
      <c r="M1205" s="6">
        <f t="shared" si="94"/>
        <v>99.875</v>
      </c>
    </row>
    <row r="1206" spans="1:13">
      <c r="A1206" t="s">
        <v>13</v>
      </c>
      <c r="B1206" t="s">
        <v>2357</v>
      </c>
      <c r="C1206" t="s">
        <v>2358</v>
      </c>
      <c r="D1206" t="s">
        <v>2358</v>
      </c>
      <c r="E1206" t="s">
        <v>2358</v>
      </c>
      <c r="F1206" t="s">
        <v>2358</v>
      </c>
      <c r="G1206" s="6">
        <v>235</v>
      </c>
      <c r="H1206" s="6"/>
      <c r="I1206" s="6">
        <f t="shared" si="90"/>
        <v>110.45</v>
      </c>
      <c r="J1206" s="6">
        <f t="shared" si="91"/>
        <v>117.5</v>
      </c>
      <c r="K1206" s="6">
        <f t="shared" si="92"/>
        <v>129.25</v>
      </c>
      <c r="L1206" s="6">
        <f t="shared" si="93"/>
        <v>164.5</v>
      </c>
      <c r="M1206" s="6">
        <f t="shared" si="94"/>
        <v>199.75</v>
      </c>
    </row>
    <row r="1207" spans="1:13">
      <c r="A1207" t="s">
        <v>13</v>
      </c>
      <c r="B1207" t="s">
        <v>2359</v>
      </c>
      <c r="C1207" t="s">
        <v>2360</v>
      </c>
      <c r="D1207" t="s">
        <v>2360</v>
      </c>
      <c r="E1207" t="s">
        <v>2360</v>
      </c>
      <c r="F1207" t="s">
        <v>2360</v>
      </c>
      <c r="G1207" s="6">
        <v>173.4</v>
      </c>
      <c r="H1207" s="6"/>
      <c r="I1207" s="6">
        <f t="shared" si="90"/>
        <v>81.498</v>
      </c>
      <c r="J1207" s="6">
        <f t="shared" si="91"/>
        <v>86.7</v>
      </c>
      <c r="K1207" s="6">
        <f t="shared" si="92"/>
        <v>95.37</v>
      </c>
      <c r="L1207" s="6">
        <f t="shared" si="93"/>
        <v>121.38</v>
      </c>
      <c r="M1207" s="6">
        <f t="shared" si="94"/>
        <v>147.39</v>
      </c>
    </row>
    <row r="1208" spans="1:13">
      <c r="A1208" t="s">
        <v>13</v>
      </c>
      <c r="B1208" t="s">
        <v>2361</v>
      </c>
      <c r="C1208" t="s">
        <v>2362</v>
      </c>
      <c r="D1208" t="s">
        <v>2362</v>
      </c>
      <c r="E1208" t="s">
        <v>2362</v>
      </c>
      <c r="F1208" t="s">
        <v>2362</v>
      </c>
      <c r="G1208" s="6">
        <v>57.63</v>
      </c>
      <c r="H1208" s="6"/>
      <c r="I1208" s="6">
        <f t="shared" si="90"/>
        <v>27.0861</v>
      </c>
      <c r="J1208" s="6">
        <f t="shared" si="91"/>
        <v>28.815</v>
      </c>
      <c r="K1208" s="6">
        <f t="shared" si="92"/>
        <v>31.6965</v>
      </c>
      <c r="L1208" s="6">
        <f t="shared" si="93"/>
        <v>40.341</v>
      </c>
      <c r="M1208" s="6">
        <f t="shared" si="94"/>
        <v>48.9855</v>
      </c>
    </row>
    <row r="1209" spans="1:13">
      <c r="A1209" t="s">
        <v>13</v>
      </c>
      <c r="B1209" t="s">
        <v>2363</v>
      </c>
      <c r="C1209" t="s">
        <v>2364</v>
      </c>
      <c r="D1209" t="s">
        <v>2364</v>
      </c>
      <c r="E1209" t="s">
        <v>2364</v>
      </c>
      <c r="F1209" t="s">
        <v>2364</v>
      </c>
      <c r="G1209" s="6">
        <v>200</v>
      </c>
      <c r="H1209" s="6"/>
      <c r="I1209" s="6">
        <f t="shared" si="90"/>
        <v>94</v>
      </c>
      <c r="J1209" s="6">
        <f t="shared" si="91"/>
        <v>100</v>
      </c>
      <c r="K1209" s="6">
        <f t="shared" si="92"/>
        <v>110</v>
      </c>
      <c r="L1209" s="6">
        <f t="shared" si="93"/>
        <v>140</v>
      </c>
      <c r="M1209" s="6">
        <f t="shared" si="94"/>
        <v>170</v>
      </c>
    </row>
    <row r="1210" spans="1:13">
      <c r="A1210" t="s">
        <v>13</v>
      </c>
      <c r="B1210" t="s">
        <v>2365</v>
      </c>
      <c r="C1210" t="s">
        <v>2366</v>
      </c>
      <c r="D1210" t="s">
        <v>2366</v>
      </c>
      <c r="E1210" t="s">
        <v>2366</v>
      </c>
      <c r="F1210" t="s">
        <v>2366</v>
      </c>
      <c r="G1210" s="6">
        <v>140.56</v>
      </c>
      <c r="H1210" s="6"/>
      <c r="I1210" s="6">
        <f t="shared" si="90"/>
        <v>66.0632</v>
      </c>
      <c r="J1210" s="6">
        <f t="shared" si="91"/>
        <v>70.28</v>
      </c>
      <c r="K1210" s="6">
        <f t="shared" si="92"/>
        <v>77.308</v>
      </c>
      <c r="L1210" s="6">
        <f t="shared" si="93"/>
        <v>98.392</v>
      </c>
      <c r="M1210" s="6">
        <f t="shared" si="94"/>
        <v>119.476</v>
      </c>
    </row>
    <row r="1211" spans="1:13">
      <c r="A1211" t="s">
        <v>13</v>
      </c>
      <c r="B1211" t="s">
        <v>2367</v>
      </c>
      <c r="C1211" t="s">
        <v>2368</v>
      </c>
      <c r="D1211" t="s">
        <v>2368</v>
      </c>
      <c r="E1211" t="s">
        <v>2368</v>
      </c>
      <c r="F1211" t="s">
        <v>2368</v>
      </c>
      <c r="G1211" s="6">
        <v>281.1</v>
      </c>
      <c r="H1211" s="6"/>
      <c r="I1211" s="6">
        <f t="shared" si="90"/>
        <v>132.117</v>
      </c>
      <c r="J1211" s="6">
        <f t="shared" si="91"/>
        <v>140.55</v>
      </c>
      <c r="K1211" s="6">
        <f t="shared" si="92"/>
        <v>154.605</v>
      </c>
      <c r="L1211" s="6">
        <f t="shared" si="93"/>
        <v>196.77</v>
      </c>
      <c r="M1211" s="6">
        <f t="shared" si="94"/>
        <v>238.935</v>
      </c>
    </row>
    <row r="1212" spans="1:13">
      <c r="A1212" t="s">
        <v>13</v>
      </c>
      <c r="B1212" t="s">
        <v>2369</v>
      </c>
      <c r="C1212" t="s">
        <v>2370</v>
      </c>
      <c r="D1212" t="s">
        <v>2370</v>
      </c>
      <c r="E1212" t="s">
        <v>2370</v>
      </c>
      <c r="F1212" t="s">
        <v>2370</v>
      </c>
      <c r="G1212" s="6">
        <v>165.44</v>
      </c>
      <c r="H1212" s="6"/>
      <c r="I1212" s="6">
        <f t="shared" si="90"/>
        <v>77.7568</v>
      </c>
      <c r="J1212" s="6">
        <f t="shared" si="91"/>
        <v>82.72</v>
      </c>
      <c r="K1212" s="6">
        <f t="shared" si="92"/>
        <v>90.992</v>
      </c>
      <c r="L1212" s="6">
        <f t="shared" si="93"/>
        <v>115.808</v>
      </c>
      <c r="M1212" s="6">
        <f t="shared" si="94"/>
        <v>140.624</v>
      </c>
    </row>
    <row r="1213" spans="1:13">
      <c r="A1213" t="s">
        <v>13</v>
      </c>
      <c r="B1213" t="s">
        <v>2371</v>
      </c>
      <c r="C1213" t="s">
        <v>2372</v>
      </c>
      <c r="D1213" t="s">
        <v>2372</v>
      </c>
      <c r="E1213" t="s">
        <v>2372</v>
      </c>
      <c r="F1213" t="s">
        <v>2372</v>
      </c>
      <c r="G1213" s="6">
        <v>330.9</v>
      </c>
      <c r="H1213" s="6"/>
      <c r="I1213" s="6">
        <f t="shared" si="90"/>
        <v>155.523</v>
      </c>
      <c r="J1213" s="6">
        <f t="shared" si="91"/>
        <v>165.45</v>
      </c>
      <c r="K1213" s="6">
        <f t="shared" si="92"/>
        <v>181.995</v>
      </c>
      <c r="L1213" s="6">
        <f t="shared" si="93"/>
        <v>231.63</v>
      </c>
      <c r="M1213" s="6">
        <f t="shared" si="94"/>
        <v>281.265</v>
      </c>
    </row>
    <row r="1214" spans="1:13">
      <c r="A1214" t="s">
        <v>13</v>
      </c>
      <c r="B1214" t="s">
        <v>2373</v>
      </c>
      <c r="C1214" t="s">
        <v>2374</v>
      </c>
      <c r="D1214" t="s">
        <v>2374</v>
      </c>
      <c r="E1214" t="s">
        <v>2374</v>
      </c>
      <c r="F1214" t="s">
        <v>2374</v>
      </c>
      <c r="G1214" s="6">
        <v>336.6</v>
      </c>
      <c r="H1214" s="6"/>
      <c r="I1214" s="6">
        <f t="shared" si="90"/>
        <v>158.202</v>
      </c>
      <c r="J1214" s="6">
        <f t="shared" si="91"/>
        <v>168.3</v>
      </c>
      <c r="K1214" s="6">
        <f t="shared" si="92"/>
        <v>185.13</v>
      </c>
      <c r="L1214" s="6">
        <f t="shared" si="93"/>
        <v>235.62</v>
      </c>
      <c r="M1214" s="6">
        <f t="shared" si="94"/>
        <v>286.11</v>
      </c>
    </row>
    <row r="1215" spans="1:13">
      <c r="A1215" t="s">
        <v>13</v>
      </c>
      <c r="B1215" t="s">
        <v>2375</v>
      </c>
      <c r="C1215" t="s">
        <v>2376</v>
      </c>
      <c r="D1215" t="s">
        <v>2376</v>
      </c>
      <c r="E1215" t="s">
        <v>2376</v>
      </c>
      <c r="F1215" t="s">
        <v>2376</v>
      </c>
      <c r="G1215" s="6">
        <v>188.7</v>
      </c>
      <c r="H1215" s="6"/>
      <c r="I1215" s="6">
        <f t="shared" si="90"/>
        <v>88.689</v>
      </c>
      <c r="J1215" s="6">
        <f t="shared" si="91"/>
        <v>94.35</v>
      </c>
      <c r="K1215" s="6">
        <f t="shared" si="92"/>
        <v>103.785</v>
      </c>
      <c r="L1215" s="6">
        <f t="shared" si="93"/>
        <v>132.09</v>
      </c>
      <c r="M1215" s="6">
        <f t="shared" si="94"/>
        <v>160.395</v>
      </c>
    </row>
    <row r="1216" spans="1:13">
      <c r="A1216" t="s">
        <v>13</v>
      </c>
      <c r="B1216" t="s">
        <v>2377</v>
      </c>
      <c r="C1216" t="s">
        <v>2378</v>
      </c>
      <c r="D1216" t="s">
        <v>2378</v>
      </c>
      <c r="E1216" t="s">
        <v>2378</v>
      </c>
      <c r="F1216" t="s">
        <v>2378</v>
      </c>
      <c r="G1216" s="6">
        <v>377.4</v>
      </c>
      <c r="H1216" s="6"/>
      <c r="I1216" s="6">
        <f t="shared" si="90"/>
        <v>177.378</v>
      </c>
      <c r="J1216" s="6">
        <f t="shared" si="91"/>
        <v>188.7</v>
      </c>
      <c r="K1216" s="6">
        <f t="shared" si="92"/>
        <v>207.57</v>
      </c>
      <c r="L1216" s="6">
        <f t="shared" si="93"/>
        <v>264.18</v>
      </c>
      <c r="M1216" s="6">
        <f t="shared" si="94"/>
        <v>320.79</v>
      </c>
    </row>
    <row r="1217" spans="1:13">
      <c r="A1217" t="s">
        <v>13</v>
      </c>
      <c r="B1217" t="s">
        <v>2379</v>
      </c>
      <c r="C1217" t="s">
        <v>2380</v>
      </c>
      <c r="D1217" t="s">
        <v>2380</v>
      </c>
      <c r="E1217" t="s">
        <v>2380</v>
      </c>
      <c r="F1217" t="s">
        <v>2380</v>
      </c>
      <c r="G1217" s="6">
        <v>327.91</v>
      </c>
      <c r="H1217" s="6"/>
      <c r="I1217" s="6">
        <f t="shared" si="90"/>
        <v>154.1177</v>
      </c>
      <c r="J1217" s="6">
        <f t="shared" si="91"/>
        <v>163.955</v>
      </c>
      <c r="K1217" s="6">
        <f t="shared" si="92"/>
        <v>180.3505</v>
      </c>
      <c r="L1217" s="6">
        <f t="shared" si="93"/>
        <v>229.537</v>
      </c>
      <c r="M1217" s="6">
        <f t="shared" si="94"/>
        <v>278.7235</v>
      </c>
    </row>
    <row r="1218" spans="1:13">
      <c r="A1218" t="s">
        <v>13</v>
      </c>
      <c r="B1218" t="s">
        <v>2381</v>
      </c>
      <c r="C1218" t="s">
        <v>2382</v>
      </c>
      <c r="D1218" t="s">
        <v>2382</v>
      </c>
      <c r="E1218" t="s">
        <v>2382</v>
      </c>
      <c r="F1218" t="s">
        <v>2382</v>
      </c>
      <c r="G1218" s="6">
        <v>357.72</v>
      </c>
      <c r="H1218" s="6"/>
      <c r="I1218" s="6">
        <f t="shared" si="90"/>
        <v>168.1284</v>
      </c>
      <c r="J1218" s="6">
        <f t="shared" si="91"/>
        <v>178.86</v>
      </c>
      <c r="K1218" s="6">
        <f t="shared" si="92"/>
        <v>196.746</v>
      </c>
      <c r="L1218" s="6">
        <f t="shared" si="93"/>
        <v>250.404</v>
      </c>
      <c r="M1218" s="6">
        <f t="shared" si="94"/>
        <v>304.062</v>
      </c>
    </row>
    <row r="1219" spans="1:13">
      <c r="A1219" t="s">
        <v>13</v>
      </c>
      <c r="B1219" t="s">
        <v>2383</v>
      </c>
      <c r="C1219" t="s">
        <v>2384</v>
      </c>
      <c r="D1219" t="s">
        <v>2384</v>
      </c>
      <c r="E1219" t="s">
        <v>2384</v>
      </c>
      <c r="F1219" t="s">
        <v>2384</v>
      </c>
      <c r="G1219" s="6">
        <v>459.03</v>
      </c>
      <c r="H1219" s="6"/>
      <c r="I1219" s="6">
        <f t="shared" si="90"/>
        <v>215.7441</v>
      </c>
      <c r="J1219" s="6">
        <f t="shared" si="91"/>
        <v>229.515</v>
      </c>
      <c r="K1219" s="6">
        <f t="shared" si="92"/>
        <v>252.4665</v>
      </c>
      <c r="L1219" s="6">
        <f t="shared" si="93"/>
        <v>321.321</v>
      </c>
      <c r="M1219" s="6">
        <f t="shared" si="94"/>
        <v>390.1755</v>
      </c>
    </row>
    <row r="1220" spans="1:13">
      <c r="A1220" t="s">
        <v>13</v>
      </c>
      <c r="B1220" t="s">
        <v>2385</v>
      </c>
      <c r="C1220" t="s">
        <v>2386</v>
      </c>
      <c r="D1220" t="s">
        <v>2386</v>
      </c>
      <c r="E1220" t="s">
        <v>2386</v>
      </c>
      <c r="F1220" t="s">
        <v>2386</v>
      </c>
      <c r="G1220" s="6">
        <v>500.76</v>
      </c>
      <c r="H1220" s="6"/>
      <c r="I1220" s="6">
        <f t="shared" ref="I1220:I1283" si="95">G1220*0.47</f>
        <v>235.3572</v>
      </c>
      <c r="J1220" s="6">
        <f t="shared" ref="J1220:J1283" si="96">G1220*0.5</f>
        <v>250.38</v>
      </c>
      <c r="K1220" s="6">
        <f t="shared" ref="K1220:K1283" si="97">G1220*0.55</f>
        <v>275.418</v>
      </c>
      <c r="L1220" s="6">
        <f t="shared" ref="L1220:L1283" si="98">G1220*0.7</f>
        <v>350.532</v>
      </c>
      <c r="M1220" s="6">
        <f t="shared" ref="M1220:M1283" si="99">G1220*0.85</f>
        <v>425.646</v>
      </c>
    </row>
    <row r="1221" spans="1:13">
      <c r="A1221" t="s">
        <v>13</v>
      </c>
      <c r="B1221" t="s">
        <v>2387</v>
      </c>
      <c r="C1221" t="s">
        <v>2388</v>
      </c>
      <c r="D1221" t="s">
        <v>2388</v>
      </c>
      <c r="E1221" t="s">
        <v>2388</v>
      </c>
      <c r="F1221" t="s">
        <v>2388</v>
      </c>
      <c r="G1221" s="6">
        <v>590.37</v>
      </c>
      <c r="H1221" s="6"/>
      <c r="I1221" s="6">
        <f t="shared" si="95"/>
        <v>277.4739</v>
      </c>
      <c r="J1221" s="6">
        <f t="shared" si="96"/>
        <v>295.185</v>
      </c>
      <c r="K1221" s="6">
        <f t="shared" si="97"/>
        <v>324.7035</v>
      </c>
      <c r="L1221" s="6">
        <f t="shared" si="98"/>
        <v>413.259</v>
      </c>
      <c r="M1221" s="6">
        <f t="shared" si="99"/>
        <v>501.8145</v>
      </c>
    </row>
    <row r="1222" spans="1:13">
      <c r="A1222" t="s">
        <v>13</v>
      </c>
      <c r="B1222" t="s">
        <v>2389</v>
      </c>
      <c r="C1222" t="s">
        <v>2390</v>
      </c>
      <c r="D1222" t="s">
        <v>2390</v>
      </c>
      <c r="E1222" t="s">
        <v>2390</v>
      </c>
      <c r="F1222" t="s">
        <v>2390</v>
      </c>
      <c r="G1222" s="6">
        <v>644.04</v>
      </c>
      <c r="H1222" s="6"/>
      <c r="I1222" s="6">
        <f t="shared" si="95"/>
        <v>302.6988</v>
      </c>
      <c r="J1222" s="6">
        <f t="shared" si="96"/>
        <v>322.02</v>
      </c>
      <c r="K1222" s="6">
        <f t="shared" si="97"/>
        <v>354.222</v>
      </c>
      <c r="L1222" s="6">
        <f t="shared" si="98"/>
        <v>450.828</v>
      </c>
      <c r="M1222" s="6">
        <f t="shared" si="99"/>
        <v>547.434</v>
      </c>
    </row>
    <row r="1223" spans="1:13">
      <c r="A1223" t="s">
        <v>13</v>
      </c>
      <c r="B1223" t="s">
        <v>2391</v>
      </c>
      <c r="C1223" t="s">
        <v>2392</v>
      </c>
      <c r="D1223" t="s">
        <v>2392</v>
      </c>
      <c r="E1223" t="s">
        <v>2392</v>
      </c>
      <c r="F1223" t="s">
        <v>2392</v>
      </c>
      <c r="G1223" s="6">
        <v>918.28</v>
      </c>
      <c r="H1223" s="6"/>
      <c r="I1223" s="6">
        <f t="shared" si="95"/>
        <v>431.5916</v>
      </c>
      <c r="J1223" s="6">
        <f t="shared" si="96"/>
        <v>459.14</v>
      </c>
      <c r="K1223" s="6">
        <f t="shared" si="97"/>
        <v>505.054</v>
      </c>
      <c r="L1223" s="6">
        <f t="shared" si="98"/>
        <v>642.796</v>
      </c>
      <c r="M1223" s="6">
        <f t="shared" si="99"/>
        <v>780.538</v>
      </c>
    </row>
    <row r="1224" spans="1:13">
      <c r="A1224" t="s">
        <v>13</v>
      </c>
      <c r="B1224" t="s">
        <v>2393</v>
      </c>
      <c r="C1224" t="s">
        <v>2394</v>
      </c>
      <c r="D1224" t="s">
        <v>2394</v>
      </c>
      <c r="E1224" t="s">
        <v>2394</v>
      </c>
      <c r="F1224" t="s">
        <v>2394</v>
      </c>
      <c r="G1224" s="6">
        <v>1001.76</v>
      </c>
      <c r="H1224" s="6"/>
      <c r="I1224" s="6">
        <f t="shared" si="95"/>
        <v>470.8272</v>
      </c>
      <c r="J1224" s="6">
        <f t="shared" si="96"/>
        <v>500.88</v>
      </c>
      <c r="K1224" s="6">
        <f t="shared" si="97"/>
        <v>550.968</v>
      </c>
      <c r="L1224" s="6">
        <f t="shared" si="98"/>
        <v>701.232</v>
      </c>
      <c r="M1224" s="6">
        <f t="shared" si="99"/>
        <v>851.496</v>
      </c>
    </row>
    <row r="1225" spans="1:13">
      <c r="A1225" t="s">
        <v>13</v>
      </c>
      <c r="B1225" t="s">
        <v>2395</v>
      </c>
      <c r="C1225" t="s">
        <v>2396</v>
      </c>
      <c r="D1225" t="s">
        <v>2396</v>
      </c>
      <c r="E1225" t="s">
        <v>2396</v>
      </c>
      <c r="F1225" t="s">
        <v>2396</v>
      </c>
      <c r="G1225" s="6">
        <v>35.8</v>
      </c>
      <c r="H1225" s="6"/>
      <c r="I1225" s="6">
        <f t="shared" si="95"/>
        <v>16.826</v>
      </c>
      <c r="J1225" s="6">
        <f t="shared" si="96"/>
        <v>17.9</v>
      </c>
      <c r="K1225" s="6">
        <f t="shared" si="97"/>
        <v>19.69</v>
      </c>
      <c r="L1225" s="6">
        <f t="shared" si="98"/>
        <v>25.06</v>
      </c>
      <c r="M1225" s="6">
        <f t="shared" si="99"/>
        <v>30.43</v>
      </c>
    </row>
    <row r="1226" spans="1:13">
      <c r="A1226" t="s">
        <v>13</v>
      </c>
      <c r="B1226" t="s">
        <v>2397</v>
      </c>
      <c r="C1226" t="s">
        <v>2398</v>
      </c>
      <c r="D1226" t="s">
        <v>2398</v>
      </c>
      <c r="E1226" t="s">
        <v>2398</v>
      </c>
      <c r="F1226" t="s">
        <v>2398</v>
      </c>
      <c r="G1226" s="6">
        <v>43.89</v>
      </c>
      <c r="H1226" s="6"/>
      <c r="I1226" s="6">
        <f t="shared" si="95"/>
        <v>20.6283</v>
      </c>
      <c r="J1226" s="6">
        <f t="shared" si="96"/>
        <v>21.945</v>
      </c>
      <c r="K1226" s="6">
        <f t="shared" si="97"/>
        <v>24.1395</v>
      </c>
      <c r="L1226" s="6">
        <f t="shared" si="98"/>
        <v>30.723</v>
      </c>
      <c r="M1226" s="6">
        <f t="shared" si="99"/>
        <v>37.3065</v>
      </c>
    </row>
    <row r="1227" spans="1:13">
      <c r="A1227" t="s">
        <v>13</v>
      </c>
      <c r="B1227" t="s">
        <v>2399</v>
      </c>
      <c r="C1227" t="s">
        <v>2400</v>
      </c>
      <c r="D1227" t="s">
        <v>2400</v>
      </c>
      <c r="E1227" t="s">
        <v>2400</v>
      </c>
      <c r="F1227" t="s">
        <v>2400</v>
      </c>
      <c r="G1227" s="6">
        <v>50.18</v>
      </c>
      <c r="H1227" s="6"/>
      <c r="I1227" s="6">
        <f t="shared" si="95"/>
        <v>23.5846</v>
      </c>
      <c r="J1227" s="6">
        <f t="shared" si="96"/>
        <v>25.09</v>
      </c>
      <c r="K1227" s="6">
        <f t="shared" si="97"/>
        <v>27.599</v>
      </c>
      <c r="L1227" s="6">
        <f t="shared" si="98"/>
        <v>35.126</v>
      </c>
      <c r="M1227" s="6">
        <f t="shared" si="99"/>
        <v>42.653</v>
      </c>
    </row>
    <row r="1228" spans="1:13">
      <c r="A1228" t="s">
        <v>13</v>
      </c>
      <c r="B1228" t="s">
        <v>2401</v>
      </c>
      <c r="C1228" t="s">
        <v>2402</v>
      </c>
      <c r="D1228" t="s">
        <v>2402</v>
      </c>
      <c r="E1228" t="s">
        <v>2402</v>
      </c>
      <c r="F1228" t="s">
        <v>2402</v>
      </c>
      <c r="G1228" s="6">
        <v>36.63</v>
      </c>
      <c r="H1228" s="6"/>
      <c r="I1228" s="6">
        <f t="shared" si="95"/>
        <v>17.2161</v>
      </c>
      <c r="J1228" s="6">
        <f t="shared" si="96"/>
        <v>18.315</v>
      </c>
      <c r="K1228" s="6">
        <f t="shared" si="97"/>
        <v>20.1465</v>
      </c>
      <c r="L1228" s="6">
        <f t="shared" si="98"/>
        <v>25.641</v>
      </c>
      <c r="M1228" s="6">
        <f t="shared" si="99"/>
        <v>31.1355</v>
      </c>
    </row>
    <row r="1229" spans="1:13">
      <c r="A1229" t="s">
        <v>13</v>
      </c>
      <c r="B1229" t="s">
        <v>2403</v>
      </c>
      <c r="C1229" t="s">
        <v>2404</v>
      </c>
      <c r="D1229" t="s">
        <v>2404</v>
      </c>
      <c r="E1229" t="s">
        <v>2404</v>
      </c>
      <c r="F1229" t="s">
        <v>2404</v>
      </c>
      <c r="G1229" s="6">
        <v>40.7</v>
      </c>
      <c r="H1229" s="6"/>
      <c r="I1229" s="6">
        <f t="shared" si="95"/>
        <v>19.129</v>
      </c>
      <c r="J1229" s="6">
        <f t="shared" si="96"/>
        <v>20.35</v>
      </c>
      <c r="K1229" s="6">
        <f t="shared" si="97"/>
        <v>22.385</v>
      </c>
      <c r="L1229" s="6">
        <f t="shared" si="98"/>
        <v>28.49</v>
      </c>
      <c r="M1229" s="6">
        <f t="shared" si="99"/>
        <v>34.595</v>
      </c>
    </row>
    <row r="1230" spans="1:13">
      <c r="A1230" t="s">
        <v>13</v>
      </c>
      <c r="B1230" t="s">
        <v>2405</v>
      </c>
      <c r="C1230" t="s">
        <v>2406</v>
      </c>
      <c r="D1230" t="s">
        <v>2406</v>
      </c>
      <c r="E1230" t="s">
        <v>2406</v>
      </c>
      <c r="F1230" t="s">
        <v>2406</v>
      </c>
      <c r="G1230" s="6">
        <v>43.78</v>
      </c>
      <c r="H1230" s="6"/>
      <c r="I1230" s="6">
        <f t="shared" si="95"/>
        <v>20.5766</v>
      </c>
      <c r="J1230" s="6">
        <f t="shared" si="96"/>
        <v>21.89</v>
      </c>
      <c r="K1230" s="6">
        <f t="shared" si="97"/>
        <v>24.079</v>
      </c>
      <c r="L1230" s="6">
        <f t="shared" si="98"/>
        <v>30.646</v>
      </c>
      <c r="M1230" s="6">
        <f t="shared" si="99"/>
        <v>37.213</v>
      </c>
    </row>
    <row r="1231" spans="1:13">
      <c r="A1231" t="s">
        <v>13</v>
      </c>
      <c r="B1231" t="s">
        <v>2407</v>
      </c>
      <c r="C1231" t="s">
        <v>2408</v>
      </c>
      <c r="D1231" t="s">
        <v>2408</v>
      </c>
      <c r="E1231" t="s">
        <v>2408</v>
      </c>
      <c r="F1231" t="s">
        <v>2408</v>
      </c>
      <c r="G1231" s="6">
        <v>44.88</v>
      </c>
      <c r="H1231" s="6"/>
      <c r="I1231" s="6">
        <f t="shared" si="95"/>
        <v>21.0936</v>
      </c>
      <c r="J1231" s="6">
        <f t="shared" si="96"/>
        <v>22.44</v>
      </c>
      <c r="K1231" s="6">
        <f t="shared" si="97"/>
        <v>24.684</v>
      </c>
      <c r="L1231" s="6">
        <f t="shared" si="98"/>
        <v>31.416</v>
      </c>
      <c r="M1231" s="6">
        <f t="shared" si="99"/>
        <v>38.148</v>
      </c>
    </row>
    <row r="1232" spans="1:13">
      <c r="A1232" t="s">
        <v>13</v>
      </c>
      <c r="B1232" t="s">
        <v>2409</v>
      </c>
      <c r="C1232" t="s">
        <v>2410</v>
      </c>
      <c r="D1232" t="s">
        <v>2410</v>
      </c>
      <c r="E1232" t="s">
        <v>2410</v>
      </c>
      <c r="F1232" t="s">
        <v>2410</v>
      </c>
      <c r="G1232" s="6">
        <v>50.6</v>
      </c>
      <c r="H1232" s="6"/>
      <c r="I1232" s="6">
        <f t="shared" si="95"/>
        <v>23.782</v>
      </c>
      <c r="J1232" s="6">
        <f t="shared" si="96"/>
        <v>25.3</v>
      </c>
      <c r="K1232" s="6">
        <f t="shared" si="97"/>
        <v>27.83</v>
      </c>
      <c r="L1232" s="6">
        <f t="shared" si="98"/>
        <v>35.42</v>
      </c>
      <c r="M1232" s="6">
        <f t="shared" si="99"/>
        <v>43.01</v>
      </c>
    </row>
    <row r="1233" spans="1:13">
      <c r="A1233" t="s">
        <v>13</v>
      </c>
      <c r="B1233" t="s">
        <v>2411</v>
      </c>
      <c r="C1233" t="s">
        <v>2412</v>
      </c>
      <c r="D1233" t="s">
        <v>2412</v>
      </c>
      <c r="E1233" t="s">
        <v>2412</v>
      </c>
      <c r="F1233" t="s">
        <v>2412</v>
      </c>
      <c r="G1233" s="6">
        <v>53.35</v>
      </c>
      <c r="H1233" s="6"/>
      <c r="I1233" s="6">
        <f t="shared" si="95"/>
        <v>25.0745</v>
      </c>
      <c r="J1233" s="6">
        <f t="shared" si="96"/>
        <v>26.675</v>
      </c>
      <c r="K1233" s="6">
        <f t="shared" si="97"/>
        <v>29.3425</v>
      </c>
      <c r="L1233" s="6">
        <f t="shared" si="98"/>
        <v>37.345</v>
      </c>
      <c r="M1233" s="6">
        <f t="shared" si="99"/>
        <v>45.3475</v>
      </c>
    </row>
    <row r="1234" spans="1:13">
      <c r="A1234" t="s">
        <v>13</v>
      </c>
      <c r="B1234" t="s">
        <v>2413</v>
      </c>
      <c r="C1234" t="s">
        <v>2414</v>
      </c>
      <c r="D1234" t="s">
        <v>2414</v>
      </c>
      <c r="E1234" t="s">
        <v>2414</v>
      </c>
      <c r="F1234" t="s">
        <v>2414</v>
      </c>
      <c r="G1234" s="6">
        <v>40.37</v>
      </c>
      <c r="H1234" s="6"/>
      <c r="I1234" s="6">
        <f t="shared" si="95"/>
        <v>18.9739</v>
      </c>
      <c r="J1234" s="6">
        <f t="shared" si="96"/>
        <v>20.185</v>
      </c>
      <c r="K1234" s="6">
        <f t="shared" si="97"/>
        <v>22.2035</v>
      </c>
      <c r="L1234" s="6">
        <f t="shared" si="98"/>
        <v>28.259</v>
      </c>
      <c r="M1234" s="6">
        <f t="shared" si="99"/>
        <v>34.3145</v>
      </c>
    </row>
    <row r="1235" spans="1:13">
      <c r="A1235" t="s">
        <v>13</v>
      </c>
      <c r="B1235" t="s">
        <v>2415</v>
      </c>
      <c r="C1235" t="s">
        <v>2416</v>
      </c>
      <c r="D1235" t="s">
        <v>2416</v>
      </c>
      <c r="E1235" t="s">
        <v>2416</v>
      </c>
      <c r="F1235" t="s">
        <v>2416</v>
      </c>
      <c r="G1235" s="6">
        <v>46.82</v>
      </c>
      <c r="H1235" s="6"/>
      <c r="I1235" s="6">
        <f t="shared" si="95"/>
        <v>22.0054</v>
      </c>
      <c r="J1235" s="6">
        <f t="shared" si="96"/>
        <v>23.41</v>
      </c>
      <c r="K1235" s="6">
        <f t="shared" si="97"/>
        <v>25.751</v>
      </c>
      <c r="L1235" s="6">
        <f t="shared" si="98"/>
        <v>32.774</v>
      </c>
      <c r="M1235" s="6">
        <f t="shared" si="99"/>
        <v>39.797</v>
      </c>
    </row>
    <row r="1236" spans="1:13">
      <c r="A1236" t="s">
        <v>13</v>
      </c>
      <c r="B1236" t="s">
        <v>2417</v>
      </c>
      <c r="C1236" t="s">
        <v>2418</v>
      </c>
      <c r="D1236" t="s">
        <v>2418</v>
      </c>
      <c r="E1236" t="s">
        <v>2418</v>
      </c>
      <c r="F1236" t="s">
        <v>2418</v>
      </c>
      <c r="G1236" s="6">
        <v>60.79</v>
      </c>
      <c r="H1236" s="6"/>
      <c r="I1236" s="6">
        <f t="shared" si="95"/>
        <v>28.5713</v>
      </c>
      <c r="J1236" s="6">
        <f t="shared" si="96"/>
        <v>30.395</v>
      </c>
      <c r="K1236" s="6">
        <f t="shared" si="97"/>
        <v>33.4345</v>
      </c>
      <c r="L1236" s="6">
        <f t="shared" si="98"/>
        <v>42.553</v>
      </c>
      <c r="M1236" s="6">
        <f t="shared" si="99"/>
        <v>51.6715</v>
      </c>
    </row>
    <row r="1237" spans="1:13">
      <c r="A1237" t="s">
        <v>13</v>
      </c>
      <c r="B1237" t="s">
        <v>2419</v>
      </c>
      <c r="C1237" t="s">
        <v>2420</v>
      </c>
      <c r="D1237" t="s">
        <v>2420</v>
      </c>
      <c r="E1237" t="s">
        <v>2420</v>
      </c>
      <c r="F1237" t="s">
        <v>2420</v>
      </c>
      <c r="G1237" s="6">
        <v>84.15</v>
      </c>
      <c r="H1237" s="6"/>
      <c r="I1237" s="6">
        <f t="shared" si="95"/>
        <v>39.5505</v>
      </c>
      <c r="J1237" s="6">
        <f t="shared" si="96"/>
        <v>42.075</v>
      </c>
      <c r="K1237" s="6">
        <f t="shared" si="97"/>
        <v>46.2825</v>
      </c>
      <c r="L1237" s="6">
        <f t="shared" si="98"/>
        <v>58.905</v>
      </c>
      <c r="M1237" s="6">
        <f t="shared" si="99"/>
        <v>71.5275</v>
      </c>
    </row>
    <row r="1238" spans="1:13">
      <c r="A1238" t="s">
        <v>13</v>
      </c>
      <c r="B1238" t="s">
        <v>2421</v>
      </c>
      <c r="C1238" t="s">
        <v>2422</v>
      </c>
      <c r="D1238" t="s">
        <v>2422</v>
      </c>
      <c r="E1238" t="s">
        <v>2422</v>
      </c>
      <c r="F1238" t="s">
        <v>2422</v>
      </c>
      <c r="G1238" s="6">
        <v>295</v>
      </c>
      <c r="H1238" s="6"/>
      <c r="I1238" s="6">
        <f t="shared" si="95"/>
        <v>138.65</v>
      </c>
      <c r="J1238" s="6">
        <f t="shared" si="96"/>
        <v>147.5</v>
      </c>
      <c r="K1238" s="6">
        <f t="shared" si="97"/>
        <v>162.25</v>
      </c>
      <c r="L1238" s="6">
        <f t="shared" si="98"/>
        <v>206.5</v>
      </c>
      <c r="M1238" s="6">
        <f t="shared" si="99"/>
        <v>250.75</v>
      </c>
    </row>
    <row r="1239" spans="1:13">
      <c r="A1239" t="s">
        <v>13</v>
      </c>
      <c r="B1239" t="s">
        <v>2423</v>
      </c>
      <c r="C1239" t="s">
        <v>2424</v>
      </c>
      <c r="D1239" t="s">
        <v>2424</v>
      </c>
      <c r="E1239" t="s">
        <v>2424</v>
      </c>
      <c r="F1239" t="s">
        <v>2424</v>
      </c>
      <c r="G1239" s="6">
        <v>63.24</v>
      </c>
      <c r="H1239" s="6"/>
      <c r="I1239" s="6">
        <f t="shared" si="95"/>
        <v>29.7228</v>
      </c>
      <c r="J1239" s="6">
        <f t="shared" si="96"/>
        <v>31.62</v>
      </c>
      <c r="K1239" s="6">
        <f t="shared" si="97"/>
        <v>34.782</v>
      </c>
      <c r="L1239" s="6">
        <f t="shared" si="98"/>
        <v>44.268</v>
      </c>
      <c r="M1239" s="6">
        <f t="shared" si="99"/>
        <v>53.754</v>
      </c>
    </row>
    <row r="1240" spans="1:13">
      <c r="A1240" t="s">
        <v>13</v>
      </c>
      <c r="B1240" t="s">
        <v>2425</v>
      </c>
      <c r="C1240" t="s">
        <v>2426</v>
      </c>
      <c r="D1240" t="s">
        <v>2426</v>
      </c>
      <c r="E1240" t="s">
        <v>2426</v>
      </c>
      <c r="F1240" t="s">
        <v>2426</v>
      </c>
      <c r="G1240" s="6">
        <v>80.78</v>
      </c>
      <c r="H1240" s="6"/>
      <c r="I1240" s="6">
        <f t="shared" si="95"/>
        <v>37.9666</v>
      </c>
      <c r="J1240" s="6">
        <f t="shared" si="96"/>
        <v>40.39</v>
      </c>
      <c r="K1240" s="6">
        <f t="shared" si="97"/>
        <v>44.429</v>
      </c>
      <c r="L1240" s="6">
        <f t="shared" si="98"/>
        <v>56.546</v>
      </c>
      <c r="M1240" s="6">
        <f t="shared" si="99"/>
        <v>68.663</v>
      </c>
    </row>
    <row r="1241" spans="1:13">
      <c r="A1241" t="s">
        <v>13</v>
      </c>
      <c r="B1241" t="s">
        <v>2427</v>
      </c>
      <c r="C1241" t="s">
        <v>2428</v>
      </c>
      <c r="D1241" t="s">
        <v>2428</v>
      </c>
      <c r="E1241" t="s">
        <v>2428</v>
      </c>
      <c r="F1241" t="s">
        <v>2428</v>
      </c>
      <c r="G1241" s="6">
        <v>104.14</v>
      </c>
      <c r="H1241" s="6"/>
      <c r="I1241" s="6">
        <f t="shared" si="95"/>
        <v>48.9458</v>
      </c>
      <c r="J1241" s="6">
        <f t="shared" si="96"/>
        <v>52.07</v>
      </c>
      <c r="K1241" s="6">
        <f t="shared" si="97"/>
        <v>57.277</v>
      </c>
      <c r="L1241" s="6">
        <f t="shared" si="98"/>
        <v>72.898</v>
      </c>
      <c r="M1241" s="6">
        <f t="shared" si="99"/>
        <v>88.519</v>
      </c>
    </row>
    <row r="1242" spans="1:13">
      <c r="A1242" t="s">
        <v>13</v>
      </c>
      <c r="B1242" t="s">
        <v>2429</v>
      </c>
      <c r="C1242" t="s">
        <v>2430</v>
      </c>
      <c r="D1242" t="s">
        <v>2430</v>
      </c>
      <c r="E1242" t="s">
        <v>2430</v>
      </c>
      <c r="F1242" t="s">
        <v>2430</v>
      </c>
      <c r="G1242" s="6">
        <v>137.5</v>
      </c>
      <c r="H1242" s="6"/>
      <c r="I1242" s="6">
        <f t="shared" si="95"/>
        <v>64.625</v>
      </c>
      <c r="J1242" s="6">
        <f t="shared" si="96"/>
        <v>68.75</v>
      </c>
      <c r="K1242" s="6">
        <f t="shared" si="97"/>
        <v>75.625</v>
      </c>
      <c r="L1242" s="6">
        <f t="shared" si="98"/>
        <v>96.25</v>
      </c>
      <c r="M1242" s="6">
        <f t="shared" si="99"/>
        <v>116.875</v>
      </c>
    </row>
    <row r="1243" spans="1:13">
      <c r="A1243" t="s">
        <v>13</v>
      </c>
      <c r="B1243" t="s">
        <v>2431</v>
      </c>
      <c r="C1243" t="s">
        <v>2432</v>
      </c>
      <c r="D1243" t="s">
        <v>2432</v>
      </c>
      <c r="E1243" t="s">
        <v>2432</v>
      </c>
      <c r="F1243" t="s">
        <v>2432</v>
      </c>
      <c r="G1243" s="6">
        <v>140.25</v>
      </c>
      <c r="H1243" s="6"/>
      <c r="I1243" s="6">
        <f t="shared" si="95"/>
        <v>65.9175</v>
      </c>
      <c r="J1243" s="6">
        <f t="shared" si="96"/>
        <v>70.125</v>
      </c>
      <c r="K1243" s="6">
        <f t="shared" si="97"/>
        <v>77.1375</v>
      </c>
      <c r="L1243" s="6">
        <f t="shared" si="98"/>
        <v>98.175</v>
      </c>
      <c r="M1243" s="6">
        <f t="shared" si="99"/>
        <v>119.2125</v>
      </c>
    </row>
    <row r="1244" spans="1:13">
      <c r="A1244" t="s">
        <v>13</v>
      </c>
      <c r="B1244" t="s">
        <v>2433</v>
      </c>
      <c r="C1244" t="s">
        <v>2434</v>
      </c>
      <c r="D1244" t="s">
        <v>2434</v>
      </c>
      <c r="E1244" t="s">
        <v>2434</v>
      </c>
      <c r="F1244" t="s">
        <v>2434</v>
      </c>
      <c r="G1244" s="6">
        <v>198.9</v>
      </c>
      <c r="H1244" s="6"/>
      <c r="I1244" s="6">
        <f t="shared" si="95"/>
        <v>93.483</v>
      </c>
      <c r="J1244" s="6">
        <f t="shared" si="96"/>
        <v>99.45</v>
      </c>
      <c r="K1244" s="6">
        <f t="shared" si="97"/>
        <v>109.395</v>
      </c>
      <c r="L1244" s="6">
        <f t="shared" si="98"/>
        <v>139.23</v>
      </c>
      <c r="M1244" s="6">
        <f t="shared" si="99"/>
        <v>169.065</v>
      </c>
    </row>
    <row r="1245" spans="1:13">
      <c r="A1245" t="s">
        <v>13</v>
      </c>
      <c r="B1245" t="s">
        <v>2435</v>
      </c>
      <c r="C1245" t="s">
        <v>2436</v>
      </c>
      <c r="D1245" t="s">
        <v>2436</v>
      </c>
      <c r="E1245" t="s">
        <v>2436</v>
      </c>
      <c r="F1245" t="s">
        <v>2436</v>
      </c>
      <c r="G1245" s="6">
        <v>40.37</v>
      </c>
      <c r="H1245" s="6"/>
      <c r="I1245" s="6">
        <f t="shared" si="95"/>
        <v>18.9739</v>
      </c>
      <c r="J1245" s="6">
        <f t="shared" si="96"/>
        <v>20.185</v>
      </c>
      <c r="K1245" s="6">
        <f t="shared" si="97"/>
        <v>22.2035</v>
      </c>
      <c r="L1245" s="6">
        <f t="shared" si="98"/>
        <v>28.259</v>
      </c>
      <c r="M1245" s="6">
        <f t="shared" si="99"/>
        <v>34.3145</v>
      </c>
    </row>
    <row r="1246" spans="1:13">
      <c r="A1246" t="s">
        <v>13</v>
      </c>
      <c r="B1246" t="s">
        <v>2437</v>
      </c>
      <c r="C1246" t="s">
        <v>2438</v>
      </c>
      <c r="D1246" t="s">
        <v>2438</v>
      </c>
      <c r="E1246" t="s">
        <v>2438</v>
      </c>
      <c r="F1246" t="s">
        <v>2438</v>
      </c>
      <c r="G1246" s="6">
        <v>42.02</v>
      </c>
      <c r="H1246" s="6"/>
      <c r="I1246" s="6">
        <f t="shared" si="95"/>
        <v>19.7494</v>
      </c>
      <c r="J1246" s="6">
        <f t="shared" si="96"/>
        <v>21.01</v>
      </c>
      <c r="K1246" s="6">
        <f t="shared" si="97"/>
        <v>23.111</v>
      </c>
      <c r="L1246" s="6">
        <f t="shared" si="98"/>
        <v>29.414</v>
      </c>
      <c r="M1246" s="6">
        <f t="shared" si="99"/>
        <v>35.717</v>
      </c>
    </row>
    <row r="1247" spans="1:13">
      <c r="A1247" t="s">
        <v>13</v>
      </c>
      <c r="B1247" t="s">
        <v>2439</v>
      </c>
      <c r="C1247" t="s">
        <v>2440</v>
      </c>
      <c r="D1247" t="s">
        <v>2440</v>
      </c>
      <c r="E1247" t="s">
        <v>2440</v>
      </c>
      <c r="F1247" t="s">
        <v>2440</v>
      </c>
      <c r="G1247" s="6">
        <v>51.51</v>
      </c>
      <c r="H1247" s="6"/>
      <c r="I1247" s="6">
        <f t="shared" si="95"/>
        <v>24.2097</v>
      </c>
      <c r="J1247" s="6">
        <f t="shared" si="96"/>
        <v>25.755</v>
      </c>
      <c r="K1247" s="6">
        <f t="shared" si="97"/>
        <v>28.3305</v>
      </c>
      <c r="L1247" s="6">
        <f t="shared" si="98"/>
        <v>36.057</v>
      </c>
      <c r="M1247" s="6">
        <f t="shared" si="99"/>
        <v>43.7835</v>
      </c>
    </row>
    <row r="1248" spans="1:13">
      <c r="A1248" t="s">
        <v>13</v>
      </c>
      <c r="B1248" t="s">
        <v>2441</v>
      </c>
      <c r="C1248" t="s">
        <v>2442</v>
      </c>
      <c r="D1248" t="s">
        <v>2442</v>
      </c>
      <c r="E1248" t="s">
        <v>2442</v>
      </c>
      <c r="F1248" t="s">
        <v>2442</v>
      </c>
      <c r="G1248" s="6">
        <v>18.15</v>
      </c>
      <c r="H1248" s="6"/>
      <c r="I1248" s="6">
        <f t="shared" si="95"/>
        <v>8.5305</v>
      </c>
      <c r="J1248" s="6">
        <f t="shared" si="96"/>
        <v>9.075</v>
      </c>
      <c r="K1248" s="6">
        <f t="shared" si="97"/>
        <v>9.9825</v>
      </c>
      <c r="L1248" s="6">
        <f t="shared" si="98"/>
        <v>12.705</v>
      </c>
      <c r="M1248" s="6">
        <f t="shared" si="99"/>
        <v>15.4275</v>
      </c>
    </row>
    <row r="1249" spans="1:13">
      <c r="A1249" t="s">
        <v>13</v>
      </c>
      <c r="B1249" t="s">
        <v>2443</v>
      </c>
      <c r="C1249" t="s">
        <v>2444</v>
      </c>
      <c r="D1249" t="s">
        <v>2444</v>
      </c>
      <c r="E1249" t="s">
        <v>2444</v>
      </c>
      <c r="F1249" t="s">
        <v>2444</v>
      </c>
      <c r="G1249" s="6">
        <v>15.41</v>
      </c>
      <c r="H1249" s="6"/>
      <c r="I1249" s="6">
        <f t="shared" si="95"/>
        <v>7.2427</v>
      </c>
      <c r="J1249" s="6">
        <f t="shared" si="96"/>
        <v>7.705</v>
      </c>
      <c r="K1249" s="6">
        <f t="shared" si="97"/>
        <v>8.4755</v>
      </c>
      <c r="L1249" s="6">
        <f t="shared" si="98"/>
        <v>10.787</v>
      </c>
      <c r="M1249" s="6">
        <f t="shared" si="99"/>
        <v>13.0985</v>
      </c>
    </row>
    <row r="1250" spans="1:13">
      <c r="A1250" t="s">
        <v>13</v>
      </c>
      <c r="B1250" t="s">
        <v>2445</v>
      </c>
      <c r="C1250" t="s">
        <v>2446</v>
      </c>
      <c r="D1250" t="s">
        <v>2446</v>
      </c>
      <c r="E1250" t="s">
        <v>2446</v>
      </c>
      <c r="F1250" t="s">
        <v>2446</v>
      </c>
      <c r="G1250" s="6">
        <v>23.28</v>
      </c>
      <c r="H1250" s="6"/>
      <c r="I1250" s="6">
        <f t="shared" si="95"/>
        <v>10.9416</v>
      </c>
      <c r="J1250" s="6">
        <f t="shared" si="96"/>
        <v>11.64</v>
      </c>
      <c r="K1250" s="6">
        <f t="shared" si="97"/>
        <v>12.804</v>
      </c>
      <c r="L1250" s="6">
        <f t="shared" si="98"/>
        <v>16.296</v>
      </c>
      <c r="M1250" s="6">
        <f t="shared" si="99"/>
        <v>19.788</v>
      </c>
    </row>
    <row r="1251" spans="1:13">
      <c r="A1251" t="s">
        <v>13</v>
      </c>
      <c r="B1251" t="s">
        <v>2447</v>
      </c>
      <c r="C1251" t="s">
        <v>2448</v>
      </c>
      <c r="D1251" t="s">
        <v>2448</v>
      </c>
      <c r="E1251" t="s">
        <v>2448</v>
      </c>
      <c r="F1251" t="s">
        <v>2448</v>
      </c>
      <c r="G1251" s="6">
        <v>25.52</v>
      </c>
      <c r="H1251" s="6"/>
      <c r="I1251" s="6">
        <f t="shared" si="95"/>
        <v>11.9944</v>
      </c>
      <c r="J1251" s="6">
        <f t="shared" si="96"/>
        <v>12.76</v>
      </c>
      <c r="K1251" s="6">
        <f t="shared" si="97"/>
        <v>14.036</v>
      </c>
      <c r="L1251" s="6">
        <f t="shared" si="98"/>
        <v>17.864</v>
      </c>
      <c r="M1251" s="6">
        <f t="shared" si="99"/>
        <v>21.692</v>
      </c>
    </row>
    <row r="1252" spans="1:13">
      <c r="A1252" t="s">
        <v>13</v>
      </c>
      <c r="B1252" t="s">
        <v>2449</v>
      </c>
      <c r="C1252" t="s">
        <v>2450</v>
      </c>
      <c r="D1252" t="s">
        <v>2450</v>
      </c>
      <c r="E1252" t="s">
        <v>2450</v>
      </c>
      <c r="F1252" t="s">
        <v>2450</v>
      </c>
      <c r="G1252" s="6">
        <v>21.34</v>
      </c>
      <c r="H1252" s="6"/>
      <c r="I1252" s="6">
        <f t="shared" si="95"/>
        <v>10.0298</v>
      </c>
      <c r="J1252" s="6">
        <f t="shared" si="96"/>
        <v>10.67</v>
      </c>
      <c r="K1252" s="6">
        <f t="shared" si="97"/>
        <v>11.737</v>
      </c>
      <c r="L1252" s="6">
        <f t="shared" si="98"/>
        <v>14.938</v>
      </c>
      <c r="M1252" s="6">
        <f t="shared" si="99"/>
        <v>18.139</v>
      </c>
    </row>
    <row r="1253" spans="1:13">
      <c r="A1253" t="s">
        <v>13</v>
      </c>
      <c r="B1253" t="s">
        <v>2451</v>
      </c>
      <c r="C1253" t="s">
        <v>2452</v>
      </c>
      <c r="D1253" t="s">
        <v>2452</v>
      </c>
      <c r="E1253" t="s">
        <v>2452</v>
      </c>
      <c r="F1253" t="s">
        <v>2452</v>
      </c>
      <c r="G1253" s="6">
        <v>29.48</v>
      </c>
      <c r="H1253" s="6"/>
      <c r="I1253" s="6">
        <f t="shared" si="95"/>
        <v>13.8556</v>
      </c>
      <c r="J1253" s="6">
        <f t="shared" si="96"/>
        <v>14.74</v>
      </c>
      <c r="K1253" s="6">
        <f t="shared" si="97"/>
        <v>16.214</v>
      </c>
      <c r="L1253" s="6">
        <f t="shared" si="98"/>
        <v>20.636</v>
      </c>
      <c r="M1253" s="6">
        <f t="shared" si="99"/>
        <v>25.058</v>
      </c>
    </row>
    <row r="1254" spans="1:13">
      <c r="A1254" t="s">
        <v>13</v>
      </c>
      <c r="B1254" t="s">
        <v>2453</v>
      </c>
      <c r="C1254" t="s">
        <v>2454</v>
      </c>
      <c r="D1254" t="s">
        <v>2454</v>
      </c>
      <c r="E1254" t="s">
        <v>2454</v>
      </c>
      <c r="F1254" t="s">
        <v>2454</v>
      </c>
      <c r="G1254" s="6">
        <v>372.2</v>
      </c>
      <c r="H1254" s="6"/>
      <c r="I1254" s="6">
        <f t="shared" si="95"/>
        <v>174.934</v>
      </c>
      <c r="J1254" s="6">
        <f t="shared" si="96"/>
        <v>186.1</v>
      </c>
      <c r="K1254" s="6">
        <f t="shared" si="97"/>
        <v>204.71</v>
      </c>
      <c r="L1254" s="6">
        <f t="shared" si="98"/>
        <v>260.54</v>
      </c>
      <c r="M1254" s="6">
        <f t="shared" si="99"/>
        <v>316.37</v>
      </c>
    </row>
    <row r="1255" spans="1:13">
      <c r="A1255" t="s">
        <v>13</v>
      </c>
      <c r="B1255" t="s">
        <v>2455</v>
      </c>
      <c r="C1255" t="s">
        <v>2456</v>
      </c>
      <c r="D1255" t="s">
        <v>2456</v>
      </c>
      <c r="E1255" t="s">
        <v>2456</v>
      </c>
      <c r="F1255" t="s">
        <v>2456</v>
      </c>
      <c r="G1255" s="6">
        <v>169.12</v>
      </c>
      <c r="H1255" s="6"/>
      <c r="I1255" s="6">
        <f t="shared" si="95"/>
        <v>79.4864</v>
      </c>
      <c r="J1255" s="6">
        <f t="shared" si="96"/>
        <v>84.56</v>
      </c>
      <c r="K1255" s="6">
        <f t="shared" si="97"/>
        <v>93.016</v>
      </c>
      <c r="L1255" s="6">
        <f t="shared" si="98"/>
        <v>118.384</v>
      </c>
      <c r="M1255" s="6">
        <f t="shared" si="99"/>
        <v>143.752</v>
      </c>
    </row>
    <row r="1256" spans="1:13">
      <c r="A1256" t="s">
        <v>13</v>
      </c>
      <c r="B1256" t="s">
        <v>2457</v>
      </c>
      <c r="C1256" t="s">
        <v>2458</v>
      </c>
      <c r="D1256" t="s">
        <v>2458</v>
      </c>
      <c r="E1256" t="s">
        <v>2458</v>
      </c>
      <c r="F1256" t="s">
        <v>2458</v>
      </c>
      <c r="G1256" s="6">
        <v>255.31</v>
      </c>
      <c r="H1256" s="6"/>
      <c r="I1256" s="6">
        <f t="shared" si="95"/>
        <v>119.9957</v>
      </c>
      <c r="J1256" s="6">
        <f t="shared" si="96"/>
        <v>127.655</v>
      </c>
      <c r="K1256" s="6">
        <f t="shared" si="97"/>
        <v>140.4205</v>
      </c>
      <c r="L1256" s="6">
        <f t="shared" si="98"/>
        <v>178.717</v>
      </c>
      <c r="M1256" s="6">
        <f t="shared" si="99"/>
        <v>217.0135</v>
      </c>
    </row>
    <row r="1257" spans="1:13">
      <c r="A1257" t="s">
        <v>13</v>
      </c>
      <c r="B1257" t="s">
        <v>2459</v>
      </c>
      <c r="C1257" t="s">
        <v>2460</v>
      </c>
      <c r="D1257" t="s">
        <v>2460</v>
      </c>
      <c r="E1257" t="s">
        <v>2460</v>
      </c>
      <c r="F1257" t="s">
        <v>2460</v>
      </c>
      <c r="G1257" s="6">
        <v>336.29</v>
      </c>
      <c r="H1257" s="6"/>
      <c r="I1257" s="6">
        <f t="shared" si="95"/>
        <v>158.0563</v>
      </c>
      <c r="J1257" s="6">
        <f t="shared" si="96"/>
        <v>168.145</v>
      </c>
      <c r="K1257" s="6">
        <f t="shared" si="97"/>
        <v>184.9595</v>
      </c>
      <c r="L1257" s="6">
        <f t="shared" si="98"/>
        <v>235.403</v>
      </c>
      <c r="M1257" s="6">
        <f t="shared" si="99"/>
        <v>285.8465</v>
      </c>
    </row>
    <row r="1258" spans="1:13">
      <c r="A1258" t="s">
        <v>13</v>
      </c>
      <c r="B1258" t="s">
        <v>2461</v>
      </c>
      <c r="C1258" t="s">
        <v>2462</v>
      </c>
      <c r="D1258" t="s">
        <v>2462</v>
      </c>
      <c r="E1258" t="s">
        <v>2462</v>
      </c>
      <c r="F1258" t="s">
        <v>2462</v>
      </c>
      <c r="G1258" s="6">
        <v>418.81</v>
      </c>
      <c r="H1258" s="6"/>
      <c r="I1258" s="6">
        <f t="shared" si="95"/>
        <v>196.8407</v>
      </c>
      <c r="J1258" s="6">
        <f t="shared" si="96"/>
        <v>209.405</v>
      </c>
      <c r="K1258" s="6">
        <f t="shared" si="97"/>
        <v>230.3455</v>
      </c>
      <c r="L1258" s="6">
        <f t="shared" si="98"/>
        <v>293.167</v>
      </c>
      <c r="M1258" s="6">
        <f t="shared" si="99"/>
        <v>355.9885</v>
      </c>
    </row>
    <row r="1259" spans="1:13">
      <c r="A1259" t="s">
        <v>13</v>
      </c>
      <c r="B1259" t="s">
        <v>2463</v>
      </c>
      <c r="C1259" t="s">
        <v>2464</v>
      </c>
      <c r="D1259" t="s">
        <v>2464</v>
      </c>
      <c r="E1259" t="s">
        <v>2464</v>
      </c>
      <c r="F1259" t="s">
        <v>2464</v>
      </c>
      <c r="G1259" s="6">
        <v>505</v>
      </c>
      <c r="H1259" s="6"/>
      <c r="I1259" s="6">
        <f t="shared" si="95"/>
        <v>237.35</v>
      </c>
      <c r="J1259" s="6">
        <f t="shared" si="96"/>
        <v>252.5</v>
      </c>
      <c r="K1259" s="6">
        <f t="shared" si="97"/>
        <v>277.75</v>
      </c>
      <c r="L1259" s="6">
        <f t="shared" si="98"/>
        <v>353.5</v>
      </c>
      <c r="M1259" s="6">
        <f t="shared" si="99"/>
        <v>429.25</v>
      </c>
    </row>
    <row r="1260" spans="1:13">
      <c r="A1260" t="s">
        <v>13</v>
      </c>
      <c r="B1260" t="s">
        <v>2465</v>
      </c>
      <c r="C1260" t="s">
        <v>2466</v>
      </c>
      <c r="D1260" t="s">
        <v>2466</v>
      </c>
      <c r="E1260" t="s">
        <v>2466</v>
      </c>
      <c r="F1260" t="s">
        <v>2466</v>
      </c>
      <c r="G1260" s="6">
        <v>278.66</v>
      </c>
      <c r="H1260" s="6"/>
      <c r="I1260" s="6">
        <f t="shared" si="95"/>
        <v>130.9702</v>
      </c>
      <c r="J1260" s="6">
        <f t="shared" si="96"/>
        <v>139.33</v>
      </c>
      <c r="K1260" s="6">
        <f t="shared" si="97"/>
        <v>153.263</v>
      </c>
      <c r="L1260" s="6">
        <f t="shared" si="98"/>
        <v>195.062</v>
      </c>
      <c r="M1260" s="6">
        <f t="shared" si="99"/>
        <v>236.861</v>
      </c>
    </row>
    <row r="1261" spans="1:13">
      <c r="A1261" t="s">
        <v>13</v>
      </c>
      <c r="B1261" t="s">
        <v>2467</v>
      </c>
      <c r="C1261" t="s">
        <v>2468</v>
      </c>
      <c r="D1261" t="s">
        <v>2468</v>
      </c>
      <c r="E1261" t="s">
        <v>2468</v>
      </c>
      <c r="F1261" t="s">
        <v>2468</v>
      </c>
      <c r="G1261" s="6">
        <v>415.75</v>
      </c>
      <c r="H1261" s="6"/>
      <c r="I1261" s="6">
        <f t="shared" si="95"/>
        <v>195.4025</v>
      </c>
      <c r="J1261" s="6">
        <f t="shared" si="96"/>
        <v>207.875</v>
      </c>
      <c r="K1261" s="6">
        <f t="shared" si="97"/>
        <v>228.6625</v>
      </c>
      <c r="L1261" s="6">
        <f t="shared" si="98"/>
        <v>291.025</v>
      </c>
      <c r="M1261" s="6">
        <f t="shared" si="99"/>
        <v>353.3875</v>
      </c>
    </row>
    <row r="1262" spans="1:13">
      <c r="A1262" t="s">
        <v>13</v>
      </c>
      <c r="B1262" t="s">
        <v>2469</v>
      </c>
      <c r="C1262" t="s">
        <v>2470</v>
      </c>
      <c r="D1262" t="s">
        <v>2470</v>
      </c>
      <c r="E1262" t="s">
        <v>2470</v>
      </c>
      <c r="F1262" t="s">
        <v>2470</v>
      </c>
      <c r="G1262" s="6">
        <v>557.84</v>
      </c>
      <c r="H1262" s="6"/>
      <c r="I1262" s="6">
        <f t="shared" si="95"/>
        <v>262.1848</v>
      </c>
      <c r="J1262" s="6">
        <f t="shared" si="96"/>
        <v>278.92</v>
      </c>
      <c r="K1262" s="6">
        <f t="shared" si="97"/>
        <v>306.812</v>
      </c>
      <c r="L1262" s="6">
        <f t="shared" si="98"/>
        <v>390.488</v>
      </c>
      <c r="M1262" s="6">
        <f t="shared" si="99"/>
        <v>474.164</v>
      </c>
    </row>
    <row r="1263" spans="1:13">
      <c r="A1263" t="s">
        <v>13</v>
      </c>
      <c r="B1263" t="s">
        <v>2471</v>
      </c>
      <c r="C1263" t="s">
        <v>2472</v>
      </c>
      <c r="D1263" t="s">
        <v>2472</v>
      </c>
      <c r="E1263" t="s">
        <v>2472</v>
      </c>
      <c r="F1263" t="s">
        <v>2472</v>
      </c>
      <c r="G1263" s="6">
        <v>690.74</v>
      </c>
      <c r="H1263" s="6"/>
      <c r="I1263" s="6">
        <f t="shared" si="95"/>
        <v>324.6478</v>
      </c>
      <c r="J1263" s="6">
        <f t="shared" si="96"/>
        <v>345.37</v>
      </c>
      <c r="K1263" s="6">
        <f t="shared" si="97"/>
        <v>379.907</v>
      </c>
      <c r="L1263" s="6">
        <f t="shared" si="98"/>
        <v>483.518</v>
      </c>
      <c r="M1263" s="6">
        <f t="shared" si="99"/>
        <v>587.129</v>
      </c>
    </row>
    <row r="1264" spans="1:13">
      <c r="A1264" t="s">
        <v>13</v>
      </c>
      <c r="B1264" t="s">
        <v>2473</v>
      </c>
      <c r="C1264" t="s">
        <v>2474</v>
      </c>
      <c r="D1264" t="s">
        <v>2474</v>
      </c>
      <c r="E1264" t="s">
        <v>2474</v>
      </c>
      <c r="F1264" t="s">
        <v>2474</v>
      </c>
      <c r="G1264" s="6">
        <v>824.98</v>
      </c>
      <c r="H1264" s="6"/>
      <c r="I1264" s="6">
        <f t="shared" si="95"/>
        <v>387.7406</v>
      </c>
      <c r="J1264" s="6">
        <f t="shared" si="96"/>
        <v>412.49</v>
      </c>
      <c r="K1264" s="6">
        <f t="shared" si="97"/>
        <v>453.739</v>
      </c>
      <c r="L1264" s="6">
        <f t="shared" si="98"/>
        <v>577.486</v>
      </c>
      <c r="M1264" s="6">
        <f t="shared" si="99"/>
        <v>701.233</v>
      </c>
    </row>
    <row r="1265" spans="1:13">
      <c r="A1265" t="s">
        <v>13</v>
      </c>
      <c r="B1265" t="s">
        <v>2475</v>
      </c>
      <c r="C1265" t="s">
        <v>2476</v>
      </c>
      <c r="D1265" t="s">
        <v>2476</v>
      </c>
      <c r="E1265" t="s">
        <v>2476</v>
      </c>
      <c r="F1265" t="s">
        <v>2476</v>
      </c>
      <c r="G1265" s="6">
        <v>333.85</v>
      </c>
      <c r="H1265" s="6"/>
      <c r="I1265" s="6">
        <f t="shared" si="95"/>
        <v>156.9095</v>
      </c>
      <c r="J1265" s="6">
        <f t="shared" si="96"/>
        <v>166.925</v>
      </c>
      <c r="K1265" s="6">
        <f t="shared" si="97"/>
        <v>183.6175</v>
      </c>
      <c r="L1265" s="6">
        <f t="shared" si="98"/>
        <v>233.695</v>
      </c>
      <c r="M1265" s="6">
        <f t="shared" si="99"/>
        <v>283.7725</v>
      </c>
    </row>
    <row r="1266" spans="1:13">
      <c r="A1266" t="s">
        <v>13</v>
      </c>
      <c r="B1266" t="s">
        <v>2477</v>
      </c>
      <c r="C1266" t="s">
        <v>2478</v>
      </c>
      <c r="D1266" t="s">
        <v>2478</v>
      </c>
      <c r="E1266" t="s">
        <v>2478</v>
      </c>
      <c r="F1266" t="s">
        <v>2478</v>
      </c>
      <c r="G1266" s="6">
        <v>52.53</v>
      </c>
      <c r="H1266" s="6"/>
      <c r="I1266" s="6">
        <f t="shared" si="95"/>
        <v>24.6891</v>
      </c>
      <c r="J1266" s="6">
        <f t="shared" si="96"/>
        <v>26.265</v>
      </c>
      <c r="K1266" s="6">
        <f t="shared" si="97"/>
        <v>28.8915</v>
      </c>
      <c r="L1266" s="6">
        <f t="shared" si="98"/>
        <v>36.771</v>
      </c>
      <c r="M1266" s="6">
        <f t="shared" si="99"/>
        <v>44.6505</v>
      </c>
    </row>
    <row r="1267" spans="1:13">
      <c r="A1267" t="s">
        <v>13</v>
      </c>
      <c r="B1267" t="s">
        <v>2479</v>
      </c>
      <c r="C1267" t="s">
        <v>2480</v>
      </c>
      <c r="D1267" t="s">
        <v>2480</v>
      </c>
      <c r="E1267" t="s">
        <v>2480</v>
      </c>
      <c r="F1267" t="s">
        <v>2480</v>
      </c>
      <c r="G1267" s="6">
        <v>74.49</v>
      </c>
      <c r="H1267" s="6"/>
      <c r="I1267" s="6">
        <f t="shared" si="95"/>
        <v>35.0103</v>
      </c>
      <c r="J1267" s="6">
        <f t="shared" si="96"/>
        <v>37.245</v>
      </c>
      <c r="K1267" s="6">
        <f t="shared" si="97"/>
        <v>40.9695</v>
      </c>
      <c r="L1267" s="6">
        <f t="shared" si="98"/>
        <v>52.143</v>
      </c>
      <c r="M1267" s="6">
        <f t="shared" si="99"/>
        <v>63.3165</v>
      </c>
    </row>
    <row r="1268" spans="1:13">
      <c r="A1268" t="s">
        <v>13</v>
      </c>
      <c r="B1268" t="s">
        <v>2481</v>
      </c>
      <c r="C1268" t="s">
        <v>2482</v>
      </c>
      <c r="D1268" t="s">
        <v>2482</v>
      </c>
      <c r="E1268" t="s">
        <v>2482</v>
      </c>
      <c r="F1268" t="s">
        <v>2482</v>
      </c>
      <c r="G1268" s="6">
        <v>143</v>
      </c>
      <c r="H1268" s="6"/>
      <c r="I1268" s="6">
        <f t="shared" si="95"/>
        <v>67.21</v>
      </c>
      <c r="J1268" s="6">
        <f t="shared" si="96"/>
        <v>71.5</v>
      </c>
      <c r="K1268" s="6">
        <f t="shared" si="97"/>
        <v>78.65</v>
      </c>
      <c r="L1268" s="6">
        <f t="shared" si="98"/>
        <v>100.1</v>
      </c>
      <c r="M1268" s="6">
        <f t="shared" si="99"/>
        <v>121.55</v>
      </c>
    </row>
    <row r="1269" spans="1:13">
      <c r="A1269" t="s">
        <v>13</v>
      </c>
      <c r="B1269" t="s">
        <v>2483</v>
      </c>
      <c r="C1269" t="s">
        <v>2484</v>
      </c>
      <c r="D1269" t="s">
        <v>2484</v>
      </c>
      <c r="E1269" t="s">
        <v>2484</v>
      </c>
      <c r="F1269" t="s">
        <v>2484</v>
      </c>
      <c r="G1269" s="6">
        <v>202.78</v>
      </c>
      <c r="H1269" s="6"/>
      <c r="I1269" s="6">
        <f t="shared" si="95"/>
        <v>95.3066</v>
      </c>
      <c r="J1269" s="6">
        <f t="shared" si="96"/>
        <v>101.39</v>
      </c>
      <c r="K1269" s="6">
        <f t="shared" si="97"/>
        <v>111.529</v>
      </c>
      <c r="L1269" s="6">
        <f t="shared" si="98"/>
        <v>141.946</v>
      </c>
      <c r="M1269" s="6">
        <f t="shared" si="99"/>
        <v>172.363</v>
      </c>
    </row>
    <row r="1270" spans="1:13">
      <c r="A1270" t="s">
        <v>13</v>
      </c>
      <c r="B1270" t="s">
        <v>2485</v>
      </c>
      <c r="C1270" t="s">
        <v>2486</v>
      </c>
      <c r="D1270" t="s">
        <v>2486</v>
      </c>
      <c r="E1270" t="s">
        <v>2486</v>
      </c>
      <c r="F1270" t="s">
        <v>2486</v>
      </c>
      <c r="G1270" s="6">
        <v>156.06</v>
      </c>
      <c r="H1270" s="6"/>
      <c r="I1270" s="6">
        <f t="shared" si="95"/>
        <v>73.3482</v>
      </c>
      <c r="J1270" s="6">
        <f t="shared" si="96"/>
        <v>78.03</v>
      </c>
      <c r="K1270" s="6">
        <f t="shared" si="97"/>
        <v>85.833</v>
      </c>
      <c r="L1270" s="6">
        <f t="shared" si="98"/>
        <v>109.242</v>
      </c>
      <c r="M1270" s="6">
        <f t="shared" si="99"/>
        <v>132.651</v>
      </c>
    </row>
    <row r="1271" spans="1:13">
      <c r="A1271" t="s">
        <v>13</v>
      </c>
      <c r="B1271" t="s">
        <v>2487</v>
      </c>
      <c r="C1271" t="s">
        <v>2488</v>
      </c>
      <c r="D1271" t="s">
        <v>2488</v>
      </c>
      <c r="E1271" t="s">
        <v>2488</v>
      </c>
      <c r="F1271" t="s">
        <v>2488</v>
      </c>
      <c r="G1271" s="6">
        <v>158.1</v>
      </c>
      <c r="H1271" s="6"/>
      <c r="I1271" s="6">
        <f t="shared" si="95"/>
        <v>74.307</v>
      </c>
      <c r="J1271" s="6">
        <f t="shared" si="96"/>
        <v>79.05</v>
      </c>
      <c r="K1271" s="6">
        <f t="shared" si="97"/>
        <v>86.955</v>
      </c>
      <c r="L1271" s="6">
        <f t="shared" si="98"/>
        <v>110.67</v>
      </c>
      <c r="M1271" s="6">
        <f t="shared" si="99"/>
        <v>134.385</v>
      </c>
    </row>
    <row r="1272" spans="1:13">
      <c r="A1272" t="s">
        <v>13</v>
      </c>
      <c r="B1272" t="s">
        <v>2489</v>
      </c>
      <c r="C1272" t="s">
        <v>2490</v>
      </c>
      <c r="D1272" t="s">
        <v>2490</v>
      </c>
      <c r="E1272" t="s">
        <v>2490</v>
      </c>
      <c r="F1272" t="s">
        <v>2490</v>
      </c>
      <c r="G1272" s="6">
        <v>163.2</v>
      </c>
      <c r="H1272" s="6"/>
      <c r="I1272" s="6">
        <f t="shared" si="95"/>
        <v>76.704</v>
      </c>
      <c r="J1272" s="6">
        <f t="shared" si="96"/>
        <v>81.6</v>
      </c>
      <c r="K1272" s="6">
        <f t="shared" si="97"/>
        <v>89.76</v>
      </c>
      <c r="L1272" s="6">
        <f t="shared" si="98"/>
        <v>114.24</v>
      </c>
      <c r="M1272" s="6">
        <f t="shared" si="99"/>
        <v>138.72</v>
      </c>
    </row>
    <row r="1273" spans="1:13">
      <c r="A1273" t="s">
        <v>13</v>
      </c>
      <c r="B1273" t="s">
        <v>2491</v>
      </c>
      <c r="C1273" t="s">
        <v>2492</v>
      </c>
      <c r="D1273" t="s">
        <v>2492</v>
      </c>
      <c r="E1273" t="s">
        <v>2492</v>
      </c>
      <c r="F1273" t="s">
        <v>2492</v>
      </c>
      <c r="G1273" s="6">
        <v>165.24</v>
      </c>
      <c r="H1273" s="6"/>
      <c r="I1273" s="6">
        <f t="shared" si="95"/>
        <v>77.6628</v>
      </c>
      <c r="J1273" s="6">
        <f t="shared" si="96"/>
        <v>82.62</v>
      </c>
      <c r="K1273" s="6">
        <f t="shared" si="97"/>
        <v>90.882</v>
      </c>
      <c r="L1273" s="6">
        <f t="shared" si="98"/>
        <v>115.668</v>
      </c>
      <c r="M1273" s="6">
        <f t="shared" si="99"/>
        <v>140.454</v>
      </c>
    </row>
    <row r="1274" spans="1:13">
      <c r="A1274" t="s">
        <v>13</v>
      </c>
      <c r="B1274" t="s">
        <v>2493</v>
      </c>
      <c r="C1274" t="s">
        <v>2494</v>
      </c>
      <c r="D1274" t="s">
        <v>2494</v>
      </c>
      <c r="E1274" t="s">
        <v>2494</v>
      </c>
      <c r="F1274" t="s">
        <v>2494</v>
      </c>
      <c r="G1274" s="6">
        <v>26.21</v>
      </c>
      <c r="H1274" s="6"/>
      <c r="I1274" s="6">
        <f t="shared" si="95"/>
        <v>12.3187</v>
      </c>
      <c r="J1274" s="6">
        <f t="shared" si="96"/>
        <v>13.105</v>
      </c>
      <c r="K1274" s="6">
        <f t="shared" si="97"/>
        <v>14.4155</v>
      </c>
      <c r="L1274" s="6">
        <f t="shared" si="98"/>
        <v>18.347</v>
      </c>
      <c r="M1274" s="6">
        <f t="shared" si="99"/>
        <v>22.2785</v>
      </c>
    </row>
    <row r="1275" spans="1:13">
      <c r="A1275" t="s">
        <v>13</v>
      </c>
      <c r="B1275" t="s">
        <v>2495</v>
      </c>
      <c r="C1275" t="s">
        <v>2496</v>
      </c>
      <c r="D1275" t="s">
        <v>2496</v>
      </c>
      <c r="E1275" t="s">
        <v>2496</v>
      </c>
      <c r="F1275" t="s">
        <v>2496</v>
      </c>
      <c r="G1275" s="6">
        <v>33.56</v>
      </c>
      <c r="H1275" s="6"/>
      <c r="I1275" s="6">
        <f t="shared" si="95"/>
        <v>15.7732</v>
      </c>
      <c r="J1275" s="6">
        <f t="shared" si="96"/>
        <v>16.78</v>
      </c>
      <c r="K1275" s="6">
        <f t="shared" si="97"/>
        <v>18.458</v>
      </c>
      <c r="L1275" s="6">
        <f t="shared" si="98"/>
        <v>23.492</v>
      </c>
      <c r="M1275" s="6">
        <f t="shared" si="99"/>
        <v>28.526</v>
      </c>
    </row>
    <row r="1276" spans="1:13">
      <c r="A1276" t="s">
        <v>13</v>
      </c>
      <c r="B1276" t="s">
        <v>2497</v>
      </c>
      <c r="C1276" t="s">
        <v>2498</v>
      </c>
      <c r="D1276" t="s">
        <v>2498</v>
      </c>
      <c r="E1276" t="s">
        <v>2498</v>
      </c>
      <c r="F1276" t="s">
        <v>2498</v>
      </c>
      <c r="G1276" s="6">
        <v>379.5</v>
      </c>
      <c r="H1276" s="6"/>
      <c r="I1276" s="6">
        <f t="shared" si="95"/>
        <v>178.365</v>
      </c>
      <c r="J1276" s="6">
        <f t="shared" si="96"/>
        <v>189.75</v>
      </c>
      <c r="K1276" s="6">
        <f t="shared" si="97"/>
        <v>208.725</v>
      </c>
      <c r="L1276" s="6">
        <f t="shared" si="98"/>
        <v>265.65</v>
      </c>
      <c r="M1276" s="6">
        <f t="shared" si="99"/>
        <v>322.575</v>
      </c>
    </row>
    <row r="1277" spans="1:13">
      <c r="A1277" t="s">
        <v>13</v>
      </c>
      <c r="B1277" t="s">
        <v>2499</v>
      </c>
      <c r="C1277" t="s">
        <v>2500</v>
      </c>
      <c r="D1277" t="s">
        <v>2500</v>
      </c>
      <c r="E1277" t="s">
        <v>2500</v>
      </c>
      <c r="F1277" t="s">
        <v>2500</v>
      </c>
      <c r="G1277" s="6">
        <v>415.36</v>
      </c>
      <c r="H1277" s="6"/>
      <c r="I1277" s="6">
        <f t="shared" si="95"/>
        <v>195.2192</v>
      </c>
      <c r="J1277" s="6">
        <f t="shared" si="96"/>
        <v>207.68</v>
      </c>
      <c r="K1277" s="6">
        <f t="shared" si="97"/>
        <v>228.448</v>
      </c>
      <c r="L1277" s="6">
        <f t="shared" si="98"/>
        <v>290.752</v>
      </c>
      <c r="M1277" s="6">
        <f t="shared" si="99"/>
        <v>353.056</v>
      </c>
    </row>
    <row r="1278" spans="1:13">
      <c r="A1278" t="s">
        <v>13</v>
      </c>
      <c r="B1278" t="s">
        <v>2501</v>
      </c>
      <c r="C1278" t="s">
        <v>2502</v>
      </c>
      <c r="D1278" t="s">
        <v>2502</v>
      </c>
      <c r="E1278" t="s">
        <v>2502</v>
      </c>
      <c r="F1278" t="s">
        <v>2502</v>
      </c>
      <c r="G1278" s="6">
        <v>415.36</v>
      </c>
      <c r="H1278" s="6"/>
      <c r="I1278" s="6">
        <f t="shared" si="95"/>
        <v>195.2192</v>
      </c>
      <c r="J1278" s="6">
        <f t="shared" si="96"/>
        <v>207.68</v>
      </c>
      <c r="K1278" s="6">
        <f t="shared" si="97"/>
        <v>228.448</v>
      </c>
      <c r="L1278" s="6">
        <f t="shared" si="98"/>
        <v>290.752</v>
      </c>
      <c r="M1278" s="6">
        <f t="shared" si="99"/>
        <v>353.056</v>
      </c>
    </row>
    <row r="1279" spans="1:13">
      <c r="A1279" t="s">
        <v>13</v>
      </c>
      <c r="B1279" t="s">
        <v>2503</v>
      </c>
      <c r="C1279" t="s">
        <v>2504</v>
      </c>
      <c r="D1279" t="s">
        <v>2504</v>
      </c>
      <c r="E1279" t="s">
        <v>2504</v>
      </c>
      <c r="F1279" t="s">
        <v>2504</v>
      </c>
      <c r="G1279" s="6">
        <v>500.28</v>
      </c>
      <c r="H1279" s="6"/>
      <c r="I1279" s="6">
        <f t="shared" si="95"/>
        <v>235.1316</v>
      </c>
      <c r="J1279" s="6">
        <f t="shared" si="96"/>
        <v>250.14</v>
      </c>
      <c r="K1279" s="6">
        <f t="shared" si="97"/>
        <v>275.154</v>
      </c>
      <c r="L1279" s="6">
        <f t="shared" si="98"/>
        <v>350.196</v>
      </c>
      <c r="M1279" s="6">
        <f t="shared" si="99"/>
        <v>425.238</v>
      </c>
    </row>
    <row r="1280" spans="1:13">
      <c r="A1280" t="s">
        <v>13</v>
      </c>
      <c r="B1280" t="s">
        <v>2505</v>
      </c>
      <c r="C1280" t="s">
        <v>2506</v>
      </c>
      <c r="D1280" t="s">
        <v>2506</v>
      </c>
      <c r="E1280" t="s">
        <v>2506</v>
      </c>
      <c r="F1280" t="s">
        <v>2506</v>
      </c>
      <c r="G1280" s="6">
        <v>548.35</v>
      </c>
      <c r="H1280" s="6"/>
      <c r="I1280" s="6">
        <f t="shared" si="95"/>
        <v>257.7245</v>
      </c>
      <c r="J1280" s="6">
        <f t="shared" si="96"/>
        <v>274.175</v>
      </c>
      <c r="K1280" s="6">
        <f t="shared" si="97"/>
        <v>301.5925</v>
      </c>
      <c r="L1280" s="6">
        <f t="shared" si="98"/>
        <v>383.845</v>
      </c>
      <c r="M1280" s="6">
        <f t="shared" si="99"/>
        <v>466.0975</v>
      </c>
    </row>
    <row r="1281" spans="1:13">
      <c r="A1281" t="s">
        <v>13</v>
      </c>
      <c r="B1281" t="s">
        <v>2507</v>
      </c>
      <c r="C1281" t="s">
        <v>2508</v>
      </c>
      <c r="D1281" t="s">
        <v>2508</v>
      </c>
      <c r="E1281" t="s">
        <v>2508</v>
      </c>
      <c r="F1281" t="s">
        <v>2508</v>
      </c>
      <c r="G1281" s="6">
        <v>548.35</v>
      </c>
      <c r="H1281" s="6"/>
      <c r="I1281" s="6">
        <f t="shared" si="95"/>
        <v>257.7245</v>
      </c>
      <c r="J1281" s="6">
        <f t="shared" si="96"/>
        <v>274.175</v>
      </c>
      <c r="K1281" s="6">
        <f t="shared" si="97"/>
        <v>301.5925</v>
      </c>
      <c r="L1281" s="6">
        <f t="shared" si="98"/>
        <v>383.845</v>
      </c>
      <c r="M1281" s="6">
        <f t="shared" si="99"/>
        <v>466.0975</v>
      </c>
    </row>
    <row r="1282" spans="1:13">
      <c r="A1282" t="s">
        <v>13</v>
      </c>
      <c r="B1282" t="s">
        <v>2509</v>
      </c>
      <c r="C1282" t="s">
        <v>2510</v>
      </c>
      <c r="D1282" t="s">
        <v>2510</v>
      </c>
      <c r="E1282" t="s">
        <v>2510</v>
      </c>
      <c r="F1282" t="s">
        <v>2510</v>
      </c>
      <c r="G1282" s="6">
        <v>587.51</v>
      </c>
      <c r="H1282" s="6"/>
      <c r="I1282" s="6">
        <f t="shared" si="95"/>
        <v>276.1297</v>
      </c>
      <c r="J1282" s="6">
        <f t="shared" si="96"/>
        <v>293.755</v>
      </c>
      <c r="K1282" s="6">
        <f t="shared" si="97"/>
        <v>323.1305</v>
      </c>
      <c r="L1282" s="6">
        <f t="shared" si="98"/>
        <v>411.257</v>
      </c>
      <c r="M1282" s="6">
        <f t="shared" si="99"/>
        <v>499.3835</v>
      </c>
    </row>
    <row r="1283" spans="1:13">
      <c r="A1283" t="s">
        <v>13</v>
      </c>
      <c r="B1283" t="s">
        <v>2511</v>
      </c>
      <c r="C1283" t="s">
        <v>2512</v>
      </c>
      <c r="D1283" t="s">
        <v>2512</v>
      </c>
      <c r="E1283" t="s">
        <v>2512</v>
      </c>
      <c r="F1283" t="s">
        <v>2512</v>
      </c>
      <c r="G1283" s="6">
        <v>659.01</v>
      </c>
      <c r="H1283" s="6"/>
      <c r="I1283" s="6">
        <f t="shared" si="95"/>
        <v>309.7347</v>
      </c>
      <c r="J1283" s="6">
        <f t="shared" si="96"/>
        <v>329.505</v>
      </c>
      <c r="K1283" s="6">
        <f t="shared" si="97"/>
        <v>362.4555</v>
      </c>
      <c r="L1283" s="6">
        <f t="shared" si="98"/>
        <v>461.307</v>
      </c>
      <c r="M1283" s="6">
        <f t="shared" si="99"/>
        <v>560.1585</v>
      </c>
    </row>
    <row r="1284" spans="1:13">
      <c r="A1284" t="s">
        <v>13</v>
      </c>
      <c r="B1284" t="s">
        <v>2513</v>
      </c>
      <c r="C1284" t="s">
        <v>2514</v>
      </c>
      <c r="D1284" t="s">
        <v>2514</v>
      </c>
      <c r="E1284" t="s">
        <v>2514</v>
      </c>
      <c r="F1284" t="s">
        <v>2514</v>
      </c>
      <c r="G1284" s="6">
        <v>659.01</v>
      </c>
      <c r="H1284" s="6"/>
      <c r="I1284" s="6">
        <f t="shared" ref="I1284:I1347" si="100">G1284*0.47</f>
        <v>309.7347</v>
      </c>
      <c r="J1284" s="6">
        <f t="shared" ref="J1284:J1347" si="101">G1284*0.5</f>
        <v>329.505</v>
      </c>
      <c r="K1284" s="6">
        <f t="shared" ref="K1284:K1347" si="102">G1284*0.55</f>
        <v>362.4555</v>
      </c>
      <c r="L1284" s="6">
        <f t="shared" ref="L1284:L1347" si="103">G1284*0.7</f>
        <v>461.307</v>
      </c>
      <c r="M1284" s="6">
        <f t="shared" ref="M1284:M1347" si="104">G1284*0.85</f>
        <v>560.1585</v>
      </c>
    </row>
    <row r="1285" spans="1:13">
      <c r="A1285" t="s">
        <v>13</v>
      </c>
      <c r="B1285" t="s">
        <v>2515</v>
      </c>
      <c r="C1285" t="s">
        <v>2516</v>
      </c>
      <c r="D1285" t="s">
        <v>2516</v>
      </c>
      <c r="E1285" t="s">
        <v>2516</v>
      </c>
      <c r="F1285" t="s">
        <v>2516</v>
      </c>
      <c r="G1285" s="6">
        <v>52.61</v>
      </c>
      <c r="H1285" s="6"/>
      <c r="I1285" s="6">
        <f t="shared" si="100"/>
        <v>24.7267</v>
      </c>
      <c r="J1285" s="6">
        <f t="shared" si="101"/>
        <v>26.305</v>
      </c>
      <c r="K1285" s="6">
        <f t="shared" si="102"/>
        <v>28.9355</v>
      </c>
      <c r="L1285" s="6">
        <f t="shared" si="103"/>
        <v>36.827</v>
      </c>
      <c r="M1285" s="6">
        <f t="shared" si="104"/>
        <v>44.7185</v>
      </c>
    </row>
    <row r="1286" spans="1:13">
      <c r="A1286" t="s">
        <v>13</v>
      </c>
      <c r="B1286" t="s">
        <v>2517</v>
      </c>
      <c r="C1286" t="s">
        <v>2518</v>
      </c>
      <c r="D1286" t="s">
        <v>2518</v>
      </c>
      <c r="E1286" t="s">
        <v>2518</v>
      </c>
      <c r="F1286" t="s">
        <v>2518</v>
      </c>
      <c r="G1286" s="6">
        <v>76.79</v>
      </c>
      <c r="H1286" s="6"/>
      <c r="I1286" s="6">
        <f t="shared" si="100"/>
        <v>36.0913</v>
      </c>
      <c r="J1286" s="6">
        <f t="shared" si="101"/>
        <v>38.395</v>
      </c>
      <c r="K1286" s="6">
        <f t="shared" si="102"/>
        <v>42.2345</v>
      </c>
      <c r="L1286" s="6">
        <f t="shared" si="103"/>
        <v>53.753</v>
      </c>
      <c r="M1286" s="6">
        <f t="shared" si="104"/>
        <v>65.2715</v>
      </c>
    </row>
    <row r="1287" spans="1:13">
      <c r="A1287" t="s">
        <v>13</v>
      </c>
      <c r="B1287" t="s">
        <v>2519</v>
      </c>
      <c r="C1287" t="s">
        <v>2520</v>
      </c>
      <c r="D1287" t="s">
        <v>2520</v>
      </c>
      <c r="E1287" t="s">
        <v>2520</v>
      </c>
      <c r="F1287" t="s">
        <v>2520</v>
      </c>
      <c r="G1287" s="6">
        <v>124.52</v>
      </c>
      <c r="H1287" s="6"/>
      <c r="I1287" s="6">
        <f t="shared" si="100"/>
        <v>58.5244</v>
      </c>
      <c r="J1287" s="6">
        <f t="shared" si="101"/>
        <v>62.26</v>
      </c>
      <c r="K1287" s="6">
        <f t="shared" si="102"/>
        <v>68.486</v>
      </c>
      <c r="L1287" s="6">
        <f t="shared" si="103"/>
        <v>87.164</v>
      </c>
      <c r="M1287" s="6">
        <f t="shared" si="104"/>
        <v>105.842</v>
      </c>
    </row>
    <row r="1288" spans="1:13">
      <c r="A1288" t="s">
        <v>13</v>
      </c>
      <c r="B1288" t="s">
        <v>2521</v>
      </c>
      <c r="C1288" t="s">
        <v>2522</v>
      </c>
      <c r="D1288" t="s">
        <v>2522</v>
      </c>
      <c r="E1288" t="s">
        <v>2522</v>
      </c>
      <c r="F1288" t="s">
        <v>2522</v>
      </c>
      <c r="G1288" s="6">
        <v>178.53</v>
      </c>
      <c r="H1288" s="6"/>
      <c r="I1288" s="6">
        <f t="shared" si="100"/>
        <v>83.9091</v>
      </c>
      <c r="J1288" s="6">
        <f t="shared" si="101"/>
        <v>89.265</v>
      </c>
      <c r="K1288" s="6">
        <f t="shared" si="102"/>
        <v>98.1915</v>
      </c>
      <c r="L1288" s="6">
        <f t="shared" si="103"/>
        <v>124.971</v>
      </c>
      <c r="M1288" s="6">
        <f t="shared" si="104"/>
        <v>151.7505</v>
      </c>
    </row>
    <row r="1289" spans="1:13">
      <c r="A1289" t="s">
        <v>13</v>
      </c>
      <c r="B1289" t="s">
        <v>2523</v>
      </c>
      <c r="C1289" t="s">
        <v>2524</v>
      </c>
      <c r="D1289" t="s">
        <v>2524</v>
      </c>
      <c r="E1289" t="s">
        <v>2524</v>
      </c>
      <c r="F1289" t="s">
        <v>2524</v>
      </c>
      <c r="G1289" s="6">
        <v>213.4</v>
      </c>
      <c r="H1289" s="6"/>
      <c r="I1289" s="6">
        <f t="shared" si="100"/>
        <v>100.298</v>
      </c>
      <c r="J1289" s="6">
        <f t="shared" si="101"/>
        <v>106.7</v>
      </c>
      <c r="K1289" s="6">
        <f t="shared" si="102"/>
        <v>117.37</v>
      </c>
      <c r="L1289" s="6">
        <f t="shared" si="103"/>
        <v>149.38</v>
      </c>
      <c r="M1289" s="6">
        <f t="shared" si="104"/>
        <v>181.39</v>
      </c>
    </row>
    <row r="1290" spans="1:13">
      <c r="A1290" t="s">
        <v>13</v>
      </c>
      <c r="B1290" t="s">
        <v>2525</v>
      </c>
      <c r="C1290" t="s">
        <v>2526</v>
      </c>
      <c r="D1290" t="s">
        <v>2526</v>
      </c>
      <c r="E1290" t="s">
        <v>2526</v>
      </c>
      <c r="F1290" t="s">
        <v>2526</v>
      </c>
      <c r="G1290" s="6">
        <v>213.4</v>
      </c>
      <c r="H1290" s="6"/>
      <c r="I1290" s="6">
        <f t="shared" si="100"/>
        <v>100.298</v>
      </c>
      <c r="J1290" s="6">
        <f t="shared" si="101"/>
        <v>106.7</v>
      </c>
      <c r="K1290" s="6">
        <f t="shared" si="102"/>
        <v>117.37</v>
      </c>
      <c r="L1290" s="6">
        <f t="shared" si="103"/>
        <v>149.38</v>
      </c>
      <c r="M1290" s="6">
        <f t="shared" si="104"/>
        <v>181.39</v>
      </c>
    </row>
    <row r="1291" spans="1:13">
      <c r="A1291" t="s">
        <v>13</v>
      </c>
      <c r="B1291" t="s">
        <v>2527</v>
      </c>
      <c r="C1291" t="s">
        <v>2528</v>
      </c>
      <c r="D1291" t="s">
        <v>2528</v>
      </c>
      <c r="E1291" t="s">
        <v>2528</v>
      </c>
      <c r="F1291" t="s">
        <v>2528</v>
      </c>
      <c r="G1291" s="6">
        <v>365.82</v>
      </c>
      <c r="H1291" s="6"/>
      <c r="I1291" s="6">
        <f t="shared" si="100"/>
        <v>171.9354</v>
      </c>
      <c r="J1291" s="6">
        <f t="shared" si="101"/>
        <v>182.91</v>
      </c>
      <c r="K1291" s="6">
        <f t="shared" si="102"/>
        <v>201.201</v>
      </c>
      <c r="L1291" s="6">
        <f t="shared" si="103"/>
        <v>256.074</v>
      </c>
      <c r="M1291" s="6">
        <f t="shared" si="104"/>
        <v>310.947</v>
      </c>
    </row>
    <row r="1292" spans="1:13">
      <c r="A1292" t="s">
        <v>13</v>
      </c>
      <c r="B1292" t="s">
        <v>2529</v>
      </c>
      <c r="C1292" t="s">
        <v>2530</v>
      </c>
      <c r="D1292" t="s">
        <v>2530</v>
      </c>
      <c r="E1292" t="s">
        <v>2530</v>
      </c>
      <c r="F1292" t="s">
        <v>2530</v>
      </c>
      <c r="G1292" s="6">
        <v>708.33</v>
      </c>
      <c r="H1292" s="6"/>
      <c r="I1292" s="6">
        <f t="shared" si="100"/>
        <v>332.9151</v>
      </c>
      <c r="J1292" s="6">
        <f t="shared" si="101"/>
        <v>354.165</v>
      </c>
      <c r="K1292" s="6">
        <f t="shared" si="102"/>
        <v>389.5815</v>
      </c>
      <c r="L1292" s="6">
        <f t="shared" si="103"/>
        <v>495.831</v>
      </c>
      <c r="M1292" s="6">
        <f t="shared" si="104"/>
        <v>602.0805</v>
      </c>
    </row>
    <row r="1293" spans="1:13">
      <c r="A1293" t="s">
        <v>13</v>
      </c>
      <c r="B1293" t="s">
        <v>2531</v>
      </c>
      <c r="C1293" t="s">
        <v>2532</v>
      </c>
      <c r="D1293" t="s">
        <v>2532</v>
      </c>
      <c r="E1293" t="s">
        <v>2532</v>
      </c>
      <c r="F1293" t="s">
        <v>2532</v>
      </c>
      <c r="G1293" s="6">
        <v>853.6</v>
      </c>
      <c r="H1293" s="6"/>
      <c r="I1293" s="6">
        <f t="shared" si="100"/>
        <v>401.192</v>
      </c>
      <c r="J1293" s="6">
        <f t="shared" si="101"/>
        <v>426.8</v>
      </c>
      <c r="K1293" s="6">
        <f t="shared" si="102"/>
        <v>469.48</v>
      </c>
      <c r="L1293" s="6">
        <f t="shared" si="103"/>
        <v>597.52</v>
      </c>
      <c r="M1293" s="6">
        <f t="shared" si="104"/>
        <v>725.56</v>
      </c>
    </row>
    <row r="1294" spans="1:13">
      <c r="A1294" t="s">
        <v>13</v>
      </c>
      <c r="B1294" t="s">
        <v>2533</v>
      </c>
      <c r="C1294" t="s">
        <v>2534</v>
      </c>
      <c r="D1294" t="s">
        <v>2534</v>
      </c>
      <c r="E1294" t="s">
        <v>2534</v>
      </c>
      <c r="F1294" t="s">
        <v>2534</v>
      </c>
      <c r="G1294" s="6">
        <v>853.6</v>
      </c>
      <c r="H1294" s="6"/>
      <c r="I1294" s="6">
        <f t="shared" si="100"/>
        <v>401.192</v>
      </c>
      <c r="J1294" s="6">
        <f t="shared" si="101"/>
        <v>426.8</v>
      </c>
      <c r="K1294" s="6">
        <f t="shared" si="102"/>
        <v>469.48</v>
      </c>
      <c r="L1294" s="6">
        <f t="shared" si="103"/>
        <v>597.52</v>
      </c>
      <c r="M1294" s="6">
        <f t="shared" si="104"/>
        <v>725.56</v>
      </c>
    </row>
    <row r="1295" spans="1:13">
      <c r="A1295" t="s">
        <v>13</v>
      </c>
      <c r="B1295" t="s">
        <v>2535</v>
      </c>
      <c r="C1295" t="s">
        <v>2536</v>
      </c>
      <c r="D1295" t="s">
        <v>2536</v>
      </c>
      <c r="E1295" t="s">
        <v>2536</v>
      </c>
      <c r="F1295" t="s">
        <v>2536</v>
      </c>
      <c r="G1295" s="6">
        <v>814.17</v>
      </c>
      <c r="H1295" s="6"/>
      <c r="I1295" s="6">
        <f t="shared" si="100"/>
        <v>382.6599</v>
      </c>
      <c r="J1295" s="6">
        <f t="shared" si="101"/>
        <v>407.085</v>
      </c>
      <c r="K1295" s="6">
        <f t="shared" si="102"/>
        <v>447.7935</v>
      </c>
      <c r="L1295" s="6">
        <f t="shared" si="103"/>
        <v>569.919</v>
      </c>
      <c r="M1295" s="6">
        <f t="shared" si="104"/>
        <v>692.0445</v>
      </c>
    </row>
    <row r="1296" spans="1:13">
      <c r="A1296" t="s">
        <v>13</v>
      </c>
      <c r="B1296" t="s">
        <v>2537</v>
      </c>
      <c r="C1296" t="s">
        <v>2538</v>
      </c>
      <c r="D1296" t="s">
        <v>2538</v>
      </c>
      <c r="E1296" t="s">
        <v>2538</v>
      </c>
      <c r="F1296" t="s">
        <v>2538</v>
      </c>
      <c r="G1296" s="6">
        <v>485.73</v>
      </c>
      <c r="H1296" s="6"/>
      <c r="I1296" s="6">
        <f t="shared" si="100"/>
        <v>228.2931</v>
      </c>
      <c r="J1296" s="6">
        <f t="shared" si="101"/>
        <v>242.865</v>
      </c>
      <c r="K1296" s="6">
        <f t="shared" si="102"/>
        <v>267.1515</v>
      </c>
      <c r="L1296" s="6">
        <f t="shared" si="103"/>
        <v>340.011</v>
      </c>
      <c r="M1296" s="6">
        <f t="shared" si="104"/>
        <v>412.8705</v>
      </c>
    </row>
    <row r="1297" spans="1:13">
      <c r="A1297" t="s">
        <v>13</v>
      </c>
      <c r="B1297" t="s">
        <v>2539</v>
      </c>
      <c r="C1297" t="s">
        <v>2540</v>
      </c>
      <c r="D1297" t="s">
        <v>2540</v>
      </c>
      <c r="E1297" t="s">
        <v>2540</v>
      </c>
      <c r="F1297" t="s">
        <v>2540</v>
      </c>
      <c r="G1297" s="6">
        <v>615.78</v>
      </c>
      <c r="H1297" s="6"/>
      <c r="I1297" s="6">
        <f t="shared" si="100"/>
        <v>289.4166</v>
      </c>
      <c r="J1297" s="6">
        <f t="shared" si="101"/>
        <v>307.89</v>
      </c>
      <c r="K1297" s="6">
        <f t="shared" si="102"/>
        <v>338.679</v>
      </c>
      <c r="L1297" s="6">
        <f t="shared" si="103"/>
        <v>431.046</v>
      </c>
      <c r="M1297" s="6">
        <f t="shared" si="104"/>
        <v>523.413</v>
      </c>
    </row>
    <row r="1298" spans="1:13">
      <c r="A1298" t="s">
        <v>13</v>
      </c>
      <c r="B1298" t="s">
        <v>2541</v>
      </c>
      <c r="C1298" t="s">
        <v>2542</v>
      </c>
      <c r="D1298" t="s">
        <v>2542</v>
      </c>
      <c r="E1298" t="s">
        <v>2542</v>
      </c>
      <c r="F1298" t="s">
        <v>2542</v>
      </c>
      <c r="G1298" s="6">
        <v>615.78</v>
      </c>
      <c r="H1298" s="6"/>
      <c r="I1298" s="6">
        <f t="shared" si="100"/>
        <v>289.4166</v>
      </c>
      <c r="J1298" s="6">
        <f t="shared" si="101"/>
        <v>307.89</v>
      </c>
      <c r="K1298" s="6">
        <f t="shared" si="102"/>
        <v>338.679</v>
      </c>
      <c r="L1298" s="6">
        <f t="shared" si="103"/>
        <v>431.046</v>
      </c>
      <c r="M1298" s="6">
        <f t="shared" si="104"/>
        <v>523.413</v>
      </c>
    </row>
    <row r="1299" spans="1:13">
      <c r="A1299" t="s">
        <v>13</v>
      </c>
      <c r="B1299" t="s">
        <v>2543</v>
      </c>
      <c r="C1299" t="s">
        <v>2544</v>
      </c>
      <c r="D1299" t="s">
        <v>2544</v>
      </c>
      <c r="E1299" t="s">
        <v>2544</v>
      </c>
      <c r="F1299" t="s">
        <v>2544</v>
      </c>
      <c r="G1299" s="6">
        <v>558.81</v>
      </c>
      <c r="H1299" s="6"/>
      <c r="I1299" s="6">
        <f t="shared" si="100"/>
        <v>262.6407</v>
      </c>
      <c r="J1299" s="6">
        <f t="shared" si="101"/>
        <v>279.405</v>
      </c>
      <c r="K1299" s="6">
        <f t="shared" si="102"/>
        <v>307.3455</v>
      </c>
      <c r="L1299" s="6">
        <f t="shared" si="103"/>
        <v>391.167</v>
      </c>
      <c r="M1299" s="6">
        <f t="shared" si="104"/>
        <v>474.9885</v>
      </c>
    </row>
    <row r="1300" spans="1:13">
      <c r="A1300" t="s">
        <v>13</v>
      </c>
      <c r="B1300" t="s">
        <v>2545</v>
      </c>
      <c r="C1300" t="s">
        <v>2546</v>
      </c>
      <c r="D1300" t="s">
        <v>2546</v>
      </c>
      <c r="E1300" t="s">
        <v>2546</v>
      </c>
      <c r="F1300" t="s">
        <v>2546</v>
      </c>
      <c r="G1300" s="6">
        <v>787.61</v>
      </c>
      <c r="H1300" s="6"/>
      <c r="I1300" s="6">
        <f t="shared" si="100"/>
        <v>370.1767</v>
      </c>
      <c r="J1300" s="6">
        <f t="shared" si="101"/>
        <v>393.805</v>
      </c>
      <c r="K1300" s="6">
        <f t="shared" si="102"/>
        <v>433.1855</v>
      </c>
      <c r="L1300" s="6">
        <f t="shared" si="103"/>
        <v>551.327</v>
      </c>
      <c r="M1300" s="6">
        <f t="shared" si="104"/>
        <v>669.4685</v>
      </c>
    </row>
    <row r="1301" spans="1:13">
      <c r="A1301" t="s">
        <v>13</v>
      </c>
      <c r="B1301" t="s">
        <v>2547</v>
      </c>
      <c r="C1301" t="s">
        <v>2548</v>
      </c>
      <c r="D1301" t="s">
        <v>2548</v>
      </c>
      <c r="E1301" t="s">
        <v>2548</v>
      </c>
      <c r="F1301" t="s">
        <v>2548</v>
      </c>
      <c r="G1301" s="6">
        <v>937.87</v>
      </c>
      <c r="H1301" s="6"/>
      <c r="I1301" s="6">
        <f t="shared" si="100"/>
        <v>440.7989</v>
      </c>
      <c r="J1301" s="6">
        <f t="shared" si="101"/>
        <v>468.935</v>
      </c>
      <c r="K1301" s="6">
        <f t="shared" si="102"/>
        <v>515.8285</v>
      </c>
      <c r="L1301" s="6">
        <f t="shared" si="103"/>
        <v>656.509</v>
      </c>
      <c r="M1301" s="6">
        <f t="shared" si="104"/>
        <v>797.1895</v>
      </c>
    </row>
    <row r="1302" spans="1:13">
      <c r="A1302" t="s">
        <v>13</v>
      </c>
      <c r="B1302" t="s">
        <v>2549</v>
      </c>
      <c r="C1302" t="s">
        <v>2550</v>
      </c>
      <c r="D1302" t="s">
        <v>2550</v>
      </c>
      <c r="E1302" t="s">
        <v>2550</v>
      </c>
      <c r="F1302" t="s">
        <v>2550</v>
      </c>
      <c r="G1302" s="6">
        <v>937.87</v>
      </c>
      <c r="H1302" s="6"/>
      <c r="I1302" s="6">
        <f t="shared" si="100"/>
        <v>440.7989</v>
      </c>
      <c r="J1302" s="6">
        <f t="shared" si="101"/>
        <v>468.935</v>
      </c>
      <c r="K1302" s="6">
        <f t="shared" si="102"/>
        <v>515.8285</v>
      </c>
      <c r="L1302" s="6">
        <f t="shared" si="103"/>
        <v>656.509</v>
      </c>
      <c r="M1302" s="6">
        <f t="shared" si="104"/>
        <v>797.1895</v>
      </c>
    </row>
    <row r="1303" spans="1:13">
      <c r="A1303" t="s">
        <v>13</v>
      </c>
      <c r="B1303" t="s">
        <v>2551</v>
      </c>
      <c r="C1303" t="s">
        <v>2552</v>
      </c>
      <c r="D1303" t="s">
        <v>2552</v>
      </c>
      <c r="E1303" t="s">
        <v>2552</v>
      </c>
      <c r="F1303" t="s">
        <v>2552</v>
      </c>
      <c r="G1303" s="6">
        <v>913.08</v>
      </c>
      <c r="H1303" s="6"/>
      <c r="I1303" s="6">
        <f t="shared" si="100"/>
        <v>429.1476</v>
      </c>
      <c r="J1303" s="6">
        <f t="shared" si="101"/>
        <v>456.54</v>
      </c>
      <c r="K1303" s="6">
        <f t="shared" si="102"/>
        <v>502.194</v>
      </c>
      <c r="L1303" s="6">
        <f t="shared" si="103"/>
        <v>639.156</v>
      </c>
      <c r="M1303" s="6">
        <f t="shared" si="104"/>
        <v>776.118</v>
      </c>
    </row>
    <row r="1304" spans="1:13">
      <c r="A1304" t="s">
        <v>13</v>
      </c>
      <c r="B1304" t="s">
        <v>2553</v>
      </c>
      <c r="C1304" t="s">
        <v>2554</v>
      </c>
      <c r="D1304" t="s">
        <v>2554</v>
      </c>
      <c r="E1304" t="s">
        <v>2554</v>
      </c>
      <c r="F1304" t="s">
        <v>2554</v>
      </c>
      <c r="G1304" s="6">
        <v>630.74</v>
      </c>
      <c r="H1304" s="6"/>
      <c r="I1304" s="6">
        <f t="shared" si="100"/>
        <v>296.4478</v>
      </c>
      <c r="J1304" s="6">
        <f t="shared" si="101"/>
        <v>315.37</v>
      </c>
      <c r="K1304" s="6">
        <f t="shared" si="102"/>
        <v>346.907</v>
      </c>
      <c r="L1304" s="6">
        <f t="shared" si="103"/>
        <v>441.518</v>
      </c>
      <c r="M1304" s="6">
        <f t="shared" si="104"/>
        <v>536.129</v>
      </c>
    </row>
    <row r="1305" spans="1:13">
      <c r="A1305" t="s">
        <v>13</v>
      </c>
      <c r="B1305" t="s">
        <v>2555</v>
      </c>
      <c r="C1305" t="s">
        <v>2556</v>
      </c>
      <c r="D1305" t="s">
        <v>2556</v>
      </c>
      <c r="E1305" t="s">
        <v>2556</v>
      </c>
      <c r="F1305" t="s">
        <v>2556</v>
      </c>
      <c r="G1305" s="6">
        <v>789.03</v>
      </c>
      <c r="H1305" s="6"/>
      <c r="I1305" s="6">
        <f t="shared" si="100"/>
        <v>370.8441</v>
      </c>
      <c r="J1305" s="6">
        <f t="shared" si="101"/>
        <v>394.515</v>
      </c>
      <c r="K1305" s="6">
        <f t="shared" si="102"/>
        <v>433.9665</v>
      </c>
      <c r="L1305" s="6">
        <f t="shared" si="103"/>
        <v>552.321</v>
      </c>
      <c r="M1305" s="6">
        <f t="shared" si="104"/>
        <v>670.6755</v>
      </c>
    </row>
    <row r="1306" spans="1:13">
      <c r="A1306" t="s">
        <v>13</v>
      </c>
      <c r="B1306" t="s">
        <v>2557</v>
      </c>
      <c r="C1306" t="s">
        <v>2558</v>
      </c>
      <c r="D1306" t="s">
        <v>2558</v>
      </c>
      <c r="E1306" t="s">
        <v>2558</v>
      </c>
      <c r="F1306" t="s">
        <v>2558</v>
      </c>
      <c r="G1306" s="6">
        <v>789.03</v>
      </c>
      <c r="H1306" s="6"/>
      <c r="I1306" s="6">
        <f t="shared" si="100"/>
        <v>370.8441</v>
      </c>
      <c r="J1306" s="6">
        <f t="shared" si="101"/>
        <v>394.515</v>
      </c>
      <c r="K1306" s="6">
        <f t="shared" si="102"/>
        <v>433.9665</v>
      </c>
      <c r="L1306" s="6">
        <f t="shared" si="103"/>
        <v>552.321</v>
      </c>
      <c r="M1306" s="6">
        <f t="shared" si="104"/>
        <v>670.6755</v>
      </c>
    </row>
    <row r="1307" spans="1:13">
      <c r="A1307" t="s">
        <v>13</v>
      </c>
      <c r="B1307" t="s">
        <v>2559</v>
      </c>
      <c r="C1307" t="s">
        <v>2560</v>
      </c>
      <c r="D1307" t="s">
        <v>2560</v>
      </c>
      <c r="E1307" t="s">
        <v>2560</v>
      </c>
      <c r="F1307" t="s">
        <v>2560</v>
      </c>
      <c r="G1307" s="6">
        <v>720.2</v>
      </c>
      <c r="H1307" s="6"/>
      <c r="I1307" s="6">
        <f t="shared" si="100"/>
        <v>338.494</v>
      </c>
      <c r="J1307" s="6">
        <f t="shared" si="101"/>
        <v>360.1</v>
      </c>
      <c r="K1307" s="6">
        <f t="shared" si="102"/>
        <v>396.11</v>
      </c>
      <c r="L1307" s="6">
        <f t="shared" si="103"/>
        <v>504.14</v>
      </c>
      <c r="M1307" s="6">
        <f t="shared" si="104"/>
        <v>612.17</v>
      </c>
    </row>
    <row r="1308" spans="1:13">
      <c r="A1308" t="s">
        <v>13</v>
      </c>
      <c r="B1308" t="s">
        <v>2561</v>
      </c>
      <c r="C1308" t="s">
        <v>2562</v>
      </c>
      <c r="D1308" t="s">
        <v>2562</v>
      </c>
      <c r="E1308" t="s">
        <v>2562</v>
      </c>
      <c r="F1308" t="s">
        <v>2562</v>
      </c>
      <c r="G1308" s="6">
        <v>953.82</v>
      </c>
      <c r="H1308" s="6"/>
      <c r="I1308" s="6">
        <f t="shared" si="100"/>
        <v>448.2954</v>
      </c>
      <c r="J1308" s="6">
        <f t="shared" si="101"/>
        <v>476.91</v>
      </c>
      <c r="K1308" s="6">
        <f t="shared" si="102"/>
        <v>524.601</v>
      </c>
      <c r="L1308" s="6">
        <f t="shared" si="103"/>
        <v>667.674</v>
      </c>
      <c r="M1308" s="6">
        <f t="shared" si="104"/>
        <v>810.747</v>
      </c>
    </row>
    <row r="1309" spans="1:13">
      <c r="A1309" t="s">
        <v>13</v>
      </c>
      <c r="B1309" t="s">
        <v>2563</v>
      </c>
      <c r="C1309" t="s">
        <v>2564</v>
      </c>
      <c r="D1309" t="s">
        <v>2564</v>
      </c>
      <c r="E1309" t="s">
        <v>2564</v>
      </c>
      <c r="F1309" t="s">
        <v>2564</v>
      </c>
      <c r="G1309" s="6">
        <v>1164.5</v>
      </c>
      <c r="H1309" s="6"/>
      <c r="I1309" s="6">
        <f t="shared" si="100"/>
        <v>547.315</v>
      </c>
      <c r="J1309" s="6">
        <f t="shared" si="101"/>
        <v>582.25</v>
      </c>
      <c r="K1309" s="6">
        <f t="shared" si="102"/>
        <v>640.475</v>
      </c>
      <c r="L1309" s="6">
        <f t="shared" si="103"/>
        <v>815.15</v>
      </c>
      <c r="M1309" s="6">
        <f t="shared" si="104"/>
        <v>989.825</v>
      </c>
    </row>
    <row r="1310" spans="1:13">
      <c r="A1310" t="s">
        <v>13</v>
      </c>
      <c r="B1310" t="s">
        <v>2565</v>
      </c>
      <c r="C1310" t="s">
        <v>2566</v>
      </c>
      <c r="D1310" t="s">
        <v>2566</v>
      </c>
      <c r="E1310" t="s">
        <v>2566</v>
      </c>
      <c r="F1310" t="s">
        <v>2566</v>
      </c>
      <c r="G1310" s="6">
        <v>1141.36</v>
      </c>
      <c r="H1310" s="6"/>
      <c r="I1310" s="6">
        <f t="shared" si="100"/>
        <v>536.4392</v>
      </c>
      <c r="J1310" s="6">
        <f t="shared" si="101"/>
        <v>570.68</v>
      </c>
      <c r="K1310" s="6">
        <f t="shared" si="102"/>
        <v>627.748</v>
      </c>
      <c r="L1310" s="6">
        <f t="shared" si="103"/>
        <v>798.952</v>
      </c>
      <c r="M1310" s="6">
        <f t="shared" si="104"/>
        <v>970.156</v>
      </c>
    </row>
    <row r="1311" spans="1:13">
      <c r="A1311" t="s">
        <v>13</v>
      </c>
      <c r="B1311" t="s">
        <v>2567</v>
      </c>
      <c r="C1311" t="s">
        <v>2568</v>
      </c>
      <c r="D1311" t="s">
        <v>2568</v>
      </c>
      <c r="E1311" t="s">
        <v>2568</v>
      </c>
      <c r="F1311" t="s">
        <v>2568</v>
      </c>
      <c r="G1311" s="6">
        <v>1141.36</v>
      </c>
      <c r="H1311" s="6"/>
      <c r="I1311" s="6">
        <f t="shared" si="100"/>
        <v>536.4392</v>
      </c>
      <c r="J1311" s="6">
        <f t="shared" si="101"/>
        <v>570.68</v>
      </c>
      <c r="K1311" s="6">
        <f t="shared" si="102"/>
        <v>627.748</v>
      </c>
      <c r="L1311" s="6">
        <f t="shared" si="103"/>
        <v>798.952</v>
      </c>
      <c r="M1311" s="6">
        <f t="shared" si="104"/>
        <v>970.156</v>
      </c>
    </row>
    <row r="1312" spans="1:13">
      <c r="A1312" t="s">
        <v>13</v>
      </c>
      <c r="B1312" t="s">
        <v>2569</v>
      </c>
      <c r="C1312" t="s">
        <v>2570</v>
      </c>
      <c r="D1312" t="s">
        <v>2570</v>
      </c>
      <c r="E1312" t="s">
        <v>2570</v>
      </c>
      <c r="F1312" t="s">
        <v>2570</v>
      </c>
      <c r="G1312" s="6">
        <v>3447.91</v>
      </c>
      <c r="H1312" s="6"/>
      <c r="I1312" s="6">
        <f t="shared" si="100"/>
        <v>1620.5177</v>
      </c>
      <c r="J1312" s="6">
        <f t="shared" si="101"/>
        <v>1723.955</v>
      </c>
      <c r="K1312" s="6">
        <f t="shared" si="102"/>
        <v>1896.3505</v>
      </c>
      <c r="L1312" s="6">
        <f t="shared" si="103"/>
        <v>2413.537</v>
      </c>
      <c r="M1312" s="6">
        <f t="shared" si="104"/>
        <v>2930.7235</v>
      </c>
    </row>
    <row r="1313" spans="1:13">
      <c r="A1313" t="s">
        <v>13</v>
      </c>
      <c r="B1313" t="s">
        <v>2571</v>
      </c>
      <c r="C1313" t="s">
        <v>2572</v>
      </c>
      <c r="D1313" t="s">
        <v>2572</v>
      </c>
      <c r="E1313" t="s">
        <v>2572</v>
      </c>
      <c r="F1313" t="s">
        <v>2572</v>
      </c>
      <c r="G1313" s="6">
        <v>3635</v>
      </c>
      <c r="H1313" s="6"/>
      <c r="I1313" s="6">
        <f t="shared" si="100"/>
        <v>1708.45</v>
      </c>
      <c r="J1313" s="6">
        <f t="shared" si="101"/>
        <v>1817.5</v>
      </c>
      <c r="K1313" s="6">
        <f t="shared" si="102"/>
        <v>1999.25</v>
      </c>
      <c r="L1313" s="6">
        <f t="shared" si="103"/>
        <v>2544.5</v>
      </c>
      <c r="M1313" s="6">
        <f t="shared" si="104"/>
        <v>3089.75</v>
      </c>
    </row>
    <row r="1314" spans="1:13">
      <c r="A1314" t="s">
        <v>13</v>
      </c>
      <c r="B1314" t="s">
        <v>2573</v>
      </c>
      <c r="C1314" t="s">
        <v>2574</v>
      </c>
      <c r="D1314" t="s">
        <v>2574</v>
      </c>
      <c r="E1314" t="s">
        <v>2574</v>
      </c>
      <c r="F1314" t="s">
        <v>2574</v>
      </c>
      <c r="G1314" s="6">
        <v>3447.91</v>
      </c>
      <c r="H1314" s="6"/>
      <c r="I1314" s="6">
        <f t="shared" si="100"/>
        <v>1620.5177</v>
      </c>
      <c r="J1314" s="6">
        <f t="shared" si="101"/>
        <v>1723.955</v>
      </c>
      <c r="K1314" s="6">
        <f t="shared" si="102"/>
        <v>1896.3505</v>
      </c>
      <c r="L1314" s="6">
        <f t="shared" si="103"/>
        <v>2413.537</v>
      </c>
      <c r="M1314" s="6">
        <f t="shared" si="104"/>
        <v>2930.7235</v>
      </c>
    </row>
    <row r="1315" spans="1:13">
      <c r="A1315" t="s">
        <v>13</v>
      </c>
      <c r="B1315" t="s">
        <v>2575</v>
      </c>
      <c r="C1315" t="s">
        <v>2576</v>
      </c>
      <c r="D1315" t="s">
        <v>2576</v>
      </c>
      <c r="E1315" t="s">
        <v>2576</v>
      </c>
      <c r="F1315" t="s">
        <v>2576</v>
      </c>
      <c r="G1315" s="6">
        <v>3635</v>
      </c>
      <c r="H1315" s="6"/>
      <c r="I1315" s="6">
        <f t="shared" si="100"/>
        <v>1708.45</v>
      </c>
      <c r="J1315" s="6">
        <f t="shared" si="101"/>
        <v>1817.5</v>
      </c>
      <c r="K1315" s="6">
        <f t="shared" si="102"/>
        <v>1999.25</v>
      </c>
      <c r="L1315" s="6">
        <f t="shared" si="103"/>
        <v>2544.5</v>
      </c>
      <c r="M1315" s="6">
        <f t="shared" si="104"/>
        <v>3089.75</v>
      </c>
    </row>
    <row r="1316" spans="1:13">
      <c r="A1316" t="s">
        <v>13</v>
      </c>
      <c r="B1316" t="s">
        <v>2577</v>
      </c>
      <c r="C1316" t="s">
        <v>2578</v>
      </c>
      <c r="D1316" t="s">
        <v>2578</v>
      </c>
      <c r="E1316" t="s">
        <v>2578</v>
      </c>
      <c r="F1316" t="s">
        <v>2578</v>
      </c>
      <c r="G1316" s="6">
        <v>1079.26</v>
      </c>
      <c r="H1316" s="6"/>
      <c r="I1316" s="6">
        <f t="shared" si="100"/>
        <v>507.2522</v>
      </c>
      <c r="J1316" s="6">
        <f t="shared" si="101"/>
        <v>539.63</v>
      </c>
      <c r="K1316" s="6">
        <f t="shared" si="102"/>
        <v>593.593</v>
      </c>
      <c r="L1316" s="6">
        <f t="shared" si="103"/>
        <v>755.482</v>
      </c>
      <c r="M1316" s="6">
        <f t="shared" si="104"/>
        <v>917.371</v>
      </c>
    </row>
    <row r="1317" spans="1:13">
      <c r="A1317" t="s">
        <v>13</v>
      </c>
      <c r="B1317" t="s">
        <v>2579</v>
      </c>
      <c r="C1317" t="s">
        <v>2580</v>
      </c>
      <c r="D1317" t="s">
        <v>2580</v>
      </c>
      <c r="E1317" t="s">
        <v>2580</v>
      </c>
      <c r="F1317" t="s">
        <v>2580</v>
      </c>
      <c r="G1317" s="6">
        <v>1204.42</v>
      </c>
      <c r="H1317" s="6"/>
      <c r="I1317" s="6">
        <f t="shared" si="100"/>
        <v>566.0774</v>
      </c>
      <c r="J1317" s="6">
        <f t="shared" si="101"/>
        <v>602.21</v>
      </c>
      <c r="K1317" s="6">
        <f t="shared" si="102"/>
        <v>662.431</v>
      </c>
      <c r="L1317" s="6">
        <f t="shared" si="103"/>
        <v>843.094</v>
      </c>
      <c r="M1317" s="6">
        <f t="shared" si="104"/>
        <v>1023.757</v>
      </c>
    </row>
    <row r="1318" spans="1:13">
      <c r="A1318" t="s">
        <v>13</v>
      </c>
      <c r="B1318" t="s">
        <v>2581</v>
      </c>
      <c r="C1318" t="s">
        <v>2582</v>
      </c>
      <c r="D1318" t="s">
        <v>2582</v>
      </c>
      <c r="E1318" t="s">
        <v>2582</v>
      </c>
      <c r="F1318" t="s">
        <v>2582</v>
      </c>
      <c r="G1318" s="6">
        <v>1518.22</v>
      </c>
      <c r="H1318" s="6"/>
      <c r="I1318" s="6">
        <f t="shared" si="100"/>
        <v>713.5634</v>
      </c>
      <c r="J1318" s="6">
        <f t="shared" si="101"/>
        <v>759.11</v>
      </c>
      <c r="K1318" s="6">
        <f t="shared" si="102"/>
        <v>835.021</v>
      </c>
      <c r="L1318" s="6">
        <f t="shared" si="103"/>
        <v>1062.754</v>
      </c>
      <c r="M1318" s="6">
        <f t="shared" si="104"/>
        <v>1290.487</v>
      </c>
    </row>
    <row r="1319" spans="1:13">
      <c r="A1319" t="s">
        <v>13</v>
      </c>
      <c r="B1319" t="s">
        <v>2583</v>
      </c>
      <c r="C1319" t="s">
        <v>2584</v>
      </c>
      <c r="D1319" t="s">
        <v>2584</v>
      </c>
      <c r="E1319" t="s">
        <v>2584</v>
      </c>
      <c r="F1319" t="s">
        <v>2584</v>
      </c>
      <c r="G1319" s="6">
        <v>1972.1</v>
      </c>
      <c r="H1319" s="6"/>
      <c r="I1319" s="6">
        <f t="shared" si="100"/>
        <v>926.887</v>
      </c>
      <c r="J1319" s="6">
        <f t="shared" si="101"/>
        <v>986.05</v>
      </c>
      <c r="K1319" s="6">
        <f t="shared" si="102"/>
        <v>1084.655</v>
      </c>
      <c r="L1319" s="6">
        <f t="shared" si="103"/>
        <v>1380.47</v>
      </c>
      <c r="M1319" s="6">
        <f t="shared" si="104"/>
        <v>1676.285</v>
      </c>
    </row>
    <row r="1320" spans="1:13">
      <c r="A1320" t="s">
        <v>13</v>
      </c>
      <c r="B1320" t="s">
        <v>2585</v>
      </c>
      <c r="C1320" t="s">
        <v>2586</v>
      </c>
      <c r="D1320" t="s">
        <v>2586</v>
      </c>
      <c r="E1320" t="s">
        <v>2586</v>
      </c>
      <c r="F1320" t="s">
        <v>2586</v>
      </c>
      <c r="G1320" s="6">
        <v>1518.22</v>
      </c>
      <c r="H1320" s="6"/>
      <c r="I1320" s="6">
        <f t="shared" si="100"/>
        <v>713.5634</v>
      </c>
      <c r="J1320" s="6">
        <f t="shared" si="101"/>
        <v>759.11</v>
      </c>
      <c r="K1320" s="6">
        <f t="shared" si="102"/>
        <v>835.021</v>
      </c>
      <c r="L1320" s="6">
        <f t="shared" si="103"/>
        <v>1062.754</v>
      </c>
      <c r="M1320" s="6">
        <f t="shared" si="104"/>
        <v>1290.487</v>
      </c>
    </row>
    <row r="1321" spans="1:13">
      <c r="A1321" t="s">
        <v>13</v>
      </c>
      <c r="B1321" t="s">
        <v>2587</v>
      </c>
      <c r="C1321" t="s">
        <v>2588</v>
      </c>
      <c r="D1321" t="s">
        <v>2588</v>
      </c>
      <c r="E1321" t="s">
        <v>2588</v>
      </c>
      <c r="F1321" t="s">
        <v>2588</v>
      </c>
      <c r="G1321" s="6">
        <v>3946.9</v>
      </c>
      <c r="H1321" s="6"/>
      <c r="I1321" s="6">
        <f t="shared" si="100"/>
        <v>1855.043</v>
      </c>
      <c r="J1321" s="6">
        <f t="shared" si="101"/>
        <v>1973.45</v>
      </c>
      <c r="K1321" s="6">
        <f t="shared" si="102"/>
        <v>2170.795</v>
      </c>
      <c r="L1321" s="6">
        <f t="shared" si="103"/>
        <v>2762.83</v>
      </c>
      <c r="M1321" s="6">
        <f t="shared" si="104"/>
        <v>3354.865</v>
      </c>
    </row>
    <row r="1322" spans="1:13">
      <c r="A1322" t="s">
        <v>13</v>
      </c>
      <c r="B1322" t="s">
        <v>2589</v>
      </c>
      <c r="C1322" t="s">
        <v>2590</v>
      </c>
      <c r="D1322" t="s">
        <v>2590</v>
      </c>
      <c r="E1322" t="s">
        <v>2590</v>
      </c>
      <c r="F1322" t="s">
        <v>2590</v>
      </c>
      <c r="G1322" s="6">
        <v>3946.9</v>
      </c>
      <c r="H1322" s="6"/>
      <c r="I1322" s="6">
        <f t="shared" si="100"/>
        <v>1855.043</v>
      </c>
      <c r="J1322" s="6">
        <f t="shared" si="101"/>
        <v>1973.45</v>
      </c>
      <c r="K1322" s="6">
        <f t="shared" si="102"/>
        <v>2170.795</v>
      </c>
      <c r="L1322" s="6">
        <f t="shared" si="103"/>
        <v>2762.83</v>
      </c>
      <c r="M1322" s="6">
        <f t="shared" si="104"/>
        <v>3354.865</v>
      </c>
    </row>
    <row r="1323" spans="1:13">
      <c r="A1323" t="s">
        <v>13</v>
      </c>
      <c r="B1323" t="s">
        <v>2591</v>
      </c>
      <c r="C1323" t="s">
        <v>2588</v>
      </c>
      <c r="D1323" t="s">
        <v>2588</v>
      </c>
      <c r="E1323" t="s">
        <v>2588</v>
      </c>
      <c r="F1323" t="s">
        <v>2588</v>
      </c>
      <c r="G1323" s="6">
        <v>3852.58</v>
      </c>
      <c r="H1323" s="6"/>
      <c r="I1323" s="6">
        <f t="shared" si="100"/>
        <v>1810.7126</v>
      </c>
      <c r="J1323" s="6">
        <f t="shared" si="101"/>
        <v>1926.29</v>
      </c>
      <c r="K1323" s="6">
        <f t="shared" si="102"/>
        <v>2118.919</v>
      </c>
      <c r="L1323" s="6">
        <f t="shared" si="103"/>
        <v>2696.806</v>
      </c>
      <c r="M1323" s="6">
        <f t="shared" si="104"/>
        <v>3274.693</v>
      </c>
    </row>
    <row r="1324" spans="1:13">
      <c r="A1324" t="s">
        <v>13</v>
      </c>
      <c r="B1324" t="s">
        <v>2592</v>
      </c>
      <c r="C1324" t="s">
        <v>2593</v>
      </c>
      <c r="D1324" t="s">
        <v>2593</v>
      </c>
      <c r="E1324" t="s">
        <v>2593</v>
      </c>
      <c r="F1324" t="s">
        <v>2593</v>
      </c>
      <c r="G1324" s="6">
        <v>1402.3</v>
      </c>
      <c r="H1324" s="6"/>
      <c r="I1324" s="6">
        <f t="shared" si="100"/>
        <v>659.081</v>
      </c>
      <c r="J1324" s="6">
        <f t="shared" si="101"/>
        <v>701.15</v>
      </c>
      <c r="K1324" s="6">
        <f t="shared" si="102"/>
        <v>771.265</v>
      </c>
      <c r="L1324" s="6">
        <f t="shared" si="103"/>
        <v>981.61</v>
      </c>
      <c r="M1324" s="6">
        <f t="shared" si="104"/>
        <v>1191.955</v>
      </c>
    </row>
    <row r="1325" spans="1:13">
      <c r="A1325" t="s">
        <v>13</v>
      </c>
      <c r="B1325" t="s">
        <v>2594</v>
      </c>
      <c r="C1325" t="s">
        <v>2595</v>
      </c>
      <c r="D1325" t="s">
        <v>2595</v>
      </c>
      <c r="E1325" t="s">
        <v>2595</v>
      </c>
      <c r="F1325" t="s">
        <v>2595</v>
      </c>
      <c r="G1325" s="6">
        <v>1564.48</v>
      </c>
      <c r="H1325" s="6"/>
      <c r="I1325" s="6">
        <f t="shared" si="100"/>
        <v>735.3056</v>
      </c>
      <c r="J1325" s="6">
        <f t="shared" si="101"/>
        <v>782.24</v>
      </c>
      <c r="K1325" s="6">
        <f t="shared" si="102"/>
        <v>860.464</v>
      </c>
      <c r="L1325" s="6">
        <f t="shared" si="103"/>
        <v>1095.136</v>
      </c>
      <c r="M1325" s="6">
        <f t="shared" si="104"/>
        <v>1329.808</v>
      </c>
    </row>
    <row r="1326" spans="1:13">
      <c r="A1326" t="s">
        <v>13</v>
      </c>
      <c r="B1326" t="s">
        <v>2596</v>
      </c>
      <c r="C1326" t="s">
        <v>2597</v>
      </c>
      <c r="D1326" t="s">
        <v>2597</v>
      </c>
      <c r="E1326" t="s">
        <v>2597</v>
      </c>
      <c r="F1326" t="s">
        <v>2597</v>
      </c>
      <c r="G1326" s="6">
        <v>1859.76</v>
      </c>
      <c r="H1326" s="6"/>
      <c r="I1326" s="6">
        <f t="shared" si="100"/>
        <v>874.0872</v>
      </c>
      <c r="J1326" s="6">
        <f t="shared" si="101"/>
        <v>929.88</v>
      </c>
      <c r="K1326" s="6">
        <f t="shared" si="102"/>
        <v>1022.868</v>
      </c>
      <c r="L1326" s="6">
        <f t="shared" si="103"/>
        <v>1301.832</v>
      </c>
      <c r="M1326" s="6">
        <f t="shared" si="104"/>
        <v>1580.796</v>
      </c>
    </row>
    <row r="1327" spans="1:13">
      <c r="A1327" t="s">
        <v>13</v>
      </c>
      <c r="B1327" t="s">
        <v>2598</v>
      </c>
      <c r="C1327" t="s">
        <v>2599</v>
      </c>
      <c r="D1327" t="s">
        <v>2599</v>
      </c>
      <c r="E1327" t="s">
        <v>2599</v>
      </c>
      <c r="F1327" t="s">
        <v>2599</v>
      </c>
      <c r="G1327" s="6">
        <v>1859.76</v>
      </c>
      <c r="H1327" s="6"/>
      <c r="I1327" s="6">
        <f t="shared" si="100"/>
        <v>874.0872</v>
      </c>
      <c r="J1327" s="6">
        <f t="shared" si="101"/>
        <v>929.88</v>
      </c>
      <c r="K1327" s="6">
        <f t="shared" si="102"/>
        <v>1022.868</v>
      </c>
      <c r="L1327" s="6">
        <f t="shared" si="103"/>
        <v>1301.832</v>
      </c>
      <c r="M1327" s="6">
        <f t="shared" si="104"/>
        <v>1580.796</v>
      </c>
    </row>
    <row r="1328" spans="1:13">
      <c r="A1328" t="s">
        <v>13</v>
      </c>
      <c r="B1328" t="s">
        <v>2600</v>
      </c>
      <c r="C1328" t="s">
        <v>2601</v>
      </c>
      <c r="D1328" t="s">
        <v>2601</v>
      </c>
      <c r="E1328" t="s">
        <v>2601</v>
      </c>
      <c r="F1328" t="s">
        <v>2601</v>
      </c>
      <c r="G1328" s="6">
        <v>4175.57</v>
      </c>
      <c r="H1328" s="6"/>
      <c r="I1328" s="6">
        <f t="shared" si="100"/>
        <v>1962.5179</v>
      </c>
      <c r="J1328" s="6">
        <f t="shared" si="101"/>
        <v>2087.785</v>
      </c>
      <c r="K1328" s="6">
        <f t="shared" si="102"/>
        <v>2296.5635</v>
      </c>
      <c r="L1328" s="6">
        <f t="shared" si="103"/>
        <v>2922.899</v>
      </c>
      <c r="M1328" s="6">
        <f t="shared" si="104"/>
        <v>3549.2345</v>
      </c>
    </row>
    <row r="1329" spans="1:13">
      <c r="A1329" t="s">
        <v>13</v>
      </c>
      <c r="B1329" t="s">
        <v>2602</v>
      </c>
      <c r="C1329" t="s">
        <v>2603</v>
      </c>
      <c r="D1329" t="s">
        <v>2603</v>
      </c>
      <c r="E1329" t="s">
        <v>2603</v>
      </c>
      <c r="F1329" t="s">
        <v>2603</v>
      </c>
      <c r="G1329" s="6">
        <v>4413</v>
      </c>
      <c r="H1329" s="6"/>
      <c r="I1329" s="6">
        <f t="shared" si="100"/>
        <v>2074.11</v>
      </c>
      <c r="J1329" s="6">
        <f t="shared" si="101"/>
        <v>2206.5</v>
      </c>
      <c r="K1329" s="6">
        <f t="shared" si="102"/>
        <v>2427.15</v>
      </c>
      <c r="L1329" s="6">
        <f t="shared" si="103"/>
        <v>3089.1</v>
      </c>
      <c r="M1329" s="6">
        <f t="shared" si="104"/>
        <v>3751.05</v>
      </c>
    </row>
    <row r="1330" spans="1:13">
      <c r="A1330" t="s">
        <v>13</v>
      </c>
      <c r="B1330" t="s">
        <v>2604</v>
      </c>
      <c r="C1330" t="s">
        <v>2605</v>
      </c>
      <c r="D1330" t="s">
        <v>2605</v>
      </c>
      <c r="E1330" t="s">
        <v>2605</v>
      </c>
      <c r="F1330" t="s">
        <v>2605</v>
      </c>
      <c r="G1330" s="6">
        <v>4175.57</v>
      </c>
      <c r="H1330" s="6"/>
      <c r="I1330" s="6">
        <f t="shared" si="100"/>
        <v>1962.5179</v>
      </c>
      <c r="J1330" s="6">
        <f t="shared" si="101"/>
        <v>2087.785</v>
      </c>
      <c r="K1330" s="6">
        <f t="shared" si="102"/>
        <v>2296.5635</v>
      </c>
      <c r="L1330" s="6">
        <f t="shared" si="103"/>
        <v>2922.899</v>
      </c>
      <c r="M1330" s="6">
        <f t="shared" si="104"/>
        <v>3549.2345</v>
      </c>
    </row>
    <row r="1331" spans="1:13">
      <c r="A1331" t="s">
        <v>13</v>
      </c>
      <c r="B1331" t="s">
        <v>2606</v>
      </c>
      <c r="C1331" t="s">
        <v>2607</v>
      </c>
      <c r="D1331" t="s">
        <v>2607</v>
      </c>
      <c r="E1331" t="s">
        <v>2607</v>
      </c>
      <c r="F1331" t="s">
        <v>2607</v>
      </c>
      <c r="G1331" s="6">
        <v>4413</v>
      </c>
      <c r="H1331" s="6"/>
      <c r="I1331" s="6">
        <f t="shared" si="100"/>
        <v>2074.11</v>
      </c>
      <c r="J1331" s="6">
        <f t="shared" si="101"/>
        <v>2206.5</v>
      </c>
      <c r="K1331" s="6">
        <f t="shared" si="102"/>
        <v>2427.15</v>
      </c>
      <c r="L1331" s="6">
        <f t="shared" si="103"/>
        <v>3089.1</v>
      </c>
      <c r="M1331" s="6">
        <f t="shared" si="104"/>
        <v>3751.05</v>
      </c>
    </row>
    <row r="1332" spans="1:13">
      <c r="A1332" t="s">
        <v>13</v>
      </c>
      <c r="B1332" t="s">
        <v>2608</v>
      </c>
      <c r="C1332" t="s">
        <v>417</v>
      </c>
      <c r="D1332" t="s">
        <v>417</v>
      </c>
      <c r="E1332" t="s">
        <v>417</v>
      </c>
      <c r="F1332" t="s">
        <v>417</v>
      </c>
      <c r="G1332" s="6">
        <v>4175.57</v>
      </c>
      <c r="H1332" s="6"/>
      <c r="I1332" s="6">
        <f t="shared" si="100"/>
        <v>1962.5179</v>
      </c>
      <c r="J1332" s="6">
        <f t="shared" si="101"/>
        <v>2087.785</v>
      </c>
      <c r="K1332" s="6">
        <f t="shared" si="102"/>
        <v>2296.5635</v>
      </c>
      <c r="L1332" s="6">
        <f t="shared" si="103"/>
        <v>2922.899</v>
      </c>
      <c r="M1332" s="6">
        <f t="shared" si="104"/>
        <v>3549.2345</v>
      </c>
    </row>
    <row r="1333" spans="1:13">
      <c r="A1333" t="s">
        <v>13</v>
      </c>
      <c r="B1333" t="s">
        <v>2609</v>
      </c>
      <c r="C1333" t="s">
        <v>2610</v>
      </c>
      <c r="D1333" t="s">
        <v>2610</v>
      </c>
      <c r="E1333" t="s">
        <v>2610</v>
      </c>
      <c r="F1333" t="s">
        <v>2610</v>
      </c>
      <c r="G1333" s="6">
        <v>4085.81</v>
      </c>
      <c r="H1333" s="6"/>
      <c r="I1333" s="6">
        <f t="shared" si="100"/>
        <v>1920.3307</v>
      </c>
      <c r="J1333" s="6">
        <f t="shared" si="101"/>
        <v>2042.905</v>
      </c>
      <c r="K1333" s="6">
        <f t="shared" si="102"/>
        <v>2247.1955</v>
      </c>
      <c r="L1333" s="6">
        <f t="shared" si="103"/>
        <v>2860.067</v>
      </c>
      <c r="M1333" s="6">
        <f t="shared" si="104"/>
        <v>3472.9385</v>
      </c>
    </row>
    <row r="1334" spans="1:13">
      <c r="A1334" t="s">
        <v>13</v>
      </c>
      <c r="B1334" t="s">
        <v>2611</v>
      </c>
      <c r="C1334" t="s">
        <v>2603</v>
      </c>
      <c r="D1334" t="s">
        <v>2603</v>
      </c>
      <c r="E1334" t="s">
        <v>2603</v>
      </c>
      <c r="F1334" t="s">
        <v>2603</v>
      </c>
      <c r="G1334" s="6">
        <v>4323</v>
      </c>
      <c r="H1334" s="6"/>
      <c r="I1334" s="6">
        <f t="shared" si="100"/>
        <v>2031.81</v>
      </c>
      <c r="J1334" s="6">
        <f t="shared" si="101"/>
        <v>2161.5</v>
      </c>
      <c r="K1334" s="6">
        <f t="shared" si="102"/>
        <v>2377.65</v>
      </c>
      <c r="L1334" s="6">
        <f t="shared" si="103"/>
        <v>3026.1</v>
      </c>
      <c r="M1334" s="6">
        <f t="shared" si="104"/>
        <v>3674.55</v>
      </c>
    </row>
    <row r="1335" spans="1:13">
      <c r="A1335" t="s">
        <v>13</v>
      </c>
      <c r="B1335" t="s">
        <v>2612</v>
      </c>
      <c r="C1335" t="s">
        <v>2613</v>
      </c>
      <c r="D1335" t="s">
        <v>2613</v>
      </c>
      <c r="E1335" t="s">
        <v>2613</v>
      </c>
      <c r="F1335" t="s">
        <v>2613</v>
      </c>
      <c r="G1335" s="6">
        <v>1836.92</v>
      </c>
      <c r="H1335" s="6"/>
      <c r="I1335" s="6">
        <f t="shared" si="100"/>
        <v>863.3524</v>
      </c>
      <c r="J1335" s="6">
        <f t="shared" si="101"/>
        <v>918.46</v>
      </c>
      <c r="K1335" s="6">
        <f t="shared" si="102"/>
        <v>1010.306</v>
      </c>
      <c r="L1335" s="6">
        <f t="shared" si="103"/>
        <v>1285.844</v>
      </c>
      <c r="M1335" s="6">
        <f t="shared" si="104"/>
        <v>1561.382</v>
      </c>
    </row>
    <row r="1336" spans="1:13">
      <c r="A1336" t="s">
        <v>13</v>
      </c>
      <c r="B1336" t="s">
        <v>2614</v>
      </c>
      <c r="C1336" t="s">
        <v>2615</v>
      </c>
      <c r="D1336" t="s">
        <v>2615</v>
      </c>
      <c r="E1336" t="s">
        <v>2615</v>
      </c>
      <c r="F1336" t="s">
        <v>2615</v>
      </c>
      <c r="G1336" s="6">
        <v>2033.78</v>
      </c>
      <c r="H1336" s="6"/>
      <c r="I1336" s="6">
        <f t="shared" si="100"/>
        <v>955.8766</v>
      </c>
      <c r="J1336" s="6">
        <f t="shared" si="101"/>
        <v>1016.89</v>
      </c>
      <c r="K1336" s="6">
        <f t="shared" si="102"/>
        <v>1118.579</v>
      </c>
      <c r="L1336" s="6">
        <f t="shared" si="103"/>
        <v>1423.646</v>
      </c>
      <c r="M1336" s="6">
        <f t="shared" si="104"/>
        <v>1728.713</v>
      </c>
    </row>
    <row r="1337" spans="1:13">
      <c r="A1337" t="s">
        <v>13</v>
      </c>
      <c r="B1337" t="s">
        <v>2616</v>
      </c>
      <c r="C1337" t="s">
        <v>2617</v>
      </c>
      <c r="D1337" t="s">
        <v>2617</v>
      </c>
      <c r="E1337" t="s">
        <v>2617</v>
      </c>
      <c r="F1337" t="s">
        <v>2617</v>
      </c>
      <c r="G1337" s="6">
        <v>2556</v>
      </c>
      <c r="H1337" s="6"/>
      <c r="I1337" s="6">
        <f t="shared" si="100"/>
        <v>1201.32</v>
      </c>
      <c r="J1337" s="6">
        <f t="shared" si="101"/>
        <v>1278</v>
      </c>
      <c r="K1337" s="6">
        <f t="shared" si="102"/>
        <v>1405.8</v>
      </c>
      <c r="L1337" s="6">
        <f t="shared" si="103"/>
        <v>1789.2</v>
      </c>
      <c r="M1337" s="6">
        <f t="shared" si="104"/>
        <v>2172.6</v>
      </c>
    </row>
    <row r="1338" spans="1:13">
      <c r="A1338" t="s">
        <v>13</v>
      </c>
      <c r="B1338" t="s">
        <v>2618</v>
      </c>
      <c r="C1338" t="s">
        <v>2619</v>
      </c>
      <c r="D1338" t="s">
        <v>2619</v>
      </c>
      <c r="E1338" t="s">
        <v>2619</v>
      </c>
      <c r="F1338" t="s">
        <v>2619</v>
      </c>
      <c r="G1338" s="6">
        <v>2556</v>
      </c>
      <c r="H1338" s="6"/>
      <c r="I1338" s="6">
        <f t="shared" si="100"/>
        <v>1201.32</v>
      </c>
      <c r="J1338" s="6">
        <f t="shared" si="101"/>
        <v>1278</v>
      </c>
      <c r="K1338" s="6">
        <f t="shared" si="102"/>
        <v>1405.8</v>
      </c>
      <c r="L1338" s="6">
        <f t="shared" si="103"/>
        <v>1789.2</v>
      </c>
      <c r="M1338" s="6">
        <f t="shared" si="104"/>
        <v>2172.6</v>
      </c>
    </row>
    <row r="1339" spans="1:13">
      <c r="A1339" t="s">
        <v>13</v>
      </c>
      <c r="B1339" t="s">
        <v>2620</v>
      </c>
      <c r="C1339" t="s">
        <v>2621</v>
      </c>
      <c r="D1339" t="s">
        <v>2621</v>
      </c>
      <c r="E1339" t="s">
        <v>2621</v>
      </c>
      <c r="F1339" t="s">
        <v>2621</v>
      </c>
      <c r="G1339" s="6">
        <v>4864.28</v>
      </c>
      <c r="H1339" s="6"/>
      <c r="I1339" s="6">
        <f t="shared" si="100"/>
        <v>2286.2116</v>
      </c>
      <c r="J1339" s="6">
        <f t="shared" si="101"/>
        <v>2432.14</v>
      </c>
      <c r="K1339" s="6">
        <f t="shared" si="102"/>
        <v>2675.354</v>
      </c>
      <c r="L1339" s="6">
        <f t="shared" si="103"/>
        <v>3404.996</v>
      </c>
      <c r="M1339" s="6">
        <f t="shared" si="104"/>
        <v>4134.638</v>
      </c>
    </row>
    <row r="1340" spans="1:13">
      <c r="A1340" t="s">
        <v>13</v>
      </c>
      <c r="B1340" t="s">
        <v>2622</v>
      </c>
      <c r="C1340" t="s">
        <v>2623</v>
      </c>
      <c r="D1340" t="s">
        <v>2623</v>
      </c>
      <c r="E1340" t="s">
        <v>2623</v>
      </c>
      <c r="F1340" t="s">
        <v>2623</v>
      </c>
      <c r="G1340" s="6">
        <v>5123</v>
      </c>
      <c r="H1340" s="6"/>
      <c r="I1340" s="6">
        <f t="shared" si="100"/>
        <v>2407.81</v>
      </c>
      <c r="J1340" s="6">
        <f t="shared" si="101"/>
        <v>2561.5</v>
      </c>
      <c r="K1340" s="6">
        <f t="shared" si="102"/>
        <v>2817.65</v>
      </c>
      <c r="L1340" s="6">
        <f t="shared" si="103"/>
        <v>3586.1</v>
      </c>
      <c r="M1340" s="6">
        <f t="shared" si="104"/>
        <v>4354.55</v>
      </c>
    </row>
    <row r="1341" spans="1:13">
      <c r="A1341" t="s">
        <v>13</v>
      </c>
      <c r="B1341" t="s">
        <v>2624</v>
      </c>
      <c r="C1341" t="s">
        <v>2621</v>
      </c>
      <c r="D1341" t="s">
        <v>2621</v>
      </c>
      <c r="E1341" t="s">
        <v>2621</v>
      </c>
      <c r="F1341" t="s">
        <v>2621</v>
      </c>
      <c r="G1341" s="6">
        <v>4864.28</v>
      </c>
      <c r="H1341" s="6"/>
      <c r="I1341" s="6">
        <f t="shared" si="100"/>
        <v>2286.2116</v>
      </c>
      <c r="J1341" s="6">
        <f t="shared" si="101"/>
        <v>2432.14</v>
      </c>
      <c r="K1341" s="6">
        <f t="shared" si="102"/>
        <v>2675.354</v>
      </c>
      <c r="L1341" s="6">
        <f t="shared" si="103"/>
        <v>3404.996</v>
      </c>
      <c r="M1341" s="6">
        <f t="shared" si="104"/>
        <v>4134.638</v>
      </c>
    </row>
    <row r="1342" spans="1:13">
      <c r="A1342" t="s">
        <v>13</v>
      </c>
      <c r="B1342" t="s">
        <v>2625</v>
      </c>
      <c r="C1342" t="s">
        <v>2623</v>
      </c>
      <c r="D1342" t="s">
        <v>2623</v>
      </c>
      <c r="E1342" t="s">
        <v>2623</v>
      </c>
      <c r="F1342" t="s">
        <v>2623</v>
      </c>
      <c r="G1342" s="6">
        <v>5123</v>
      </c>
      <c r="H1342" s="6"/>
      <c r="I1342" s="6">
        <f t="shared" si="100"/>
        <v>2407.81</v>
      </c>
      <c r="J1342" s="6">
        <f t="shared" si="101"/>
        <v>2561.5</v>
      </c>
      <c r="K1342" s="6">
        <f t="shared" si="102"/>
        <v>2817.65</v>
      </c>
      <c r="L1342" s="6">
        <f t="shared" si="103"/>
        <v>3586.1</v>
      </c>
      <c r="M1342" s="6">
        <f t="shared" si="104"/>
        <v>4354.55</v>
      </c>
    </row>
    <row r="1343" spans="1:13">
      <c r="A1343" t="s">
        <v>13</v>
      </c>
      <c r="B1343" t="s">
        <v>2626</v>
      </c>
      <c r="C1343" t="s">
        <v>2621</v>
      </c>
      <c r="D1343" t="s">
        <v>2621</v>
      </c>
      <c r="E1343" t="s">
        <v>2621</v>
      </c>
      <c r="F1343" t="s">
        <v>2621</v>
      </c>
      <c r="G1343" s="6">
        <v>4864.28</v>
      </c>
      <c r="H1343" s="6"/>
      <c r="I1343" s="6">
        <f t="shared" si="100"/>
        <v>2286.2116</v>
      </c>
      <c r="J1343" s="6">
        <f t="shared" si="101"/>
        <v>2432.14</v>
      </c>
      <c r="K1343" s="6">
        <f t="shared" si="102"/>
        <v>2675.354</v>
      </c>
      <c r="L1343" s="6">
        <f t="shared" si="103"/>
        <v>3404.996</v>
      </c>
      <c r="M1343" s="6">
        <f t="shared" si="104"/>
        <v>4134.638</v>
      </c>
    </row>
    <row r="1344" spans="1:13">
      <c r="A1344" t="s">
        <v>13</v>
      </c>
      <c r="B1344" t="s">
        <v>2627</v>
      </c>
      <c r="C1344" t="s">
        <v>2628</v>
      </c>
      <c r="D1344" t="s">
        <v>2628</v>
      </c>
      <c r="E1344" t="s">
        <v>2628</v>
      </c>
      <c r="F1344" t="s">
        <v>2628</v>
      </c>
      <c r="G1344" s="6">
        <v>4552.97</v>
      </c>
      <c r="H1344" s="6"/>
      <c r="I1344" s="6">
        <f t="shared" si="100"/>
        <v>2139.8959</v>
      </c>
      <c r="J1344" s="6">
        <f t="shared" si="101"/>
        <v>2276.485</v>
      </c>
      <c r="K1344" s="6">
        <f t="shared" si="102"/>
        <v>2504.1335</v>
      </c>
      <c r="L1344" s="6">
        <f t="shared" si="103"/>
        <v>3187.079</v>
      </c>
      <c r="M1344" s="6">
        <f t="shared" si="104"/>
        <v>3870.0245</v>
      </c>
    </row>
    <row r="1345" spans="1:13">
      <c r="A1345" t="s">
        <v>13</v>
      </c>
      <c r="B1345" t="s">
        <v>2629</v>
      </c>
      <c r="C1345" t="s">
        <v>2630</v>
      </c>
      <c r="D1345" t="s">
        <v>2630</v>
      </c>
      <c r="E1345" t="s">
        <v>2630</v>
      </c>
      <c r="F1345" t="s">
        <v>2630</v>
      </c>
      <c r="G1345" s="6">
        <v>4811</v>
      </c>
      <c r="H1345" s="6"/>
      <c r="I1345" s="6">
        <f t="shared" si="100"/>
        <v>2261.17</v>
      </c>
      <c r="J1345" s="6">
        <f t="shared" si="101"/>
        <v>2405.5</v>
      </c>
      <c r="K1345" s="6">
        <f t="shared" si="102"/>
        <v>2646.05</v>
      </c>
      <c r="L1345" s="6">
        <f t="shared" si="103"/>
        <v>3367.7</v>
      </c>
      <c r="M1345" s="6">
        <f t="shared" si="104"/>
        <v>4089.35</v>
      </c>
    </row>
    <row r="1346" spans="1:13">
      <c r="A1346" t="s">
        <v>13</v>
      </c>
      <c r="B1346" t="s">
        <v>2631</v>
      </c>
      <c r="C1346" t="s">
        <v>2632</v>
      </c>
      <c r="D1346" t="s">
        <v>2632</v>
      </c>
      <c r="E1346" t="s">
        <v>2632</v>
      </c>
      <c r="F1346" t="s">
        <v>2632</v>
      </c>
      <c r="G1346" s="6">
        <v>2368.95</v>
      </c>
      <c r="H1346" s="6"/>
      <c r="I1346" s="6">
        <f t="shared" si="100"/>
        <v>1113.4065</v>
      </c>
      <c r="J1346" s="6">
        <f t="shared" si="101"/>
        <v>1184.475</v>
      </c>
      <c r="K1346" s="6">
        <f t="shared" si="102"/>
        <v>1302.9225</v>
      </c>
      <c r="L1346" s="6">
        <f t="shared" si="103"/>
        <v>1658.265</v>
      </c>
      <c r="M1346" s="6">
        <f t="shared" si="104"/>
        <v>2013.6075</v>
      </c>
    </row>
    <row r="1347" spans="1:13">
      <c r="A1347" t="s">
        <v>13</v>
      </c>
      <c r="B1347" t="s">
        <v>2633</v>
      </c>
      <c r="C1347" t="s">
        <v>2634</v>
      </c>
      <c r="D1347" t="s">
        <v>2634</v>
      </c>
      <c r="E1347" t="s">
        <v>2634</v>
      </c>
      <c r="F1347" t="s">
        <v>2634</v>
      </c>
      <c r="G1347" s="6">
        <v>5440</v>
      </c>
      <c r="H1347" s="6"/>
      <c r="I1347" s="6">
        <f t="shared" si="100"/>
        <v>2556.8</v>
      </c>
      <c r="J1347" s="6">
        <f t="shared" si="101"/>
        <v>2720</v>
      </c>
      <c r="K1347" s="6">
        <f t="shared" si="102"/>
        <v>2992</v>
      </c>
      <c r="L1347" s="6">
        <f t="shared" si="103"/>
        <v>3808</v>
      </c>
      <c r="M1347" s="6">
        <f t="shared" si="104"/>
        <v>4624</v>
      </c>
    </row>
    <row r="1348" spans="1:13">
      <c r="A1348" t="s">
        <v>13</v>
      </c>
      <c r="B1348" t="s">
        <v>2635</v>
      </c>
      <c r="C1348" t="s">
        <v>2636</v>
      </c>
      <c r="D1348" t="s">
        <v>2636</v>
      </c>
      <c r="E1348" t="s">
        <v>2636</v>
      </c>
      <c r="F1348" t="s">
        <v>2636</v>
      </c>
      <c r="G1348" s="6">
        <v>3830.71</v>
      </c>
      <c r="H1348" s="6"/>
      <c r="I1348" s="6">
        <f t="shared" ref="I1348:I1411" si="105">G1348*0.47</f>
        <v>1800.4337</v>
      </c>
      <c r="J1348" s="6">
        <f t="shared" ref="J1348:J1411" si="106">G1348*0.5</f>
        <v>1915.355</v>
      </c>
      <c r="K1348" s="6">
        <f t="shared" ref="K1348:K1411" si="107">G1348*0.55</f>
        <v>2106.8905</v>
      </c>
      <c r="L1348" s="6">
        <f t="shared" ref="L1348:L1411" si="108">G1348*0.7</f>
        <v>2681.497</v>
      </c>
      <c r="M1348" s="6">
        <f t="shared" ref="M1348:M1411" si="109">G1348*0.85</f>
        <v>3256.1035</v>
      </c>
    </row>
    <row r="1349" spans="1:13">
      <c r="A1349" t="s">
        <v>13</v>
      </c>
      <c r="B1349" t="s">
        <v>2637</v>
      </c>
      <c r="C1349" t="s">
        <v>2638</v>
      </c>
      <c r="D1349" t="s">
        <v>2638</v>
      </c>
      <c r="E1349" t="s">
        <v>2638</v>
      </c>
      <c r="F1349" t="s">
        <v>2638</v>
      </c>
      <c r="G1349" s="6">
        <v>4259</v>
      </c>
      <c r="H1349" s="6"/>
      <c r="I1349" s="6">
        <f t="shared" si="105"/>
        <v>2001.73</v>
      </c>
      <c r="J1349" s="6">
        <f t="shared" si="106"/>
        <v>2129.5</v>
      </c>
      <c r="K1349" s="6">
        <f t="shared" si="107"/>
        <v>2342.45</v>
      </c>
      <c r="L1349" s="6">
        <f t="shared" si="108"/>
        <v>2981.3</v>
      </c>
      <c r="M1349" s="6">
        <f t="shared" si="109"/>
        <v>3620.15</v>
      </c>
    </row>
    <row r="1350" spans="1:13">
      <c r="A1350" t="s">
        <v>13</v>
      </c>
      <c r="B1350" t="s">
        <v>2639</v>
      </c>
      <c r="C1350" t="s">
        <v>2640</v>
      </c>
      <c r="D1350" t="s">
        <v>2640</v>
      </c>
      <c r="E1350" t="s">
        <v>2640</v>
      </c>
      <c r="F1350" t="s">
        <v>2640</v>
      </c>
      <c r="G1350" s="6">
        <v>7129.8</v>
      </c>
      <c r="H1350" s="6"/>
      <c r="I1350" s="6">
        <f t="shared" si="105"/>
        <v>3351.006</v>
      </c>
      <c r="J1350" s="6">
        <f t="shared" si="106"/>
        <v>3564.9</v>
      </c>
      <c r="K1350" s="6">
        <f t="shared" si="107"/>
        <v>3921.39</v>
      </c>
      <c r="L1350" s="6">
        <f t="shared" si="108"/>
        <v>4990.86</v>
      </c>
      <c r="M1350" s="6">
        <f t="shared" si="109"/>
        <v>6060.33</v>
      </c>
    </row>
    <row r="1351" spans="1:13">
      <c r="A1351" t="s">
        <v>13</v>
      </c>
      <c r="B1351" t="s">
        <v>2641</v>
      </c>
      <c r="C1351" t="s">
        <v>2642</v>
      </c>
      <c r="D1351" t="s">
        <v>2642</v>
      </c>
      <c r="E1351" t="s">
        <v>2642</v>
      </c>
      <c r="F1351" t="s">
        <v>2642</v>
      </c>
      <c r="G1351" s="6">
        <v>7530</v>
      </c>
      <c r="H1351" s="6"/>
      <c r="I1351" s="6">
        <f t="shared" si="105"/>
        <v>3539.1</v>
      </c>
      <c r="J1351" s="6">
        <f t="shared" si="106"/>
        <v>3765</v>
      </c>
      <c r="K1351" s="6">
        <f t="shared" si="107"/>
        <v>4141.5</v>
      </c>
      <c r="L1351" s="6">
        <f t="shared" si="108"/>
        <v>5271</v>
      </c>
      <c r="M1351" s="6">
        <f t="shared" si="109"/>
        <v>6400.5</v>
      </c>
    </row>
    <row r="1352" spans="1:13">
      <c r="A1352" t="s">
        <v>13</v>
      </c>
      <c r="B1352" t="s">
        <v>2643</v>
      </c>
      <c r="C1352" t="s">
        <v>2644</v>
      </c>
      <c r="D1352" t="s">
        <v>2644</v>
      </c>
      <c r="E1352" t="s">
        <v>2644</v>
      </c>
      <c r="F1352" t="s">
        <v>2644</v>
      </c>
      <c r="G1352" s="6">
        <v>7129.8</v>
      </c>
      <c r="H1352" s="6"/>
      <c r="I1352" s="6">
        <f t="shared" si="105"/>
        <v>3351.006</v>
      </c>
      <c r="J1352" s="6">
        <f t="shared" si="106"/>
        <v>3564.9</v>
      </c>
      <c r="K1352" s="6">
        <f t="shared" si="107"/>
        <v>3921.39</v>
      </c>
      <c r="L1352" s="6">
        <f t="shared" si="108"/>
        <v>4990.86</v>
      </c>
      <c r="M1352" s="6">
        <f t="shared" si="109"/>
        <v>6060.33</v>
      </c>
    </row>
    <row r="1353" spans="1:13">
      <c r="A1353" t="s">
        <v>13</v>
      </c>
      <c r="B1353" t="s">
        <v>2645</v>
      </c>
      <c r="C1353" t="s">
        <v>2642</v>
      </c>
      <c r="D1353" t="s">
        <v>2642</v>
      </c>
      <c r="E1353" t="s">
        <v>2642</v>
      </c>
      <c r="F1353" t="s">
        <v>2642</v>
      </c>
      <c r="G1353" s="6">
        <v>7530</v>
      </c>
      <c r="H1353" s="6"/>
      <c r="I1353" s="6">
        <f t="shared" si="105"/>
        <v>3539.1</v>
      </c>
      <c r="J1353" s="6">
        <f t="shared" si="106"/>
        <v>3765</v>
      </c>
      <c r="K1353" s="6">
        <f t="shared" si="107"/>
        <v>4141.5</v>
      </c>
      <c r="L1353" s="6">
        <f t="shared" si="108"/>
        <v>5271</v>
      </c>
      <c r="M1353" s="6">
        <f t="shared" si="109"/>
        <v>6400.5</v>
      </c>
    </row>
    <row r="1354" spans="1:13">
      <c r="A1354" t="s">
        <v>13</v>
      </c>
      <c r="B1354" t="s">
        <v>2646</v>
      </c>
      <c r="C1354" t="s">
        <v>2647</v>
      </c>
      <c r="D1354" t="s">
        <v>2647</v>
      </c>
      <c r="E1354" t="s">
        <v>2647</v>
      </c>
      <c r="F1354" t="s">
        <v>2647</v>
      </c>
      <c r="G1354" s="6">
        <v>7129.8</v>
      </c>
      <c r="H1354" s="6"/>
      <c r="I1354" s="6">
        <f t="shared" si="105"/>
        <v>3351.006</v>
      </c>
      <c r="J1354" s="6">
        <f t="shared" si="106"/>
        <v>3564.9</v>
      </c>
      <c r="K1354" s="6">
        <f t="shared" si="107"/>
        <v>3921.39</v>
      </c>
      <c r="L1354" s="6">
        <f t="shared" si="108"/>
        <v>4990.86</v>
      </c>
      <c r="M1354" s="6">
        <f t="shared" si="109"/>
        <v>6060.33</v>
      </c>
    </row>
    <row r="1355" spans="1:13">
      <c r="A1355" t="s">
        <v>13</v>
      </c>
      <c r="B1355" t="s">
        <v>2648</v>
      </c>
      <c r="C1355" t="s">
        <v>2649</v>
      </c>
      <c r="D1355" t="s">
        <v>2649</v>
      </c>
      <c r="E1355" t="s">
        <v>2649</v>
      </c>
      <c r="F1355" t="s">
        <v>2649</v>
      </c>
      <c r="G1355" s="6">
        <v>6815.84</v>
      </c>
      <c r="H1355" s="6"/>
      <c r="I1355" s="6">
        <f t="shared" si="105"/>
        <v>3203.4448</v>
      </c>
      <c r="J1355" s="6">
        <f t="shared" si="106"/>
        <v>3407.92</v>
      </c>
      <c r="K1355" s="6">
        <f t="shared" si="107"/>
        <v>3748.712</v>
      </c>
      <c r="L1355" s="6">
        <f t="shared" si="108"/>
        <v>4771.088</v>
      </c>
      <c r="M1355" s="6">
        <f t="shared" si="109"/>
        <v>5793.464</v>
      </c>
    </row>
    <row r="1356" spans="1:13">
      <c r="A1356" t="s">
        <v>13</v>
      </c>
      <c r="B1356" t="s">
        <v>2650</v>
      </c>
      <c r="C1356" t="s">
        <v>2651</v>
      </c>
      <c r="D1356" t="s">
        <v>2651</v>
      </c>
      <c r="E1356" t="s">
        <v>2651</v>
      </c>
      <c r="F1356" t="s">
        <v>2651</v>
      </c>
      <c r="G1356" s="6">
        <v>7215</v>
      </c>
      <c r="H1356" s="6"/>
      <c r="I1356" s="6">
        <f t="shared" si="105"/>
        <v>3391.05</v>
      </c>
      <c r="J1356" s="6">
        <f t="shared" si="106"/>
        <v>3607.5</v>
      </c>
      <c r="K1356" s="6">
        <f t="shared" si="107"/>
        <v>3968.25</v>
      </c>
      <c r="L1356" s="6">
        <f t="shared" si="108"/>
        <v>5050.5</v>
      </c>
      <c r="M1356" s="6">
        <f t="shared" si="109"/>
        <v>6132.75</v>
      </c>
    </row>
    <row r="1357" spans="1:13">
      <c r="A1357" t="s">
        <v>13</v>
      </c>
      <c r="B1357" t="s">
        <v>2652</v>
      </c>
      <c r="C1357" t="s">
        <v>2653</v>
      </c>
      <c r="D1357" t="s">
        <v>2653</v>
      </c>
      <c r="E1357" t="s">
        <v>2653</v>
      </c>
      <c r="F1357" t="s">
        <v>2653</v>
      </c>
      <c r="G1357" s="6">
        <v>4256.66</v>
      </c>
      <c r="H1357" s="6"/>
      <c r="I1357" s="6">
        <f t="shared" si="105"/>
        <v>2000.6302</v>
      </c>
      <c r="J1357" s="6">
        <f t="shared" si="106"/>
        <v>2128.33</v>
      </c>
      <c r="K1357" s="6">
        <f t="shared" si="107"/>
        <v>2341.163</v>
      </c>
      <c r="L1357" s="6">
        <f t="shared" si="108"/>
        <v>2979.662</v>
      </c>
      <c r="M1357" s="6">
        <f t="shared" si="109"/>
        <v>3618.161</v>
      </c>
    </row>
    <row r="1358" spans="1:13">
      <c r="A1358" t="s">
        <v>13</v>
      </c>
      <c r="B1358" t="s">
        <v>2654</v>
      </c>
      <c r="C1358" t="s">
        <v>2655</v>
      </c>
      <c r="D1358" t="s">
        <v>2655</v>
      </c>
      <c r="E1358" t="s">
        <v>2655</v>
      </c>
      <c r="F1358" t="s">
        <v>2655</v>
      </c>
      <c r="G1358" s="6">
        <v>4712.91</v>
      </c>
      <c r="H1358" s="6"/>
      <c r="I1358" s="6">
        <f t="shared" si="105"/>
        <v>2215.0677</v>
      </c>
      <c r="J1358" s="6">
        <f t="shared" si="106"/>
        <v>2356.455</v>
      </c>
      <c r="K1358" s="6">
        <f t="shared" si="107"/>
        <v>2592.1005</v>
      </c>
      <c r="L1358" s="6">
        <f t="shared" si="108"/>
        <v>3299.037</v>
      </c>
      <c r="M1358" s="6">
        <f t="shared" si="109"/>
        <v>4005.9735</v>
      </c>
    </row>
    <row r="1359" spans="1:13">
      <c r="A1359" t="s">
        <v>13</v>
      </c>
      <c r="B1359" t="s">
        <v>2656</v>
      </c>
      <c r="C1359" t="s">
        <v>2657</v>
      </c>
      <c r="D1359" t="s">
        <v>2657</v>
      </c>
      <c r="E1359" t="s">
        <v>2657</v>
      </c>
      <c r="F1359" t="s">
        <v>2657</v>
      </c>
      <c r="G1359" s="6">
        <v>2919.24</v>
      </c>
      <c r="H1359" s="6"/>
      <c r="I1359" s="6">
        <f t="shared" si="105"/>
        <v>1372.0428</v>
      </c>
      <c r="J1359" s="6">
        <f t="shared" si="106"/>
        <v>1459.62</v>
      </c>
      <c r="K1359" s="6">
        <f t="shared" si="107"/>
        <v>1605.582</v>
      </c>
      <c r="L1359" s="6">
        <f t="shared" si="108"/>
        <v>2043.468</v>
      </c>
      <c r="M1359" s="6">
        <f t="shared" si="109"/>
        <v>2481.354</v>
      </c>
    </row>
    <row r="1360" spans="1:13">
      <c r="A1360" t="s">
        <v>13</v>
      </c>
      <c r="B1360" t="s">
        <v>2658</v>
      </c>
      <c r="C1360" t="s">
        <v>2659</v>
      </c>
      <c r="D1360" t="s">
        <v>2659</v>
      </c>
      <c r="E1360" t="s">
        <v>2659</v>
      </c>
      <c r="F1360" t="s">
        <v>2659</v>
      </c>
      <c r="G1360" s="6">
        <v>3329.08</v>
      </c>
      <c r="H1360" s="6"/>
      <c r="I1360" s="6">
        <f t="shared" si="105"/>
        <v>1564.6676</v>
      </c>
      <c r="J1360" s="6">
        <f t="shared" si="106"/>
        <v>1664.54</v>
      </c>
      <c r="K1360" s="6">
        <f t="shared" si="107"/>
        <v>1830.994</v>
      </c>
      <c r="L1360" s="6">
        <f t="shared" si="108"/>
        <v>2330.356</v>
      </c>
      <c r="M1360" s="6">
        <f t="shared" si="109"/>
        <v>2829.718</v>
      </c>
    </row>
    <row r="1361" spans="1:13">
      <c r="A1361" t="s">
        <v>13</v>
      </c>
      <c r="B1361" t="s">
        <v>2660</v>
      </c>
      <c r="C1361" t="s">
        <v>2661</v>
      </c>
      <c r="D1361" t="s">
        <v>2661</v>
      </c>
      <c r="E1361" t="s">
        <v>2661</v>
      </c>
      <c r="F1361" t="s">
        <v>2661</v>
      </c>
      <c r="G1361" s="6">
        <v>6216.9</v>
      </c>
      <c r="H1361" s="6"/>
      <c r="I1361" s="6">
        <f t="shared" si="105"/>
        <v>2921.943</v>
      </c>
      <c r="J1361" s="6">
        <f t="shared" si="106"/>
        <v>3108.45</v>
      </c>
      <c r="K1361" s="6">
        <f t="shared" si="107"/>
        <v>3419.295</v>
      </c>
      <c r="L1361" s="6">
        <f t="shared" si="108"/>
        <v>4351.83</v>
      </c>
      <c r="M1361" s="6">
        <f t="shared" si="109"/>
        <v>5284.365</v>
      </c>
    </row>
    <row r="1362" spans="1:13">
      <c r="A1362" t="s">
        <v>13</v>
      </c>
      <c r="B1362" t="s">
        <v>2662</v>
      </c>
      <c r="C1362" t="s">
        <v>2663</v>
      </c>
      <c r="D1362" t="s">
        <v>2663</v>
      </c>
      <c r="E1362" t="s">
        <v>2663</v>
      </c>
      <c r="F1362" t="s">
        <v>2663</v>
      </c>
      <c r="G1362" s="6">
        <v>6616</v>
      </c>
      <c r="H1362" s="6"/>
      <c r="I1362" s="6">
        <f t="shared" si="105"/>
        <v>3109.52</v>
      </c>
      <c r="J1362" s="6">
        <f t="shared" si="106"/>
        <v>3308</v>
      </c>
      <c r="K1362" s="6">
        <f t="shared" si="107"/>
        <v>3638.8</v>
      </c>
      <c r="L1362" s="6">
        <f t="shared" si="108"/>
        <v>4631.2</v>
      </c>
      <c r="M1362" s="6">
        <f t="shared" si="109"/>
        <v>5623.6</v>
      </c>
    </row>
    <row r="1363" spans="1:13">
      <c r="A1363" t="s">
        <v>13</v>
      </c>
      <c r="B1363" t="s">
        <v>2664</v>
      </c>
      <c r="C1363" t="s">
        <v>2665</v>
      </c>
      <c r="D1363" t="s">
        <v>2665</v>
      </c>
      <c r="E1363" t="s">
        <v>2665</v>
      </c>
      <c r="F1363" t="s">
        <v>2665</v>
      </c>
      <c r="G1363" s="6">
        <v>6216.9</v>
      </c>
      <c r="H1363" s="6"/>
      <c r="I1363" s="6">
        <f t="shared" si="105"/>
        <v>2921.943</v>
      </c>
      <c r="J1363" s="6">
        <f t="shared" si="106"/>
        <v>3108.45</v>
      </c>
      <c r="K1363" s="6">
        <f t="shared" si="107"/>
        <v>3419.295</v>
      </c>
      <c r="L1363" s="6">
        <f t="shared" si="108"/>
        <v>4351.83</v>
      </c>
      <c r="M1363" s="6">
        <f t="shared" si="109"/>
        <v>5284.365</v>
      </c>
    </row>
    <row r="1364" spans="1:13">
      <c r="A1364" t="s">
        <v>13</v>
      </c>
      <c r="B1364" t="s">
        <v>2666</v>
      </c>
      <c r="C1364" t="s">
        <v>2667</v>
      </c>
      <c r="D1364" t="s">
        <v>2667</v>
      </c>
      <c r="E1364" t="s">
        <v>2667</v>
      </c>
      <c r="F1364" t="s">
        <v>2667</v>
      </c>
      <c r="G1364" s="6">
        <v>6616</v>
      </c>
      <c r="H1364" s="6"/>
      <c r="I1364" s="6">
        <f t="shared" si="105"/>
        <v>3109.52</v>
      </c>
      <c r="J1364" s="6">
        <f t="shared" si="106"/>
        <v>3308</v>
      </c>
      <c r="K1364" s="6">
        <f t="shared" si="107"/>
        <v>3638.8</v>
      </c>
      <c r="L1364" s="6">
        <f t="shared" si="108"/>
        <v>4631.2</v>
      </c>
      <c r="M1364" s="6">
        <f t="shared" si="109"/>
        <v>5623.6</v>
      </c>
    </row>
    <row r="1365" spans="1:13">
      <c r="A1365" t="s">
        <v>13</v>
      </c>
      <c r="B1365" t="s">
        <v>2668</v>
      </c>
      <c r="C1365" t="s">
        <v>2669</v>
      </c>
      <c r="D1365" t="s">
        <v>2669</v>
      </c>
      <c r="E1365" t="s">
        <v>2669</v>
      </c>
      <c r="F1365" t="s">
        <v>2669</v>
      </c>
      <c r="G1365" s="6">
        <v>6216.9</v>
      </c>
      <c r="H1365" s="6"/>
      <c r="I1365" s="6">
        <f t="shared" si="105"/>
        <v>2921.943</v>
      </c>
      <c r="J1365" s="6">
        <f t="shared" si="106"/>
        <v>3108.45</v>
      </c>
      <c r="K1365" s="6">
        <f t="shared" si="107"/>
        <v>3419.295</v>
      </c>
      <c r="L1365" s="6">
        <f t="shared" si="108"/>
        <v>4351.83</v>
      </c>
      <c r="M1365" s="6">
        <f t="shared" si="109"/>
        <v>5284.365</v>
      </c>
    </row>
    <row r="1366" spans="1:13">
      <c r="A1366" t="s">
        <v>13</v>
      </c>
      <c r="B1366" t="s">
        <v>2670</v>
      </c>
      <c r="C1366" t="s">
        <v>2671</v>
      </c>
      <c r="D1366" t="s">
        <v>2671</v>
      </c>
      <c r="E1366" t="s">
        <v>2671</v>
      </c>
      <c r="F1366" t="s">
        <v>2671</v>
      </c>
      <c r="G1366" s="6">
        <v>5904.47</v>
      </c>
      <c r="H1366" s="6"/>
      <c r="I1366" s="6">
        <f t="shared" si="105"/>
        <v>2775.1009</v>
      </c>
      <c r="J1366" s="6">
        <f t="shared" si="106"/>
        <v>2952.235</v>
      </c>
      <c r="K1366" s="6">
        <f t="shared" si="107"/>
        <v>3247.4585</v>
      </c>
      <c r="L1366" s="6">
        <f t="shared" si="108"/>
        <v>4133.129</v>
      </c>
      <c r="M1366" s="6">
        <f t="shared" si="109"/>
        <v>5018.7995</v>
      </c>
    </row>
    <row r="1367" spans="1:13">
      <c r="A1367" t="s">
        <v>13</v>
      </c>
      <c r="B1367" t="s">
        <v>2672</v>
      </c>
      <c r="C1367" t="s">
        <v>2663</v>
      </c>
      <c r="D1367" t="s">
        <v>2663</v>
      </c>
      <c r="E1367" t="s">
        <v>2663</v>
      </c>
      <c r="F1367" t="s">
        <v>2663</v>
      </c>
      <c r="G1367" s="6">
        <v>6304</v>
      </c>
      <c r="H1367" s="6"/>
      <c r="I1367" s="6">
        <f t="shared" si="105"/>
        <v>2962.88</v>
      </c>
      <c r="J1367" s="6">
        <f t="shared" si="106"/>
        <v>3152</v>
      </c>
      <c r="K1367" s="6">
        <f t="shared" si="107"/>
        <v>3467.2</v>
      </c>
      <c r="L1367" s="6">
        <f t="shared" si="108"/>
        <v>4412.8</v>
      </c>
      <c r="M1367" s="6">
        <f t="shared" si="109"/>
        <v>5358.4</v>
      </c>
    </row>
    <row r="1368" spans="1:13">
      <c r="A1368" t="s">
        <v>13</v>
      </c>
      <c r="B1368" t="s">
        <v>2673</v>
      </c>
      <c r="C1368" t="s">
        <v>2674</v>
      </c>
      <c r="D1368" t="s">
        <v>2674</v>
      </c>
      <c r="E1368" t="s">
        <v>2674</v>
      </c>
      <c r="F1368" t="s">
        <v>2674</v>
      </c>
      <c r="G1368" s="6">
        <v>3344.17</v>
      </c>
      <c r="H1368" s="6"/>
      <c r="I1368" s="6">
        <f t="shared" si="105"/>
        <v>1571.7599</v>
      </c>
      <c r="J1368" s="6">
        <f t="shared" si="106"/>
        <v>1672.085</v>
      </c>
      <c r="K1368" s="6">
        <f t="shared" si="107"/>
        <v>1839.2935</v>
      </c>
      <c r="L1368" s="6">
        <f t="shared" si="108"/>
        <v>2340.919</v>
      </c>
      <c r="M1368" s="6">
        <f t="shared" si="109"/>
        <v>2842.5445</v>
      </c>
    </row>
    <row r="1369" spans="1:13">
      <c r="A1369" t="s">
        <v>13</v>
      </c>
      <c r="B1369" t="s">
        <v>2675</v>
      </c>
      <c r="C1369" t="s">
        <v>2676</v>
      </c>
      <c r="D1369" t="s">
        <v>2676</v>
      </c>
      <c r="E1369" t="s">
        <v>2676</v>
      </c>
      <c r="F1369" t="s">
        <v>2676</v>
      </c>
      <c r="G1369" s="6">
        <v>5513</v>
      </c>
      <c r="H1369" s="6"/>
      <c r="I1369" s="6">
        <f t="shared" si="105"/>
        <v>2591.11</v>
      </c>
      <c r="J1369" s="6">
        <f t="shared" si="106"/>
        <v>2756.5</v>
      </c>
      <c r="K1369" s="6">
        <f t="shared" si="107"/>
        <v>3032.15</v>
      </c>
      <c r="L1369" s="6">
        <f t="shared" si="108"/>
        <v>3859.1</v>
      </c>
      <c r="M1369" s="6">
        <f t="shared" si="109"/>
        <v>4686.05</v>
      </c>
    </row>
    <row r="1370" spans="1:13">
      <c r="A1370" t="s">
        <v>13</v>
      </c>
      <c r="B1370" t="s">
        <v>2677</v>
      </c>
      <c r="C1370" t="s">
        <v>2678</v>
      </c>
      <c r="D1370" t="s">
        <v>2678</v>
      </c>
      <c r="E1370" t="s">
        <v>2678</v>
      </c>
      <c r="F1370" t="s">
        <v>2678</v>
      </c>
      <c r="G1370" s="6">
        <v>5976.18</v>
      </c>
      <c r="H1370" s="6"/>
      <c r="I1370" s="6">
        <f t="shared" si="105"/>
        <v>2808.8046</v>
      </c>
      <c r="J1370" s="6">
        <f t="shared" si="106"/>
        <v>2988.09</v>
      </c>
      <c r="K1370" s="6">
        <f t="shared" si="107"/>
        <v>3286.899</v>
      </c>
      <c r="L1370" s="6">
        <f t="shared" si="108"/>
        <v>4183.326</v>
      </c>
      <c r="M1370" s="6">
        <f t="shared" si="109"/>
        <v>5079.753</v>
      </c>
    </row>
    <row r="1371" spans="1:13">
      <c r="A1371" t="s">
        <v>13</v>
      </c>
      <c r="B1371" t="s">
        <v>2679</v>
      </c>
      <c r="C1371" t="s">
        <v>2680</v>
      </c>
      <c r="D1371" t="s">
        <v>2680</v>
      </c>
      <c r="E1371" t="s">
        <v>2680</v>
      </c>
      <c r="F1371" t="s">
        <v>2680</v>
      </c>
      <c r="G1371" s="6">
        <v>9083.2</v>
      </c>
      <c r="H1371" s="6"/>
      <c r="I1371" s="6">
        <f t="shared" si="105"/>
        <v>4269.104</v>
      </c>
      <c r="J1371" s="6">
        <f t="shared" si="106"/>
        <v>4541.6</v>
      </c>
      <c r="K1371" s="6">
        <f t="shared" si="107"/>
        <v>4995.76</v>
      </c>
      <c r="L1371" s="6">
        <f t="shared" si="108"/>
        <v>6358.24</v>
      </c>
      <c r="M1371" s="6">
        <f t="shared" si="109"/>
        <v>7720.72</v>
      </c>
    </row>
    <row r="1372" spans="1:13">
      <c r="A1372" t="s">
        <v>13</v>
      </c>
      <c r="B1372" t="s">
        <v>2681</v>
      </c>
      <c r="C1372" t="s">
        <v>2682</v>
      </c>
      <c r="D1372" t="s">
        <v>2682</v>
      </c>
      <c r="E1372" t="s">
        <v>2682</v>
      </c>
      <c r="F1372" t="s">
        <v>2682</v>
      </c>
      <c r="G1372" s="6">
        <v>9538</v>
      </c>
      <c r="H1372" s="6"/>
      <c r="I1372" s="6">
        <f t="shared" si="105"/>
        <v>4482.86</v>
      </c>
      <c r="J1372" s="6">
        <f t="shared" si="106"/>
        <v>4769</v>
      </c>
      <c r="K1372" s="6">
        <f t="shared" si="107"/>
        <v>5245.9</v>
      </c>
      <c r="L1372" s="6">
        <f t="shared" si="108"/>
        <v>6676.6</v>
      </c>
      <c r="M1372" s="6">
        <f t="shared" si="109"/>
        <v>8107.3</v>
      </c>
    </row>
    <row r="1373" spans="1:13">
      <c r="A1373" t="s">
        <v>13</v>
      </c>
      <c r="B1373" t="s">
        <v>2683</v>
      </c>
      <c r="C1373" t="s">
        <v>2684</v>
      </c>
      <c r="D1373" t="s">
        <v>2684</v>
      </c>
      <c r="E1373" t="s">
        <v>2684</v>
      </c>
      <c r="F1373" t="s">
        <v>2684</v>
      </c>
      <c r="G1373" s="6">
        <v>9083.2</v>
      </c>
      <c r="H1373" s="6"/>
      <c r="I1373" s="6">
        <f t="shared" si="105"/>
        <v>4269.104</v>
      </c>
      <c r="J1373" s="6">
        <f t="shared" si="106"/>
        <v>4541.6</v>
      </c>
      <c r="K1373" s="6">
        <f t="shared" si="107"/>
        <v>4995.76</v>
      </c>
      <c r="L1373" s="6">
        <f t="shared" si="108"/>
        <v>6358.24</v>
      </c>
      <c r="M1373" s="6">
        <f t="shared" si="109"/>
        <v>7720.72</v>
      </c>
    </row>
    <row r="1374" spans="1:13">
      <c r="A1374" t="s">
        <v>13</v>
      </c>
      <c r="B1374" t="s">
        <v>2685</v>
      </c>
      <c r="C1374" t="s">
        <v>2686</v>
      </c>
      <c r="D1374" t="s">
        <v>2686</v>
      </c>
      <c r="E1374" t="s">
        <v>2686</v>
      </c>
      <c r="F1374" t="s">
        <v>2686</v>
      </c>
      <c r="G1374" s="6">
        <v>9538</v>
      </c>
      <c r="H1374" s="6"/>
      <c r="I1374" s="6">
        <f t="shared" si="105"/>
        <v>4482.86</v>
      </c>
      <c r="J1374" s="6">
        <f t="shared" si="106"/>
        <v>4769</v>
      </c>
      <c r="K1374" s="6">
        <f t="shared" si="107"/>
        <v>5245.9</v>
      </c>
      <c r="L1374" s="6">
        <f t="shared" si="108"/>
        <v>6676.6</v>
      </c>
      <c r="M1374" s="6">
        <f t="shared" si="109"/>
        <v>8107.3</v>
      </c>
    </row>
    <row r="1375" spans="1:13">
      <c r="A1375" t="s">
        <v>13</v>
      </c>
      <c r="B1375" t="s">
        <v>2687</v>
      </c>
      <c r="C1375" t="s">
        <v>2688</v>
      </c>
      <c r="D1375" t="s">
        <v>2688</v>
      </c>
      <c r="E1375" t="s">
        <v>2688</v>
      </c>
      <c r="F1375" t="s">
        <v>2688</v>
      </c>
      <c r="G1375" s="6">
        <v>10216.22</v>
      </c>
      <c r="H1375" s="6"/>
      <c r="I1375" s="6">
        <f t="shared" si="105"/>
        <v>4801.6234</v>
      </c>
      <c r="J1375" s="6">
        <f t="shared" si="106"/>
        <v>5108.11</v>
      </c>
      <c r="K1375" s="6">
        <f t="shared" si="107"/>
        <v>5618.921</v>
      </c>
      <c r="L1375" s="6">
        <f t="shared" si="108"/>
        <v>7151.354</v>
      </c>
      <c r="M1375" s="6">
        <f t="shared" si="109"/>
        <v>8683.787</v>
      </c>
    </row>
    <row r="1376" spans="1:13">
      <c r="A1376" t="s">
        <v>13</v>
      </c>
      <c r="B1376" t="s">
        <v>2689</v>
      </c>
      <c r="C1376" t="s">
        <v>2690</v>
      </c>
      <c r="D1376" t="s">
        <v>2690</v>
      </c>
      <c r="E1376" t="s">
        <v>2690</v>
      </c>
      <c r="F1376" t="s">
        <v>2690</v>
      </c>
      <c r="G1376" s="6">
        <v>10671</v>
      </c>
      <c r="H1376" s="6"/>
      <c r="I1376" s="6">
        <f t="shared" si="105"/>
        <v>5015.37</v>
      </c>
      <c r="J1376" s="6">
        <f t="shared" si="106"/>
        <v>5335.5</v>
      </c>
      <c r="K1376" s="6">
        <f t="shared" si="107"/>
        <v>5869.05</v>
      </c>
      <c r="L1376" s="6">
        <f t="shared" si="108"/>
        <v>7469.7</v>
      </c>
      <c r="M1376" s="6">
        <f t="shared" si="109"/>
        <v>9070.35</v>
      </c>
    </row>
    <row r="1377" spans="1:13">
      <c r="A1377" t="s">
        <v>13</v>
      </c>
      <c r="B1377" t="s">
        <v>2691</v>
      </c>
      <c r="C1377" t="s">
        <v>2692</v>
      </c>
      <c r="D1377" t="s">
        <v>2692</v>
      </c>
      <c r="E1377" t="s">
        <v>2692</v>
      </c>
      <c r="F1377" t="s">
        <v>2692</v>
      </c>
      <c r="G1377" s="6">
        <v>10216.22</v>
      </c>
      <c r="H1377" s="6"/>
      <c r="I1377" s="6">
        <f t="shared" si="105"/>
        <v>4801.6234</v>
      </c>
      <c r="J1377" s="6">
        <f t="shared" si="106"/>
        <v>5108.11</v>
      </c>
      <c r="K1377" s="6">
        <f t="shared" si="107"/>
        <v>5618.921</v>
      </c>
      <c r="L1377" s="6">
        <f t="shared" si="108"/>
        <v>7151.354</v>
      </c>
      <c r="M1377" s="6">
        <f t="shared" si="109"/>
        <v>8683.787</v>
      </c>
    </row>
    <row r="1378" spans="1:13">
      <c r="A1378" t="s">
        <v>13</v>
      </c>
      <c r="B1378" t="s">
        <v>2693</v>
      </c>
      <c r="C1378" t="s">
        <v>2694</v>
      </c>
      <c r="D1378" t="s">
        <v>2694</v>
      </c>
      <c r="E1378" t="s">
        <v>2694</v>
      </c>
      <c r="F1378" t="s">
        <v>2694</v>
      </c>
      <c r="G1378" s="6">
        <v>10671</v>
      </c>
      <c r="H1378" s="6"/>
      <c r="I1378" s="6">
        <f t="shared" si="105"/>
        <v>5015.37</v>
      </c>
      <c r="J1378" s="6">
        <f t="shared" si="106"/>
        <v>5335.5</v>
      </c>
      <c r="K1378" s="6">
        <f t="shared" si="107"/>
        <v>5869.05</v>
      </c>
      <c r="L1378" s="6">
        <f t="shared" si="108"/>
        <v>7469.7</v>
      </c>
      <c r="M1378" s="6">
        <f t="shared" si="109"/>
        <v>9070.35</v>
      </c>
    </row>
    <row r="1379" spans="1:13">
      <c r="A1379" t="s">
        <v>13</v>
      </c>
      <c r="B1379" t="s">
        <v>2695</v>
      </c>
      <c r="C1379" t="s">
        <v>2696</v>
      </c>
      <c r="D1379" t="s">
        <v>2696</v>
      </c>
      <c r="E1379" t="s">
        <v>2696</v>
      </c>
      <c r="F1379" t="s">
        <v>2696</v>
      </c>
      <c r="G1379" s="6">
        <v>8430.1</v>
      </c>
      <c r="H1379" s="6"/>
      <c r="I1379" s="6">
        <f t="shared" si="105"/>
        <v>3962.147</v>
      </c>
      <c r="J1379" s="6">
        <f t="shared" si="106"/>
        <v>4215.05</v>
      </c>
      <c r="K1379" s="6">
        <f t="shared" si="107"/>
        <v>4636.555</v>
      </c>
      <c r="L1379" s="6">
        <f t="shared" si="108"/>
        <v>5901.07</v>
      </c>
      <c r="M1379" s="6">
        <f t="shared" si="109"/>
        <v>7165.585</v>
      </c>
    </row>
    <row r="1380" spans="1:13">
      <c r="A1380" t="s">
        <v>13</v>
      </c>
      <c r="B1380" t="s">
        <v>2697</v>
      </c>
      <c r="C1380" t="s">
        <v>2698</v>
      </c>
      <c r="D1380" t="s">
        <v>2698</v>
      </c>
      <c r="E1380" t="s">
        <v>2698</v>
      </c>
      <c r="F1380" t="s">
        <v>2698</v>
      </c>
      <c r="G1380" s="6">
        <v>8885</v>
      </c>
      <c r="H1380" s="6"/>
      <c r="I1380" s="6">
        <f t="shared" si="105"/>
        <v>4175.95</v>
      </c>
      <c r="J1380" s="6">
        <f t="shared" si="106"/>
        <v>4442.5</v>
      </c>
      <c r="K1380" s="6">
        <f t="shared" si="107"/>
        <v>4886.75</v>
      </c>
      <c r="L1380" s="6">
        <f t="shared" si="108"/>
        <v>6219.5</v>
      </c>
      <c r="M1380" s="6">
        <f t="shared" si="109"/>
        <v>7552.25</v>
      </c>
    </row>
    <row r="1381" spans="1:13">
      <c r="A1381" t="s">
        <v>13</v>
      </c>
      <c r="B1381" t="s">
        <v>2699</v>
      </c>
      <c r="C1381" t="s">
        <v>2700</v>
      </c>
      <c r="D1381" t="s">
        <v>2700</v>
      </c>
      <c r="E1381" t="s">
        <v>2700</v>
      </c>
      <c r="F1381" t="s">
        <v>2700</v>
      </c>
      <c r="G1381" s="6">
        <v>6388.77</v>
      </c>
      <c r="H1381" s="6"/>
      <c r="I1381" s="6">
        <f t="shared" si="105"/>
        <v>3002.7219</v>
      </c>
      <c r="J1381" s="6">
        <f t="shared" si="106"/>
        <v>3194.385</v>
      </c>
      <c r="K1381" s="6">
        <f t="shared" si="107"/>
        <v>3513.8235</v>
      </c>
      <c r="L1381" s="6">
        <f t="shared" si="108"/>
        <v>4472.139</v>
      </c>
      <c r="M1381" s="6">
        <f t="shared" si="109"/>
        <v>5430.4545</v>
      </c>
    </row>
    <row r="1382" spans="1:13">
      <c r="A1382" t="s">
        <v>13</v>
      </c>
      <c r="B1382" t="s">
        <v>2701</v>
      </c>
      <c r="C1382" t="s">
        <v>2702</v>
      </c>
      <c r="D1382" t="s">
        <v>2702</v>
      </c>
      <c r="E1382" t="s">
        <v>2702</v>
      </c>
      <c r="F1382" t="s">
        <v>2702</v>
      </c>
      <c r="G1382" s="6">
        <v>3688.01</v>
      </c>
      <c r="H1382" s="6"/>
      <c r="I1382" s="6">
        <f t="shared" si="105"/>
        <v>1733.3647</v>
      </c>
      <c r="J1382" s="6">
        <f t="shared" si="106"/>
        <v>1844.005</v>
      </c>
      <c r="K1382" s="6">
        <f t="shared" si="107"/>
        <v>2028.4055</v>
      </c>
      <c r="L1382" s="6">
        <f t="shared" si="108"/>
        <v>2581.607</v>
      </c>
      <c r="M1382" s="6">
        <f t="shared" si="109"/>
        <v>3134.8085</v>
      </c>
    </row>
    <row r="1383" spans="1:13">
      <c r="A1383" t="s">
        <v>13</v>
      </c>
      <c r="B1383" t="s">
        <v>2703</v>
      </c>
      <c r="C1383" t="s">
        <v>2704</v>
      </c>
      <c r="D1383" t="s">
        <v>2704</v>
      </c>
      <c r="E1383" t="s">
        <v>2704</v>
      </c>
      <c r="F1383" t="s">
        <v>2704</v>
      </c>
      <c r="G1383" s="6">
        <v>4250</v>
      </c>
      <c r="H1383" s="6"/>
      <c r="I1383" s="6">
        <f t="shared" si="105"/>
        <v>1997.5</v>
      </c>
      <c r="J1383" s="6">
        <f t="shared" si="106"/>
        <v>2125</v>
      </c>
      <c r="K1383" s="6">
        <f t="shared" si="107"/>
        <v>2337.5</v>
      </c>
      <c r="L1383" s="6">
        <f t="shared" si="108"/>
        <v>2975</v>
      </c>
      <c r="M1383" s="6">
        <f t="shared" si="109"/>
        <v>3612.5</v>
      </c>
    </row>
    <row r="1384" spans="1:13">
      <c r="A1384" t="s">
        <v>13</v>
      </c>
      <c r="B1384" t="s">
        <v>2705</v>
      </c>
      <c r="C1384" t="s">
        <v>2706</v>
      </c>
      <c r="D1384" t="s">
        <v>2706</v>
      </c>
      <c r="E1384" t="s">
        <v>2706</v>
      </c>
      <c r="F1384" t="s">
        <v>2706</v>
      </c>
      <c r="G1384" s="6">
        <v>7256.99</v>
      </c>
      <c r="H1384" s="6"/>
      <c r="I1384" s="6">
        <f t="shared" si="105"/>
        <v>3410.7853</v>
      </c>
      <c r="J1384" s="6">
        <f t="shared" si="106"/>
        <v>3628.495</v>
      </c>
      <c r="K1384" s="6">
        <f t="shared" si="107"/>
        <v>3991.3445</v>
      </c>
      <c r="L1384" s="6">
        <f t="shared" si="108"/>
        <v>5079.893</v>
      </c>
      <c r="M1384" s="6">
        <f t="shared" si="109"/>
        <v>6168.4415</v>
      </c>
    </row>
    <row r="1385" spans="1:13">
      <c r="A1385" t="s">
        <v>13</v>
      </c>
      <c r="B1385" t="s">
        <v>2707</v>
      </c>
      <c r="C1385" t="s">
        <v>2708</v>
      </c>
      <c r="D1385" t="s">
        <v>2708</v>
      </c>
      <c r="E1385" t="s">
        <v>2708</v>
      </c>
      <c r="F1385" t="s">
        <v>2708</v>
      </c>
      <c r="G1385" s="6">
        <v>7711</v>
      </c>
      <c r="H1385" s="6"/>
      <c r="I1385" s="6">
        <f t="shared" si="105"/>
        <v>3624.17</v>
      </c>
      <c r="J1385" s="6">
        <f t="shared" si="106"/>
        <v>3855.5</v>
      </c>
      <c r="K1385" s="6">
        <f t="shared" si="107"/>
        <v>4241.05</v>
      </c>
      <c r="L1385" s="6">
        <f t="shared" si="108"/>
        <v>5397.7</v>
      </c>
      <c r="M1385" s="6">
        <f t="shared" si="109"/>
        <v>6554.35</v>
      </c>
    </row>
    <row r="1386" spans="1:13">
      <c r="A1386" t="s">
        <v>13</v>
      </c>
      <c r="B1386" t="s">
        <v>2709</v>
      </c>
      <c r="C1386" t="s">
        <v>2710</v>
      </c>
      <c r="D1386" t="s">
        <v>2710</v>
      </c>
      <c r="E1386" t="s">
        <v>2710</v>
      </c>
      <c r="F1386" t="s">
        <v>2710</v>
      </c>
      <c r="G1386" s="6">
        <v>7256.99</v>
      </c>
      <c r="H1386" s="6"/>
      <c r="I1386" s="6">
        <f t="shared" si="105"/>
        <v>3410.7853</v>
      </c>
      <c r="J1386" s="6">
        <f t="shared" si="106"/>
        <v>3628.495</v>
      </c>
      <c r="K1386" s="6">
        <f t="shared" si="107"/>
        <v>3991.3445</v>
      </c>
      <c r="L1386" s="6">
        <f t="shared" si="108"/>
        <v>5079.893</v>
      </c>
      <c r="M1386" s="6">
        <f t="shared" si="109"/>
        <v>6168.4415</v>
      </c>
    </row>
    <row r="1387" spans="1:13">
      <c r="A1387" t="s">
        <v>13</v>
      </c>
      <c r="B1387" t="s">
        <v>2711</v>
      </c>
      <c r="C1387" t="s">
        <v>2712</v>
      </c>
      <c r="D1387" t="s">
        <v>2712</v>
      </c>
      <c r="E1387" t="s">
        <v>2712</v>
      </c>
      <c r="F1387" t="s">
        <v>2712</v>
      </c>
      <c r="G1387" s="6">
        <v>7711</v>
      </c>
      <c r="H1387" s="6"/>
      <c r="I1387" s="6">
        <f t="shared" si="105"/>
        <v>3624.17</v>
      </c>
      <c r="J1387" s="6">
        <f t="shared" si="106"/>
        <v>3855.5</v>
      </c>
      <c r="K1387" s="6">
        <f t="shared" si="107"/>
        <v>4241.05</v>
      </c>
      <c r="L1387" s="6">
        <f t="shared" si="108"/>
        <v>5397.7</v>
      </c>
      <c r="M1387" s="6">
        <f t="shared" si="109"/>
        <v>6554.35</v>
      </c>
    </row>
    <row r="1388" spans="1:13">
      <c r="A1388" t="s">
        <v>13</v>
      </c>
      <c r="B1388" t="s">
        <v>2713</v>
      </c>
      <c r="C1388" t="s">
        <v>2714</v>
      </c>
      <c r="D1388" t="s">
        <v>2714</v>
      </c>
      <c r="E1388" t="s">
        <v>2714</v>
      </c>
      <c r="F1388" t="s">
        <v>2714</v>
      </c>
      <c r="G1388" s="6">
        <v>8388.99</v>
      </c>
      <c r="H1388" s="6"/>
      <c r="I1388" s="6">
        <f t="shared" si="105"/>
        <v>3942.8253</v>
      </c>
      <c r="J1388" s="6">
        <f t="shared" si="106"/>
        <v>4194.495</v>
      </c>
      <c r="K1388" s="6">
        <f t="shared" si="107"/>
        <v>4613.9445</v>
      </c>
      <c r="L1388" s="6">
        <f t="shared" si="108"/>
        <v>5872.293</v>
      </c>
      <c r="M1388" s="6">
        <f t="shared" si="109"/>
        <v>7130.6415</v>
      </c>
    </row>
    <row r="1389" spans="1:13">
      <c r="A1389" t="s">
        <v>13</v>
      </c>
      <c r="B1389" t="s">
        <v>2715</v>
      </c>
      <c r="C1389" t="s">
        <v>2716</v>
      </c>
      <c r="D1389" t="s">
        <v>2716</v>
      </c>
      <c r="E1389" t="s">
        <v>2716</v>
      </c>
      <c r="F1389" t="s">
        <v>2716</v>
      </c>
      <c r="G1389" s="6">
        <v>8843</v>
      </c>
      <c r="H1389" s="6"/>
      <c r="I1389" s="6">
        <f t="shared" si="105"/>
        <v>4156.21</v>
      </c>
      <c r="J1389" s="6">
        <f t="shared" si="106"/>
        <v>4421.5</v>
      </c>
      <c r="K1389" s="6">
        <f t="shared" si="107"/>
        <v>4863.65</v>
      </c>
      <c r="L1389" s="6">
        <f t="shared" si="108"/>
        <v>6190.1</v>
      </c>
      <c r="M1389" s="6">
        <f t="shared" si="109"/>
        <v>7516.55</v>
      </c>
    </row>
    <row r="1390" spans="1:13">
      <c r="A1390" t="s">
        <v>13</v>
      </c>
      <c r="B1390" t="s">
        <v>2717</v>
      </c>
      <c r="C1390" t="s">
        <v>2718</v>
      </c>
      <c r="D1390" t="s">
        <v>2718</v>
      </c>
      <c r="E1390" t="s">
        <v>2718</v>
      </c>
      <c r="F1390" t="s">
        <v>2718</v>
      </c>
      <c r="G1390" s="6">
        <v>8388.99</v>
      </c>
      <c r="H1390" s="6"/>
      <c r="I1390" s="6">
        <f t="shared" si="105"/>
        <v>3942.8253</v>
      </c>
      <c r="J1390" s="6">
        <f t="shared" si="106"/>
        <v>4194.495</v>
      </c>
      <c r="K1390" s="6">
        <f t="shared" si="107"/>
        <v>4613.9445</v>
      </c>
      <c r="L1390" s="6">
        <f t="shared" si="108"/>
        <v>5872.293</v>
      </c>
      <c r="M1390" s="6">
        <f t="shared" si="109"/>
        <v>7130.6415</v>
      </c>
    </row>
    <row r="1391" spans="1:13">
      <c r="A1391" t="s">
        <v>13</v>
      </c>
      <c r="B1391" t="s">
        <v>2719</v>
      </c>
      <c r="C1391" t="s">
        <v>2720</v>
      </c>
      <c r="D1391" t="s">
        <v>2720</v>
      </c>
      <c r="E1391" t="s">
        <v>2720</v>
      </c>
      <c r="F1391" t="s">
        <v>2720</v>
      </c>
      <c r="G1391" s="6">
        <v>8843</v>
      </c>
      <c r="H1391" s="6"/>
      <c r="I1391" s="6">
        <f t="shared" si="105"/>
        <v>4156.21</v>
      </c>
      <c r="J1391" s="6">
        <f t="shared" si="106"/>
        <v>4421.5</v>
      </c>
      <c r="K1391" s="6">
        <f t="shared" si="107"/>
        <v>4863.65</v>
      </c>
      <c r="L1391" s="6">
        <f t="shared" si="108"/>
        <v>6190.1</v>
      </c>
      <c r="M1391" s="6">
        <f t="shared" si="109"/>
        <v>7516.55</v>
      </c>
    </row>
    <row r="1392" spans="1:13">
      <c r="A1392" t="s">
        <v>13</v>
      </c>
      <c r="B1392" t="s">
        <v>2721</v>
      </c>
      <c r="C1392" t="s">
        <v>2722</v>
      </c>
      <c r="D1392" t="s">
        <v>2722</v>
      </c>
      <c r="E1392" t="s">
        <v>2722</v>
      </c>
      <c r="F1392" t="s">
        <v>2722</v>
      </c>
      <c r="G1392" s="6">
        <v>6606.13</v>
      </c>
      <c r="H1392" s="6"/>
      <c r="I1392" s="6">
        <f t="shared" si="105"/>
        <v>3104.8811</v>
      </c>
      <c r="J1392" s="6">
        <f t="shared" si="106"/>
        <v>3303.065</v>
      </c>
      <c r="K1392" s="6">
        <f t="shared" si="107"/>
        <v>3633.3715</v>
      </c>
      <c r="L1392" s="6">
        <f t="shared" si="108"/>
        <v>4624.291</v>
      </c>
      <c r="M1392" s="6">
        <f t="shared" si="109"/>
        <v>5615.2105</v>
      </c>
    </row>
    <row r="1393" spans="1:13">
      <c r="A1393" t="s">
        <v>13</v>
      </c>
      <c r="B1393" t="s">
        <v>2723</v>
      </c>
      <c r="C1393" t="s">
        <v>2724</v>
      </c>
      <c r="D1393" t="s">
        <v>2724</v>
      </c>
      <c r="E1393" t="s">
        <v>2724</v>
      </c>
      <c r="F1393" t="s">
        <v>2724</v>
      </c>
      <c r="G1393" s="6">
        <v>7061</v>
      </c>
      <c r="H1393" s="6"/>
      <c r="I1393" s="6">
        <f t="shared" si="105"/>
        <v>3318.67</v>
      </c>
      <c r="J1393" s="6">
        <f t="shared" si="106"/>
        <v>3530.5</v>
      </c>
      <c r="K1393" s="6">
        <f t="shared" si="107"/>
        <v>3883.55</v>
      </c>
      <c r="L1393" s="6">
        <f t="shared" si="108"/>
        <v>4942.7</v>
      </c>
      <c r="M1393" s="6">
        <f t="shared" si="109"/>
        <v>6001.85</v>
      </c>
    </row>
    <row r="1394" spans="1:13">
      <c r="A1394" t="s">
        <v>13</v>
      </c>
      <c r="B1394" t="s">
        <v>2725</v>
      </c>
      <c r="C1394" t="s">
        <v>2726</v>
      </c>
      <c r="D1394" t="s">
        <v>2726</v>
      </c>
      <c r="E1394" t="s">
        <v>2726</v>
      </c>
      <c r="F1394" t="s">
        <v>2726</v>
      </c>
      <c r="G1394" s="6">
        <v>4279.41</v>
      </c>
      <c r="H1394" s="6"/>
      <c r="I1394" s="6">
        <f t="shared" si="105"/>
        <v>2011.3227</v>
      </c>
      <c r="J1394" s="6">
        <f t="shared" si="106"/>
        <v>2139.705</v>
      </c>
      <c r="K1394" s="6">
        <f t="shared" si="107"/>
        <v>2353.6755</v>
      </c>
      <c r="L1394" s="6">
        <f t="shared" si="108"/>
        <v>2995.587</v>
      </c>
      <c r="M1394" s="6">
        <f t="shared" si="109"/>
        <v>3637.4985</v>
      </c>
    </row>
    <row r="1395" spans="1:13">
      <c r="A1395" t="s">
        <v>13</v>
      </c>
      <c r="B1395" t="s">
        <v>2727</v>
      </c>
      <c r="C1395" t="s">
        <v>2728</v>
      </c>
      <c r="D1395" t="s">
        <v>2728</v>
      </c>
      <c r="E1395" t="s">
        <v>2728</v>
      </c>
      <c r="F1395" t="s">
        <v>2728</v>
      </c>
      <c r="G1395" s="6">
        <v>6984</v>
      </c>
      <c r="H1395" s="6"/>
      <c r="I1395" s="6">
        <f t="shared" si="105"/>
        <v>3282.48</v>
      </c>
      <c r="J1395" s="6">
        <f t="shared" si="106"/>
        <v>3492</v>
      </c>
      <c r="K1395" s="6">
        <f t="shared" si="107"/>
        <v>3841.2</v>
      </c>
      <c r="L1395" s="6">
        <f t="shared" si="108"/>
        <v>4888.8</v>
      </c>
      <c r="M1395" s="6">
        <f t="shared" si="109"/>
        <v>5936.4</v>
      </c>
    </row>
    <row r="1396" spans="1:13">
      <c r="A1396" t="s">
        <v>13</v>
      </c>
      <c r="B1396" t="s">
        <v>2729</v>
      </c>
      <c r="C1396" t="s">
        <v>2730</v>
      </c>
      <c r="D1396" t="s">
        <v>2730</v>
      </c>
      <c r="E1396" t="s">
        <v>2730</v>
      </c>
      <c r="F1396" t="s">
        <v>2730</v>
      </c>
      <c r="G1396" s="6">
        <v>7784</v>
      </c>
      <c r="H1396" s="6"/>
      <c r="I1396" s="6">
        <f t="shared" si="105"/>
        <v>3658.48</v>
      </c>
      <c r="J1396" s="6">
        <f t="shared" si="106"/>
        <v>3892</v>
      </c>
      <c r="K1396" s="6">
        <f t="shared" si="107"/>
        <v>4281.2</v>
      </c>
      <c r="L1396" s="6">
        <f t="shared" si="108"/>
        <v>5448.8</v>
      </c>
      <c r="M1396" s="6">
        <f t="shared" si="109"/>
        <v>6616.4</v>
      </c>
    </row>
    <row r="1397" spans="1:13">
      <c r="A1397" t="s">
        <v>13</v>
      </c>
      <c r="B1397" t="s">
        <v>2731</v>
      </c>
      <c r="C1397" t="s">
        <v>2732</v>
      </c>
      <c r="D1397" t="s">
        <v>2732</v>
      </c>
      <c r="E1397" t="s">
        <v>2732</v>
      </c>
      <c r="F1397" t="s">
        <v>2732</v>
      </c>
      <c r="G1397" s="6">
        <v>11190</v>
      </c>
      <c r="H1397" s="6"/>
      <c r="I1397" s="6">
        <f t="shared" si="105"/>
        <v>5259.3</v>
      </c>
      <c r="J1397" s="6">
        <f t="shared" si="106"/>
        <v>5595</v>
      </c>
      <c r="K1397" s="6">
        <f t="shared" si="107"/>
        <v>6154.5</v>
      </c>
      <c r="L1397" s="6">
        <f t="shared" si="108"/>
        <v>7833</v>
      </c>
      <c r="M1397" s="6">
        <f t="shared" si="109"/>
        <v>9511.5</v>
      </c>
    </row>
    <row r="1398" spans="1:13">
      <c r="A1398" t="s">
        <v>13</v>
      </c>
      <c r="B1398" t="s">
        <v>2733</v>
      </c>
      <c r="C1398" t="s">
        <v>2734</v>
      </c>
      <c r="D1398" t="s">
        <v>2734</v>
      </c>
      <c r="E1398" t="s">
        <v>2734</v>
      </c>
      <c r="F1398" t="s">
        <v>2734</v>
      </c>
      <c r="G1398" s="6">
        <v>11990</v>
      </c>
      <c r="H1398" s="6"/>
      <c r="I1398" s="6">
        <f t="shared" si="105"/>
        <v>5635.3</v>
      </c>
      <c r="J1398" s="6">
        <f t="shared" si="106"/>
        <v>5995</v>
      </c>
      <c r="K1398" s="6">
        <f t="shared" si="107"/>
        <v>6594.5</v>
      </c>
      <c r="L1398" s="6">
        <f t="shared" si="108"/>
        <v>8393</v>
      </c>
      <c r="M1398" s="6">
        <f t="shared" si="109"/>
        <v>10191.5</v>
      </c>
    </row>
    <row r="1399" spans="1:13">
      <c r="A1399" t="s">
        <v>13</v>
      </c>
      <c r="B1399" t="s">
        <v>2735</v>
      </c>
      <c r="C1399" t="s">
        <v>2736</v>
      </c>
      <c r="D1399" t="s">
        <v>2736</v>
      </c>
      <c r="E1399" t="s">
        <v>2736</v>
      </c>
      <c r="F1399" t="s">
        <v>2736</v>
      </c>
      <c r="G1399" s="6">
        <v>10517</v>
      </c>
      <c r="H1399" s="6"/>
      <c r="I1399" s="6">
        <f t="shared" si="105"/>
        <v>4942.99</v>
      </c>
      <c r="J1399" s="6">
        <f t="shared" si="106"/>
        <v>5258.5</v>
      </c>
      <c r="K1399" s="6">
        <f t="shared" si="107"/>
        <v>5784.35</v>
      </c>
      <c r="L1399" s="6">
        <f t="shared" si="108"/>
        <v>7361.9</v>
      </c>
      <c r="M1399" s="6">
        <f t="shared" si="109"/>
        <v>8939.45</v>
      </c>
    </row>
    <row r="1400" spans="1:13">
      <c r="A1400" t="s">
        <v>13</v>
      </c>
      <c r="B1400" t="s">
        <v>2737</v>
      </c>
      <c r="C1400" t="s">
        <v>2738</v>
      </c>
      <c r="D1400" t="s">
        <v>2738</v>
      </c>
      <c r="E1400" t="s">
        <v>2738</v>
      </c>
      <c r="F1400" t="s">
        <v>2738</v>
      </c>
      <c r="G1400" s="6">
        <v>4646</v>
      </c>
      <c r="H1400" s="6"/>
      <c r="I1400" s="6">
        <f t="shared" si="105"/>
        <v>2183.62</v>
      </c>
      <c r="J1400" s="6">
        <f t="shared" si="106"/>
        <v>2323</v>
      </c>
      <c r="K1400" s="6">
        <f t="shared" si="107"/>
        <v>2555.3</v>
      </c>
      <c r="L1400" s="6">
        <f t="shared" si="108"/>
        <v>3252.2</v>
      </c>
      <c r="M1400" s="6">
        <f t="shared" si="109"/>
        <v>3949.1</v>
      </c>
    </row>
    <row r="1401" spans="1:13">
      <c r="A1401" t="s">
        <v>13</v>
      </c>
      <c r="B1401" t="s">
        <v>2739</v>
      </c>
      <c r="C1401" t="s">
        <v>2740</v>
      </c>
      <c r="D1401" t="s">
        <v>2740</v>
      </c>
      <c r="E1401" t="s">
        <v>2740</v>
      </c>
      <c r="F1401" t="s">
        <v>2740</v>
      </c>
      <c r="G1401" s="6">
        <v>5445</v>
      </c>
      <c r="H1401" s="6"/>
      <c r="I1401" s="6">
        <f t="shared" si="105"/>
        <v>2559.15</v>
      </c>
      <c r="J1401" s="6">
        <f t="shared" si="106"/>
        <v>2722.5</v>
      </c>
      <c r="K1401" s="6">
        <f t="shared" si="107"/>
        <v>2994.75</v>
      </c>
      <c r="L1401" s="6">
        <f t="shared" si="108"/>
        <v>3811.5</v>
      </c>
      <c r="M1401" s="6">
        <f t="shared" si="109"/>
        <v>4628.25</v>
      </c>
    </row>
    <row r="1402" spans="1:13">
      <c r="A1402" t="s">
        <v>13</v>
      </c>
      <c r="B1402" t="s">
        <v>2741</v>
      </c>
      <c r="C1402" t="s">
        <v>2742</v>
      </c>
      <c r="D1402" t="s">
        <v>2742</v>
      </c>
      <c r="E1402" t="s">
        <v>2742</v>
      </c>
      <c r="F1402" t="s">
        <v>2742</v>
      </c>
      <c r="G1402" s="6">
        <v>8853</v>
      </c>
      <c r="H1402" s="6"/>
      <c r="I1402" s="6">
        <f t="shared" si="105"/>
        <v>4160.91</v>
      </c>
      <c r="J1402" s="6">
        <f t="shared" si="106"/>
        <v>4426.5</v>
      </c>
      <c r="K1402" s="6">
        <f t="shared" si="107"/>
        <v>4869.15</v>
      </c>
      <c r="L1402" s="6">
        <f t="shared" si="108"/>
        <v>6197.1</v>
      </c>
      <c r="M1402" s="6">
        <f t="shared" si="109"/>
        <v>7525.05</v>
      </c>
    </row>
    <row r="1403" spans="1:13">
      <c r="A1403" t="s">
        <v>13</v>
      </c>
      <c r="B1403" t="s">
        <v>2743</v>
      </c>
      <c r="C1403" t="s">
        <v>2744</v>
      </c>
      <c r="D1403" t="s">
        <v>2744</v>
      </c>
      <c r="E1403" t="s">
        <v>2744</v>
      </c>
      <c r="F1403" t="s">
        <v>2744</v>
      </c>
      <c r="G1403" s="6">
        <v>10157</v>
      </c>
      <c r="H1403" s="6"/>
      <c r="I1403" s="6">
        <f t="shared" si="105"/>
        <v>4773.79</v>
      </c>
      <c r="J1403" s="6">
        <f t="shared" si="106"/>
        <v>5078.5</v>
      </c>
      <c r="K1403" s="6">
        <f t="shared" si="107"/>
        <v>5586.35</v>
      </c>
      <c r="L1403" s="6">
        <f t="shared" si="108"/>
        <v>7109.9</v>
      </c>
      <c r="M1403" s="6">
        <f t="shared" si="109"/>
        <v>8633.45</v>
      </c>
    </row>
    <row r="1404" spans="1:13">
      <c r="A1404" t="s">
        <v>13</v>
      </c>
      <c r="B1404" t="s">
        <v>2745</v>
      </c>
      <c r="C1404" t="s">
        <v>2746</v>
      </c>
      <c r="D1404" t="s">
        <v>2746</v>
      </c>
      <c r="E1404" t="s">
        <v>2746</v>
      </c>
      <c r="F1404" t="s">
        <v>2746</v>
      </c>
      <c r="G1404" s="6">
        <v>10956</v>
      </c>
      <c r="H1404" s="6"/>
      <c r="I1404" s="6">
        <f t="shared" si="105"/>
        <v>5149.32</v>
      </c>
      <c r="J1404" s="6">
        <f t="shared" si="106"/>
        <v>5478</v>
      </c>
      <c r="K1404" s="6">
        <f t="shared" si="107"/>
        <v>6025.8</v>
      </c>
      <c r="L1404" s="6">
        <f t="shared" si="108"/>
        <v>7669.2</v>
      </c>
      <c r="M1404" s="6">
        <f t="shared" si="109"/>
        <v>9312.6</v>
      </c>
    </row>
    <row r="1405" spans="1:13">
      <c r="A1405" t="s">
        <v>13</v>
      </c>
      <c r="B1405" t="s">
        <v>2747</v>
      </c>
      <c r="C1405" t="s">
        <v>2748</v>
      </c>
      <c r="D1405" t="s">
        <v>2748</v>
      </c>
      <c r="E1405" t="s">
        <v>2748</v>
      </c>
      <c r="F1405" t="s">
        <v>2748</v>
      </c>
      <c r="G1405" s="6">
        <v>8178</v>
      </c>
      <c r="H1405" s="6"/>
      <c r="I1405" s="6">
        <f t="shared" si="105"/>
        <v>3843.66</v>
      </c>
      <c r="J1405" s="6">
        <f t="shared" si="106"/>
        <v>4089</v>
      </c>
      <c r="K1405" s="6">
        <f t="shared" si="107"/>
        <v>4497.9</v>
      </c>
      <c r="L1405" s="6">
        <f t="shared" si="108"/>
        <v>5724.6</v>
      </c>
      <c r="M1405" s="6">
        <f t="shared" si="109"/>
        <v>6951.3</v>
      </c>
    </row>
    <row r="1406" spans="1:13">
      <c r="A1406" t="s">
        <v>13</v>
      </c>
      <c r="B1406" t="s">
        <v>2749</v>
      </c>
      <c r="C1406" t="s">
        <v>2750</v>
      </c>
      <c r="D1406" t="s">
        <v>2750</v>
      </c>
      <c r="E1406" t="s">
        <v>2750</v>
      </c>
      <c r="F1406" t="s">
        <v>2750</v>
      </c>
      <c r="G1406" s="6">
        <v>5407.13</v>
      </c>
      <c r="H1406" s="6"/>
      <c r="I1406" s="6">
        <f t="shared" si="105"/>
        <v>2541.3511</v>
      </c>
      <c r="J1406" s="6">
        <f t="shared" si="106"/>
        <v>2703.565</v>
      </c>
      <c r="K1406" s="6">
        <f t="shared" si="107"/>
        <v>2973.9215</v>
      </c>
      <c r="L1406" s="6">
        <f t="shared" si="108"/>
        <v>3784.991</v>
      </c>
      <c r="M1406" s="6">
        <f t="shared" si="109"/>
        <v>4596.0605</v>
      </c>
    </row>
    <row r="1407" spans="1:13">
      <c r="A1407" t="s">
        <v>13</v>
      </c>
      <c r="B1407" t="s">
        <v>2751</v>
      </c>
      <c r="C1407" t="s">
        <v>2752</v>
      </c>
      <c r="D1407" t="s">
        <v>2752</v>
      </c>
      <c r="E1407" t="s">
        <v>2752</v>
      </c>
      <c r="F1407" t="s">
        <v>2752</v>
      </c>
      <c r="G1407" s="6">
        <v>34.02</v>
      </c>
      <c r="H1407" s="6"/>
      <c r="I1407" s="6">
        <f t="shared" si="105"/>
        <v>15.9894</v>
      </c>
      <c r="J1407" s="6">
        <f t="shared" si="106"/>
        <v>17.01</v>
      </c>
      <c r="K1407" s="6">
        <f t="shared" si="107"/>
        <v>18.711</v>
      </c>
      <c r="L1407" s="6">
        <f t="shared" si="108"/>
        <v>23.814</v>
      </c>
      <c r="M1407" s="6">
        <f t="shared" si="109"/>
        <v>28.917</v>
      </c>
    </row>
    <row r="1408" spans="1:13">
      <c r="A1408" t="s">
        <v>13</v>
      </c>
      <c r="B1408" t="s">
        <v>2753</v>
      </c>
      <c r="C1408" t="s">
        <v>2754</v>
      </c>
      <c r="D1408" t="s">
        <v>2754</v>
      </c>
      <c r="E1408" t="s">
        <v>2754</v>
      </c>
      <c r="F1408" t="s">
        <v>2754</v>
      </c>
      <c r="G1408" s="6">
        <v>181.3</v>
      </c>
      <c r="H1408" s="6"/>
      <c r="I1408" s="6">
        <f t="shared" si="105"/>
        <v>85.211</v>
      </c>
      <c r="J1408" s="6">
        <f t="shared" si="106"/>
        <v>90.65</v>
      </c>
      <c r="K1408" s="6">
        <f t="shared" si="107"/>
        <v>99.715</v>
      </c>
      <c r="L1408" s="6">
        <f t="shared" si="108"/>
        <v>126.91</v>
      </c>
      <c r="M1408" s="6">
        <f t="shared" si="109"/>
        <v>154.105</v>
      </c>
    </row>
    <row r="1409" ht="27" spans="1:13">
      <c r="A1409" t="s">
        <v>13</v>
      </c>
      <c r="B1409" s="11" t="s">
        <v>2755</v>
      </c>
      <c r="C1409" s="7" t="s">
        <v>2756</v>
      </c>
      <c r="D1409" s="7" t="s">
        <v>2756</v>
      </c>
      <c r="E1409" s="7" t="s">
        <v>2756</v>
      </c>
      <c r="F1409" s="7" t="s">
        <v>2756</v>
      </c>
      <c r="G1409" s="3">
        <v>18825</v>
      </c>
      <c r="H1409" s="3"/>
      <c r="I1409" s="6">
        <f t="shared" si="105"/>
        <v>8847.75</v>
      </c>
      <c r="J1409" s="6">
        <f t="shared" si="106"/>
        <v>9412.5</v>
      </c>
      <c r="K1409" s="6">
        <f t="shared" si="107"/>
        <v>10353.75</v>
      </c>
      <c r="L1409" s="6">
        <f t="shared" si="108"/>
        <v>13177.5</v>
      </c>
      <c r="M1409" s="6">
        <f t="shared" si="109"/>
        <v>16001.25</v>
      </c>
    </row>
    <row r="1410" ht="27" spans="1:13">
      <c r="A1410" t="s">
        <v>13</v>
      </c>
      <c r="B1410" s="11" t="s">
        <v>2757</v>
      </c>
      <c r="C1410" s="7" t="s">
        <v>2758</v>
      </c>
      <c r="D1410" s="7" t="s">
        <v>2758</v>
      </c>
      <c r="E1410" s="7" t="s">
        <v>2758</v>
      </c>
      <c r="F1410" s="7" t="s">
        <v>2758</v>
      </c>
      <c r="G1410" s="3">
        <v>21400</v>
      </c>
      <c r="H1410" s="3"/>
      <c r="I1410" s="6">
        <f t="shared" si="105"/>
        <v>10058</v>
      </c>
      <c r="J1410" s="6">
        <f t="shared" si="106"/>
        <v>10700</v>
      </c>
      <c r="K1410" s="6">
        <f t="shared" si="107"/>
        <v>11770</v>
      </c>
      <c r="L1410" s="6">
        <f t="shared" si="108"/>
        <v>14980</v>
      </c>
      <c r="M1410" s="6">
        <f t="shared" si="109"/>
        <v>18190</v>
      </c>
    </row>
    <row r="1411" spans="1:13">
      <c r="A1411" t="s">
        <v>13</v>
      </c>
      <c r="B1411" s="11" t="s">
        <v>2759</v>
      </c>
      <c r="C1411" s="11" t="s">
        <v>2759</v>
      </c>
      <c r="D1411" s="11" t="s">
        <v>2759</v>
      </c>
      <c r="E1411" s="11" t="s">
        <v>2759</v>
      </c>
      <c r="F1411" s="11" t="s">
        <v>2759</v>
      </c>
      <c r="G1411" s="4">
        <v>25830</v>
      </c>
      <c r="I1411" s="6">
        <f t="shared" si="105"/>
        <v>12140.1</v>
      </c>
      <c r="J1411" s="6">
        <f t="shared" si="106"/>
        <v>12915</v>
      </c>
      <c r="K1411" s="6">
        <f t="shared" si="107"/>
        <v>14206.5</v>
      </c>
      <c r="L1411" s="6">
        <f t="shared" si="108"/>
        <v>18081</v>
      </c>
      <c r="M1411" s="6">
        <f t="shared" si="109"/>
        <v>21955.5</v>
      </c>
    </row>
    <row r="1412" spans="1:13">
      <c r="A1412" t="s">
        <v>13</v>
      </c>
      <c r="B1412" s="11" t="s">
        <v>2760</v>
      </c>
      <c r="C1412" s="11" t="s">
        <v>2760</v>
      </c>
      <c r="D1412" s="11" t="s">
        <v>2760</v>
      </c>
      <c r="E1412" s="11" t="s">
        <v>2760</v>
      </c>
      <c r="F1412" s="11" t="s">
        <v>2760</v>
      </c>
      <c r="G1412" s="4">
        <v>97</v>
      </c>
      <c r="I1412" s="6">
        <f>G1412*0.47</f>
        <v>45.59</v>
      </c>
      <c r="J1412" s="6">
        <f>G1412*0.5</f>
        <v>48.5</v>
      </c>
      <c r="K1412" s="6">
        <f>G1412*0.55</f>
        <v>53.35</v>
      </c>
      <c r="L1412" s="6">
        <f>G1412*0.7</f>
        <v>67.9</v>
      </c>
      <c r="M1412" s="6">
        <f>G1412*0.85</f>
        <v>82.45</v>
      </c>
    </row>
  </sheetData>
  <pageMargins left="0.7" right="0.7" top="0.75" bottom="0.75" header="0.3" footer="0.3"/>
  <pageSetup paperSize="1" fitToWidth="0" fitToHeight="0" orientation="portrait"/>
  <headerFooter>
    <oddHeader>&amp;CListino</oddHeader>
    <evenFooter>&amp;CListino</evenFooter>
    <firstHeader>&amp;CListino</firstHeader>
  </headerFooter>
  <ignoredErrors>
    <ignoredError sqref="A865:A1407 A664:A863 A2:A172 A374:A574 A175:A371 A581:A645 A579 A647:A662 A576:A5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I20" sqref="I20"/>
    </sheetView>
  </sheetViews>
  <sheetFormatPr defaultColWidth="9" defaultRowHeight="13.5"/>
  <sheetData>
    <row r="1" s="1" customFormat="1" ht="33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2761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</row>
    <row r="2" spans="1:12">
      <c r="B2" s="2" t="s">
        <v>2762</v>
      </c>
      <c r="G2" s="3" t="s">
        <v>2763</v>
      </c>
      <c r="H2" s="3" t="s">
        <v>2763</v>
      </c>
      <c r="I2" s="3" t="s">
        <v>2763</v>
      </c>
      <c r="J2" s="3" t="s">
        <v>2763</v>
      </c>
      <c r="K2" s="3" t="s">
        <v>2763</v>
      </c>
      <c r="L2" s="3" t="s">
        <v>2763</v>
      </c>
    </row>
    <row r="3" spans="1:12">
      <c r="B3" s="2" t="s">
        <v>2764</v>
      </c>
      <c r="G3" s="3" t="s">
        <v>2763</v>
      </c>
      <c r="H3" s="3" t="s">
        <v>2763</v>
      </c>
      <c r="I3" s="3" t="s">
        <v>2763</v>
      </c>
      <c r="J3" s="3" t="s">
        <v>2763</v>
      </c>
      <c r="K3" s="3" t="s">
        <v>2763</v>
      </c>
      <c r="L3" s="3" t="s">
        <v>2763</v>
      </c>
    </row>
    <row r="4" spans="1:12">
      <c r="B4" s="2" t="s">
        <v>2765</v>
      </c>
      <c r="G4" s="3" t="s">
        <v>2763</v>
      </c>
      <c r="H4" s="3" t="s">
        <v>2763</v>
      </c>
      <c r="I4" s="3" t="s">
        <v>2763</v>
      </c>
      <c r="J4" s="3" t="s">
        <v>2763</v>
      </c>
      <c r="K4" s="3" t="s">
        <v>2763</v>
      </c>
      <c r="L4" s="3" t="s">
        <v>2763</v>
      </c>
    </row>
    <row r="5" spans="1:12">
      <c r="B5" s="2" t="s">
        <v>2766</v>
      </c>
      <c r="G5" s="3" t="s">
        <v>2763</v>
      </c>
      <c r="H5" s="3" t="s">
        <v>2763</v>
      </c>
      <c r="I5" s="3" t="s">
        <v>2763</v>
      </c>
      <c r="J5" s="3" t="s">
        <v>2763</v>
      </c>
      <c r="K5" s="3" t="s">
        <v>2763</v>
      </c>
      <c r="L5" s="3" t="s">
        <v>2763</v>
      </c>
    </row>
    <row r="6" spans="1:12">
      <c r="B6" s="2" t="s">
        <v>2767</v>
      </c>
      <c r="G6" s="3" t="s">
        <v>2763</v>
      </c>
      <c r="H6" s="3" t="s">
        <v>2763</v>
      </c>
      <c r="I6" s="3" t="s">
        <v>2763</v>
      </c>
      <c r="J6" s="3" t="s">
        <v>2763</v>
      </c>
      <c r="K6" s="3" t="s">
        <v>2763</v>
      </c>
      <c r="L6" s="3" t="s">
        <v>2763</v>
      </c>
    </row>
    <row r="7" spans="1:12">
      <c r="B7" s="2" t="s">
        <v>2768</v>
      </c>
      <c r="G7" s="3" t="s">
        <v>2763</v>
      </c>
      <c r="H7" s="3" t="s">
        <v>2763</v>
      </c>
      <c r="I7" s="3" t="s">
        <v>2763</v>
      </c>
      <c r="J7" s="3" t="s">
        <v>2763</v>
      </c>
      <c r="K7" s="3" t="s">
        <v>2763</v>
      </c>
      <c r="L7" s="3" t="s">
        <v>2763</v>
      </c>
    </row>
    <row r="8" spans="1:12">
      <c r="B8" s="2" t="s">
        <v>2769</v>
      </c>
      <c r="G8" s="3" t="s">
        <v>2763</v>
      </c>
      <c r="H8" s="3" t="s">
        <v>2763</v>
      </c>
      <c r="I8" s="3" t="s">
        <v>2763</v>
      </c>
      <c r="J8" s="3" t="s">
        <v>2763</v>
      </c>
      <c r="K8" s="3" t="s">
        <v>2763</v>
      </c>
      <c r="L8" s="3" t="s">
        <v>2763</v>
      </c>
    </row>
    <row r="9" spans="1:12">
      <c r="B9" s="2" t="s">
        <v>2770</v>
      </c>
      <c r="G9" s="3" t="s">
        <v>2763</v>
      </c>
      <c r="H9" s="3" t="s">
        <v>2763</v>
      </c>
      <c r="I9" s="3" t="s">
        <v>2763</v>
      </c>
      <c r="J9" s="3" t="s">
        <v>2763</v>
      </c>
      <c r="K9" s="3" t="s">
        <v>2763</v>
      </c>
      <c r="L9" s="3" t="s">
        <v>2763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RRP 2025</vt:lpstr>
      <vt:lpstr>ON REQUEST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WPS_1735901862</cp:lastModifiedBy>
  <dcterms:created xsi:type="dcterms:W3CDTF">2024-11-26T14:37:00Z</dcterms:created>
  <dcterms:modified xsi:type="dcterms:W3CDTF">2026-02-02T01:47:06Z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22.1.4.0</vt:lpwstr>
  </property>
  <property fmtid="{D5CDD505-2E9C-101B-9397-08002B2CF9AE}" pid="3" name="ICV">
    <vt:lpwstr>15C8E64ADBCC48D3AF9B7D47594DF446_12</vt:lpwstr>
  </property>
  <property fmtid="{D5CDD505-2E9C-101B-9397-08002B2CF9AE}" pid="4" name="KSOProductBuildVer">
    <vt:lpwstr>2052-12.1.0.24657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