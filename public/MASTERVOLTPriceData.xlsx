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7" r:id="rId1"/>
    <sheet name="MASTERVOLT USD Ver 5.5 March25 " sheetId="6" r:id="rId2"/>
  </sheets>
  <definedNames>
    <definedName name="_xlnm._FilterDatabase" localSheetId="1" hidden="1">'MASTERVOLT USD Ver 5.5 March25 '!$A$3:$J$407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只是取名为rrp，实际为成本价Price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实际为RRP，由于代码代码冲</t>
        </r>
      </text>
    </comment>
  </commentList>
</comments>
</file>

<file path=xl/comments2.xml><?xml version="1.0" encoding="utf-8"?>
<comments xmlns="http://schemas.openxmlformats.org/spreadsheetml/2006/main">
  <authors>
    <author>tc={3DA09031-F0F6-488F-8FED-B3941BE895A3}</author>
  </authors>
  <commentList>
    <comment ref="H3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  </r>
      </text>
    </comment>
  </commentList>
</comments>
</file>

<file path=xl/sharedStrings.xml><?xml version="1.0" encoding="utf-8"?>
<sst xmlns="http://schemas.openxmlformats.org/spreadsheetml/2006/main" count="4073" uniqueCount="830">
  <si>
    <t>Brand</t>
  </si>
  <si>
    <t>PartNumber</t>
  </si>
  <si>
    <t>ShortDescription</t>
  </si>
  <si>
    <t>chinese_short_descript</t>
  </si>
  <si>
    <t>Description</t>
  </si>
  <si>
    <t>chinese_long_descript</t>
  </si>
  <si>
    <t>RRP</t>
  </si>
  <si>
    <t>RRP113</t>
  </si>
  <si>
    <t>Wholesaler</t>
  </si>
  <si>
    <t>Distributor</t>
  </si>
  <si>
    <t>OEM</t>
  </si>
  <si>
    <t>Dealer</t>
  </si>
  <si>
    <t>Retail</t>
  </si>
  <si>
    <t>120101570</t>
  </si>
  <si>
    <t>Packaging 2V battery</t>
  </si>
  <si>
    <t>121160000</t>
  </si>
  <si>
    <t>MV Inlet 16A RVS</t>
  </si>
  <si>
    <t>121160150</t>
  </si>
  <si>
    <t>MV Shorecable 15 meter 3x2.5 mm cordset</t>
  </si>
  <si>
    <t>121160250</t>
  </si>
  <si>
    <t>MV Shorecable 25 meter 3x2.5 mm cordset</t>
  </si>
  <si>
    <t>121320000</t>
  </si>
  <si>
    <t>MV Inlet 32A RVS</t>
  </si>
  <si>
    <t>121320250</t>
  </si>
  <si>
    <t>MV Shorecable 25 meter 3x4 mm cordset</t>
  </si>
  <si>
    <t>124001000</t>
  </si>
  <si>
    <t>Shore Fix16A/30mA earth leakage switch</t>
  </si>
  <si>
    <t>131822000</t>
  </si>
  <si>
    <t>Solar ChargeMaster SCM20 PWM</t>
  </si>
  <si>
    <t>131824000</t>
  </si>
  <si>
    <t>Solar ChargeMaster SCM40 PWM</t>
  </si>
  <si>
    <t>131902500</t>
  </si>
  <si>
    <t>MPPT Solar ChargeMaster 25</t>
  </si>
  <si>
    <t>131906000</t>
  </si>
  <si>
    <t>MPPT Solar ChargeMaster 60</t>
  </si>
  <si>
    <t>21709150</t>
  </si>
  <si>
    <t>GMDSS Interface incl. top cover C1enlarg</t>
  </si>
  <si>
    <t>21709200</t>
  </si>
  <si>
    <t>GMDSS Interface incl. top cover C2</t>
  </si>
  <si>
    <t>21709300</t>
  </si>
  <si>
    <t>GMDSS Interface incl. top cover C3</t>
  </si>
  <si>
    <t>21730300</t>
  </si>
  <si>
    <t>PC-link RS232-QRS232 ISO RJ11-6p</t>
  </si>
  <si>
    <t>24012000</t>
  </si>
  <si>
    <t>Mass Sine 12/2000 230V/50Hz inverter C3</t>
  </si>
  <si>
    <t>24012002</t>
  </si>
  <si>
    <t>MASS SINE 12/2000 230V INCL WAGO CONN</t>
  </si>
  <si>
    <t>24020800</t>
  </si>
  <si>
    <t>Mass Sine 24/800 230V/50Hz inverter C1</t>
  </si>
  <si>
    <t>24021500</t>
  </si>
  <si>
    <t>Mass Sine 24/1500 230V/50Hz inverter C2</t>
  </si>
  <si>
    <t>24022500</t>
  </si>
  <si>
    <t>Mass Sine 24/2500 230V/50Hz inverter C3</t>
  </si>
  <si>
    <t>24095100</t>
  </si>
  <si>
    <t>Mass Sine 24/5000 230V/50Hz C5</t>
  </si>
  <si>
    <t>24112000</t>
  </si>
  <si>
    <t>Mass Sine 12/2000 230V 60Hz</t>
  </si>
  <si>
    <t>24120800</t>
  </si>
  <si>
    <t>Mass Sine 24/800 60 Hz</t>
  </si>
  <si>
    <t>24121500</t>
  </si>
  <si>
    <t>Mass Sine 24/1500 230V/60Hz inverter C2</t>
  </si>
  <si>
    <t>24122500</t>
  </si>
  <si>
    <t>Mass Sine 24/2500 60Hz</t>
  </si>
  <si>
    <t>24195100</t>
  </si>
  <si>
    <t>Mass Sine 24/5000 230V/60Hz C5</t>
  </si>
  <si>
    <t>25012002</t>
  </si>
  <si>
    <t>Mass Sine 12/2000 120V + Wago connector</t>
  </si>
  <si>
    <t>26024000</t>
  </si>
  <si>
    <t>Mass Sine Ultra 24/4000</t>
  </si>
  <si>
    <t>28010302</t>
  </si>
  <si>
    <t>AC Master Inverter 12/300 IEC (230V)</t>
  </si>
  <si>
    <t>28010502</t>
  </si>
  <si>
    <t>AC Master Inverter 12/500 IEC (230V)</t>
  </si>
  <si>
    <t>28010700</t>
  </si>
  <si>
    <t>AC Master 12/700 230V/50-60Hz EU</t>
  </si>
  <si>
    <t>28011000</t>
  </si>
  <si>
    <t>AC Master 12/1000 230V/50-60Hz EU</t>
  </si>
  <si>
    <t>28011500</t>
  </si>
  <si>
    <t>AC Master 12/1500 230V/50-60Hz EU</t>
  </si>
  <si>
    <t>28012000</t>
  </si>
  <si>
    <t>AC Master 12/2000 Schuko (230V)</t>
  </si>
  <si>
    <t>28012500</t>
  </si>
  <si>
    <t>AC Master 12/2500 230V/50-60Hz</t>
  </si>
  <si>
    <t>28013500</t>
  </si>
  <si>
    <t>AC Master 12/3500 230V/50-60Hz</t>
  </si>
  <si>
    <t>28020302</t>
  </si>
  <si>
    <t>AC Master Inverter 24/300 IEC (230V)</t>
  </si>
  <si>
    <t>28020502</t>
  </si>
  <si>
    <t>AC Master Inverter 24/500 IEC (230V)</t>
  </si>
  <si>
    <t>28020700</t>
  </si>
  <si>
    <t>Mastervolt Inv (230V/50-60Hz)</t>
  </si>
  <si>
    <t>28021000</t>
  </si>
  <si>
    <t>AC Master 24/1000 230V/50-60Hz EU</t>
  </si>
  <si>
    <t>28021500</t>
  </si>
  <si>
    <t>AC Master 24/1500 230V/50-60Hz EU</t>
  </si>
  <si>
    <t>28022000</t>
  </si>
  <si>
    <t>AC Master 24/2000 Schuko (230V)</t>
  </si>
  <si>
    <t>28022500</t>
  </si>
  <si>
    <t>AC Master 24/2500 230V/50-60Hz</t>
  </si>
  <si>
    <t>28210700</t>
  </si>
  <si>
    <t>AC Master 12/700 (UK outlet)</t>
  </si>
  <si>
    <t>28211000</t>
  </si>
  <si>
    <t>AC Master 12/1000 (UK outlet)</t>
  </si>
  <si>
    <t>28211500</t>
  </si>
  <si>
    <t>AC Master 12/1500 (UK outlet)</t>
  </si>
  <si>
    <t>28220700</t>
  </si>
  <si>
    <t>AC Master 24/700 (UK outlet)</t>
  </si>
  <si>
    <t>28221000</t>
  </si>
  <si>
    <t>AC Master 24/1000 (UK outlet)</t>
  </si>
  <si>
    <t>28221500</t>
  </si>
  <si>
    <t>AC Master 24/1500 (UK outlet)</t>
  </si>
  <si>
    <t>28410700</t>
  </si>
  <si>
    <t>AC Master 12/700 AU/NZ</t>
  </si>
  <si>
    <t>28411000</t>
  </si>
  <si>
    <t>AC Master 12/1000 AU/NZ</t>
  </si>
  <si>
    <t>28411500</t>
  </si>
  <si>
    <t>AC Master 12/1500 AU/NZ</t>
  </si>
  <si>
    <t>28412500</t>
  </si>
  <si>
    <t>AC Master 12/2500 HW AU/NZ</t>
  </si>
  <si>
    <t>28413500</t>
  </si>
  <si>
    <t>AC Master 12/3500 HW AU/NZ</t>
  </si>
  <si>
    <t>28420700</t>
  </si>
  <si>
    <t>AC Master 24/700 AU/NZ</t>
  </si>
  <si>
    <t>28421000</t>
  </si>
  <si>
    <t>AC Master 24/1000 AU/NZ</t>
  </si>
  <si>
    <t>28421500</t>
  </si>
  <si>
    <t>AC Master 24/1500 AU/NZ</t>
  </si>
  <si>
    <t>28422500</t>
  </si>
  <si>
    <t>AC Master 24/2500 HW AU/NZ</t>
  </si>
  <si>
    <t>28510700</t>
  </si>
  <si>
    <t>AC Master 12/700 US</t>
  </si>
  <si>
    <t>28512000</t>
  </si>
  <si>
    <t>AC Master 12/2000 US (120V)</t>
  </si>
  <si>
    <t>28520700</t>
  </si>
  <si>
    <t>AC Master 24/700 US</t>
  </si>
  <si>
    <t>28522000</t>
  </si>
  <si>
    <t>AC Master 24/2000 US (120V)</t>
  </si>
  <si>
    <t>35012000</t>
  </si>
  <si>
    <t>CombiMaster 12/2000-60 (230V)</t>
  </si>
  <si>
    <t>35013000</t>
  </si>
  <si>
    <t>CombiMaster 12/3000-100 (230V)</t>
  </si>
  <si>
    <t>35022000</t>
  </si>
  <si>
    <t>CombiMaster 24/2000-40 (230V)</t>
  </si>
  <si>
    <t>35023000</t>
  </si>
  <si>
    <t>CombiMaster 24/3000-60 (230V)</t>
  </si>
  <si>
    <t>35511500</t>
  </si>
  <si>
    <t>CombiMaster Inv/Charg 12/1500-60 (120V)</t>
  </si>
  <si>
    <t>35512000</t>
  </si>
  <si>
    <t>CombiMaster Inv/Charg 12/2000-100 (120V)</t>
  </si>
  <si>
    <t>35513000</t>
  </si>
  <si>
    <t>CombiMaster Inv/Charg 12/3000-160 (120V)</t>
  </si>
  <si>
    <t>35513500</t>
  </si>
  <si>
    <t>CombiMaster Inv/Charg 12/3500-200 (120V)</t>
  </si>
  <si>
    <t>35522000</t>
  </si>
  <si>
    <t>CombiMaster Inv/Charg 24/2000-60 (120V)</t>
  </si>
  <si>
    <t>35523000</t>
  </si>
  <si>
    <t>CombiMaster Inv/Charg 24/3000-70 (120V)</t>
  </si>
  <si>
    <t>35523500</t>
  </si>
  <si>
    <t>CombiMaster Inv/Charg 24/3500-100 (120V)</t>
  </si>
  <si>
    <t>35524500</t>
  </si>
  <si>
    <t>CombiMaster Inverter/Charger 24/4500-120A 120V</t>
  </si>
  <si>
    <t>35545000</t>
  </si>
  <si>
    <t>CombiMaster Inverter/Charger 48/5000-70A 120V</t>
  </si>
  <si>
    <t>36012201</t>
  </si>
  <si>
    <t>Mass Combi 12/2200-100 w/Remote (230V)</t>
  </si>
  <si>
    <t>36211200</t>
  </si>
  <si>
    <t>PowerCombi  1200W 120V 50A</t>
  </si>
  <si>
    <t>36212000</t>
  </si>
  <si>
    <t>PowerCombi 2000W 120V 100A</t>
  </si>
  <si>
    <t>37022505</t>
  </si>
  <si>
    <t>Mass Combi 24/2500-60 120V</t>
  </si>
  <si>
    <t>38013000</t>
  </si>
  <si>
    <t>Mass Combi Ultra 12/3000-150 230V</t>
  </si>
  <si>
    <t>38023500</t>
  </si>
  <si>
    <t>Mass Combi Ultra 24/3500-100 (230V)</t>
  </si>
  <si>
    <t>38343500</t>
  </si>
  <si>
    <t>Mass Combi Ultra 48/3500-50</t>
  </si>
  <si>
    <t>38513000</t>
  </si>
  <si>
    <t>Mass Combi Pro 12/3000-150</t>
  </si>
  <si>
    <t>38523500</t>
  </si>
  <si>
    <t>Mass Combi Pro 24/3500-100</t>
  </si>
  <si>
    <t>40020156</t>
  </si>
  <si>
    <t>Mass 24/15-2 230V/50-60Hz charger MB</t>
  </si>
  <si>
    <t>40020256</t>
  </si>
  <si>
    <t>Mass 24/25-2 230V/50-60Hz charger MB</t>
  </si>
  <si>
    <t>40020506</t>
  </si>
  <si>
    <t>Mass 24/50-2 230V/50-60Hz charger MB</t>
  </si>
  <si>
    <t>40020756</t>
  </si>
  <si>
    <t>Mass 24/75 230V/50-60Hz charger MB</t>
  </si>
  <si>
    <t>40021006</t>
  </si>
  <si>
    <t>Mass 24/100 230V/50-60Hz charger MB</t>
  </si>
  <si>
    <t>40031006</t>
  </si>
  <si>
    <t>Mass 3-24/100 400V 3 phase charger MB</t>
  </si>
  <si>
    <t>40040256</t>
  </si>
  <si>
    <t>Mass 48/25 230V/50-60Hz charger MB</t>
  </si>
  <si>
    <t>40040506</t>
  </si>
  <si>
    <t>Mass 48/50 230V/50-60Hz charger MB</t>
  </si>
  <si>
    <t>40120756</t>
  </si>
  <si>
    <t>Mass 24/75 (120V)</t>
  </si>
  <si>
    <t>40720266</t>
  </si>
  <si>
    <t>Mass 24/25-Enl. Cab. MB</t>
  </si>
  <si>
    <t>41500400</t>
  </si>
  <si>
    <t>ALTERNATOR TEMPERATURE SENSOR</t>
  </si>
  <si>
    <t>41500500</t>
  </si>
  <si>
    <t>Colorado temperature sensor (6m)</t>
  </si>
  <si>
    <t>41500700</t>
  </si>
  <si>
    <t>PowerCombi Battery Temperature Sensor</t>
  </si>
  <si>
    <t>41500800</t>
  </si>
  <si>
    <t>Colorado temperature sensor (15m)</t>
  </si>
  <si>
    <t>42020506</t>
  </si>
  <si>
    <t>Mass 24/50-2 230V</t>
  </si>
  <si>
    <t>42021006</t>
  </si>
  <si>
    <t>Mass 24/100 230V/50-60Hz charger</t>
  </si>
  <si>
    <t>42120756</t>
  </si>
  <si>
    <t>42720266</t>
  </si>
  <si>
    <t>Mass 24/25-2, 230V 50/60 Hz (Large Cabinet)</t>
  </si>
  <si>
    <t>43310600</t>
  </si>
  <si>
    <t>EASYCHARGE 6A 1 OUTPUT</t>
  </si>
  <si>
    <t>43310602</t>
  </si>
  <si>
    <t>EASYCHARGE 6A 1 OUTPUT UK PLUG</t>
  </si>
  <si>
    <t>43321000</t>
  </si>
  <si>
    <t>EASYCHARGE 10A 2 OUTPUTS</t>
  </si>
  <si>
    <t>43321002</t>
  </si>
  <si>
    <t>EASYCHARGE 10A 2 OUTPUT UK PLUG</t>
  </si>
  <si>
    <t>43510400</t>
  </si>
  <si>
    <t>EASYCHARGE PORTABLE 4.3A (MC10)</t>
  </si>
  <si>
    <t>43510402</t>
  </si>
  <si>
    <t>EASYCHARGE PORTABLE 4.3A UK PLUG</t>
  </si>
  <si>
    <t>44010250</t>
  </si>
  <si>
    <t>ChargeMaster 12/25-3</t>
  </si>
  <si>
    <t>44020120</t>
  </si>
  <si>
    <t>ChargeMaster 24/12-3</t>
  </si>
  <si>
    <t>44020200</t>
  </si>
  <si>
    <t>ChargeMaster 24/20-3</t>
  </si>
  <si>
    <t>44210200</t>
  </si>
  <si>
    <t>PowerCharger 12/20-3</t>
  </si>
  <si>
    <t>44310355</t>
  </si>
  <si>
    <t>ChargeMaster Plus 12/35-3</t>
  </si>
  <si>
    <t>44310505</t>
  </si>
  <si>
    <t>ChargeMaster Plus 12/50-3</t>
  </si>
  <si>
    <t>44310755</t>
  </si>
  <si>
    <t>ChargeMaster Plus 12/75-3</t>
  </si>
  <si>
    <t>44311005</t>
  </si>
  <si>
    <t>ChargeMaster Plus 12/100-3</t>
  </si>
  <si>
    <t>44320205</t>
  </si>
  <si>
    <t>ChargeMaster Plus 24/20-3</t>
  </si>
  <si>
    <t>44320305</t>
  </si>
  <si>
    <t>ChargeMaster Plus 24/30-3</t>
  </si>
  <si>
    <t>44320405</t>
  </si>
  <si>
    <t>ChargeMaster Plus 24/40-3</t>
  </si>
  <si>
    <t>44320605</t>
  </si>
  <si>
    <t>ChargeMaster Plus 24/60-3</t>
  </si>
  <si>
    <t>44320805</t>
  </si>
  <si>
    <t>ChargeMaster Plus 24/80-2</t>
  </si>
  <si>
    <t>44321105</t>
  </si>
  <si>
    <t>ChargeMaster Plus 24/110-2</t>
  </si>
  <si>
    <t>45510500</t>
  </si>
  <si>
    <t>Bosch adapter cable</t>
  </si>
  <si>
    <t>45513000</t>
  </si>
  <si>
    <t>Alpha Pro III</t>
  </si>
  <si>
    <t>45513040</t>
  </si>
  <si>
    <t>Alpha Pro III Regulator w XL cable 4m (13.2ft)</t>
  </si>
  <si>
    <t>46214120</t>
  </si>
  <si>
    <t>Alpha Compact 14/120 (no pulley)</t>
  </si>
  <si>
    <t>46214142</t>
  </si>
  <si>
    <t>Alpha Compact 14/140VP + Pulley 48420170</t>
  </si>
  <si>
    <t>46214200</t>
  </si>
  <si>
    <t>Alpha Compact 14/200 + Pulley 6R D=50mm</t>
  </si>
  <si>
    <t>46214203</t>
  </si>
  <si>
    <t>Alpha Compact 14/200MB N62 no pulley</t>
  </si>
  <si>
    <t>46228082</t>
  </si>
  <si>
    <t>Alpha Compact 28/80 VP+Pulley 8RD=48.1mm</t>
  </si>
  <si>
    <t>46228110</t>
  </si>
  <si>
    <t>Alpha Compact 28/110 (alternator only)</t>
  </si>
  <si>
    <t>46228112</t>
  </si>
  <si>
    <t>Alpha Compact 28/110 VP -Alternator Only</t>
  </si>
  <si>
    <t>46228150</t>
  </si>
  <si>
    <t>Alpha Compact 28/150 (no pulley)</t>
  </si>
  <si>
    <t>46228152</t>
  </si>
  <si>
    <t>Alpha Compact 28/150 VP Volvo + Pulley</t>
  </si>
  <si>
    <t>46228203</t>
  </si>
  <si>
    <t>Alpha Compact 28/200MB N62</t>
  </si>
  <si>
    <t>46614120</t>
  </si>
  <si>
    <t>Alpha Compact 14/120 +AlphaPro3 No Pully</t>
  </si>
  <si>
    <t>46614142</t>
  </si>
  <si>
    <t>Alpha Compact 14/140 VP + Alpha Pro 3</t>
  </si>
  <si>
    <t>46614200</t>
  </si>
  <si>
    <t>Alpha Compact 14/200+AlphaPro3+Pully50mm</t>
  </si>
  <si>
    <t>46628110</t>
  </si>
  <si>
    <t>Alpha Compact 28/110 - (Kit: Alt + Reg)</t>
  </si>
  <si>
    <t>46628150</t>
  </si>
  <si>
    <t>Alpha Compact 28/150+AlphaPro3 No Pully</t>
  </si>
  <si>
    <t>46628203</t>
  </si>
  <si>
    <t>Alpha Compact 28/200MB + Alpha Pro III</t>
  </si>
  <si>
    <t>48212130</t>
  </si>
  <si>
    <t>MV Alternator 12/130 excl regulator</t>
  </si>
  <si>
    <t>48224075</t>
  </si>
  <si>
    <t>MV Alternator 24/75 excl regulator</t>
  </si>
  <si>
    <t>48224152</t>
  </si>
  <si>
    <t>Mastervolt Alpha Alternator 24/150 IV</t>
  </si>
  <si>
    <t>48324075</t>
  </si>
  <si>
    <t>ALTERNATOR 24/75 MULTIGROOVE</t>
  </si>
  <si>
    <t>48400030</t>
  </si>
  <si>
    <t>PULLEY MULTI-GROOVE</t>
  </si>
  <si>
    <t>48400110</t>
  </si>
  <si>
    <t>Brush holder 24/75-110 &amp; 12/90-130</t>
  </si>
  <si>
    <t>48420100</t>
  </si>
  <si>
    <t>Multigroove Pulley 8R D=57.4mm, W=37.4mm</t>
  </si>
  <si>
    <t>48420110</t>
  </si>
  <si>
    <t>Multigroove Pulley 6R D=49.8mm, W=40.3mm</t>
  </si>
  <si>
    <t>48420120</t>
  </si>
  <si>
    <t>Pulley Multi 6Ribs D=56,2 W=42,8 mm</t>
  </si>
  <si>
    <t>48420130</t>
  </si>
  <si>
    <t>MASTERVOLT MULTI GROOVE PULLY 55mm</t>
  </si>
  <si>
    <t>48420140</t>
  </si>
  <si>
    <t>Multigroove Pulley 8R D=56.0mm, W=38.9mm</t>
  </si>
  <si>
    <t>48420150</t>
  </si>
  <si>
    <t>Multigroove Pulley 8R D=50.0mm, W=49.3mm</t>
  </si>
  <si>
    <t>48420160</t>
  </si>
  <si>
    <t>Multigroove Pulley 8R D=66.1mm, W=34.6mm</t>
  </si>
  <si>
    <t>48420170</t>
  </si>
  <si>
    <t>Multigroove Pulley 8R D=48.1mm, W=39.4mm</t>
  </si>
  <si>
    <t>48420180</t>
  </si>
  <si>
    <t>Multigroove Pulley 8R(x2) D66.1, W68.7mm</t>
  </si>
  <si>
    <t>48420200</t>
  </si>
  <si>
    <t>Oil Pressure Switch Isolated M10x1</t>
  </si>
  <si>
    <t>48420220</t>
  </si>
  <si>
    <t>B+ Adapter M10</t>
  </si>
  <si>
    <t>48420240</t>
  </si>
  <si>
    <t>Alpha 6pc Isolating kit - M8x2/M10x4</t>
  </si>
  <si>
    <t>48420241</t>
  </si>
  <si>
    <t>Alpha Compact MB Isolating Kit</t>
  </si>
  <si>
    <t>48420242</t>
  </si>
  <si>
    <t>Alpha Compact Standard Isolating Kit</t>
  </si>
  <si>
    <t>48612090</t>
  </si>
  <si>
    <t>12/90, incl Alpha Pro III Charg/Reg</t>
  </si>
  <si>
    <t>48612130</t>
  </si>
  <si>
    <t>12/130, incl Alpha Pro III Charg/Reg</t>
  </si>
  <si>
    <t>48612131</t>
  </si>
  <si>
    <t>12/130, Multigroove Incl Alpha Pro III</t>
  </si>
  <si>
    <t>48624075</t>
  </si>
  <si>
    <t>24/75, Incl Alpha Pro III Charg/Reg</t>
  </si>
  <si>
    <t>48624076</t>
  </si>
  <si>
    <t>24/75, Multigroove Incl Alpha Pro III</t>
  </si>
  <si>
    <t>48624110</t>
  </si>
  <si>
    <t>24/110, Incl Alpha Pro III Charg/Reg</t>
  </si>
  <si>
    <t>48624152</t>
  </si>
  <si>
    <t>Mastervolt Alpha Alternator 24/150 IV, incl. Alpha Pro III charge regulator</t>
  </si>
  <si>
    <t>55003300</t>
  </si>
  <si>
    <t>Soft Start, For Transformer 13 kW (230V)</t>
  </si>
  <si>
    <t>55003400</t>
  </si>
  <si>
    <t>Soft Start 13-22 kW</t>
  </si>
  <si>
    <t>55003500</t>
  </si>
  <si>
    <t>Masterswitch 0  25 kW-230V</t>
  </si>
  <si>
    <t>55006010</t>
  </si>
  <si>
    <t>Masterswitch 0-5kW  230V/20A</t>
  </si>
  <si>
    <t>55006015</t>
  </si>
  <si>
    <t>Masterswitch 0 -10kW 230V/40A</t>
  </si>
  <si>
    <t>55008205</t>
  </si>
  <si>
    <t>Mass Systemswitch 16 - MasterBus 230V</t>
  </si>
  <si>
    <t>55010600</t>
  </si>
  <si>
    <t>110/230-6kW Transfer system + Softstart</t>
  </si>
  <si>
    <t>55010900</t>
  </si>
  <si>
    <t>110/230-9kW Transfer system + Softstart</t>
  </si>
  <si>
    <t>55011300</t>
  </si>
  <si>
    <t>110/230-13kW Transfer system + Softstart</t>
  </si>
  <si>
    <t>55106000</t>
  </si>
  <si>
    <t>Masterswitch 0- 3,5kW 117V/32A</t>
  </si>
  <si>
    <t>55106100</t>
  </si>
  <si>
    <t>Masterswitch 0- 7kW 117V/60A</t>
  </si>
  <si>
    <t>61002600</t>
  </si>
  <si>
    <t>MV 6/260 Ah AGM Battery</t>
  </si>
  <si>
    <t>61004000</t>
  </si>
  <si>
    <t>MV 6/400 Ah AGM Battery</t>
  </si>
  <si>
    <t>62000550</t>
  </si>
  <si>
    <t>MV 12/55 Ah AGM Battery</t>
  </si>
  <si>
    <t>62000700</t>
  </si>
  <si>
    <t>MV 12/70 Ah AGM Battery</t>
  </si>
  <si>
    <t>62000900</t>
  </si>
  <si>
    <t>MV 12/90 Ah AGM Battery</t>
  </si>
  <si>
    <t>62001300</t>
  </si>
  <si>
    <t>MV 12/130 Ah AGM Battery</t>
  </si>
  <si>
    <t>62001600</t>
  </si>
  <si>
    <t>MV 12/160 Ah AGM Battery</t>
  </si>
  <si>
    <t>62002250</t>
  </si>
  <si>
    <t>MV 12/225 Ah AGM Battery</t>
  </si>
  <si>
    <t>62002700</t>
  </si>
  <si>
    <t>MV 12/270 Ah AGM Battery</t>
  </si>
  <si>
    <t>63001500</t>
  </si>
  <si>
    <t>MV SL12/150 Ah AGM Battery</t>
  </si>
  <si>
    <t>63001850</t>
  </si>
  <si>
    <t>MV SL12/185 Ah AGM Battery</t>
  </si>
  <si>
    <t>6369230015</t>
  </si>
  <si>
    <t>MLI Ultra Mounting Strap</t>
  </si>
  <si>
    <t>6369230060</t>
  </si>
  <si>
    <t>Li-Ion Waterproof Field Installable Plug</t>
  </si>
  <si>
    <t>6381001000</t>
  </si>
  <si>
    <t>Blade fuse holder DIN00 max.160A</t>
  </si>
  <si>
    <t>64000250</t>
  </si>
  <si>
    <t>MVG 12/25 Ah Gel Battery</t>
  </si>
  <si>
    <t>64000550</t>
  </si>
  <si>
    <t>MVG 12/55 Ah Gel Battery, HAZMAT</t>
  </si>
  <si>
    <t>64000850</t>
  </si>
  <si>
    <t>MVG 12/85 Ah Gel Battery, HAZMAT</t>
  </si>
  <si>
    <t>64001200</t>
  </si>
  <si>
    <t>MVG 12/120 Ah Gel Battery, HAZMAT</t>
  </si>
  <si>
    <t>64001400</t>
  </si>
  <si>
    <t>MVG 12/140 Ah Gel Battery, HAZMAT</t>
  </si>
  <si>
    <t>64002000</t>
  </si>
  <si>
    <t>MVG 12/200 Ah Gel Battery, HAZMAT</t>
  </si>
  <si>
    <t>6502000010</t>
  </si>
  <si>
    <t>MASS COMBI ULTRA SYNC CABLE 1M</t>
  </si>
  <si>
    <t>6502000030</t>
  </si>
  <si>
    <t>MASS COMBI ULTRA SYNC CABLE 3M</t>
  </si>
  <si>
    <t>6502001030</t>
  </si>
  <si>
    <t>6 mtr (19ft) tel.cable 6p+2 conn 6p RJ12</t>
  </si>
  <si>
    <t>6502100100</t>
  </si>
  <si>
    <t>10 mtr(33ft) tel.cable 6p+2 conn 6p RJ12</t>
  </si>
  <si>
    <t>6502100150</t>
  </si>
  <si>
    <t>15 mtr(49ft) tel.cable 6p+2 conn 6p RJ12</t>
  </si>
  <si>
    <t>6502200010</t>
  </si>
  <si>
    <t>CombiMaster Current Sharing cable 1 mtr</t>
  </si>
  <si>
    <t>6502200030</t>
  </si>
  <si>
    <t>CombiMaster Current Sharing cable 3 mtr</t>
  </si>
  <si>
    <t>6502200060</t>
  </si>
  <si>
    <t>CombiMaster Current Sharing cable 6 mtr</t>
  </si>
  <si>
    <t>6502200410</t>
  </si>
  <si>
    <t>CombiMaster Communication cable 1 mtr</t>
  </si>
  <si>
    <t>6502200430</t>
  </si>
  <si>
    <t>CombiMaster Communication cable 3 mtr</t>
  </si>
  <si>
    <t>6502200460</t>
  </si>
  <si>
    <t>CombiMaster Communication cable 6 mtr</t>
  </si>
  <si>
    <t>6502200500</t>
  </si>
  <si>
    <t>CombiMaster Cable Strain Relief Bracket</t>
  </si>
  <si>
    <t>6502200600</t>
  </si>
  <si>
    <t>Cable Kit 2 Combi's Parallel</t>
  </si>
  <si>
    <t>6502200700</t>
  </si>
  <si>
    <t>Cable Kit 3rd Combi parallel (add-on)</t>
  </si>
  <si>
    <t>6502200800</t>
  </si>
  <si>
    <t>Cable Kit 2 Combi's split-phase</t>
  </si>
  <si>
    <t>66011200</t>
  </si>
  <si>
    <t>MLI-E 12/1200</t>
  </si>
  <si>
    <t>66011250</t>
  </si>
  <si>
    <t>MLI Ultra 12/1250 - 1.25 kWh Battery</t>
  </si>
  <si>
    <t>66013000</t>
  </si>
  <si>
    <t>MLI Ultra 12/3000 Lithium Battery HAZMAT</t>
  </si>
  <si>
    <t>66016000</t>
  </si>
  <si>
    <t>MLI Ultra 12/6000 Lithium Battery HAZMAT</t>
  </si>
  <si>
    <t>66021250</t>
  </si>
  <si>
    <t>MLI Ultra 24/1250 – 1.25 kWh Battery</t>
  </si>
  <si>
    <t>66026000</t>
  </si>
  <si>
    <t>MLI Ultra 24/6000 Lithium Battery HAZMAT</t>
  </si>
  <si>
    <t>68000280</t>
  </si>
  <si>
    <t>MVSV 280 2-Volt Gel Battery</t>
  </si>
  <si>
    <t>68000420</t>
  </si>
  <si>
    <t>MVSV 420 2-Volt Gel Battery</t>
  </si>
  <si>
    <t>68000500</t>
  </si>
  <si>
    <t>MVSV 500 2-Volt Gel Battery</t>
  </si>
  <si>
    <t>68000580</t>
  </si>
  <si>
    <t>MVSV 580 2-Volt Gel Battery</t>
  </si>
  <si>
    <t>68000750</t>
  </si>
  <si>
    <t>MVSV 750 2-Volt Gel Battery</t>
  </si>
  <si>
    <t>68001000</t>
  </si>
  <si>
    <t>MVSV 1000 2-Volt Gel Battery</t>
  </si>
  <si>
    <t>68001250</t>
  </si>
  <si>
    <t>MVSV 1250 2-Volt Gel Battery</t>
  </si>
  <si>
    <t>68001500</t>
  </si>
  <si>
    <t>MVSV 1500 2-Volt Gel Battery</t>
  </si>
  <si>
    <t>68001651</t>
  </si>
  <si>
    <t>MVSV 1650 2-Volt Gel Battery Compact</t>
  </si>
  <si>
    <t>68002200</t>
  </si>
  <si>
    <t>MVSV 2200 2-Volt Gel Battery</t>
  </si>
  <si>
    <t>68002700</t>
  </si>
  <si>
    <t>MVSV 2700 2-Volt Gel Battery</t>
  </si>
  <si>
    <t>6801601100</t>
  </si>
  <si>
    <t>Cable 3x2x0,25 mm  twisted pair shielded</t>
  </si>
  <si>
    <t>68061100</t>
  </si>
  <si>
    <t>BATT TERM WITH M1O THREAD POS</t>
  </si>
  <si>
    <t>68061200</t>
  </si>
  <si>
    <t>BATT TERM WITH M10 THREAD NEG</t>
  </si>
  <si>
    <t>68061300</t>
  </si>
  <si>
    <t>BATT TERM  WITH M12 THREAD POS</t>
  </si>
  <si>
    <t>68061400</t>
  </si>
  <si>
    <t>BATT TERM WITH M12 THREAD NEG</t>
  </si>
  <si>
    <t>68457302</t>
  </si>
  <si>
    <t>TERMINAL COVER, RED 457N3V02</t>
  </si>
  <si>
    <t>68457314</t>
  </si>
  <si>
    <t>TERMINAL COVER, BLACK 457N3V14</t>
  </si>
  <si>
    <t>70400050</t>
  </si>
  <si>
    <t>MasterVision GMDSS Interface Mass 1,2,3</t>
  </si>
  <si>
    <t>70403040</t>
  </si>
  <si>
    <t>C3-RS (modular) remote control + options</t>
  </si>
  <si>
    <t>70403105</t>
  </si>
  <si>
    <t>Masterlink / MICC</t>
  </si>
  <si>
    <t>70403163</t>
  </si>
  <si>
    <t>Masterlink / BTM-III</t>
  </si>
  <si>
    <t>70404110</t>
  </si>
  <si>
    <t>C-4-RI Remote Inverter</t>
  </si>
  <si>
    <t>70405050</t>
  </si>
  <si>
    <t>Masterlink / APC-117V</t>
  </si>
  <si>
    <t>70405060</t>
  </si>
  <si>
    <t>Digital Meter, BattMan Lite</t>
  </si>
  <si>
    <t>70405070</t>
  </si>
  <si>
    <t>Digital Meter, BattMan Pro</t>
  </si>
  <si>
    <t>70405080</t>
  </si>
  <si>
    <t>Inverter Control Panel With 8m Cable</t>
  </si>
  <si>
    <t>70905001</t>
  </si>
  <si>
    <t>Carling rocker AD 1p red 1A</t>
  </si>
  <si>
    <t>70905002</t>
  </si>
  <si>
    <t>Carling rocker AD 1p red 2.5A</t>
  </si>
  <si>
    <t>70905007</t>
  </si>
  <si>
    <t>Carling rocker AD 1p red 7.5A</t>
  </si>
  <si>
    <t>70905010</t>
  </si>
  <si>
    <t>Carling rocker AD 1p red 10A</t>
  </si>
  <si>
    <t>70905015</t>
  </si>
  <si>
    <t>Carling rocker AD 1p red 15A</t>
  </si>
  <si>
    <t>70905020</t>
  </si>
  <si>
    <t>Carling rocker AD 1p red 20A</t>
  </si>
  <si>
    <t>70905030</t>
  </si>
  <si>
    <t>Carling rocker AD 1p red 30A</t>
  </si>
  <si>
    <t>70905035</t>
  </si>
  <si>
    <t>Carling rocker AD 1p red 35A</t>
  </si>
  <si>
    <t>70905040</t>
  </si>
  <si>
    <t>Carling rocker AD 1p red 40A</t>
  </si>
  <si>
    <t>70906301</t>
  </si>
  <si>
    <t>Mounting Panel VMS</t>
  </si>
  <si>
    <t>70906302</t>
  </si>
  <si>
    <t>Mounting Panel VME</t>
  </si>
  <si>
    <t>70906303</t>
  </si>
  <si>
    <t>Mounting Panel VMM</t>
  </si>
  <si>
    <t>70906305</t>
  </si>
  <si>
    <t>Mounting Panel VM6</t>
  </si>
  <si>
    <t>70906320</t>
  </si>
  <si>
    <t>Connector Housing VCH</t>
  </si>
  <si>
    <t>70906405</t>
  </si>
  <si>
    <t>Switch 1p no actuator on/off 1P no led</t>
  </si>
  <si>
    <t>70906415</t>
  </si>
  <si>
    <t>Switch 1p no actuator on-(off)</t>
  </si>
  <si>
    <t>70906420</t>
  </si>
  <si>
    <t>Switch 2p no actuator with LED on/off</t>
  </si>
  <si>
    <t>70906430</t>
  </si>
  <si>
    <t>Switch 1p no actuator with LED (on)/off</t>
  </si>
  <si>
    <t>70906450</t>
  </si>
  <si>
    <t>Switch 1p no actuator with LED on/on</t>
  </si>
  <si>
    <t>70906470</t>
  </si>
  <si>
    <t>Switch 1p no actuator with LED on-off-on</t>
  </si>
  <si>
    <t>70906485</t>
  </si>
  <si>
    <t>Switch 1p no actuator on-off-(on)</t>
  </si>
  <si>
    <t>70906600</t>
  </si>
  <si>
    <t>Actuator 00 blank legend</t>
  </si>
  <si>
    <t>70906601</t>
  </si>
  <si>
    <t>Actuator no legend</t>
  </si>
  <si>
    <t>70906602</t>
  </si>
  <si>
    <t>Actuator MD horn</t>
  </si>
  <si>
    <t>70906605</t>
  </si>
  <si>
    <t>Actuator MF Ventilation Fan</t>
  </si>
  <si>
    <t>70906606</t>
  </si>
  <si>
    <t>Actuator MH windshield wiper</t>
  </si>
  <si>
    <t>70906608</t>
  </si>
  <si>
    <t>Actuator 38 Anchor light</t>
  </si>
  <si>
    <t>70906610</t>
  </si>
  <si>
    <t>Actuator D2 running / anchor lights</t>
  </si>
  <si>
    <t>70906621</t>
  </si>
  <si>
    <t>Actuator MG windshield washer</t>
  </si>
  <si>
    <t>70906626</t>
  </si>
  <si>
    <t>Actuator 7A bilge pump 1</t>
  </si>
  <si>
    <t>70906627</t>
  </si>
  <si>
    <t>Actuator 7C bilge pump 2</t>
  </si>
  <si>
    <t>70906633</t>
  </si>
  <si>
    <t>Actuator Y9 arrow (up)</t>
  </si>
  <si>
    <t>70906634</t>
  </si>
  <si>
    <t>Actuator Z2 arrow (down)</t>
  </si>
  <si>
    <t>70906635</t>
  </si>
  <si>
    <t>Actuator BL work lights</t>
  </si>
  <si>
    <t>70906645</t>
  </si>
  <si>
    <t>Actuator 45 high beam</t>
  </si>
  <si>
    <t>70906689</t>
  </si>
  <si>
    <t>Actuator 1J waterpump</t>
  </si>
  <si>
    <t>70906707</t>
  </si>
  <si>
    <t>Actuator 2C WNDLS on/off</t>
  </si>
  <si>
    <t>77010050</t>
  </si>
  <si>
    <t>MasterView Read-out</t>
  </si>
  <si>
    <t>77010310</t>
  </si>
  <si>
    <t>EasyView 5</t>
  </si>
  <si>
    <t>77010500</t>
  </si>
  <si>
    <t>SmartRemote</t>
  </si>
  <si>
    <t>77010600</t>
  </si>
  <si>
    <t>SmartRemote (Retail)</t>
  </si>
  <si>
    <t>77010700</t>
  </si>
  <si>
    <t>PowerCombi Remote Control Panel</t>
  </si>
  <si>
    <t>77020115</t>
  </si>
  <si>
    <t>MasterShunt 500 - CZone</t>
  </si>
  <si>
    <t>77020200</t>
  </si>
  <si>
    <t>DC-Distribution 500</t>
  </si>
  <si>
    <t>77030100</t>
  </si>
  <si>
    <t>MasterBus USB Interface</t>
  </si>
  <si>
    <t>77030300</t>
  </si>
  <si>
    <t>MasterBus Tanklevel Interface</t>
  </si>
  <si>
    <t>77030450</t>
  </si>
  <si>
    <t>MasterBus Serial Interface-MK-II</t>
  </si>
  <si>
    <t>77030500</t>
  </si>
  <si>
    <t>Multipurpose contact output</t>
  </si>
  <si>
    <t>77030700</t>
  </si>
  <si>
    <t>MasterBus Inverter Interface</t>
  </si>
  <si>
    <t>77030800</t>
  </si>
  <si>
    <t>MasterBus Modbus Interface</t>
  </si>
  <si>
    <t>77030900</t>
  </si>
  <si>
    <t>MasterBus Digital input</t>
  </si>
  <si>
    <t>77031100</t>
  </si>
  <si>
    <t>MasterBus Repeater</t>
  </si>
  <si>
    <t>77031200</t>
  </si>
  <si>
    <t>MasterBus AC power analyser</t>
  </si>
  <si>
    <t>77031300</t>
  </si>
  <si>
    <t>MasterBus Switch input 3</t>
  </si>
  <si>
    <t>77031400</t>
  </si>
  <si>
    <t>MasterBus Switch input 4</t>
  </si>
  <si>
    <t>77031500</t>
  </si>
  <si>
    <t>Digital AC 1x6A</t>
  </si>
  <si>
    <t>77031550</t>
  </si>
  <si>
    <t>MasterBus Power Interrupter</t>
  </si>
  <si>
    <t>77031800</t>
  </si>
  <si>
    <t>MasterBus NMEA-2000 interface</t>
  </si>
  <si>
    <t>77031850</t>
  </si>
  <si>
    <t>MasterBus Philippi Interface</t>
  </si>
  <si>
    <t>77032100</t>
  </si>
  <si>
    <t>EFOY Mastervolt Cable</t>
  </si>
  <si>
    <t>77032400</t>
  </si>
  <si>
    <t>MasterBus FireCAN Interface</t>
  </si>
  <si>
    <t>77032600</t>
  </si>
  <si>
    <t>MasterBus CANopen Interface</t>
  </si>
  <si>
    <t>77032700</t>
  </si>
  <si>
    <t>MasterBUs AC Master Interface</t>
  </si>
  <si>
    <t>77032800</t>
  </si>
  <si>
    <t>MasterBus LIN Bus Interface</t>
  </si>
  <si>
    <t>77032900</t>
  </si>
  <si>
    <t>PowerCombi CZONE Interface</t>
  </si>
  <si>
    <t>77040000</t>
  </si>
  <si>
    <t>MasterBus Terminator</t>
  </si>
  <si>
    <t>77040010</t>
  </si>
  <si>
    <t>MasterBus RJ45 conn 8-pole 25 pcs</t>
  </si>
  <si>
    <t>77040015</t>
  </si>
  <si>
    <t>Cover for RJ45 conn. -set a 25 st</t>
  </si>
  <si>
    <t>77040020</t>
  </si>
  <si>
    <t>MasterBus cable 0,2 mtr</t>
  </si>
  <si>
    <t>77040050</t>
  </si>
  <si>
    <t>MasterBus cable 0,5 mtr</t>
  </si>
  <si>
    <t>77040100</t>
  </si>
  <si>
    <t>MasterBus cable 1 mtr</t>
  </si>
  <si>
    <t>77040300</t>
  </si>
  <si>
    <t>MasterBus cable 3 mtr</t>
  </si>
  <si>
    <t>77040600</t>
  </si>
  <si>
    <t>MasterBus cable 6 mtr</t>
  </si>
  <si>
    <t>77041000</t>
  </si>
  <si>
    <t>MasterBus cable 10 mtr</t>
  </si>
  <si>
    <t>77041500</t>
  </si>
  <si>
    <t>MasterBus cable 15 mtr</t>
  </si>
  <si>
    <t>77042500</t>
  </si>
  <si>
    <t>MasterBus cable 25 mtr</t>
  </si>
  <si>
    <t>77045000</t>
  </si>
  <si>
    <t>MasterBus cable 100 mtr</t>
  </si>
  <si>
    <t>77049020</t>
  </si>
  <si>
    <t>20 A ANL fuse for DC Distribution</t>
  </si>
  <si>
    <t>77049050</t>
  </si>
  <si>
    <t>Fuse ANL 50A for DC Distribution box</t>
  </si>
  <si>
    <t>77049063</t>
  </si>
  <si>
    <t>63 A ANL fuse for DC Distribution</t>
  </si>
  <si>
    <t>77049080</t>
  </si>
  <si>
    <t>Fuse ANL 80A for DC Distribution box</t>
  </si>
  <si>
    <t>77049100</t>
  </si>
  <si>
    <t>Fuse ANL 100A for DC Distribution box</t>
  </si>
  <si>
    <t>77049125</t>
  </si>
  <si>
    <t>Fuse ANL 125A for DC Distribution box</t>
  </si>
  <si>
    <t>77049160</t>
  </si>
  <si>
    <t>Fuse ANL 160A for DC Distribution box</t>
  </si>
  <si>
    <t>77049200</t>
  </si>
  <si>
    <t>Fuse ANL 200A for DC Distribution box</t>
  </si>
  <si>
    <t>77049300</t>
  </si>
  <si>
    <t>Fuse ANL 300A for DC Distribution box</t>
  </si>
  <si>
    <t>77049355</t>
  </si>
  <si>
    <t>355 A ANL fuse for DC Distribution</t>
  </si>
  <si>
    <t>77049400</t>
  </si>
  <si>
    <t>Fuse ANL 400A for DC Distribution box</t>
  </si>
  <si>
    <t>77050000</t>
  </si>
  <si>
    <t>MasterBus Do It Yourself Kit</t>
  </si>
  <si>
    <t>77060050</t>
  </si>
  <si>
    <t>Mastervolt-CZone Drop Cable - 0.5m</t>
  </si>
  <si>
    <t>77060100</t>
  </si>
  <si>
    <t>Mastervolt-CZone Drop Cable - 1m</t>
  </si>
  <si>
    <t>77060200</t>
  </si>
  <si>
    <t>Mastervolt-CZone Drop Cable - 2m</t>
  </si>
  <si>
    <t>77060500</t>
  </si>
  <si>
    <t>Mastervolt-CZone Drop Cable - 5m</t>
  </si>
  <si>
    <t>77061050</t>
  </si>
  <si>
    <t>Mastervolt- Czone Waterproof Drop Cables (.5m)</t>
  </si>
  <si>
    <t>77061100</t>
  </si>
  <si>
    <t>Mastervolt- Czone Waterproof Drop Cables (1.0m)</t>
  </si>
  <si>
    <t>77061200</t>
  </si>
  <si>
    <t>Mastervolt- Czone Waterproof Drop Cables (.2m)</t>
  </si>
  <si>
    <t>77061500</t>
  </si>
  <si>
    <t>Mastervolt- Czone Waterproof Drop Cables (5m)</t>
  </si>
  <si>
    <t>79007712</t>
  </si>
  <si>
    <t>MLI Relay Bracket 12V</t>
  </si>
  <si>
    <t>79007724</t>
  </si>
  <si>
    <t>MLI Relay Bracket 24V</t>
  </si>
  <si>
    <t>81203105</t>
  </si>
  <si>
    <t>MAC PLUS 48/12-50 IP23</t>
  </si>
  <si>
    <t>81203205</t>
  </si>
  <si>
    <t>MAC PLUS 12/48-15 IP23</t>
  </si>
  <si>
    <t>81203305</t>
  </si>
  <si>
    <t>MAC PLUS 48/24-30 IP23</t>
  </si>
  <si>
    <t>81203405</t>
  </si>
  <si>
    <t>MAC PLUS 24/48-15 IP23</t>
  </si>
  <si>
    <t>81205105</t>
  </si>
  <si>
    <t>Mac Plus 12/12-50 CZone</t>
  </si>
  <si>
    <t>81205205</t>
  </si>
  <si>
    <t>Mac Plus 24/12-50 CZone</t>
  </si>
  <si>
    <t>81205300</t>
  </si>
  <si>
    <t>Mac Plus 12/24-30</t>
  </si>
  <si>
    <t>81205305</t>
  </si>
  <si>
    <t>Mac Plus 12/24-30 CZone</t>
  </si>
  <si>
    <t>81205400</t>
  </si>
  <si>
    <t>Mac Plus 24/24-30</t>
  </si>
  <si>
    <t>81205405</t>
  </si>
  <si>
    <t>Mac Plus 24/24-30 CZone</t>
  </si>
  <si>
    <t>81205505</t>
  </si>
  <si>
    <t>Mac Plus 24/24-50 CZone</t>
  </si>
  <si>
    <t>81300100</t>
  </si>
  <si>
    <t>MAGIC 24/12-20A</t>
  </si>
  <si>
    <t>81300200</t>
  </si>
  <si>
    <t>MAGIC 24/24-20A</t>
  </si>
  <si>
    <t>81300300</t>
  </si>
  <si>
    <t>MAGIC 12/24-10A</t>
  </si>
  <si>
    <t>81300400</t>
  </si>
  <si>
    <t>MAGIC 12/12-20A</t>
  </si>
  <si>
    <t>81400100</t>
  </si>
  <si>
    <t>DC Master 24/12 3-6A Non-isolated</t>
  </si>
  <si>
    <t>81400200</t>
  </si>
  <si>
    <t>DC Master 24/12 6-10A Non-isolated</t>
  </si>
  <si>
    <t>81400300</t>
  </si>
  <si>
    <t>DC Master 24/12 12-18A Non-isolated</t>
  </si>
  <si>
    <t>81400330</t>
  </si>
  <si>
    <t>DC Master 24/12 24A Non-isolated</t>
  </si>
  <si>
    <t>81400352</t>
  </si>
  <si>
    <t>DC Master 24/12 50A Non-isolated</t>
  </si>
  <si>
    <t>81400400</t>
  </si>
  <si>
    <t>DC Master 12/24 3-4A Non-isolated</t>
  </si>
  <si>
    <t>81400500</t>
  </si>
  <si>
    <t>DC Master 12/24 7-9A Non-isolated</t>
  </si>
  <si>
    <t>81400600</t>
  </si>
  <si>
    <t>DC Master 48/12 6-8A Non-isolated</t>
  </si>
  <si>
    <t>81400700</t>
  </si>
  <si>
    <t>DC Master 48/12 9-11A Non-isolated</t>
  </si>
  <si>
    <t>81400800</t>
  </si>
  <si>
    <t>DC Master 48/12 20A Non-isolated</t>
  </si>
  <si>
    <t>81500100</t>
  </si>
  <si>
    <t>DC Master 24/12 3-6A Isolated</t>
  </si>
  <si>
    <t>81500200</t>
  </si>
  <si>
    <t>DC Master 24/12 6-10A Isolated</t>
  </si>
  <si>
    <t>81500300</t>
  </si>
  <si>
    <t>DC Master 24/12 12-18A Isolated</t>
  </si>
  <si>
    <t>81500350</t>
  </si>
  <si>
    <t>DC Master 24/12 24A Isolated</t>
  </si>
  <si>
    <t>81500400</t>
  </si>
  <si>
    <t>DC Master 24/24 3-4A Isolated</t>
  </si>
  <si>
    <t>81500500</t>
  </si>
  <si>
    <t>DC Master 24/24 7-9A Isolated</t>
  </si>
  <si>
    <t>81500600</t>
  </si>
  <si>
    <t>DC Master 12/12 3A Isolated</t>
  </si>
  <si>
    <t>81500700</t>
  </si>
  <si>
    <t>DC Master 12/12 6A Isolated</t>
  </si>
  <si>
    <t>83007021</t>
  </si>
  <si>
    <t>Battery isolator BI 702-S</t>
  </si>
  <si>
    <t>83007030</t>
  </si>
  <si>
    <t>Battery isolator BI 703</t>
  </si>
  <si>
    <t>83012021</t>
  </si>
  <si>
    <t>Battery isolator BI 1202-S</t>
  </si>
  <si>
    <t>83012031</t>
  </si>
  <si>
    <t>Battery isolator BI 1203-S</t>
  </si>
  <si>
    <t>83116025</t>
  </si>
  <si>
    <t>Battery Mate 1602 IG</t>
  </si>
  <si>
    <t>83116035</t>
  </si>
  <si>
    <t>Battery Mate 1603 IG</t>
  </si>
  <si>
    <t>83125035</t>
  </si>
  <si>
    <t>Battery Mate 2503 IG</t>
  </si>
  <si>
    <t>83301202</t>
  </si>
  <si>
    <t>Charge Mate 1202</t>
  </si>
  <si>
    <t>83302502</t>
  </si>
  <si>
    <t>Charge Mate 2502</t>
  </si>
  <si>
    <t>83304002</t>
  </si>
  <si>
    <t>Charge Mate Pro 40</t>
  </si>
  <si>
    <t>83304004</t>
  </si>
  <si>
    <t>Mastervolt 83304004, Charge Mate Pro Lithium 40, 40 Amp (1 MIN)</t>
  </si>
  <si>
    <t>83309002</t>
  </si>
  <si>
    <t>Charge Mate Pro 90</t>
  </si>
  <si>
    <t>83309004</t>
  </si>
  <si>
    <t>Mastervolt 83309004, Charge Mate Pro Lithium 90, 90 Amp (1 MIN)</t>
  </si>
  <si>
    <t>85000350</t>
  </si>
  <si>
    <t>IVET 3.5</t>
  </si>
  <si>
    <t>85000600</t>
  </si>
  <si>
    <t>TRANSFORMER, ISOLATION, IVET 6</t>
  </si>
  <si>
    <t>85000800</t>
  </si>
  <si>
    <t>TRANSFORMER, ISOLATION, IVET 8</t>
  </si>
  <si>
    <t>85001000</t>
  </si>
  <si>
    <t>TRANSFORMER, ISOLATION, IVET 10</t>
  </si>
  <si>
    <t>85001300</t>
  </si>
  <si>
    <t>IVET (without cabinet)</t>
  </si>
  <si>
    <t>85001800</t>
  </si>
  <si>
    <t>IVET Isolation Transformer 18kW</t>
  </si>
  <si>
    <t>85002200</t>
  </si>
  <si>
    <t>IVET Isolation transformer 22kW</t>
  </si>
  <si>
    <t>88000355</t>
  </si>
  <si>
    <t>Mass GI 3,5kW MasterBus</t>
  </si>
  <si>
    <t>88000705</t>
  </si>
  <si>
    <t>Mass GI 7,0kW MasterBus</t>
  </si>
  <si>
    <t>EXW, Auckland, NZ</t>
  </si>
  <si>
    <t>MASTERVOLT USD Ver 5.5 - March 2025</t>
  </si>
  <si>
    <t>Item</t>
  </si>
  <si>
    <t>Item Description</t>
  </si>
  <si>
    <t>Price</t>
  </si>
  <si>
    <t>UOM</t>
  </si>
  <si>
    <t>Currency Code</t>
  </si>
  <si>
    <t>Standard Pack Qty</t>
  </si>
  <si>
    <t>MOQ From</t>
  </si>
  <si>
    <t>MOQ To</t>
  </si>
  <si>
    <t>Mastervolt</t>
  </si>
  <si>
    <t>EA</t>
  </si>
  <si>
    <t>USD</t>
  </si>
  <si>
    <t>PC</t>
  </si>
  <si>
    <t>N/A</t>
  </si>
  <si>
    <t>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</si>
</sst>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0"/>
      <color theme="2" tint="-0.249977111117893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0"/>
      <name val="Arial"/>
      <charset val="0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49" applyFont="1"/>
    <xf numFmtId="3" fontId="1" fillId="0" borderId="1" xfId="0" applyNumberFormat="1" applyFont="1" applyBorder="1"/>
    <xf numFmtId="49" fontId="1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/>
    </xf>
    <xf numFmtId="0" fontId="1" fillId="0" borderId="0" xfId="0" applyFont="1" applyAlignment="1">
      <alignment horizontal="left" vertical="top" wrapText="1"/>
    </xf>
    <xf numFmtId="49" fontId="0" fillId="0" borderId="0" xfId="0" applyNumberFormat="1"/>
    <xf numFmtId="0" fontId="1" fillId="5" borderId="0" xfId="0" applyFont="1" applyFill="1" applyAlignment="1">
      <alignment vertical="top" wrapText="1"/>
    </xf>
    <xf numFmtId="0" fontId="0" fillId="5" borderId="0" xfId="0" applyFill="1"/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2" fontId="6" fillId="0" borderId="0" xfId="0" applyNumberFormat="1" applyFont="1" applyFill="1" applyAlignment="1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5"/>
  <sheetViews>
    <sheetView tabSelected="1" zoomScale="85" zoomScaleNormal="85" workbookViewId="0">
      <selection activeCell="G16" sqref="G16"/>
    </sheetView>
  </sheetViews>
  <sheetFormatPr defaultColWidth="9" defaultRowHeight="14.25"/>
  <cols>
    <col min="2" max="2" width="36.375" customWidth="1"/>
    <col min="3" max="6" width="40.1833333333333" style="16" customWidth="1"/>
    <col min="8" max="8" width="9.18333333333333" style="17"/>
    <col min="9" max="9" width="10.375" style="16"/>
    <col min="10" max="12" width="9.375" style="16"/>
  </cols>
  <sheetData>
    <row r="1" s="15" customFormat="1" ht="33" customHeight="1" spans="1:13">
      <c r="A1" s="18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9" t="s">
        <v>7</v>
      </c>
      <c r="I1" s="15" t="s">
        <v>8</v>
      </c>
      <c r="J1" s="15" t="s">
        <v>9</v>
      </c>
      <c r="K1" s="15" t="s">
        <v>10</v>
      </c>
      <c r="L1" s="20" t="s">
        <v>11</v>
      </c>
      <c r="M1" s="15" t="s">
        <v>12</v>
      </c>
    </row>
    <row r="2" spans="2:12">
      <c r="B2" s="12" t="s">
        <v>13</v>
      </c>
      <c r="C2" s="16" t="s">
        <v>14</v>
      </c>
      <c r="D2" s="16" t="s">
        <v>14</v>
      </c>
      <c r="E2" s="16" t="s">
        <v>14</v>
      </c>
      <c r="F2" s="16" t="s">
        <v>14</v>
      </c>
      <c r="G2">
        <v>258.01</v>
      </c>
      <c r="H2" s="17">
        <f>G2/0.57</f>
        <v>452.649122807018</v>
      </c>
      <c r="I2" s="16">
        <f t="shared" ref="I2:I65" si="0">G2*1.15</f>
        <v>296.7115</v>
      </c>
      <c r="J2" s="16">
        <f t="shared" ref="J2:J65" si="1">G2*1.2</f>
        <v>309.612</v>
      </c>
      <c r="K2" s="16">
        <f t="shared" ref="K2:K65" si="2">G2*1.3</f>
        <v>335.413</v>
      </c>
      <c r="L2" s="16">
        <f t="shared" ref="L2:L65" si="3">G2*1.4</f>
        <v>361.214</v>
      </c>
    </row>
    <row r="3" spans="2:12">
      <c r="B3" s="12" t="s">
        <v>15</v>
      </c>
      <c r="C3" s="16" t="s">
        <v>16</v>
      </c>
      <c r="D3" s="16" t="s">
        <v>16</v>
      </c>
      <c r="E3" s="16" t="s">
        <v>16</v>
      </c>
      <c r="F3" s="16" t="s">
        <v>16</v>
      </c>
      <c r="G3">
        <v>95.81</v>
      </c>
      <c r="H3" s="17">
        <v>153.28</v>
      </c>
      <c r="I3" s="16">
        <f t="shared" si="0"/>
        <v>110.1815</v>
      </c>
      <c r="J3" s="16">
        <f t="shared" si="1"/>
        <v>114.972</v>
      </c>
      <c r="K3" s="16">
        <f t="shared" si="2"/>
        <v>124.553</v>
      </c>
      <c r="L3" s="16">
        <f t="shared" si="3"/>
        <v>134.134</v>
      </c>
    </row>
    <row r="4" spans="2:12">
      <c r="B4" s="12" t="s">
        <v>17</v>
      </c>
      <c r="C4" s="16" t="s">
        <v>18</v>
      </c>
      <c r="D4" s="16" t="s">
        <v>18</v>
      </c>
      <c r="E4" s="16" t="s">
        <v>18</v>
      </c>
      <c r="F4" s="16" t="s">
        <v>18</v>
      </c>
      <c r="G4">
        <v>140.96</v>
      </c>
      <c r="H4" s="17">
        <v>225.53</v>
      </c>
      <c r="I4" s="16">
        <f t="shared" si="0"/>
        <v>162.104</v>
      </c>
      <c r="J4" s="16">
        <f t="shared" si="1"/>
        <v>169.152</v>
      </c>
      <c r="K4" s="16">
        <f t="shared" si="2"/>
        <v>183.248</v>
      </c>
      <c r="L4" s="16">
        <f t="shared" si="3"/>
        <v>197.344</v>
      </c>
    </row>
    <row r="5" spans="2:12">
      <c r="B5" s="12" t="s">
        <v>19</v>
      </c>
      <c r="C5" s="16" t="s">
        <v>20</v>
      </c>
      <c r="D5" s="16" t="s">
        <v>20</v>
      </c>
      <c r="E5" s="16" t="s">
        <v>20</v>
      </c>
      <c r="F5" s="16" t="s">
        <v>20</v>
      </c>
      <c r="G5">
        <v>199.88</v>
      </c>
      <c r="H5" s="17">
        <v>319.8</v>
      </c>
      <c r="I5" s="16">
        <f t="shared" si="0"/>
        <v>229.862</v>
      </c>
      <c r="J5" s="16">
        <f t="shared" si="1"/>
        <v>239.856</v>
      </c>
      <c r="K5" s="16">
        <f t="shared" si="2"/>
        <v>259.844</v>
      </c>
      <c r="L5" s="16">
        <f t="shared" si="3"/>
        <v>279.832</v>
      </c>
    </row>
    <row r="6" spans="2:12">
      <c r="B6" s="12" t="s">
        <v>21</v>
      </c>
      <c r="C6" s="16" t="s">
        <v>22</v>
      </c>
      <c r="D6" s="16" t="s">
        <v>22</v>
      </c>
      <c r="E6" s="16" t="s">
        <v>22</v>
      </c>
      <c r="F6" s="16" t="s">
        <v>22</v>
      </c>
      <c r="G6">
        <v>125.35</v>
      </c>
      <c r="H6" s="17">
        <v>200.56</v>
      </c>
      <c r="I6" s="16">
        <f t="shared" si="0"/>
        <v>144.1525</v>
      </c>
      <c r="J6" s="16">
        <f t="shared" si="1"/>
        <v>150.42</v>
      </c>
      <c r="K6" s="16">
        <f t="shared" si="2"/>
        <v>162.955</v>
      </c>
      <c r="L6" s="16">
        <f t="shared" si="3"/>
        <v>175.49</v>
      </c>
    </row>
    <row r="7" spans="2:12">
      <c r="B7" s="12" t="s">
        <v>23</v>
      </c>
      <c r="C7" s="16" t="s">
        <v>24</v>
      </c>
      <c r="D7" s="16" t="s">
        <v>24</v>
      </c>
      <c r="E7" s="16" t="s">
        <v>24</v>
      </c>
      <c r="F7" s="16" t="s">
        <v>24</v>
      </c>
      <c r="G7">
        <v>240.31</v>
      </c>
      <c r="H7" s="17">
        <v>384.49</v>
      </c>
      <c r="I7" s="16">
        <f t="shared" si="0"/>
        <v>276.3565</v>
      </c>
      <c r="J7" s="16">
        <f t="shared" si="1"/>
        <v>288.372</v>
      </c>
      <c r="K7" s="16">
        <f t="shared" si="2"/>
        <v>312.403</v>
      </c>
      <c r="L7" s="16">
        <f t="shared" si="3"/>
        <v>336.434</v>
      </c>
    </row>
    <row r="8" spans="2:12">
      <c r="B8" s="12" t="s">
        <v>25</v>
      </c>
      <c r="C8" s="16" t="s">
        <v>26</v>
      </c>
      <c r="D8" s="16" t="s">
        <v>26</v>
      </c>
      <c r="E8" s="16" t="s">
        <v>26</v>
      </c>
      <c r="F8" s="16" t="s">
        <v>26</v>
      </c>
      <c r="G8">
        <v>206.57</v>
      </c>
      <c r="H8" s="17">
        <v>330.51</v>
      </c>
      <c r="I8" s="16">
        <f t="shared" si="0"/>
        <v>237.5555</v>
      </c>
      <c r="J8" s="16">
        <f t="shared" si="1"/>
        <v>247.884</v>
      </c>
      <c r="K8" s="16">
        <f t="shared" si="2"/>
        <v>268.541</v>
      </c>
      <c r="L8" s="16">
        <f t="shared" si="3"/>
        <v>289.198</v>
      </c>
    </row>
    <row r="9" spans="2:12">
      <c r="B9" s="12" t="s">
        <v>27</v>
      </c>
      <c r="C9" s="16" t="s">
        <v>28</v>
      </c>
      <c r="D9" s="16" t="s">
        <v>28</v>
      </c>
      <c r="E9" s="16" t="s">
        <v>28</v>
      </c>
      <c r="F9" s="16" t="s">
        <v>28</v>
      </c>
      <c r="G9">
        <v>54.4</v>
      </c>
      <c r="H9" s="17">
        <v>94.6</v>
      </c>
      <c r="I9" s="16">
        <f t="shared" si="0"/>
        <v>62.56</v>
      </c>
      <c r="J9" s="16">
        <f t="shared" si="1"/>
        <v>65.28</v>
      </c>
      <c r="K9" s="16">
        <f t="shared" si="2"/>
        <v>70.72</v>
      </c>
      <c r="L9" s="16">
        <f t="shared" si="3"/>
        <v>76.16</v>
      </c>
    </row>
    <row r="10" spans="2:12">
      <c r="B10" s="12" t="s">
        <v>29</v>
      </c>
      <c r="C10" s="16" t="s">
        <v>30</v>
      </c>
      <c r="D10" s="16" t="s">
        <v>30</v>
      </c>
      <c r="E10" s="16" t="s">
        <v>30</v>
      </c>
      <c r="F10" s="16" t="s">
        <v>30</v>
      </c>
      <c r="G10">
        <v>78.04</v>
      </c>
      <c r="H10" s="17">
        <v>135.73</v>
      </c>
      <c r="I10" s="16">
        <f t="shared" si="0"/>
        <v>89.746</v>
      </c>
      <c r="J10" s="16">
        <f t="shared" si="1"/>
        <v>93.648</v>
      </c>
      <c r="K10" s="16">
        <f t="shared" si="2"/>
        <v>101.452</v>
      </c>
      <c r="L10" s="16">
        <f t="shared" si="3"/>
        <v>109.256</v>
      </c>
    </row>
    <row r="11" spans="2:12">
      <c r="B11" s="12" t="s">
        <v>31</v>
      </c>
      <c r="C11" s="16" t="s">
        <v>32</v>
      </c>
      <c r="D11" s="16" t="s">
        <v>32</v>
      </c>
      <c r="E11" s="16" t="s">
        <v>32</v>
      </c>
      <c r="F11" s="16" t="s">
        <v>32</v>
      </c>
      <c r="G11">
        <v>158.43</v>
      </c>
      <c r="H11" s="17">
        <v>275.51</v>
      </c>
      <c r="I11" s="16">
        <f t="shared" si="0"/>
        <v>182.1945</v>
      </c>
      <c r="J11" s="16">
        <f t="shared" si="1"/>
        <v>190.116</v>
      </c>
      <c r="K11" s="16">
        <f t="shared" si="2"/>
        <v>205.959</v>
      </c>
      <c r="L11" s="16">
        <f t="shared" si="3"/>
        <v>221.802</v>
      </c>
    </row>
    <row r="12" spans="2:12">
      <c r="B12" s="12" t="s">
        <v>33</v>
      </c>
      <c r="C12" s="16" t="s">
        <v>34</v>
      </c>
      <c r="D12" s="16" t="s">
        <v>34</v>
      </c>
      <c r="E12" s="16" t="s">
        <v>34</v>
      </c>
      <c r="F12" s="16" t="s">
        <v>34</v>
      </c>
      <c r="G12">
        <v>437.2</v>
      </c>
      <c r="H12" s="17">
        <v>760.35</v>
      </c>
      <c r="I12" s="16">
        <f t="shared" si="0"/>
        <v>502.78</v>
      </c>
      <c r="J12" s="16">
        <f t="shared" si="1"/>
        <v>524.64</v>
      </c>
      <c r="K12" s="16">
        <f t="shared" si="2"/>
        <v>568.36</v>
      </c>
      <c r="L12" s="16">
        <f t="shared" si="3"/>
        <v>612.08</v>
      </c>
    </row>
    <row r="13" spans="2:12">
      <c r="B13" s="12" t="s">
        <v>35</v>
      </c>
      <c r="C13" s="16" t="s">
        <v>36</v>
      </c>
      <c r="D13" s="16" t="s">
        <v>36</v>
      </c>
      <c r="E13" s="16" t="s">
        <v>36</v>
      </c>
      <c r="F13" s="16" t="s">
        <v>36</v>
      </c>
      <c r="G13">
        <v>316.58</v>
      </c>
      <c r="H13" s="17">
        <v>506.52</v>
      </c>
      <c r="I13" s="16">
        <f t="shared" si="0"/>
        <v>364.067</v>
      </c>
      <c r="J13" s="16">
        <f t="shared" si="1"/>
        <v>379.896</v>
      </c>
      <c r="K13" s="16">
        <f t="shared" si="2"/>
        <v>411.554</v>
      </c>
      <c r="L13" s="16">
        <f t="shared" si="3"/>
        <v>443.212</v>
      </c>
    </row>
    <row r="14" spans="2:12">
      <c r="B14" s="12" t="s">
        <v>37</v>
      </c>
      <c r="C14" s="16" t="s">
        <v>38</v>
      </c>
      <c r="D14" s="16" t="s">
        <v>38</v>
      </c>
      <c r="E14" s="16" t="s">
        <v>38</v>
      </c>
      <c r="F14" s="16" t="s">
        <v>38</v>
      </c>
      <c r="G14">
        <v>316.58</v>
      </c>
      <c r="H14" s="17">
        <v>506.52</v>
      </c>
      <c r="I14" s="16">
        <f t="shared" si="0"/>
        <v>364.067</v>
      </c>
      <c r="J14" s="16">
        <f t="shared" si="1"/>
        <v>379.896</v>
      </c>
      <c r="K14" s="16">
        <f t="shared" si="2"/>
        <v>411.554</v>
      </c>
      <c r="L14" s="16">
        <f t="shared" si="3"/>
        <v>443.212</v>
      </c>
    </row>
    <row r="15" spans="2:12">
      <c r="B15" s="12" t="s">
        <v>39</v>
      </c>
      <c r="C15" s="16" t="s">
        <v>40</v>
      </c>
      <c r="D15" s="16" t="s">
        <v>40</v>
      </c>
      <c r="E15" s="16" t="s">
        <v>40</v>
      </c>
      <c r="F15" s="16" t="s">
        <v>40</v>
      </c>
      <c r="G15">
        <v>300.75</v>
      </c>
      <c r="H15" s="17">
        <v>481.2</v>
      </c>
      <c r="I15" s="16">
        <f t="shared" si="0"/>
        <v>345.8625</v>
      </c>
      <c r="J15" s="16">
        <f t="shared" si="1"/>
        <v>360.9</v>
      </c>
      <c r="K15" s="16">
        <f t="shared" si="2"/>
        <v>390.975</v>
      </c>
      <c r="L15" s="16">
        <f t="shared" si="3"/>
        <v>421.05</v>
      </c>
    </row>
    <row r="16" spans="2:12">
      <c r="B16" s="12" t="s">
        <v>41</v>
      </c>
      <c r="C16" s="16" t="s">
        <v>42</v>
      </c>
      <c r="D16" s="16" t="s">
        <v>42</v>
      </c>
      <c r="E16" s="16" t="s">
        <v>42</v>
      </c>
      <c r="F16" s="16" t="s">
        <v>42</v>
      </c>
      <c r="G16">
        <v>112.26</v>
      </c>
      <c r="H16" s="17">
        <v>179.62</v>
      </c>
      <c r="I16" s="16">
        <f t="shared" si="0"/>
        <v>129.099</v>
      </c>
      <c r="J16" s="16">
        <f t="shared" si="1"/>
        <v>134.712</v>
      </c>
      <c r="K16" s="16">
        <f t="shared" si="2"/>
        <v>145.938</v>
      </c>
      <c r="L16" s="16">
        <f t="shared" si="3"/>
        <v>157.164</v>
      </c>
    </row>
    <row r="17" spans="2:12">
      <c r="B17" s="12" t="s">
        <v>43</v>
      </c>
      <c r="C17" s="16" t="s">
        <v>44</v>
      </c>
      <c r="D17" s="16" t="s">
        <v>44</v>
      </c>
      <c r="E17" s="16" t="s">
        <v>44</v>
      </c>
      <c r="F17" s="16" t="s">
        <v>44</v>
      </c>
      <c r="G17">
        <v>1168.71</v>
      </c>
      <c r="H17" s="17">
        <v>2032.55</v>
      </c>
      <c r="I17" s="16">
        <f t="shared" si="0"/>
        <v>1344.0165</v>
      </c>
      <c r="J17" s="16">
        <f t="shared" si="1"/>
        <v>1402.452</v>
      </c>
      <c r="K17" s="16">
        <f t="shared" si="2"/>
        <v>1519.323</v>
      </c>
      <c r="L17" s="16">
        <f t="shared" si="3"/>
        <v>1636.194</v>
      </c>
    </row>
    <row r="18" spans="2:12">
      <c r="B18" s="12" t="s">
        <v>45</v>
      </c>
      <c r="C18" s="16" t="s">
        <v>46</v>
      </c>
      <c r="D18" s="16" t="s">
        <v>46</v>
      </c>
      <c r="E18" s="16" t="s">
        <v>46</v>
      </c>
      <c r="F18" s="16" t="s">
        <v>46</v>
      </c>
      <c r="G18">
        <v>1178.81</v>
      </c>
      <c r="H18" s="17">
        <v>2050.11</v>
      </c>
      <c r="I18" s="16">
        <f t="shared" si="0"/>
        <v>1355.6315</v>
      </c>
      <c r="J18" s="16">
        <f t="shared" si="1"/>
        <v>1414.572</v>
      </c>
      <c r="K18" s="16">
        <f t="shared" si="2"/>
        <v>1532.453</v>
      </c>
      <c r="L18" s="16">
        <f t="shared" si="3"/>
        <v>1650.334</v>
      </c>
    </row>
    <row r="19" spans="2:12">
      <c r="B19" s="12" t="s">
        <v>47</v>
      </c>
      <c r="C19" s="16" t="s">
        <v>48</v>
      </c>
      <c r="D19" s="16" t="s">
        <v>48</v>
      </c>
      <c r="E19" s="16" t="s">
        <v>48</v>
      </c>
      <c r="F19" s="16" t="s">
        <v>48</v>
      </c>
      <c r="G19">
        <v>556.8</v>
      </c>
      <c r="H19" s="17">
        <v>968.33</v>
      </c>
      <c r="I19" s="16">
        <f t="shared" si="0"/>
        <v>640.32</v>
      </c>
      <c r="J19" s="16">
        <f t="shared" si="1"/>
        <v>668.16</v>
      </c>
      <c r="K19" s="16">
        <f t="shared" si="2"/>
        <v>723.84</v>
      </c>
      <c r="L19" s="16">
        <f t="shared" si="3"/>
        <v>779.52</v>
      </c>
    </row>
    <row r="20" spans="2:12">
      <c r="B20" s="12" t="s">
        <v>49</v>
      </c>
      <c r="C20" s="16" t="s">
        <v>50</v>
      </c>
      <c r="D20" s="16" t="s">
        <v>50</v>
      </c>
      <c r="E20" s="16" t="s">
        <v>50</v>
      </c>
      <c r="F20" s="16" t="s">
        <v>50</v>
      </c>
      <c r="G20">
        <v>872.85</v>
      </c>
      <c r="H20" s="17">
        <v>1518</v>
      </c>
      <c r="I20" s="16">
        <f t="shared" si="0"/>
        <v>1003.7775</v>
      </c>
      <c r="J20" s="16">
        <f t="shared" si="1"/>
        <v>1047.42</v>
      </c>
      <c r="K20" s="16">
        <f t="shared" si="2"/>
        <v>1134.705</v>
      </c>
      <c r="L20" s="16">
        <f t="shared" si="3"/>
        <v>1221.99</v>
      </c>
    </row>
    <row r="21" spans="2:12">
      <c r="B21" s="12" t="s">
        <v>51</v>
      </c>
      <c r="C21" s="16" t="s">
        <v>52</v>
      </c>
      <c r="D21" s="16" t="s">
        <v>52</v>
      </c>
      <c r="E21" s="16" t="s">
        <v>52</v>
      </c>
      <c r="F21" s="16" t="s">
        <v>52</v>
      </c>
      <c r="G21">
        <v>1530.6</v>
      </c>
      <c r="H21" s="17">
        <v>2661.91</v>
      </c>
      <c r="I21" s="16">
        <f t="shared" si="0"/>
        <v>1760.19</v>
      </c>
      <c r="J21" s="16">
        <f t="shared" si="1"/>
        <v>1836.72</v>
      </c>
      <c r="K21" s="16">
        <f t="shared" si="2"/>
        <v>1989.78</v>
      </c>
      <c r="L21" s="16">
        <f t="shared" si="3"/>
        <v>2142.84</v>
      </c>
    </row>
    <row r="22" spans="2:12">
      <c r="B22" s="12" t="s">
        <v>53</v>
      </c>
      <c r="C22" s="16" t="s">
        <v>54</v>
      </c>
      <c r="D22" s="16" t="s">
        <v>54</v>
      </c>
      <c r="E22" s="16" t="s">
        <v>54</v>
      </c>
      <c r="F22" s="16" t="s">
        <v>54</v>
      </c>
      <c r="G22">
        <v>2642.62</v>
      </c>
      <c r="H22" s="17">
        <v>4595.86</v>
      </c>
      <c r="I22" s="16">
        <f t="shared" si="0"/>
        <v>3039.013</v>
      </c>
      <c r="J22" s="16">
        <f t="shared" si="1"/>
        <v>3171.144</v>
      </c>
      <c r="K22" s="16">
        <f t="shared" si="2"/>
        <v>3435.406</v>
      </c>
      <c r="L22" s="16">
        <f t="shared" si="3"/>
        <v>3699.668</v>
      </c>
    </row>
    <row r="23" spans="2:12">
      <c r="B23" s="12" t="s">
        <v>55</v>
      </c>
      <c r="C23" s="16" t="s">
        <v>56</v>
      </c>
      <c r="D23" s="16" t="s">
        <v>56</v>
      </c>
      <c r="E23" s="16" t="s">
        <v>56</v>
      </c>
      <c r="F23" s="16" t="s">
        <v>56</v>
      </c>
      <c r="G23">
        <v>1291.42</v>
      </c>
      <c r="H23" s="17">
        <v>2245.94</v>
      </c>
      <c r="I23" s="16">
        <f t="shared" si="0"/>
        <v>1485.133</v>
      </c>
      <c r="J23" s="16">
        <f t="shared" si="1"/>
        <v>1549.704</v>
      </c>
      <c r="K23" s="16">
        <f t="shared" si="2"/>
        <v>1678.846</v>
      </c>
      <c r="L23" s="16">
        <f t="shared" si="3"/>
        <v>1807.988</v>
      </c>
    </row>
    <row r="24" spans="2:12">
      <c r="B24" s="12" t="s">
        <v>57</v>
      </c>
      <c r="C24" s="16" t="s">
        <v>58</v>
      </c>
      <c r="D24" s="16" t="s">
        <v>58</v>
      </c>
      <c r="E24" s="16" t="s">
        <v>58</v>
      </c>
      <c r="F24" s="16" t="s">
        <v>58</v>
      </c>
      <c r="G24">
        <v>1103.33</v>
      </c>
      <c r="H24" s="17">
        <v>1918.83</v>
      </c>
      <c r="I24" s="16">
        <f t="shared" si="0"/>
        <v>1268.8295</v>
      </c>
      <c r="J24" s="16">
        <f t="shared" si="1"/>
        <v>1323.996</v>
      </c>
      <c r="K24" s="16">
        <f t="shared" si="2"/>
        <v>1434.329</v>
      </c>
      <c r="L24" s="16">
        <f t="shared" si="3"/>
        <v>1544.662</v>
      </c>
    </row>
    <row r="25" spans="2:12">
      <c r="B25" s="12" t="s">
        <v>59</v>
      </c>
      <c r="C25" s="16" t="s">
        <v>60</v>
      </c>
      <c r="D25" s="16" t="s">
        <v>60</v>
      </c>
      <c r="E25" s="16" t="s">
        <v>60</v>
      </c>
      <c r="F25" s="16" t="s">
        <v>60</v>
      </c>
      <c r="G25">
        <v>994.77</v>
      </c>
      <c r="H25" s="17">
        <v>1730.04</v>
      </c>
      <c r="I25" s="16">
        <f t="shared" si="0"/>
        <v>1143.9855</v>
      </c>
      <c r="J25" s="16">
        <f t="shared" si="1"/>
        <v>1193.724</v>
      </c>
      <c r="K25" s="16">
        <f t="shared" si="2"/>
        <v>1293.201</v>
      </c>
      <c r="L25" s="16">
        <f t="shared" si="3"/>
        <v>1392.678</v>
      </c>
    </row>
    <row r="26" spans="2:12">
      <c r="B26" s="12" t="s">
        <v>61</v>
      </c>
      <c r="C26" s="16" t="s">
        <v>62</v>
      </c>
      <c r="D26" s="16" t="s">
        <v>62</v>
      </c>
      <c r="E26" s="16" t="s">
        <v>62</v>
      </c>
      <c r="F26" s="16" t="s">
        <v>62</v>
      </c>
      <c r="G26">
        <v>1651.74</v>
      </c>
      <c r="H26" s="17">
        <v>2872.58</v>
      </c>
      <c r="I26" s="16">
        <f t="shared" si="0"/>
        <v>1899.501</v>
      </c>
      <c r="J26" s="16">
        <f t="shared" si="1"/>
        <v>1982.088</v>
      </c>
      <c r="K26" s="16">
        <f t="shared" si="2"/>
        <v>2147.262</v>
      </c>
      <c r="L26" s="16">
        <f t="shared" si="3"/>
        <v>2312.436</v>
      </c>
    </row>
    <row r="27" spans="2:12">
      <c r="B27" s="12" t="s">
        <v>63</v>
      </c>
      <c r="C27" s="16" t="s">
        <v>64</v>
      </c>
      <c r="D27" s="16" t="s">
        <v>64</v>
      </c>
      <c r="E27" s="16" t="s">
        <v>64</v>
      </c>
      <c r="F27" s="16" t="s">
        <v>64</v>
      </c>
      <c r="G27">
        <v>2804.92</v>
      </c>
      <c r="H27" s="17">
        <v>4878.12</v>
      </c>
      <c r="I27" s="16">
        <f t="shared" si="0"/>
        <v>3225.658</v>
      </c>
      <c r="J27" s="16">
        <f t="shared" si="1"/>
        <v>3365.904</v>
      </c>
      <c r="K27" s="16">
        <f t="shared" si="2"/>
        <v>3646.396</v>
      </c>
      <c r="L27" s="16">
        <f t="shared" si="3"/>
        <v>3926.888</v>
      </c>
    </row>
    <row r="28" spans="2:12">
      <c r="B28" s="12" t="s">
        <v>65</v>
      </c>
      <c r="C28" s="16" t="s">
        <v>66</v>
      </c>
      <c r="D28" s="16" t="s">
        <v>66</v>
      </c>
      <c r="E28" s="16" t="s">
        <v>66</v>
      </c>
      <c r="F28" s="16" t="s">
        <v>66</v>
      </c>
      <c r="G28">
        <v>1265.11</v>
      </c>
      <c r="H28" s="17">
        <v>2200.18</v>
      </c>
      <c r="I28" s="16">
        <f t="shared" si="0"/>
        <v>1454.8765</v>
      </c>
      <c r="J28" s="16">
        <f t="shared" si="1"/>
        <v>1518.132</v>
      </c>
      <c r="K28" s="16">
        <f t="shared" si="2"/>
        <v>1644.643</v>
      </c>
      <c r="L28" s="16">
        <f t="shared" si="3"/>
        <v>1771.154</v>
      </c>
    </row>
    <row r="29" spans="2:12">
      <c r="B29" s="12" t="s">
        <v>67</v>
      </c>
      <c r="C29" s="16" t="s">
        <v>68</v>
      </c>
      <c r="D29" s="16" t="s">
        <v>68</v>
      </c>
      <c r="E29" s="16" t="s">
        <v>68</v>
      </c>
      <c r="F29" s="16" t="s">
        <v>68</v>
      </c>
      <c r="G29">
        <v>1973.23</v>
      </c>
      <c r="H29" s="17">
        <v>3431.71</v>
      </c>
      <c r="I29" s="16">
        <f t="shared" si="0"/>
        <v>2269.2145</v>
      </c>
      <c r="J29" s="16">
        <f t="shared" si="1"/>
        <v>2367.876</v>
      </c>
      <c r="K29" s="16">
        <f t="shared" si="2"/>
        <v>2565.199</v>
      </c>
      <c r="L29" s="16">
        <f t="shared" si="3"/>
        <v>2762.522</v>
      </c>
    </row>
    <row r="30" spans="2:12">
      <c r="B30" s="12" t="s">
        <v>69</v>
      </c>
      <c r="C30" s="16" t="s">
        <v>70</v>
      </c>
      <c r="D30" s="16" t="s">
        <v>70</v>
      </c>
      <c r="E30" s="16" t="s">
        <v>70</v>
      </c>
      <c r="F30" s="16" t="s">
        <v>70</v>
      </c>
      <c r="G30">
        <v>126.11</v>
      </c>
      <c r="H30" s="17">
        <v>219.33</v>
      </c>
      <c r="I30" s="16">
        <f t="shared" si="0"/>
        <v>145.0265</v>
      </c>
      <c r="J30" s="16">
        <f t="shared" si="1"/>
        <v>151.332</v>
      </c>
      <c r="K30" s="16">
        <f t="shared" si="2"/>
        <v>163.943</v>
      </c>
      <c r="L30" s="16">
        <f t="shared" si="3"/>
        <v>176.554</v>
      </c>
    </row>
    <row r="31" spans="2:12">
      <c r="B31" s="12" t="s">
        <v>71</v>
      </c>
      <c r="C31" s="16" t="s">
        <v>72</v>
      </c>
      <c r="D31" s="16" t="s">
        <v>72</v>
      </c>
      <c r="E31" s="16" t="s">
        <v>72</v>
      </c>
      <c r="F31" s="16" t="s">
        <v>72</v>
      </c>
      <c r="G31">
        <v>161.59</v>
      </c>
      <c r="H31" s="17">
        <v>281.04</v>
      </c>
      <c r="I31" s="16">
        <f t="shared" si="0"/>
        <v>185.8285</v>
      </c>
      <c r="J31" s="16">
        <f t="shared" si="1"/>
        <v>193.908</v>
      </c>
      <c r="K31" s="16">
        <f t="shared" si="2"/>
        <v>210.067</v>
      </c>
      <c r="L31" s="16">
        <f t="shared" si="3"/>
        <v>226.226</v>
      </c>
    </row>
    <row r="32" spans="2:12">
      <c r="B32" s="12" t="s">
        <v>73</v>
      </c>
      <c r="C32" s="16" t="s">
        <v>74</v>
      </c>
      <c r="D32" s="16" t="s">
        <v>74</v>
      </c>
      <c r="E32" s="16" t="s">
        <v>74</v>
      </c>
      <c r="F32" s="16" t="s">
        <v>74</v>
      </c>
      <c r="G32">
        <v>276.69</v>
      </c>
      <c r="H32" s="17">
        <v>481.19</v>
      </c>
      <c r="I32" s="16">
        <f t="shared" si="0"/>
        <v>318.1935</v>
      </c>
      <c r="J32" s="16">
        <f t="shared" si="1"/>
        <v>332.028</v>
      </c>
      <c r="K32" s="16">
        <f t="shared" si="2"/>
        <v>359.697</v>
      </c>
      <c r="L32" s="16">
        <f t="shared" si="3"/>
        <v>387.366</v>
      </c>
    </row>
    <row r="33" spans="2:12">
      <c r="B33" s="12" t="s">
        <v>75</v>
      </c>
      <c r="C33" s="16" t="s">
        <v>76</v>
      </c>
      <c r="D33" s="16" t="s">
        <v>76</v>
      </c>
      <c r="E33" s="16" t="s">
        <v>76</v>
      </c>
      <c r="F33" s="16" t="s">
        <v>76</v>
      </c>
      <c r="G33">
        <v>353.1</v>
      </c>
      <c r="H33" s="17">
        <v>614.09</v>
      </c>
      <c r="I33" s="16">
        <f t="shared" si="0"/>
        <v>406.065</v>
      </c>
      <c r="J33" s="16">
        <f t="shared" si="1"/>
        <v>423.72</v>
      </c>
      <c r="K33" s="16">
        <f t="shared" si="2"/>
        <v>459.03</v>
      </c>
      <c r="L33" s="16">
        <f t="shared" si="3"/>
        <v>494.34</v>
      </c>
    </row>
    <row r="34" spans="2:12">
      <c r="B34" s="12" t="s">
        <v>77</v>
      </c>
      <c r="C34" s="16" t="s">
        <v>78</v>
      </c>
      <c r="D34" s="16" t="s">
        <v>78</v>
      </c>
      <c r="E34" s="16" t="s">
        <v>78</v>
      </c>
      <c r="F34" s="16" t="s">
        <v>78</v>
      </c>
      <c r="G34">
        <v>528.07</v>
      </c>
      <c r="H34" s="17">
        <v>918.36</v>
      </c>
      <c r="I34" s="16">
        <f t="shared" si="0"/>
        <v>607.2805</v>
      </c>
      <c r="J34" s="16">
        <f t="shared" si="1"/>
        <v>633.684</v>
      </c>
      <c r="K34" s="16">
        <f t="shared" si="2"/>
        <v>686.491</v>
      </c>
      <c r="L34" s="16">
        <f t="shared" si="3"/>
        <v>739.298</v>
      </c>
    </row>
    <row r="35" spans="2:12">
      <c r="B35" s="12" t="s">
        <v>79</v>
      </c>
      <c r="C35" s="16" t="s">
        <v>80</v>
      </c>
      <c r="D35" s="16" t="s">
        <v>80</v>
      </c>
      <c r="E35" s="16" t="s">
        <v>80</v>
      </c>
      <c r="F35" s="16" t="s">
        <v>80</v>
      </c>
      <c r="G35">
        <v>709.77</v>
      </c>
      <c r="H35" s="17">
        <v>1234.38</v>
      </c>
      <c r="I35" s="16">
        <f t="shared" si="0"/>
        <v>816.2355</v>
      </c>
      <c r="J35" s="16">
        <f t="shared" si="1"/>
        <v>851.724</v>
      </c>
      <c r="K35" s="16">
        <f t="shared" si="2"/>
        <v>922.701</v>
      </c>
      <c r="L35" s="16">
        <f t="shared" si="3"/>
        <v>993.678</v>
      </c>
    </row>
    <row r="36" spans="2:12">
      <c r="B36" s="12" t="s">
        <v>81</v>
      </c>
      <c r="C36" s="16" t="s">
        <v>82</v>
      </c>
      <c r="D36" s="16" t="s">
        <v>82</v>
      </c>
      <c r="E36" s="16" t="s">
        <v>82</v>
      </c>
      <c r="F36" s="16" t="s">
        <v>82</v>
      </c>
      <c r="G36">
        <v>890.7</v>
      </c>
      <c r="H36" s="17">
        <v>1549.06</v>
      </c>
      <c r="I36" s="16">
        <f t="shared" si="0"/>
        <v>1024.305</v>
      </c>
      <c r="J36" s="16">
        <f t="shared" si="1"/>
        <v>1068.84</v>
      </c>
      <c r="K36" s="16">
        <f t="shared" si="2"/>
        <v>1157.91</v>
      </c>
      <c r="L36" s="16">
        <f t="shared" si="3"/>
        <v>1246.98</v>
      </c>
    </row>
    <row r="37" spans="2:12">
      <c r="B37" s="12" t="s">
        <v>83</v>
      </c>
      <c r="C37" s="16" t="s">
        <v>84</v>
      </c>
      <c r="D37" s="16" t="s">
        <v>84</v>
      </c>
      <c r="E37" s="16" t="s">
        <v>84</v>
      </c>
      <c r="F37" s="16" t="s">
        <v>84</v>
      </c>
      <c r="G37">
        <v>1174.15</v>
      </c>
      <c r="H37" s="17">
        <v>2042</v>
      </c>
      <c r="I37" s="16">
        <f t="shared" si="0"/>
        <v>1350.2725</v>
      </c>
      <c r="J37" s="16">
        <f t="shared" si="1"/>
        <v>1408.98</v>
      </c>
      <c r="K37" s="16">
        <f t="shared" si="2"/>
        <v>1526.395</v>
      </c>
      <c r="L37" s="16">
        <f t="shared" si="3"/>
        <v>1643.81</v>
      </c>
    </row>
    <row r="38" spans="2:12">
      <c r="B38" s="12" t="s">
        <v>85</v>
      </c>
      <c r="C38" s="16" t="s">
        <v>86</v>
      </c>
      <c r="D38" s="16" t="s">
        <v>86</v>
      </c>
      <c r="E38" s="16" t="s">
        <v>86</v>
      </c>
      <c r="F38" s="16" t="s">
        <v>86</v>
      </c>
      <c r="G38">
        <v>126.11</v>
      </c>
      <c r="H38" s="17">
        <v>219.33</v>
      </c>
      <c r="I38" s="16">
        <f t="shared" si="0"/>
        <v>145.0265</v>
      </c>
      <c r="J38" s="16">
        <f t="shared" si="1"/>
        <v>151.332</v>
      </c>
      <c r="K38" s="16">
        <f t="shared" si="2"/>
        <v>163.943</v>
      </c>
      <c r="L38" s="16">
        <f t="shared" si="3"/>
        <v>176.554</v>
      </c>
    </row>
    <row r="39" spans="2:12">
      <c r="B39" s="12" t="s">
        <v>87</v>
      </c>
      <c r="C39" s="16" t="s">
        <v>88</v>
      </c>
      <c r="D39" s="16" t="s">
        <v>88</v>
      </c>
      <c r="E39" s="16" t="s">
        <v>88</v>
      </c>
      <c r="F39" s="16" t="s">
        <v>88</v>
      </c>
      <c r="G39">
        <v>161.59</v>
      </c>
      <c r="H39" s="17">
        <v>281.04</v>
      </c>
      <c r="I39" s="16">
        <f t="shared" si="0"/>
        <v>185.8285</v>
      </c>
      <c r="J39" s="16">
        <f t="shared" si="1"/>
        <v>193.908</v>
      </c>
      <c r="K39" s="16">
        <f t="shared" si="2"/>
        <v>210.067</v>
      </c>
      <c r="L39" s="16">
        <f t="shared" si="3"/>
        <v>226.226</v>
      </c>
    </row>
    <row r="40" spans="2:12">
      <c r="B40" s="12" t="s">
        <v>89</v>
      </c>
      <c r="C40" s="16" t="s">
        <v>90</v>
      </c>
      <c r="D40" s="16" t="s">
        <v>90</v>
      </c>
      <c r="E40" s="16" t="s">
        <v>90</v>
      </c>
      <c r="F40" s="16" t="s">
        <v>90</v>
      </c>
      <c r="G40">
        <v>276.69</v>
      </c>
      <c r="H40" s="17">
        <v>481.19</v>
      </c>
      <c r="I40" s="16">
        <f t="shared" si="0"/>
        <v>318.1935</v>
      </c>
      <c r="J40" s="16">
        <f t="shared" si="1"/>
        <v>332.028</v>
      </c>
      <c r="K40" s="16">
        <f t="shared" si="2"/>
        <v>359.697</v>
      </c>
      <c r="L40" s="16">
        <f t="shared" si="3"/>
        <v>387.366</v>
      </c>
    </row>
    <row r="41" spans="2:12">
      <c r="B41" s="12" t="s">
        <v>91</v>
      </c>
      <c r="C41" s="16" t="s">
        <v>92</v>
      </c>
      <c r="D41" s="16" t="s">
        <v>92</v>
      </c>
      <c r="E41" s="16" t="s">
        <v>92</v>
      </c>
      <c r="F41" s="16" t="s">
        <v>92</v>
      </c>
      <c r="G41">
        <v>353.1</v>
      </c>
      <c r="H41" s="17">
        <v>614.09</v>
      </c>
      <c r="I41" s="16">
        <f t="shared" si="0"/>
        <v>406.065</v>
      </c>
      <c r="J41" s="16">
        <f t="shared" si="1"/>
        <v>423.72</v>
      </c>
      <c r="K41" s="16">
        <f t="shared" si="2"/>
        <v>459.03</v>
      </c>
      <c r="L41" s="16">
        <f t="shared" si="3"/>
        <v>494.34</v>
      </c>
    </row>
    <row r="42" spans="2:12">
      <c r="B42" s="12" t="s">
        <v>93</v>
      </c>
      <c r="C42" s="16" t="s">
        <v>94</v>
      </c>
      <c r="D42" s="16" t="s">
        <v>94</v>
      </c>
      <c r="E42" s="16" t="s">
        <v>94</v>
      </c>
      <c r="F42" s="16" t="s">
        <v>94</v>
      </c>
      <c r="G42">
        <v>528.07</v>
      </c>
      <c r="H42" s="17">
        <v>918.36</v>
      </c>
      <c r="I42" s="16">
        <f t="shared" si="0"/>
        <v>607.2805</v>
      </c>
      <c r="J42" s="16">
        <f t="shared" si="1"/>
        <v>633.684</v>
      </c>
      <c r="K42" s="16">
        <f t="shared" si="2"/>
        <v>686.491</v>
      </c>
      <c r="L42" s="16">
        <f t="shared" si="3"/>
        <v>739.298</v>
      </c>
    </row>
    <row r="43" spans="2:12">
      <c r="B43" s="12" t="s">
        <v>95</v>
      </c>
      <c r="C43" s="16" t="s">
        <v>96</v>
      </c>
      <c r="D43" s="16" t="s">
        <v>96</v>
      </c>
      <c r="E43" s="16" t="s">
        <v>96</v>
      </c>
      <c r="F43" s="16" t="s">
        <v>96</v>
      </c>
      <c r="G43">
        <v>709.77</v>
      </c>
      <c r="H43" s="17">
        <v>1234.38</v>
      </c>
      <c r="I43" s="16">
        <f t="shared" si="0"/>
        <v>816.2355</v>
      </c>
      <c r="J43" s="16">
        <f t="shared" si="1"/>
        <v>851.724</v>
      </c>
      <c r="K43" s="16">
        <f t="shared" si="2"/>
        <v>922.701</v>
      </c>
      <c r="L43" s="16">
        <f t="shared" si="3"/>
        <v>993.678</v>
      </c>
    </row>
    <row r="44" spans="2:12">
      <c r="B44" s="12" t="s">
        <v>97</v>
      </c>
      <c r="C44" s="16" t="s">
        <v>98</v>
      </c>
      <c r="D44" s="16" t="s">
        <v>98</v>
      </c>
      <c r="E44" s="16" t="s">
        <v>98</v>
      </c>
      <c r="F44" s="16" t="s">
        <v>98</v>
      </c>
      <c r="G44">
        <v>890.7</v>
      </c>
      <c r="H44" s="17">
        <v>1549.06</v>
      </c>
      <c r="I44" s="16">
        <f t="shared" si="0"/>
        <v>1024.305</v>
      </c>
      <c r="J44" s="16">
        <f t="shared" si="1"/>
        <v>1068.84</v>
      </c>
      <c r="K44" s="16">
        <f t="shared" si="2"/>
        <v>1157.91</v>
      </c>
      <c r="L44" s="16">
        <f t="shared" si="3"/>
        <v>1246.98</v>
      </c>
    </row>
    <row r="45" spans="2:12">
      <c r="B45" s="12" t="s">
        <v>99</v>
      </c>
      <c r="C45" s="16" t="s">
        <v>100</v>
      </c>
      <c r="D45" s="16" t="s">
        <v>100</v>
      </c>
      <c r="E45" s="16" t="s">
        <v>100</v>
      </c>
      <c r="F45" s="16" t="s">
        <v>100</v>
      </c>
      <c r="G45">
        <v>276.69</v>
      </c>
      <c r="H45" s="17">
        <v>481.19</v>
      </c>
      <c r="I45" s="16">
        <f t="shared" si="0"/>
        <v>318.1935</v>
      </c>
      <c r="J45" s="16">
        <f t="shared" si="1"/>
        <v>332.028</v>
      </c>
      <c r="K45" s="16">
        <f t="shared" si="2"/>
        <v>359.697</v>
      </c>
      <c r="L45" s="16">
        <f t="shared" si="3"/>
        <v>387.366</v>
      </c>
    </row>
    <row r="46" spans="2:12">
      <c r="B46" s="12" t="s">
        <v>101</v>
      </c>
      <c r="C46" s="16" t="s">
        <v>102</v>
      </c>
      <c r="D46" s="16" t="s">
        <v>102</v>
      </c>
      <c r="E46" s="16" t="s">
        <v>102</v>
      </c>
      <c r="F46" s="16" t="s">
        <v>102</v>
      </c>
      <c r="G46">
        <v>367.38</v>
      </c>
      <c r="H46" s="17">
        <v>638.91</v>
      </c>
      <c r="I46" s="16">
        <f t="shared" si="0"/>
        <v>422.487</v>
      </c>
      <c r="J46" s="16">
        <f t="shared" si="1"/>
        <v>440.856</v>
      </c>
      <c r="K46" s="16">
        <f t="shared" si="2"/>
        <v>477.594</v>
      </c>
      <c r="L46" s="16">
        <f t="shared" si="3"/>
        <v>514.332</v>
      </c>
    </row>
    <row r="47" spans="2:12">
      <c r="B47" s="12" t="s">
        <v>103</v>
      </c>
      <c r="C47" s="16" t="s">
        <v>104</v>
      </c>
      <c r="D47" s="16" t="s">
        <v>104</v>
      </c>
      <c r="E47" s="16" t="s">
        <v>104</v>
      </c>
      <c r="F47" s="16" t="s">
        <v>104</v>
      </c>
      <c r="G47">
        <v>528.07</v>
      </c>
      <c r="H47" s="17">
        <v>918.36</v>
      </c>
      <c r="I47" s="16">
        <f t="shared" si="0"/>
        <v>607.2805</v>
      </c>
      <c r="J47" s="16">
        <f t="shared" si="1"/>
        <v>633.684</v>
      </c>
      <c r="K47" s="16">
        <f t="shared" si="2"/>
        <v>686.491</v>
      </c>
      <c r="L47" s="16">
        <f t="shared" si="3"/>
        <v>739.298</v>
      </c>
    </row>
    <row r="48" spans="2:12">
      <c r="B48" s="12" t="s">
        <v>105</v>
      </c>
      <c r="C48" s="16" t="s">
        <v>106</v>
      </c>
      <c r="D48" s="16" t="s">
        <v>106</v>
      </c>
      <c r="E48" s="16" t="s">
        <v>106</v>
      </c>
      <c r="F48" s="16" t="s">
        <v>106</v>
      </c>
      <c r="G48">
        <v>282.59</v>
      </c>
      <c r="H48" s="17">
        <v>491.47</v>
      </c>
      <c r="I48" s="16">
        <f t="shared" si="0"/>
        <v>324.9785</v>
      </c>
      <c r="J48" s="16">
        <f t="shared" si="1"/>
        <v>339.108</v>
      </c>
      <c r="K48" s="16">
        <f t="shared" si="2"/>
        <v>367.367</v>
      </c>
      <c r="L48" s="16">
        <f t="shared" si="3"/>
        <v>395.626</v>
      </c>
    </row>
    <row r="49" spans="2:12">
      <c r="B49" s="12" t="s">
        <v>107</v>
      </c>
      <c r="C49" s="16" t="s">
        <v>108</v>
      </c>
      <c r="D49" s="16" t="s">
        <v>108</v>
      </c>
      <c r="E49" s="16" t="s">
        <v>108</v>
      </c>
      <c r="F49" s="16" t="s">
        <v>108</v>
      </c>
      <c r="G49">
        <v>456.14</v>
      </c>
      <c r="H49" s="17">
        <v>793.31</v>
      </c>
      <c r="I49" s="16">
        <f t="shared" si="0"/>
        <v>524.561</v>
      </c>
      <c r="J49" s="16">
        <f t="shared" si="1"/>
        <v>547.368</v>
      </c>
      <c r="K49" s="16">
        <f t="shared" si="2"/>
        <v>592.982</v>
      </c>
      <c r="L49" s="16">
        <f t="shared" si="3"/>
        <v>638.596</v>
      </c>
    </row>
    <row r="50" spans="2:12">
      <c r="B50" s="12" t="s">
        <v>109</v>
      </c>
      <c r="C50" s="16" t="s">
        <v>110</v>
      </c>
      <c r="D50" s="16" t="s">
        <v>110</v>
      </c>
      <c r="E50" s="16" t="s">
        <v>110</v>
      </c>
      <c r="F50" s="16" t="s">
        <v>110</v>
      </c>
      <c r="G50">
        <v>528.07</v>
      </c>
      <c r="H50" s="17">
        <v>918.36</v>
      </c>
      <c r="I50" s="16">
        <f t="shared" si="0"/>
        <v>607.2805</v>
      </c>
      <c r="J50" s="16">
        <f t="shared" si="1"/>
        <v>633.684</v>
      </c>
      <c r="K50" s="16">
        <f t="shared" si="2"/>
        <v>686.491</v>
      </c>
      <c r="L50" s="16">
        <f t="shared" si="3"/>
        <v>739.298</v>
      </c>
    </row>
    <row r="51" spans="2:12">
      <c r="B51" s="12" t="s">
        <v>111</v>
      </c>
      <c r="C51" s="16" t="s">
        <v>112</v>
      </c>
      <c r="D51" s="16" t="s">
        <v>112</v>
      </c>
      <c r="E51" s="16" t="s">
        <v>112</v>
      </c>
      <c r="F51" s="16" t="s">
        <v>112</v>
      </c>
      <c r="G51">
        <v>276.69</v>
      </c>
      <c r="H51" s="17">
        <v>481.19</v>
      </c>
      <c r="I51" s="16">
        <f t="shared" si="0"/>
        <v>318.1935</v>
      </c>
      <c r="J51" s="16">
        <f t="shared" si="1"/>
        <v>332.028</v>
      </c>
      <c r="K51" s="16">
        <f t="shared" si="2"/>
        <v>359.697</v>
      </c>
      <c r="L51" s="16">
        <f t="shared" si="3"/>
        <v>387.366</v>
      </c>
    </row>
    <row r="52" spans="2:12">
      <c r="B52" s="12" t="s">
        <v>113</v>
      </c>
      <c r="C52" s="16" t="s">
        <v>114</v>
      </c>
      <c r="D52" s="16" t="s">
        <v>114</v>
      </c>
      <c r="E52" s="16" t="s">
        <v>114</v>
      </c>
      <c r="F52" s="16" t="s">
        <v>114</v>
      </c>
      <c r="G52">
        <v>353.1</v>
      </c>
      <c r="H52" s="17">
        <v>614.09</v>
      </c>
      <c r="I52" s="16">
        <f t="shared" si="0"/>
        <v>406.065</v>
      </c>
      <c r="J52" s="16">
        <f t="shared" si="1"/>
        <v>423.72</v>
      </c>
      <c r="K52" s="16">
        <f t="shared" si="2"/>
        <v>459.03</v>
      </c>
      <c r="L52" s="16">
        <f t="shared" si="3"/>
        <v>494.34</v>
      </c>
    </row>
    <row r="53" spans="2:12">
      <c r="B53" s="12" t="s">
        <v>115</v>
      </c>
      <c r="C53" s="16" t="s">
        <v>116</v>
      </c>
      <c r="D53" s="16" t="s">
        <v>116</v>
      </c>
      <c r="E53" s="16" t="s">
        <v>116</v>
      </c>
      <c r="F53" s="16" t="s">
        <v>116</v>
      </c>
      <c r="G53">
        <v>528.07</v>
      </c>
      <c r="H53" s="17">
        <v>918.36</v>
      </c>
      <c r="I53" s="16">
        <f t="shared" si="0"/>
        <v>607.2805</v>
      </c>
      <c r="J53" s="16">
        <f t="shared" si="1"/>
        <v>633.684</v>
      </c>
      <c r="K53" s="16">
        <f t="shared" si="2"/>
        <v>686.491</v>
      </c>
      <c r="L53" s="16">
        <f t="shared" si="3"/>
        <v>739.298</v>
      </c>
    </row>
    <row r="54" spans="2:12">
      <c r="B54" s="12" t="s">
        <v>117</v>
      </c>
      <c r="C54" s="16" t="s">
        <v>118</v>
      </c>
      <c r="D54" s="16" t="s">
        <v>118</v>
      </c>
      <c r="E54" s="16" t="s">
        <v>118</v>
      </c>
      <c r="F54" s="16" t="s">
        <v>118</v>
      </c>
      <c r="G54">
        <v>890.7</v>
      </c>
      <c r="H54" s="17">
        <v>1549.06</v>
      </c>
      <c r="I54" s="16">
        <f t="shared" si="0"/>
        <v>1024.305</v>
      </c>
      <c r="J54" s="16">
        <f t="shared" si="1"/>
        <v>1068.84</v>
      </c>
      <c r="K54" s="16">
        <f t="shared" si="2"/>
        <v>1157.91</v>
      </c>
      <c r="L54" s="16">
        <f t="shared" si="3"/>
        <v>1246.98</v>
      </c>
    </row>
    <row r="55" spans="2:12">
      <c r="B55" s="12" t="s">
        <v>119</v>
      </c>
      <c r="C55" s="16" t="s">
        <v>120</v>
      </c>
      <c r="D55" s="16" t="s">
        <v>120</v>
      </c>
      <c r="E55" s="16" t="s">
        <v>120</v>
      </c>
      <c r="F55" s="16" t="s">
        <v>120</v>
      </c>
      <c r="G55">
        <v>1174.15</v>
      </c>
      <c r="H55" s="17">
        <v>2042</v>
      </c>
      <c r="I55" s="16">
        <f t="shared" si="0"/>
        <v>1350.2725</v>
      </c>
      <c r="J55" s="16">
        <f t="shared" si="1"/>
        <v>1408.98</v>
      </c>
      <c r="K55" s="16">
        <f t="shared" si="2"/>
        <v>1526.395</v>
      </c>
      <c r="L55" s="16">
        <f t="shared" si="3"/>
        <v>1643.81</v>
      </c>
    </row>
    <row r="56" spans="2:12">
      <c r="B56" s="12" t="s">
        <v>121</v>
      </c>
      <c r="C56" s="16" t="s">
        <v>122</v>
      </c>
      <c r="D56" s="16" t="s">
        <v>122</v>
      </c>
      <c r="E56" s="16" t="s">
        <v>122</v>
      </c>
      <c r="F56" s="16" t="s">
        <v>122</v>
      </c>
      <c r="G56">
        <v>291.25</v>
      </c>
      <c r="H56" s="17">
        <v>506.53</v>
      </c>
      <c r="I56" s="16">
        <f t="shared" si="0"/>
        <v>334.9375</v>
      </c>
      <c r="J56" s="16">
        <f t="shared" si="1"/>
        <v>349.5</v>
      </c>
      <c r="K56" s="16">
        <f t="shared" si="2"/>
        <v>378.625</v>
      </c>
      <c r="L56" s="16">
        <f t="shared" si="3"/>
        <v>407.75</v>
      </c>
    </row>
    <row r="57" spans="2:12">
      <c r="B57" s="12" t="s">
        <v>123</v>
      </c>
      <c r="C57" s="16" t="s">
        <v>124</v>
      </c>
      <c r="D57" s="16" t="s">
        <v>124</v>
      </c>
      <c r="E57" s="16" t="s">
        <v>124</v>
      </c>
      <c r="F57" s="16" t="s">
        <v>124</v>
      </c>
      <c r="G57">
        <v>353.1</v>
      </c>
      <c r="H57" s="17">
        <v>614.09</v>
      </c>
      <c r="I57" s="16">
        <f t="shared" si="0"/>
        <v>406.065</v>
      </c>
      <c r="J57" s="16">
        <f t="shared" si="1"/>
        <v>423.72</v>
      </c>
      <c r="K57" s="16">
        <f t="shared" si="2"/>
        <v>459.03</v>
      </c>
      <c r="L57" s="16">
        <f t="shared" si="3"/>
        <v>494.34</v>
      </c>
    </row>
    <row r="58" spans="2:12">
      <c r="B58" s="12" t="s">
        <v>125</v>
      </c>
      <c r="C58" s="16" t="s">
        <v>126</v>
      </c>
      <c r="D58" s="16" t="s">
        <v>126</v>
      </c>
      <c r="E58" s="16" t="s">
        <v>126</v>
      </c>
      <c r="F58" s="16" t="s">
        <v>126</v>
      </c>
      <c r="G58">
        <v>528.07</v>
      </c>
      <c r="H58" s="17">
        <v>918.36</v>
      </c>
      <c r="I58" s="16">
        <f t="shared" si="0"/>
        <v>607.2805</v>
      </c>
      <c r="J58" s="16">
        <f t="shared" si="1"/>
        <v>633.684</v>
      </c>
      <c r="K58" s="16">
        <f t="shared" si="2"/>
        <v>686.491</v>
      </c>
      <c r="L58" s="16">
        <f t="shared" si="3"/>
        <v>739.298</v>
      </c>
    </row>
    <row r="59" spans="2:12">
      <c r="B59" s="12" t="s">
        <v>127</v>
      </c>
      <c r="C59" s="16" t="s">
        <v>128</v>
      </c>
      <c r="D59" s="16" t="s">
        <v>128</v>
      </c>
      <c r="E59" s="16" t="s">
        <v>128</v>
      </c>
      <c r="F59" s="16" t="s">
        <v>128</v>
      </c>
      <c r="G59">
        <v>890.7</v>
      </c>
      <c r="H59" s="17">
        <v>1549.06</v>
      </c>
      <c r="I59" s="16">
        <f t="shared" si="0"/>
        <v>1024.305</v>
      </c>
      <c r="J59" s="16">
        <f t="shared" si="1"/>
        <v>1068.84</v>
      </c>
      <c r="K59" s="16">
        <f t="shared" si="2"/>
        <v>1157.91</v>
      </c>
      <c r="L59" s="16">
        <f t="shared" si="3"/>
        <v>1246.98</v>
      </c>
    </row>
    <row r="60" spans="2:12">
      <c r="B60" s="12" t="s">
        <v>129</v>
      </c>
      <c r="C60" s="16" t="s">
        <v>130</v>
      </c>
      <c r="D60" s="16" t="s">
        <v>130</v>
      </c>
      <c r="E60" s="16" t="s">
        <v>130</v>
      </c>
      <c r="F60" s="16" t="s">
        <v>130</v>
      </c>
      <c r="G60">
        <v>290.53</v>
      </c>
      <c r="H60" s="17">
        <v>505.25</v>
      </c>
      <c r="I60" s="16">
        <f t="shared" si="0"/>
        <v>334.1095</v>
      </c>
      <c r="J60" s="16">
        <f t="shared" si="1"/>
        <v>348.636</v>
      </c>
      <c r="K60" s="16">
        <f t="shared" si="2"/>
        <v>377.689</v>
      </c>
      <c r="L60" s="16">
        <f t="shared" si="3"/>
        <v>406.742</v>
      </c>
    </row>
    <row r="61" spans="2:12">
      <c r="B61" s="12" t="s">
        <v>131</v>
      </c>
      <c r="C61" s="16" t="s">
        <v>132</v>
      </c>
      <c r="D61" s="16" t="s">
        <v>132</v>
      </c>
      <c r="E61" s="16" t="s">
        <v>132</v>
      </c>
      <c r="F61" s="16" t="s">
        <v>132</v>
      </c>
      <c r="G61">
        <v>709.77</v>
      </c>
      <c r="H61" s="17">
        <v>1234.38</v>
      </c>
      <c r="I61" s="16">
        <f t="shared" si="0"/>
        <v>816.2355</v>
      </c>
      <c r="J61" s="16">
        <f t="shared" si="1"/>
        <v>851.724</v>
      </c>
      <c r="K61" s="16">
        <f t="shared" si="2"/>
        <v>922.701</v>
      </c>
      <c r="L61" s="16">
        <f t="shared" si="3"/>
        <v>993.678</v>
      </c>
    </row>
    <row r="62" spans="2:12">
      <c r="B62" s="12" t="s">
        <v>133</v>
      </c>
      <c r="C62" s="16" t="s">
        <v>134</v>
      </c>
      <c r="D62" s="16" t="s">
        <v>134</v>
      </c>
      <c r="E62" s="16" t="s">
        <v>134</v>
      </c>
      <c r="F62" s="16" t="s">
        <v>134</v>
      </c>
      <c r="G62">
        <v>276.69</v>
      </c>
      <c r="H62" s="17">
        <v>481.19</v>
      </c>
      <c r="I62" s="16">
        <f t="shared" si="0"/>
        <v>318.1935</v>
      </c>
      <c r="J62" s="16">
        <f t="shared" si="1"/>
        <v>332.028</v>
      </c>
      <c r="K62" s="16">
        <f t="shared" si="2"/>
        <v>359.697</v>
      </c>
      <c r="L62" s="16">
        <f t="shared" si="3"/>
        <v>387.366</v>
      </c>
    </row>
    <row r="63" spans="2:12">
      <c r="B63" s="12" t="s">
        <v>135</v>
      </c>
      <c r="C63" s="16" t="s">
        <v>136</v>
      </c>
      <c r="D63" s="16" t="s">
        <v>136</v>
      </c>
      <c r="E63" s="16" t="s">
        <v>136</v>
      </c>
      <c r="F63" s="16" t="s">
        <v>136</v>
      </c>
      <c r="G63">
        <v>709.77</v>
      </c>
      <c r="H63" s="17">
        <v>1234.38</v>
      </c>
      <c r="I63" s="16">
        <f t="shared" si="0"/>
        <v>816.2355</v>
      </c>
      <c r="J63" s="16">
        <f t="shared" si="1"/>
        <v>851.724</v>
      </c>
      <c r="K63" s="16">
        <f t="shared" si="2"/>
        <v>922.701</v>
      </c>
      <c r="L63" s="16">
        <f t="shared" si="3"/>
        <v>993.678</v>
      </c>
    </row>
    <row r="64" spans="2:12">
      <c r="B64" s="12" t="s">
        <v>137</v>
      </c>
      <c r="C64" s="16" t="s">
        <v>138</v>
      </c>
      <c r="D64" s="16" t="s">
        <v>138</v>
      </c>
      <c r="E64" s="16" t="s">
        <v>138</v>
      </c>
      <c r="F64" s="16" t="s">
        <v>138</v>
      </c>
      <c r="G64">
        <v>815.38</v>
      </c>
      <c r="H64" s="17">
        <v>1418.05</v>
      </c>
      <c r="I64" s="16">
        <f t="shared" si="0"/>
        <v>937.687</v>
      </c>
      <c r="J64" s="16">
        <f t="shared" si="1"/>
        <v>978.456</v>
      </c>
      <c r="K64" s="16">
        <f t="shared" si="2"/>
        <v>1059.994</v>
      </c>
      <c r="L64" s="16">
        <f t="shared" si="3"/>
        <v>1141.532</v>
      </c>
    </row>
    <row r="65" spans="2:12">
      <c r="B65" s="12" t="s">
        <v>139</v>
      </c>
      <c r="C65" s="16" t="s">
        <v>140</v>
      </c>
      <c r="D65" s="16" t="s">
        <v>140</v>
      </c>
      <c r="E65" s="16" t="s">
        <v>140</v>
      </c>
      <c r="F65" s="16" t="s">
        <v>140</v>
      </c>
      <c r="G65">
        <v>1118.24</v>
      </c>
      <c r="H65" s="17">
        <v>1944.77</v>
      </c>
      <c r="I65" s="16">
        <f t="shared" si="0"/>
        <v>1285.976</v>
      </c>
      <c r="J65" s="16">
        <f t="shared" si="1"/>
        <v>1341.888</v>
      </c>
      <c r="K65" s="16">
        <f t="shared" si="2"/>
        <v>1453.712</v>
      </c>
      <c r="L65" s="16">
        <f t="shared" si="3"/>
        <v>1565.536</v>
      </c>
    </row>
    <row r="66" spans="2:12">
      <c r="B66" s="12" t="s">
        <v>141</v>
      </c>
      <c r="C66" s="16" t="s">
        <v>142</v>
      </c>
      <c r="D66" s="16" t="s">
        <v>142</v>
      </c>
      <c r="E66" s="16" t="s">
        <v>142</v>
      </c>
      <c r="F66" s="16" t="s">
        <v>142</v>
      </c>
      <c r="G66">
        <v>815.38</v>
      </c>
      <c r="H66" s="17">
        <v>1418.05</v>
      </c>
      <c r="I66" s="16">
        <f t="shared" ref="I66:I129" si="4">G66*1.15</f>
        <v>937.687</v>
      </c>
      <c r="J66" s="16">
        <f t="shared" ref="J66:J129" si="5">G66*1.2</f>
        <v>978.456</v>
      </c>
      <c r="K66" s="16">
        <f t="shared" ref="K66:K129" si="6">G66*1.3</f>
        <v>1059.994</v>
      </c>
      <c r="L66" s="16">
        <f t="shared" ref="L66:L129" si="7">G66*1.4</f>
        <v>1141.532</v>
      </c>
    </row>
    <row r="67" spans="2:12">
      <c r="B67" s="12" t="s">
        <v>143</v>
      </c>
      <c r="C67" s="16" t="s">
        <v>144</v>
      </c>
      <c r="D67" s="16" t="s">
        <v>144</v>
      </c>
      <c r="E67" s="16" t="s">
        <v>144</v>
      </c>
      <c r="F67" s="16" t="s">
        <v>144</v>
      </c>
      <c r="G67">
        <v>1118.24</v>
      </c>
      <c r="H67" s="17">
        <v>1944.77</v>
      </c>
      <c r="I67" s="16">
        <f t="shared" si="4"/>
        <v>1285.976</v>
      </c>
      <c r="J67" s="16">
        <f t="shared" si="5"/>
        <v>1341.888</v>
      </c>
      <c r="K67" s="16">
        <f t="shared" si="6"/>
        <v>1453.712</v>
      </c>
      <c r="L67" s="16">
        <f t="shared" si="7"/>
        <v>1565.536</v>
      </c>
    </row>
    <row r="68" spans="2:12">
      <c r="B68" s="12" t="s">
        <v>145</v>
      </c>
      <c r="C68" s="16" t="s">
        <v>146</v>
      </c>
      <c r="D68" s="16" t="s">
        <v>146</v>
      </c>
      <c r="E68" s="16" t="s">
        <v>146</v>
      </c>
      <c r="F68" s="16" t="s">
        <v>146</v>
      </c>
      <c r="G68">
        <v>797.3</v>
      </c>
      <c r="H68" s="17">
        <v>1386.61</v>
      </c>
      <c r="I68" s="16">
        <f t="shared" si="4"/>
        <v>916.895</v>
      </c>
      <c r="J68" s="16">
        <f t="shared" si="5"/>
        <v>956.76</v>
      </c>
      <c r="K68" s="16">
        <f t="shared" si="6"/>
        <v>1036.49</v>
      </c>
      <c r="L68" s="16">
        <f t="shared" si="7"/>
        <v>1116.22</v>
      </c>
    </row>
    <row r="69" spans="2:12">
      <c r="B69" s="12" t="s">
        <v>147</v>
      </c>
      <c r="C69" s="16" t="s">
        <v>148</v>
      </c>
      <c r="D69" s="16" t="s">
        <v>148</v>
      </c>
      <c r="E69" s="16" t="s">
        <v>148</v>
      </c>
      <c r="F69" s="16" t="s">
        <v>148</v>
      </c>
      <c r="G69">
        <v>945.06</v>
      </c>
      <c r="H69" s="17">
        <v>1643.59</v>
      </c>
      <c r="I69" s="16">
        <f t="shared" si="4"/>
        <v>1086.819</v>
      </c>
      <c r="J69" s="16">
        <f t="shared" si="5"/>
        <v>1134.072</v>
      </c>
      <c r="K69" s="16">
        <f t="shared" si="6"/>
        <v>1228.578</v>
      </c>
      <c r="L69" s="16">
        <f t="shared" si="7"/>
        <v>1323.084</v>
      </c>
    </row>
    <row r="70" spans="2:12">
      <c r="B70" s="12" t="s">
        <v>149</v>
      </c>
      <c r="C70" s="16" t="s">
        <v>150</v>
      </c>
      <c r="D70" s="16" t="s">
        <v>150</v>
      </c>
      <c r="E70" s="16" t="s">
        <v>150</v>
      </c>
      <c r="F70" s="16" t="s">
        <v>150</v>
      </c>
      <c r="G70">
        <v>1181.15</v>
      </c>
      <c r="H70" s="17">
        <v>2054.17</v>
      </c>
      <c r="I70" s="16">
        <f t="shared" si="4"/>
        <v>1358.3225</v>
      </c>
      <c r="J70" s="16">
        <f t="shared" si="5"/>
        <v>1417.38</v>
      </c>
      <c r="K70" s="16">
        <f t="shared" si="6"/>
        <v>1535.495</v>
      </c>
      <c r="L70" s="16">
        <f t="shared" si="7"/>
        <v>1653.61</v>
      </c>
    </row>
    <row r="71" spans="2:12">
      <c r="B71" s="12" t="s">
        <v>151</v>
      </c>
      <c r="C71" s="16" t="s">
        <v>152</v>
      </c>
      <c r="D71" s="16" t="s">
        <v>152</v>
      </c>
      <c r="E71" s="16" t="s">
        <v>152</v>
      </c>
      <c r="F71" s="16" t="s">
        <v>152</v>
      </c>
      <c r="G71">
        <v>1574.86</v>
      </c>
      <c r="H71" s="17">
        <v>2738.9</v>
      </c>
      <c r="I71" s="16">
        <f t="shared" si="4"/>
        <v>1811.089</v>
      </c>
      <c r="J71" s="16">
        <f t="shared" si="5"/>
        <v>1889.832</v>
      </c>
      <c r="K71" s="16">
        <f t="shared" si="6"/>
        <v>2047.318</v>
      </c>
      <c r="L71" s="16">
        <f t="shared" si="7"/>
        <v>2204.804</v>
      </c>
    </row>
    <row r="72" spans="2:12">
      <c r="B72" s="12" t="s">
        <v>153</v>
      </c>
      <c r="C72" s="16" t="s">
        <v>154</v>
      </c>
      <c r="D72" s="16" t="s">
        <v>154</v>
      </c>
      <c r="E72" s="16" t="s">
        <v>154</v>
      </c>
      <c r="F72" s="16" t="s">
        <v>154</v>
      </c>
      <c r="G72">
        <v>945.06</v>
      </c>
      <c r="H72" s="17">
        <v>1643.59</v>
      </c>
      <c r="I72" s="16">
        <f t="shared" si="4"/>
        <v>1086.819</v>
      </c>
      <c r="J72" s="16">
        <f t="shared" si="5"/>
        <v>1134.072</v>
      </c>
      <c r="K72" s="16">
        <f t="shared" si="6"/>
        <v>1228.578</v>
      </c>
      <c r="L72" s="16">
        <f t="shared" si="7"/>
        <v>1323.084</v>
      </c>
    </row>
    <row r="73" spans="2:12">
      <c r="B73" s="12" t="s">
        <v>155</v>
      </c>
      <c r="C73" s="16" t="s">
        <v>156</v>
      </c>
      <c r="D73" s="16" t="s">
        <v>156</v>
      </c>
      <c r="E73" s="16" t="s">
        <v>156</v>
      </c>
      <c r="F73" s="16" t="s">
        <v>156</v>
      </c>
      <c r="G73">
        <v>1181.15</v>
      </c>
      <c r="H73" s="17">
        <v>2054.17</v>
      </c>
      <c r="I73" s="16">
        <f t="shared" si="4"/>
        <v>1358.3225</v>
      </c>
      <c r="J73" s="16">
        <f t="shared" si="5"/>
        <v>1417.38</v>
      </c>
      <c r="K73" s="16">
        <f t="shared" si="6"/>
        <v>1535.495</v>
      </c>
      <c r="L73" s="16">
        <f t="shared" si="7"/>
        <v>1653.61</v>
      </c>
    </row>
    <row r="74" spans="2:12">
      <c r="B74" s="12" t="s">
        <v>157</v>
      </c>
      <c r="C74" s="16" t="s">
        <v>158</v>
      </c>
      <c r="D74" s="16" t="s">
        <v>158</v>
      </c>
      <c r="E74" s="16" t="s">
        <v>158</v>
      </c>
      <c r="F74" s="16" t="s">
        <v>158</v>
      </c>
      <c r="G74">
        <v>1574.86</v>
      </c>
      <c r="H74" s="17">
        <v>2738.9</v>
      </c>
      <c r="I74" s="16">
        <f t="shared" si="4"/>
        <v>1811.089</v>
      </c>
      <c r="J74" s="16">
        <f t="shared" si="5"/>
        <v>1889.832</v>
      </c>
      <c r="K74" s="16">
        <f t="shared" si="6"/>
        <v>2047.318</v>
      </c>
      <c r="L74" s="16">
        <f t="shared" si="7"/>
        <v>2204.804</v>
      </c>
    </row>
    <row r="75" spans="2:12">
      <c r="B75" s="12" t="s">
        <v>159</v>
      </c>
      <c r="C75" s="16" t="s">
        <v>160</v>
      </c>
      <c r="D75" s="16" t="s">
        <v>160</v>
      </c>
      <c r="E75" s="16" t="s">
        <v>160</v>
      </c>
      <c r="F75" s="16" t="s">
        <v>160</v>
      </c>
      <c r="G75">
        <v>1830.52</v>
      </c>
      <c r="H75" s="17">
        <v>3183.51</v>
      </c>
      <c r="I75" s="16">
        <f t="shared" si="4"/>
        <v>2105.098</v>
      </c>
      <c r="J75" s="16">
        <f t="shared" si="5"/>
        <v>2196.624</v>
      </c>
      <c r="K75" s="16">
        <f t="shared" si="6"/>
        <v>2379.676</v>
      </c>
      <c r="L75" s="16">
        <f t="shared" si="7"/>
        <v>2562.728</v>
      </c>
    </row>
    <row r="76" spans="2:12">
      <c r="B76" s="12" t="s">
        <v>161</v>
      </c>
      <c r="C76" s="16" t="s">
        <v>162</v>
      </c>
      <c r="D76" s="16" t="s">
        <v>162</v>
      </c>
      <c r="E76" s="16" t="s">
        <v>162</v>
      </c>
      <c r="F76" s="16" t="s">
        <v>162</v>
      </c>
      <c r="G76">
        <v>1709.94</v>
      </c>
      <c r="H76" s="17">
        <v>2999.91</v>
      </c>
      <c r="I76" s="16">
        <f t="shared" si="4"/>
        <v>1966.431</v>
      </c>
      <c r="J76" s="16">
        <f t="shared" si="5"/>
        <v>2051.928</v>
      </c>
      <c r="K76" s="16">
        <f t="shared" si="6"/>
        <v>2222.922</v>
      </c>
      <c r="L76" s="16">
        <f t="shared" si="7"/>
        <v>2393.916</v>
      </c>
    </row>
    <row r="77" spans="2:12">
      <c r="B77" s="12" t="s">
        <v>163</v>
      </c>
      <c r="C77" s="16" t="s">
        <v>164</v>
      </c>
      <c r="D77" s="16" t="s">
        <v>164</v>
      </c>
      <c r="E77" s="16" t="s">
        <v>164</v>
      </c>
      <c r="F77" s="16" t="s">
        <v>164</v>
      </c>
      <c r="G77">
        <v>1493.22</v>
      </c>
      <c r="H77" s="17">
        <v>2596.91</v>
      </c>
      <c r="I77" s="16">
        <f t="shared" si="4"/>
        <v>1717.203</v>
      </c>
      <c r="J77" s="16">
        <f t="shared" si="5"/>
        <v>1791.864</v>
      </c>
      <c r="K77" s="16">
        <f t="shared" si="6"/>
        <v>1941.186</v>
      </c>
      <c r="L77" s="16">
        <f t="shared" si="7"/>
        <v>2090.508</v>
      </c>
    </row>
    <row r="78" spans="2:12">
      <c r="B78" s="12" t="s">
        <v>165</v>
      </c>
      <c r="C78" s="16" t="s">
        <v>166</v>
      </c>
      <c r="D78" s="16" t="s">
        <v>166</v>
      </c>
      <c r="E78" s="16" t="s">
        <v>166</v>
      </c>
      <c r="F78" s="16" t="s">
        <v>166</v>
      </c>
      <c r="G78">
        <v>595.55</v>
      </c>
      <c r="H78" s="17">
        <v>1035.74</v>
      </c>
      <c r="I78" s="16">
        <f t="shared" si="4"/>
        <v>684.8825</v>
      </c>
      <c r="J78" s="16">
        <f t="shared" si="5"/>
        <v>714.66</v>
      </c>
      <c r="K78" s="16">
        <f t="shared" si="6"/>
        <v>774.215</v>
      </c>
      <c r="L78" s="16">
        <f t="shared" si="7"/>
        <v>833.77</v>
      </c>
    </row>
    <row r="79" spans="2:12">
      <c r="B79" s="12" t="s">
        <v>167</v>
      </c>
      <c r="C79" s="16" t="s">
        <v>168</v>
      </c>
      <c r="D79" s="16" t="s">
        <v>168</v>
      </c>
      <c r="E79" s="16" t="s">
        <v>168</v>
      </c>
      <c r="F79" s="16" t="s">
        <v>168</v>
      </c>
      <c r="G79">
        <v>795.73</v>
      </c>
      <c r="H79" s="17">
        <v>1383.87</v>
      </c>
      <c r="I79" s="16">
        <f t="shared" si="4"/>
        <v>915.0895</v>
      </c>
      <c r="J79" s="16">
        <f t="shared" si="5"/>
        <v>954.876</v>
      </c>
      <c r="K79" s="16">
        <f t="shared" si="6"/>
        <v>1034.449</v>
      </c>
      <c r="L79" s="16">
        <f t="shared" si="7"/>
        <v>1114.022</v>
      </c>
    </row>
    <row r="80" spans="2:12">
      <c r="B80" s="12" t="s">
        <v>169</v>
      </c>
      <c r="C80" s="16" t="s">
        <v>170</v>
      </c>
      <c r="D80" s="16" t="s">
        <v>170</v>
      </c>
      <c r="E80" s="16" t="s">
        <v>170</v>
      </c>
      <c r="F80" s="16" t="s">
        <v>170</v>
      </c>
      <c r="G80">
        <v>1749.95</v>
      </c>
      <c r="H80" s="17">
        <v>3043.39</v>
      </c>
      <c r="I80" s="16">
        <f t="shared" si="4"/>
        <v>2012.4425</v>
      </c>
      <c r="J80" s="16">
        <f t="shared" si="5"/>
        <v>2099.94</v>
      </c>
      <c r="K80" s="16">
        <f t="shared" si="6"/>
        <v>2274.935</v>
      </c>
      <c r="L80" s="16">
        <f t="shared" si="7"/>
        <v>2449.93</v>
      </c>
    </row>
    <row r="81" spans="2:12">
      <c r="B81" s="12" t="s">
        <v>171</v>
      </c>
      <c r="C81" s="16" t="s">
        <v>172</v>
      </c>
      <c r="D81" s="16" t="s">
        <v>172</v>
      </c>
      <c r="E81" s="16" t="s">
        <v>172</v>
      </c>
      <c r="F81" s="16" t="s">
        <v>172</v>
      </c>
      <c r="G81">
        <v>2106.79</v>
      </c>
      <c r="H81" s="17">
        <v>3663.99</v>
      </c>
      <c r="I81" s="16">
        <f t="shared" si="4"/>
        <v>2422.8085</v>
      </c>
      <c r="J81" s="16">
        <f t="shared" si="5"/>
        <v>2528.148</v>
      </c>
      <c r="K81" s="16">
        <f t="shared" si="6"/>
        <v>2738.827</v>
      </c>
      <c r="L81" s="16">
        <f t="shared" si="7"/>
        <v>2949.506</v>
      </c>
    </row>
    <row r="82" spans="2:12">
      <c r="B82" s="12" t="s">
        <v>173</v>
      </c>
      <c r="C82" s="16" t="s">
        <v>174</v>
      </c>
      <c r="D82" s="16" t="s">
        <v>174</v>
      </c>
      <c r="E82" s="16" t="s">
        <v>174</v>
      </c>
      <c r="F82" s="16" t="s">
        <v>174</v>
      </c>
      <c r="G82">
        <v>2350.64</v>
      </c>
      <c r="H82" s="17">
        <v>4088.07</v>
      </c>
      <c r="I82" s="16">
        <f t="shared" si="4"/>
        <v>2703.236</v>
      </c>
      <c r="J82" s="16">
        <f t="shared" si="5"/>
        <v>2820.768</v>
      </c>
      <c r="K82" s="16">
        <f t="shared" si="6"/>
        <v>3055.832</v>
      </c>
      <c r="L82" s="16">
        <f t="shared" si="7"/>
        <v>3290.896</v>
      </c>
    </row>
    <row r="83" spans="2:12">
      <c r="B83" s="12" t="s">
        <v>175</v>
      </c>
      <c r="C83" s="16" t="s">
        <v>176</v>
      </c>
      <c r="D83" s="16" t="s">
        <v>176</v>
      </c>
      <c r="E83" s="16" t="s">
        <v>176</v>
      </c>
      <c r="F83" s="16" t="s">
        <v>176</v>
      </c>
      <c r="G83">
        <v>2350.64</v>
      </c>
      <c r="H83" s="17">
        <v>4088.07</v>
      </c>
      <c r="I83" s="16">
        <f t="shared" si="4"/>
        <v>2703.236</v>
      </c>
      <c r="J83" s="16">
        <f t="shared" si="5"/>
        <v>2820.768</v>
      </c>
      <c r="K83" s="16">
        <f t="shared" si="6"/>
        <v>3055.832</v>
      </c>
      <c r="L83" s="16">
        <f t="shared" si="7"/>
        <v>3290.896</v>
      </c>
    </row>
    <row r="84" spans="2:12">
      <c r="B84" s="12" t="s">
        <v>177</v>
      </c>
      <c r="C84" s="16" t="s">
        <v>178</v>
      </c>
      <c r="D84" s="16" t="s">
        <v>178</v>
      </c>
      <c r="E84" s="16" t="s">
        <v>178</v>
      </c>
      <c r="F84" s="16" t="s">
        <v>178</v>
      </c>
      <c r="G84">
        <v>1887.8</v>
      </c>
      <c r="H84" s="17">
        <v>3283.14</v>
      </c>
      <c r="I84" s="16">
        <f t="shared" si="4"/>
        <v>2170.97</v>
      </c>
      <c r="J84" s="16">
        <f t="shared" si="5"/>
        <v>2265.36</v>
      </c>
      <c r="K84" s="16">
        <f t="shared" si="6"/>
        <v>2454.14</v>
      </c>
      <c r="L84" s="16">
        <f t="shared" si="7"/>
        <v>2642.92</v>
      </c>
    </row>
    <row r="85" spans="2:12">
      <c r="B85" s="12" t="s">
        <v>179</v>
      </c>
      <c r="C85" s="16" t="s">
        <v>180</v>
      </c>
      <c r="D85" s="16" t="s">
        <v>180</v>
      </c>
      <c r="E85" s="16" t="s">
        <v>180</v>
      </c>
      <c r="F85" s="16" t="s">
        <v>180</v>
      </c>
      <c r="G85">
        <v>2106.79</v>
      </c>
      <c r="H85" s="17">
        <v>3663.99</v>
      </c>
      <c r="I85" s="16">
        <f t="shared" si="4"/>
        <v>2422.8085</v>
      </c>
      <c r="J85" s="16">
        <f t="shared" si="5"/>
        <v>2528.148</v>
      </c>
      <c r="K85" s="16">
        <f t="shared" si="6"/>
        <v>2738.827</v>
      </c>
      <c r="L85" s="16">
        <f t="shared" si="7"/>
        <v>2949.506</v>
      </c>
    </row>
    <row r="86" spans="2:12">
      <c r="B86" s="12" t="s">
        <v>181</v>
      </c>
      <c r="C86" s="16" t="s">
        <v>182</v>
      </c>
      <c r="D86" s="16" t="s">
        <v>182</v>
      </c>
      <c r="E86" s="16" t="s">
        <v>182</v>
      </c>
      <c r="F86" s="16" t="s">
        <v>182</v>
      </c>
      <c r="G86">
        <v>637.55</v>
      </c>
      <c r="H86" s="17">
        <v>1108.77</v>
      </c>
      <c r="I86" s="16">
        <f t="shared" si="4"/>
        <v>733.1825</v>
      </c>
      <c r="J86" s="16">
        <f t="shared" si="5"/>
        <v>765.06</v>
      </c>
      <c r="K86" s="16">
        <f t="shared" si="6"/>
        <v>828.815</v>
      </c>
      <c r="L86" s="16">
        <f t="shared" si="7"/>
        <v>892.57</v>
      </c>
    </row>
    <row r="87" spans="2:12">
      <c r="B87" s="12" t="s">
        <v>183</v>
      </c>
      <c r="C87" s="16" t="s">
        <v>184</v>
      </c>
      <c r="D87" s="16" t="s">
        <v>184</v>
      </c>
      <c r="E87" s="16" t="s">
        <v>184</v>
      </c>
      <c r="F87" s="16" t="s">
        <v>184</v>
      </c>
      <c r="G87">
        <v>678.7</v>
      </c>
      <c r="H87" s="17">
        <v>1180.37</v>
      </c>
      <c r="I87" s="16">
        <f t="shared" si="4"/>
        <v>780.505</v>
      </c>
      <c r="J87" s="16">
        <f t="shared" si="5"/>
        <v>814.44</v>
      </c>
      <c r="K87" s="16">
        <f t="shared" si="6"/>
        <v>882.31</v>
      </c>
      <c r="L87" s="16">
        <f t="shared" si="7"/>
        <v>950.18</v>
      </c>
    </row>
    <row r="88" spans="2:12">
      <c r="B88" s="12" t="s">
        <v>185</v>
      </c>
      <c r="C88" s="16" t="s">
        <v>186</v>
      </c>
      <c r="D88" s="16" t="s">
        <v>186</v>
      </c>
      <c r="E88" s="16" t="s">
        <v>186</v>
      </c>
      <c r="F88" s="16" t="s">
        <v>186</v>
      </c>
      <c r="G88">
        <v>959.82</v>
      </c>
      <c r="H88" s="17">
        <v>1669.26</v>
      </c>
      <c r="I88" s="16">
        <f t="shared" si="4"/>
        <v>1103.793</v>
      </c>
      <c r="J88" s="16">
        <f t="shared" si="5"/>
        <v>1151.784</v>
      </c>
      <c r="K88" s="16">
        <f t="shared" si="6"/>
        <v>1247.766</v>
      </c>
      <c r="L88" s="16">
        <f t="shared" si="7"/>
        <v>1343.748</v>
      </c>
    </row>
    <row r="89" spans="2:12">
      <c r="B89" s="12" t="s">
        <v>187</v>
      </c>
      <c r="C89" s="16" t="s">
        <v>188</v>
      </c>
      <c r="D89" s="16" t="s">
        <v>188</v>
      </c>
      <c r="E89" s="16" t="s">
        <v>188</v>
      </c>
      <c r="F89" s="16" t="s">
        <v>188</v>
      </c>
      <c r="G89">
        <v>1463.81</v>
      </c>
      <c r="H89" s="17">
        <v>2545.76</v>
      </c>
      <c r="I89" s="16">
        <f t="shared" si="4"/>
        <v>1683.3815</v>
      </c>
      <c r="J89" s="16">
        <f t="shared" si="5"/>
        <v>1756.572</v>
      </c>
      <c r="K89" s="16">
        <f t="shared" si="6"/>
        <v>1902.953</v>
      </c>
      <c r="L89" s="16">
        <f t="shared" si="7"/>
        <v>2049.334</v>
      </c>
    </row>
    <row r="90" spans="2:12">
      <c r="B90" s="12" t="s">
        <v>189</v>
      </c>
      <c r="C90" s="16" t="s">
        <v>190</v>
      </c>
      <c r="D90" s="16" t="s">
        <v>190</v>
      </c>
      <c r="E90" s="16" t="s">
        <v>190</v>
      </c>
      <c r="F90" s="16" t="s">
        <v>190</v>
      </c>
      <c r="G90">
        <v>1893.25</v>
      </c>
      <c r="H90" s="17">
        <v>3292.6</v>
      </c>
      <c r="I90" s="16">
        <f t="shared" si="4"/>
        <v>2177.2375</v>
      </c>
      <c r="J90" s="16">
        <f t="shared" si="5"/>
        <v>2271.9</v>
      </c>
      <c r="K90" s="16">
        <f t="shared" si="6"/>
        <v>2461.225</v>
      </c>
      <c r="L90" s="16">
        <f t="shared" si="7"/>
        <v>2650.55</v>
      </c>
    </row>
    <row r="91" spans="2:12">
      <c r="B91" s="12" t="s">
        <v>191</v>
      </c>
      <c r="C91" s="16" t="s">
        <v>192</v>
      </c>
      <c r="D91" s="16" t="s">
        <v>192</v>
      </c>
      <c r="E91" s="16" t="s">
        <v>192</v>
      </c>
      <c r="F91" s="16" t="s">
        <v>192</v>
      </c>
      <c r="G91">
        <v>2109.13</v>
      </c>
      <c r="H91" s="17">
        <v>3668.05</v>
      </c>
      <c r="I91" s="16">
        <f t="shared" si="4"/>
        <v>2425.4995</v>
      </c>
      <c r="J91" s="16">
        <f t="shared" si="5"/>
        <v>2530.956</v>
      </c>
      <c r="K91" s="16">
        <f t="shared" si="6"/>
        <v>2741.869</v>
      </c>
      <c r="L91" s="16">
        <f t="shared" si="7"/>
        <v>2952.782</v>
      </c>
    </row>
    <row r="92" spans="2:12">
      <c r="B92" s="12" t="s">
        <v>193</v>
      </c>
      <c r="C92" s="16" t="s">
        <v>194</v>
      </c>
      <c r="D92" s="16" t="s">
        <v>194</v>
      </c>
      <c r="E92" s="16" t="s">
        <v>194</v>
      </c>
      <c r="F92" s="16" t="s">
        <v>194</v>
      </c>
      <c r="G92">
        <v>744.71</v>
      </c>
      <c r="H92" s="17">
        <v>1295.15</v>
      </c>
      <c r="I92" s="16">
        <f t="shared" si="4"/>
        <v>856.4165</v>
      </c>
      <c r="J92" s="16">
        <f t="shared" si="5"/>
        <v>893.652</v>
      </c>
      <c r="K92" s="16">
        <f t="shared" si="6"/>
        <v>968.123</v>
      </c>
      <c r="L92" s="16">
        <f t="shared" si="7"/>
        <v>1042.594</v>
      </c>
    </row>
    <row r="93" spans="2:12">
      <c r="B93" s="12" t="s">
        <v>195</v>
      </c>
      <c r="C93" s="16" t="s">
        <v>196</v>
      </c>
      <c r="D93" s="16" t="s">
        <v>196</v>
      </c>
      <c r="E93" s="16" t="s">
        <v>196</v>
      </c>
      <c r="F93" s="16" t="s">
        <v>196</v>
      </c>
      <c r="G93">
        <v>1249.48</v>
      </c>
      <c r="H93" s="17">
        <v>2173.01</v>
      </c>
      <c r="I93" s="16">
        <f t="shared" si="4"/>
        <v>1436.902</v>
      </c>
      <c r="J93" s="16">
        <f t="shared" si="5"/>
        <v>1499.376</v>
      </c>
      <c r="K93" s="16">
        <f t="shared" si="6"/>
        <v>1624.324</v>
      </c>
      <c r="L93" s="16">
        <f t="shared" si="7"/>
        <v>1749.272</v>
      </c>
    </row>
    <row r="94" spans="2:12">
      <c r="B94" s="12" t="s">
        <v>197</v>
      </c>
      <c r="C94" s="16" t="s">
        <v>198</v>
      </c>
      <c r="D94" s="16" t="s">
        <v>198</v>
      </c>
      <c r="E94" s="16" t="s">
        <v>198</v>
      </c>
      <c r="F94" s="16" t="s">
        <v>198</v>
      </c>
      <c r="G94">
        <v>1414.88</v>
      </c>
      <c r="H94" s="17">
        <v>2460.66</v>
      </c>
      <c r="I94" s="16">
        <f t="shared" si="4"/>
        <v>1627.112</v>
      </c>
      <c r="J94" s="16">
        <f t="shared" si="5"/>
        <v>1697.856</v>
      </c>
      <c r="K94" s="16">
        <f t="shared" si="6"/>
        <v>1839.344</v>
      </c>
      <c r="L94" s="16">
        <f t="shared" si="7"/>
        <v>1980.832</v>
      </c>
    </row>
    <row r="95" spans="2:12">
      <c r="B95" s="12" t="s">
        <v>199</v>
      </c>
      <c r="C95" s="16" t="s">
        <v>200</v>
      </c>
      <c r="D95" s="16" t="s">
        <v>200</v>
      </c>
      <c r="E95" s="16" t="s">
        <v>200</v>
      </c>
      <c r="F95" s="16" t="s">
        <v>200</v>
      </c>
      <c r="G95">
        <v>878.29</v>
      </c>
      <c r="H95" s="17">
        <v>1527.46</v>
      </c>
      <c r="I95" s="16">
        <f t="shared" si="4"/>
        <v>1010.0335</v>
      </c>
      <c r="J95" s="16">
        <f t="shared" si="5"/>
        <v>1053.948</v>
      </c>
      <c r="K95" s="16">
        <f t="shared" si="6"/>
        <v>1141.777</v>
      </c>
      <c r="L95" s="16">
        <f t="shared" si="7"/>
        <v>1229.606</v>
      </c>
    </row>
    <row r="96" spans="2:12">
      <c r="B96" s="12" t="s">
        <v>201</v>
      </c>
      <c r="C96" s="16" t="s">
        <v>202</v>
      </c>
      <c r="D96" s="16" t="s">
        <v>202</v>
      </c>
      <c r="E96" s="16" t="s">
        <v>202</v>
      </c>
      <c r="F96" s="16" t="s">
        <v>202</v>
      </c>
      <c r="G96">
        <v>16.72</v>
      </c>
      <c r="H96" s="17">
        <v>26.74</v>
      </c>
      <c r="I96" s="16">
        <f t="shared" si="4"/>
        <v>19.228</v>
      </c>
      <c r="J96" s="16">
        <f t="shared" si="5"/>
        <v>20.064</v>
      </c>
      <c r="K96" s="16">
        <f t="shared" si="6"/>
        <v>21.736</v>
      </c>
      <c r="L96" s="16">
        <f t="shared" si="7"/>
        <v>23.408</v>
      </c>
    </row>
    <row r="97" spans="2:12">
      <c r="B97" s="12" t="s">
        <v>203</v>
      </c>
      <c r="C97" s="16" t="s">
        <v>204</v>
      </c>
      <c r="D97" s="16" t="s">
        <v>204</v>
      </c>
      <c r="E97" s="16" t="s">
        <v>204</v>
      </c>
      <c r="F97" s="16" t="s">
        <v>204</v>
      </c>
      <c r="G97">
        <v>22.11</v>
      </c>
      <c r="H97" s="17">
        <v>35.39</v>
      </c>
      <c r="I97" s="16">
        <f t="shared" si="4"/>
        <v>25.4265</v>
      </c>
      <c r="J97" s="16">
        <f t="shared" si="5"/>
        <v>26.532</v>
      </c>
      <c r="K97" s="16">
        <f t="shared" si="6"/>
        <v>28.743</v>
      </c>
      <c r="L97" s="16">
        <f t="shared" si="7"/>
        <v>30.954</v>
      </c>
    </row>
    <row r="98" spans="2:12">
      <c r="B98" s="12" t="s">
        <v>205</v>
      </c>
      <c r="C98" s="16" t="s">
        <v>206</v>
      </c>
      <c r="D98" s="16" t="s">
        <v>206</v>
      </c>
      <c r="E98" s="16" t="s">
        <v>206</v>
      </c>
      <c r="F98" s="16" t="s">
        <v>206</v>
      </c>
      <c r="G98">
        <v>18.87</v>
      </c>
      <c r="H98" s="17">
        <v>32.82</v>
      </c>
      <c r="I98" s="16">
        <f t="shared" si="4"/>
        <v>21.7005</v>
      </c>
      <c r="J98" s="16">
        <f t="shared" si="5"/>
        <v>22.644</v>
      </c>
      <c r="K98" s="16">
        <f t="shared" si="6"/>
        <v>24.531</v>
      </c>
      <c r="L98" s="16">
        <f t="shared" si="7"/>
        <v>26.418</v>
      </c>
    </row>
    <row r="99" spans="2:12">
      <c r="B99" s="12" t="s">
        <v>207</v>
      </c>
      <c r="C99" s="16" t="s">
        <v>208</v>
      </c>
      <c r="D99" s="16" t="s">
        <v>208</v>
      </c>
      <c r="E99" s="16" t="s">
        <v>208</v>
      </c>
      <c r="F99" s="16" t="s">
        <v>208</v>
      </c>
      <c r="G99">
        <v>30.93</v>
      </c>
      <c r="H99" s="17">
        <v>49.5</v>
      </c>
      <c r="I99" s="16">
        <f t="shared" si="4"/>
        <v>35.5695</v>
      </c>
      <c r="J99" s="16">
        <f t="shared" si="5"/>
        <v>37.116</v>
      </c>
      <c r="K99" s="16">
        <f t="shared" si="6"/>
        <v>40.209</v>
      </c>
      <c r="L99" s="16">
        <f t="shared" si="7"/>
        <v>43.302</v>
      </c>
    </row>
    <row r="100" spans="2:12">
      <c r="B100" s="12" t="s">
        <v>209</v>
      </c>
      <c r="C100" s="16" t="s">
        <v>210</v>
      </c>
      <c r="D100" s="16" t="s">
        <v>210</v>
      </c>
      <c r="E100" s="16" t="s">
        <v>210</v>
      </c>
      <c r="F100" s="16" t="s">
        <v>210</v>
      </c>
      <c r="G100">
        <v>1183.5</v>
      </c>
      <c r="H100" s="17">
        <v>2076.32</v>
      </c>
      <c r="I100" s="16">
        <f t="shared" si="4"/>
        <v>1361.025</v>
      </c>
      <c r="J100" s="16">
        <f t="shared" si="5"/>
        <v>1420.2</v>
      </c>
      <c r="K100" s="16">
        <f t="shared" si="6"/>
        <v>1538.55</v>
      </c>
      <c r="L100" s="16">
        <f t="shared" si="7"/>
        <v>1656.9</v>
      </c>
    </row>
    <row r="101" spans="2:12">
      <c r="B101" s="12" t="s">
        <v>211</v>
      </c>
      <c r="C101" s="16" t="s">
        <v>212</v>
      </c>
      <c r="D101" s="16" t="s">
        <v>212</v>
      </c>
      <c r="E101" s="16" t="s">
        <v>212</v>
      </c>
      <c r="F101" s="16" t="s">
        <v>212</v>
      </c>
      <c r="G101">
        <v>1898.4</v>
      </c>
      <c r="H101" s="17">
        <v>3300.85</v>
      </c>
      <c r="I101" s="16">
        <f t="shared" si="4"/>
        <v>2183.16</v>
      </c>
      <c r="J101" s="16">
        <f t="shared" si="5"/>
        <v>2278.08</v>
      </c>
      <c r="K101" s="16">
        <f t="shared" si="6"/>
        <v>2467.92</v>
      </c>
      <c r="L101" s="16">
        <f t="shared" si="7"/>
        <v>2657.76</v>
      </c>
    </row>
    <row r="102" spans="2:12">
      <c r="B102" s="12" t="s">
        <v>213</v>
      </c>
      <c r="C102" s="16" t="s">
        <v>198</v>
      </c>
      <c r="D102" s="16" t="s">
        <v>198</v>
      </c>
      <c r="E102" s="16" t="s">
        <v>198</v>
      </c>
      <c r="F102" s="16" t="s">
        <v>198</v>
      </c>
      <c r="G102">
        <v>741.8</v>
      </c>
      <c r="H102" s="17">
        <v>1301.4</v>
      </c>
      <c r="I102" s="16">
        <f t="shared" si="4"/>
        <v>853.07</v>
      </c>
      <c r="J102" s="16">
        <f t="shared" si="5"/>
        <v>890.16</v>
      </c>
      <c r="K102" s="16">
        <f t="shared" si="6"/>
        <v>964.34</v>
      </c>
      <c r="L102" s="16">
        <f t="shared" si="7"/>
        <v>1038.52</v>
      </c>
    </row>
    <row r="103" spans="2:12">
      <c r="B103" s="12" t="s">
        <v>214</v>
      </c>
      <c r="C103" s="16" t="s">
        <v>215</v>
      </c>
      <c r="D103" s="16" t="s">
        <v>215</v>
      </c>
      <c r="E103" s="16" t="s">
        <v>215</v>
      </c>
      <c r="F103" s="16" t="s">
        <v>215</v>
      </c>
      <c r="G103">
        <v>753.33</v>
      </c>
      <c r="H103" s="17">
        <v>1332.88</v>
      </c>
      <c r="I103" s="16">
        <f t="shared" si="4"/>
        <v>866.3295</v>
      </c>
      <c r="J103" s="16">
        <f t="shared" si="5"/>
        <v>903.996</v>
      </c>
      <c r="K103" s="16">
        <f t="shared" si="6"/>
        <v>979.329</v>
      </c>
      <c r="L103" s="16">
        <f t="shared" si="7"/>
        <v>1054.662</v>
      </c>
    </row>
    <row r="104" spans="2:12">
      <c r="B104" s="12" t="s">
        <v>216</v>
      </c>
      <c r="C104" s="16" t="s">
        <v>217</v>
      </c>
      <c r="D104" s="16" t="s">
        <v>217</v>
      </c>
      <c r="E104" s="16" t="s">
        <v>217</v>
      </c>
      <c r="F104" s="16" t="s">
        <v>217</v>
      </c>
      <c r="G104">
        <v>67.79</v>
      </c>
      <c r="H104" s="17">
        <v>117.9</v>
      </c>
      <c r="I104" s="16">
        <f t="shared" si="4"/>
        <v>77.9585</v>
      </c>
      <c r="J104" s="16">
        <f t="shared" si="5"/>
        <v>81.348</v>
      </c>
      <c r="K104" s="16">
        <f t="shared" si="6"/>
        <v>88.127</v>
      </c>
      <c r="L104" s="16">
        <f t="shared" si="7"/>
        <v>94.906</v>
      </c>
    </row>
    <row r="105" spans="2:12">
      <c r="B105" s="12" t="s">
        <v>218</v>
      </c>
      <c r="C105" s="16" t="s">
        <v>219</v>
      </c>
      <c r="D105" s="16" t="s">
        <v>219</v>
      </c>
      <c r="E105" s="16" t="s">
        <v>219</v>
      </c>
      <c r="F105" s="16" t="s">
        <v>219</v>
      </c>
      <c r="G105">
        <v>69.43</v>
      </c>
      <c r="H105" s="17">
        <v>120.74</v>
      </c>
      <c r="I105" s="16">
        <f t="shared" si="4"/>
        <v>79.8445</v>
      </c>
      <c r="J105" s="16">
        <f t="shared" si="5"/>
        <v>83.316</v>
      </c>
      <c r="K105" s="16">
        <f t="shared" si="6"/>
        <v>90.259</v>
      </c>
      <c r="L105" s="16">
        <f t="shared" si="7"/>
        <v>97.202</v>
      </c>
    </row>
    <row r="106" spans="2:12">
      <c r="B106" s="12" t="s">
        <v>220</v>
      </c>
      <c r="C106" s="16" t="s">
        <v>221</v>
      </c>
      <c r="D106" s="16" t="s">
        <v>221</v>
      </c>
      <c r="E106" s="16" t="s">
        <v>221</v>
      </c>
      <c r="F106" s="16" t="s">
        <v>221</v>
      </c>
      <c r="G106">
        <v>101.66</v>
      </c>
      <c r="H106" s="17">
        <v>176.79</v>
      </c>
      <c r="I106" s="16">
        <f t="shared" si="4"/>
        <v>116.909</v>
      </c>
      <c r="J106" s="16">
        <f t="shared" si="5"/>
        <v>121.992</v>
      </c>
      <c r="K106" s="16">
        <f t="shared" si="6"/>
        <v>132.158</v>
      </c>
      <c r="L106" s="16">
        <f t="shared" si="7"/>
        <v>142.324</v>
      </c>
    </row>
    <row r="107" spans="2:12">
      <c r="B107" s="12" t="s">
        <v>222</v>
      </c>
      <c r="C107" s="16" t="s">
        <v>223</v>
      </c>
      <c r="D107" s="16" t="s">
        <v>223</v>
      </c>
      <c r="E107" s="16" t="s">
        <v>223</v>
      </c>
      <c r="F107" s="16" t="s">
        <v>223</v>
      </c>
      <c r="G107">
        <v>103.29</v>
      </c>
      <c r="H107" s="17">
        <v>179.63</v>
      </c>
      <c r="I107" s="16">
        <f t="shared" si="4"/>
        <v>118.7835</v>
      </c>
      <c r="J107" s="16">
        <f t="shared" si="5"/>
        <v>123.948</v>
      </c>
      <c r="K107" s="16">
        <f t="shared" si="6"/>
        <v>134.277</v>
      </c>
      <c r="L107" s="16">
        <f t="shared" si="7"/>
        <v>144.606</v>
      </c>
    </row>
    <row r="108" spans="2:12">
      <c r="B108" s="12" t="s">
        <v>224</v>
      </c>
      <c r="C108" s="16" t="s">
        <v>225</v>
      </c>
      <c r="D108" s="16" t="s">
        <v>225</v>
      </c>
      <c r="E108" s="16" t="s">
        <v>225</v>
      </c>
      <c r="F108" s="16" t="s">
        <v>225</v>
      </c>
      <c r="G108">
        <v>50.61</v>
      </c>
      <c r="H108" s="17">
        <v>88.03</v>
      </c>
      <c r="I108" s="16">
        <f t="shared" si="4"/>
        <v>58.2015</v>
      </c>
      <c r="J108" s="16">
        <f t="shared" si="5"/>
        <v>60.732</v>
      </c>
      <c r="K108" s="16">
        <f t="shared" si="6"/>
        <v>65.793</v>
      </c>
      <c r="L108" s="16">
        <f t="shared" si="7"/>
        <v>70.854</v>
      </c>
    </row>
    <row r="109" spans="2:12">
      <c r="B109" s="12" t="s">
        <v>226</v>
      </c>
      <c r="C109" s="16" t="s">
        <v>227</v>
      </c>
      <c r="D109" s="16" t="s">
        <v>227</v>
      </c>
      <c r="E109" s="16" t="s">
        <v>227</v>
      </c>
      <c r="F109" s="16" t="s">
        <v>227</v>
      </c>
      <c r="G109">
        <v>50.61</v>
      </c>
      <c r="H109" s="17">
        <v>88.03</v>
      </c>
      <c r="I109" s="16">
        <f t="shared" si="4"/>
        <v>58.2015</v>
      </c>
      <c r="J109" s="16">
        <f t="shared" si="5"/>
        <v>60.732</v>
      </c>
      <c r="K109" s="16">
        <f t="shared" si="6"/>
        <v>65.793</v>
      </c>
      <c r="L109" s="16">
        <f t="shared" si="7"/>
        <v>70.854</v>
      </c>
    </row>
    <row r="110" spans="2:12">
      <c r="B110" s="12" t="s">
        <v>228</v>
      </c>
      <c r="C110" s="16" t="s">
        <v>229</v>
      </c>
      <c r="D110" s="16" t="s">
        <v>229</v>
      </c>
      <c r="E110" s="16" t="s">
        <v>229</v>
      </c>
      <c r="F110" s="16" t="s">
        <v>229</v>
      </c>
      <c r="G110">
        <v>251.61</v>
      </c>
      <c r="H110" s="17">
        <v>437.58</v>
      </c>
      <c r="I110" s="16">
        <f t="shared" si="4"/>
        <v>289.3515</v>
      </c>
      <c r="J110" s="16">
        <f t="shared" si="5"/>
        <v>301.932</v>
      </c>
      <c r="K110" s="16">
        <f t="shared" si="6"/>
        <v>327.093</v>
      </c>
      <c r="L110" s="16">
        <f t="shared" si="7"/>
        <v>352.254</v>
      </c>
    </row>
    <row r="111" spans="2:12">
      <c r="B111" s="12" t="s">
        <v>230</v>
      </c>
      <c r="C111" s="16" t="s">
        <v>231</v>
      </c>
      <c r="D111" s="16" t="s">
        <v>231</v>
      </c>
      <c r="E111" s="16" t="s">
        <v>231</v>
      </c>
      <c r="F111" s="16" t="s">
        <v>231</v>
      </c>
      <c r="G111">
        <v>281.43</v>
      </c>
      <c r="H111" s="17">
        <v>489.44</v>
      </c>
      <c r="I111" s="16">
        <f t="shared" si="4"/>
        <v>323.6445</v>
      </c>
      <c r="J111" s="16">
        <f t="shared" si="5"/>
        <v>337.716</v>
      </c>
      <c r="K111" s="16">
        <f t="shared" si="6"/>
        <v>365.859</v>
      </c>
      <c r="L111" s="16">
        <f t="shared" si="7"/>
        <v>394.002</v>
      </c>
    </row>
    <row r="112" spans="2:12">
      <c r="B112" s="12" t="s">
        <v>232</v>
      </c>
      <c r="C112" s="16" t="s">
        <v>233</v>
      </c>
      <c r="D112" s="16" t="s">
        <v>233</v>
      </c>
      <c r="E112" s="16" t="s">
        <v>233</v>
      </c>
      <c r="F112" s="16" t="s">
        <v>233</v>
      </c>
      <c r="G112">
        <v>262.31</v>
      </c>
      <c r="H112" s="17">
        <f>G112/0.57</f>
        <v>460.19298245614</v>
      </c>
      <c r="I112" s="16">
        <f t="shared" si="4"/>
        <v>301.6565</v>
      </c>
      <c r="J112" s="16">
        <f t="shared" si="5"/>
        <v>314.772</v>
      </c>
      <c r="K112" s="16">
        <f t="shared" si="6"/>
        <v>341.003</v>
      </c>
      <c r="L112" s="16">
        <f t="shared" si="7"/>
        <v>367.234</v>
      </c>
    </row>
    <row r="113" spans="2:12">
      <c r="B113" s="12" t="s">
        <v>232</v>
      </c>
      <c r="C113" s="16" t="s">
        <v>233</v>
      </c>
      <c r="D113" s="16" t="s">
        <v>233</v>
      </c>
      <c r="E113" s="16" t="s">
        <v>233</v>
      </c>
      <c r="F113" s="16" t="s">
        <v>233</v>
      </c>
      <c r="G113">
        <v>278.71</v>
      </c>
      <c r="H113" s="17">
        <f>G113/0.57</f>
        <v>488.964912280702</v>
      </c>
      <c r="I113" s="16">
        <f t="shared" si="4"/>
        <v>320.5165</v>
      </c>
      <c r="J113" s="16">
        <f t="shared" si="5"/>
        <v>334.452</v>
      </c>
      <c r="K113" s="16">
        <f t="shared" si="6"/>
        <v>362.323</v>
      </c>
      <c r="L113" s="16">
        <f t="shared" si="7"/>
        <v>390.194</v>
      </c>
    </row>
    <row r="114" spans="2:12">
      <c r="B114" s="12" t="s">
        <v>232</v>
      </c>
      <c r="C114" s="16" t="s">
        <v>233</v>
      </c>
      <c r="D114" s="16" t="s">
        <v>233</v>
      </c>
      <c r="E114" s="16" t="s">
        <v>233</v>
      </c>
      <c r="F114" s="16" t="s">
        <v>233</v>
      </c>
      <c r="G114">
        <v>295.1</v>
      </c>
      <c r="H114" s="17">
        <f>G114/0.57</f>
        <v>517.719298245614</v>
      </c>
      <c r="I114" s="16">
        <f t="shared" si="4"/>
        <v>339.365</v>
      </c>
      <c r="J114" s="16">
        <f t="shared" si="5"/>
        <v>354.12</v>
      </c>
      <c r="K114" s="16">
        <f t="shared" si="6"/>
        <v>383.63</v>
      </c>
      <c r="L114" s="16">
        <f t="shared" si="7"/>
        <v>413.14</v>
      </c>
    </row>
    <row r="115" spans="2:12">
      <c r="B115" s="12" t="s">
        <v>232</v>
      </c>
      <c r="C115" s="16" t="s">
        <v>233</v>
      </c>
      <c r="D115" s="16" t="s">
        <v>233</v>
      </c>
      <c r="E115" s="16" t="s">
        <v>233</v>
      </c>
      <c r="F115" s="16" t="s">
        <v>233</v>
      </c>
      <c r="G115">
        <v>327.89</v>
      </c>
      <c r="H115" s="17">
        <f>G115/0.57</f>
        <v>575.245614035088</v>
      </c>
      <c r="I115" s="16">
        <f t="shared" si="4"/>
        <v>377.0735</v>
      </c>
      <c r="J115" s="16">
        <f t="shared" si="5"/>
        <v>393.468</v>
      </c>
      <c r="K115" s="16">
        <f t="shared" si="6"/>
        <v>426.257</v>
      </c>
      <c r="L115" s="16">
        <f t="shared" si="7"/>
        <v>459.046</v>
      </c>
    </row>
    <row r="116" spans="2:12">
      <c r="B116" s="12" t="s">
        <v>234</v>
      </c>
      <c r="C116" s="16" t="s">
        <v>235</v>
      </c>
      <c r="D116" s="16" t="s">
        <v>235</v>
      </c>
      <c r="E116" s="16" t="s">
        <v>235</v>
      </c>
      <c r="F116" s="16" t="s">
        <v>235</v>
      </c>
      <c r="G116">
        <v>291.12</v>
      </c>
      <c r="H116" s="17">
        <v>574.53</v>
      </c>
      <c r="I116" s="16">
        <f t="shared" si="4"/>
        <v>334.788</v>
      </c>
      <c r="J116" s="16">
        <f t="shared" si="5"/>
        <v>349.344</v>
      </c>
      <c r="K116" s="16">
        <f t="shared" si="6"/>
        <v>378.456</v>
      </c>
      <c r="L116" s="16">
        <f t="shared" si="7"/>
        <v>407.568</v>
      </c>
    </row>
    <row r="117" spans="2:12">
      <c r="B117" s="12" t="s">
        <v>236</v>
      </c>
      <c r="C117" s="16" t="s">
        <v>237</v>
      </c>
      <c r="D117" s="16" t="s">
        <v>237</v>
      </c>
      <c r="E117" s="16" t="s">
        <v>237</v>
      </c>
      <c r="F117" s="16" t="s">
        <v>237</v>
      </c>
      <c r="G117">
        <v>387.47</v>
      </c>
      <c r="H117" s="17">
        <v>673.86</v>
      </c>
      <c r="I117" s="16">
        <f t="shared" si="4"/>
        <v>445.5905</v>
      </c>
      <c r="J117" s="16">
        <f t="shared" si="5"/>
        <v>464.964</v>
      </c>
      <c r="K117" s="16">
        <f t="shared" si="6"/>
        <v>503.711</v>
      </c>
      <c r="L117" s="16">
        <f t="shared" si="7"/>
        <v>542.458</v>
      </c>
    </row>
    <row r="118" spans="2:12">
      <c r="B118" s="12" t="s">
        <v>238</v>
      </c>
      <c r="C118" s="16" t="s">
        <v>239</v>
      </c>
      <c r="D118" s="16" t="s">
        <v>239</v>
      </c>
      <c r="E118" s="16" t="s">
        <v>239</v>
      </c>
      <c r="F118" s="16" t="s">
        <v>239</v>
      </c>
      <c r="G118">
        <v>483.78</v>
      </c>
      <c r="H118" s="17">
        <v>841.35</v>
      </c>
      <c r="I118" s="16">
        <f t="shared" si="4"/>
        <v>556.347</v>
      </c>
      <c r="J118" s="16">
        <f t="shared" si="5"/>
        <v>580.536</v>
      </c>
      <c r="K118" s="16">
        <f t="shared" si="6"/>
        <v>628.914</v>
      </c>
      <c r="L118" s="16">
        <f t="shared" si="7"/>
        <v>677.292</v>
      </c>
    </row>
    <row r="119" spans="2:12">
      <c r="B119" s="12" t="s">
        <v>240</v>
      </c>
      <c r="C119" s="16" t="s">
        <v>241</v>
      </c>
      <c r="D119" s="16" t="s">
        <v>241</v>
      </c>
      <c r="E119" s="16" t="s">
        <v>241</v>
      </c>
      <c r="F119" s="16" t="s">
        <v>241</v>
      </c>
      <c r="G119">
        <v>722.2</v>
      </c>
      <c r="H119" s="17">
        <v>1256.01</v>
      </c>
      <c r="I119" s="16">
        <f t="shared" si="4"/>
        <v>830.53</v>
      </c>
      <c r="J119" s="16">
        <f t="shared" si="5"/>
        <v>866.64</v>
      </c>
      <c r="K119" s="16">
        <f t="shared" si="6"/>
        <v>938.86</v>
      </c>
      <c r="L119" s="16">
        <f t="shared" si="7"/>
        <v>1011.08</v>
      </c>
    </row>
    <row r="120" spans="2:12">
      <c r="B120" s="12" t="s">
        <v>242</v>
      </c>
      <c r="C120" s="16" t="s">
        <v>243</v>
      </c>
      <c r="D120" s="16" t="s">
        <v>243</v>
      </c>
      <c r="E120" s="16" t="s">
        <v>243</v>
      </c>
      <c r="F120" s="16" t="s">
        <v>243</v>
      </c>
      <c r="G120">
        <v>908.57</v>
      </c>
      <c r="H120" s="17">
        <v>1580.12</v>
      </c>
      <c r="I120" s="16">
        <f t="shared" si="4"/>
        <v>1044.8555</v>
      </c>
      <c r="J120" s="16">
        <f t="shared" si="5"/>
        <v>1090.284</v>
      </c>
      <c r="K120" s="16">
        <f t="shared" si="6"/>
        <v>1181.141</v>
      </c>
      <c r="L120" s="16">
        <f t="shared" si="7"/>
        <v>1271.998</v>
      </c>
    </row>
    <row r="121" spans="2:12">
      <c r="B121" s="12" t="s">
        <v>244</v>
      </c>
      <c r="C121" s="16" t="s">
        <v>245</v>
      </c>
      <c r="D121" s="16" t="s">
        <v>245</v>
      </c>
      <c r="E121" s="16" t="s">
        <v>245</v>
      </c>
      <c r="F121" s="16" t="s">
        <v>245</v>
      </c>
      <c r="G121">
        <v>378.99</v>
      </c>
      <c r="H121" s="17">
        <v>659.11</v>
      </c>
      <c r="I121" s="16">
        <f t="shared" si="4"/>
        <v>435.8385</v>
      </c>
      <c r="J121" s="16">
        <f t="shared" si="5"/>
        <v>454.788</v>
      </c>
      <c r="K121" s="16">
        <f t="shared" si="6"/>
        <v>492.687</v>
      </c>
      <c r="L121" s="16">
        <f t="shared" si="7"/>
        <v>530.586</v>
      </c>
    </row>
    <row r="122" spans="2:12">
      <c r="B122" s="12" t="s">
        <v>246</v>
      </c>
      <c r="C122" s="16" t="s">
        <v>247</v>
      </c>
      <c r="D122" s="16" t="s">
        <v>247</v>
      </c>
      <c r="E122" s="16" t="s">
        <v>247</v>
      </c>
      <c r="F122" s="16" t="s">
        <v>247</v>
      </c>
      <c r="G122">
        <v>499.37</v>
      </c>
      <c r="H122" s="17">
        <v>868.48</v>
      </c>
      <c r="I122" s="16">
        <f t="shared" si="4"/>
        <v>574.2755</v>
      </c>
      <c r="J122" s="16">
        <f t="shared" si="5"/>
        <v>599.244</v>
      </c>
      <c r="K122" s="16">
        <f t="shared" si="6"/>
        <v>649.181</v>
      </c>
      <c r="L122" s="16">
        <f t="shared" si="7"/>
        <v>699.118</v>
      </c>
    </row>
    <row r="123" spans="2:12">
      <c r="B123" s="12" t="s">
        <v>248</v>
      </c>
      <c r="C123" s="16" t="s">
        <v>249</v>
      </c>
      <c r="D123" s="16" t="s">
        <v>249</v>
      </c>
      <c r="E123" s="16" t="s">
        <v>249</v>
      </c>
      <c r="F123" s="16" t="s">
        <v>249</v>
      </c>
      <c r="G123">
        <v>638.33</v>
      </c>
      <c r="H123" s="17">
        <v>1110.13</v>
      </c>
      <c r="I123" s="16">
        <f t="shared" si="4"/>
        <v>734.0795</v>
      </c>
      <c r="J123" s="16">
        <f t="shared" si="5"/>
        <v>765.996</v>
      </c>
      <c r="K123" s="16">
        <f t="shared" si="6"/>
        <v>829.829</v>
      </c>
      <c r="L123" s="16">
        <f t="shared" si="7"/>
        <v>893.662</v>
      </c>
    </row>
    <row r="124" spans="2:12">
      <c r="B124" s="12" t="s">
        <v>250</v>
      </c>
      <c r="C124" s="16" t="s">
        <v>251</v>
      </c>
      <c r="D124" s="16" t="s">
        <v>251</v>
      </c>
      <c r="E124" s="16" t="s">
        <v>251</v>
      </c>
      <c r="F124" s="16" t="s">
        <v>251</v>
      </c>
      <c r="G124">
        <v>786.65</v>
      </c>
      <c r="H124" s="17">
        <v>1368.09</v>
      </c>
      <c r="I124" s="16">
        <f t="shared" si="4"/>
        <v>904.6475</v>
      </c>
      <c r="J124" s="16">
        <f t="shared" si="5"/>
        <v>943.98</v>
      </c>
      <c r="K124" s="16">
        <f t="shared" si="6"/>
        <v>1022.645</v>
      </c>
      <c r="L124" s="16">
        <f t="shared" si="7"/>
        <v>1101.31</v>
      </c>
    </row>
    <row r="125" spans="2:12">
      <c r="B125" s="12" t="s">
        <v>252</v>
      </c>
      <c r="C125" s="16" t="s">
        <v>253</v>
      </c>
      <c r="D125" s="16" t="s">
        <v>253</v>
      </c>
      <c r="E125" s="16" t="s">
        <v>253</v>
      </c>
      <c r="F125" s="16" t="s">
        <v>253</v>
      </c>
      <c r="G125">
        <v>1150.86</v>
      </c>
      <c r="H125" s="17">
        <v>2001.49</v>
      </c>
      <c r="I125" s="16">
        <f t="shared" si="4"/>
        <v>1323.489</v>
      </c>
      <c r="J125" s="16">
        <f t="shared" si="5"/>
        <v>1381.032</v>
      </c>
      <c r="K125" s="16">
        <f t="shared" si="6"/>
        <v>1496.118</v>
      </c>
      <c r="L125" s="16">
        <f t="shared" si="7"/>
        <v>1611.204</v>
      </c>
    </row>
    <row r="126" spans="2:12">
      <c r="B126" s="12" t="s">
        <v>254</v>
      </c>
      <c r="C126" s="16" t="s">
        <v>255</v>
      </c>
      <c r="D126" s="16" t="s">
        <v>255</v>
      </c>
      <c r="E126" s="16" t="s">
        <v>255</v>
      </c>
      <c r="F126" s="16" t="s">
        <v>255</v>
      </c>
      <c r="G126">
        <v>1486.32</v>
      </c>
      <c r="H126" s="17">
        <v>2584.93</v>
      </c>
      <c r="I126" s="16">
        <f t="shared" si="4"/>
        <v>1709.268</v>
      </c>
      <c r="J126" s="16">
        <f t="shared" si="5"/>
        <v>1783.584</v>
      </c>
      <c r="K126" s="16">
        <f t="shared" si="6"/>
        <v>1932.216</v>
      </c>
      <c r="L126" s="16">
        <f t="shared" si="7"/>
        <v>2080.848</v>
      </c>
    </row>
    <row r="127" spans="2:12">
      <c r="B127" s="12" t="s">
        <v>256</v>
      </c>
      <c r="C127" s="16" t="s">
        <v>257</v>
      </c>
      <c r="D127" s="16" t="s">
        <v>257</v>
      </c>
      <c r="E127" s="16" t="s">
        <v>257</v>
      </c>
      <c r="F127" s="16" t="s">
        <v>257</v>
      </c>
      <c r="G127">
        <v>11.05</v>
      </c>
      <c r="H127" s="17">
        <v>17.68</v>
      </c>
      <c r="I127" s="16">
        <f t="shared" si="4"/>
        <v>12.7075</v>
      </c>
      <c r="J127" s="16">
        <f t="shared" si="5"/>
        <v>13.26</v>
      </c>
      <c r="K127" s="16">
        <f t="shared" si="6"/>
        <v>14.365</v>
      </c>
      <c r="L127" s="16">
        <f t="shared" si="7"/>
        <v>15.47</v>
      </c>
    </row>
    <row r="128" spans="2:12">
      <c r="B128" s="12" t="s">
        <v>258</v>
      </c>
      <c r="C128" s="16" t="s">
        <v>259</v>
      </c>
      <c r="D128" s="16" t="s">
        <v>259</v>
      </c>
      <c r="E128" s="16" t="s">
        <v>259</v>
      </c>
      <c r="F128" s="16" t="s">
        <v>259</v>
      </c>
      <c r="G128">
        <v>247.57</v>
      </c>
      <c r="H128" s="17">
        <v>396.11</v>
      </c>
      <c r="I128" s="16">
        <f t="shared" si="4"/>
        <v>284.7055</v>
      </c>
      <c r="J128" s="16">
        <f t="shared" si="5"/>
        <v>297.084</v>
      </c>
      <c r="K128" s="16">
        <f t="shared" si="6"/>
        <v>321.841</v>
      </c>
      <c r="L128" s="16">
        <f t="shared" si="7"/>
        <v>346.598</v>
      </c>
    </row>
    <row r="129" spans="2:12">
      <c r="B129" s="12" t="s">
        <v>260</v>
      </c>
      <c r="C129" s="16" t="s">
        <v>261</v>
      </c>
      <c r="D129" s="16" t="s">
        <v>261</v>
      </c>
      <c r="E129" s="16" t="s">
        <v>261</v>
      </c>
      <c r="F129" s="16" t="s">
        <v>261</v>
      </c>
      <c r="G129">
        <v>280.11</v>
      </c>
      <c r="H129" s="17">
        <v>445.21</v>
      </c>
      <c r="I129" s="16">
        <f t="shared" si="4"/>
        <v>322.1265</v>
      </c>
      <c r="J129" s="16">
        <f t="shared" si="5"/>
        <v>336.132</v>
      </c>
      <c r="K129" s="16">
        <f t="shared" si="6"/>
        <v>364.143</v>
      </c>
      <c r="L129" s="16">
        <f t="shared" si="7"/>
        <v>392.154</v>
      </c>
    </row>
    <row r="130" spans="2:12">
      <c r="B130" s="12" t="s">
        <v>262</v>
      </c>
      <c r="C130" s="16" t="s">
        <v>263</v>
      </c>
      <c r="D130" s="16" t="s">
        <v>263</v>
      </c>
      <c r="E130" s="16" t="s">
        <v>263</v>
      </c>
      <c r="F130" s="16" t="s">
        <v>263</v>
      </c>
      <c r="G130">
        <v>1742.85</v>
      </c>
      <c r="H130" s="17">
        <v>2788.56</v>
      </c>
      <c r="I130" s="16">
        <f t="shared" ref="I130:I193" si="8">G130*1.15</f>
        <v>2004.2775</v>
      </c>
      <c r="J130" s="16">
        <f t="shared" ref="J130:J193" si="9">G130*1.2</f>
        <v>2091.42</v>
      </c>
      <c r="K130" s="16">
        <f t="shared" ref="K130:K193" si="10">G130*1.3</f>
        <v>2265.705</v>
      </c>
      <c r="L130" s="16">
        <f t="shared" ref="L130:L193" si="11">G130*1.4</f>
        <v>2439.99</v>
      </c>
    </row>
    <row r="131" spans="2:12">
      <c r="B131" s="12" t="s">
        <v>264</v>
      </c>
      <c r="C131" s="16" t="s">
        <v>265</v>
      </c>
      <c r="D131" s="16" t="s">
        <v>265</v>
      </c>
      <c r="E131" s="16" t="s">
        <v>265</v>
      </c>
      <c r="F131" s="16" t="s">
        <v>265</v>
      </c>
      <c r="G131">
        <v>1795.11</v>
      </c>
      <c r="H131" s="17">
        <v>2872.17</v>
      </c>
      <c r="I131" s="16">
        <f t="shared" si="8"/>
        <v>2064.3765</v>
      </c>
      <c r="J131" s="16">
        <f t="shared" si="9"/>
        <v>2154.132</v>
      </c>
      <c r="K131" s="16">
        <f t="shared" si="10"/>
        <v>2333.643</v>
      </c>
      <c r="L131" s="16">
        <f t="shared" si="11"/>
        <v>2513.154</v>
      </c>
    </row>
    <row r="132" spans="2:12">
      <c r="B132" s="12" t="s">
        <v>266</v>
      </c>
      <c r="C132" s="16" t="s">
        <v>267</v>
      </c>
      <c r="D132" s="16" t="s">
        <v>267</v>
      </c>
      <c r="E132" s="16" t="s">
        <v>267</v>
      </c>
      <c r="F132" s="16" t="s">
        <v>267</v>
      </c>
      <c r="G132">
        <v>1796.97</v>
      </c>
      <c r="H132" s="17">
        <v>2875.15</v>
      </c>
      <c r="I132" s="16">
        <f t="shared" si="8"/>
        <v>2066.5155</v>
      </c>
      <c r="J132" s="16">
        <f t="shared" si="9"/>
        <v>2156.364</v>
      </c>
      <c r="K132" s="16">
        <f t="shared" si="10"/>
        <v>2336.061</v>
      </c>
      <c r="L132" s="16">
        <f t="shared" si="11"/>
        <v>2515.758</v>
      </c>
    </row>
    <row r="133" spans="2:12">
      <c r="B133" s="12" t="s">
        <v>268</v>
      </c>
      <c r="C133" s="16" t="s">
        <v>269</v>
      </c>
      <c r="D133" s="16" t="s">
        <v>269</v>
      </c>
      <c r="E133" s="16" t="s">
        <v>269</v>
      </c>
      <c r="F133" s="16" t="s">
        <v>269</v>
      </c>
      <c r="G133">
        <v>1869.74</v>
      </c>
      <c r="H133" s="17">
        <v>2991.58</v>
      </c>
      <c r="I133" s="16">
        <f t="shared" si="8"/>
        <v>2150.201</v>
      </c>
      <c r="J133" s="16">
        <f t="shared" si="9"/>
        <v>2243.688</v>
      </c>
      <c r="K133" s="16">
        <f t="shared" si="10"/>
        <v>2430.662</v>
      </c>
      <c r="L133" s="16">
        <f t="shared" si="11"/>
        <v>2617.636</v>
      </c>
    </row>
    <row r="134" spans="2:12">
      <c r="B134" s="12" t="s">
        <v>270</v>
      </c>
      <c r="C134" s="16" t="s">
        <v>271</v>
      </c>
      <c r="D134" s="16" t="s">
        <v>271</v>
      </c>
      <c r="E134" s="16" t="s">
        <v>271</v>
      </c>
      <c r="F134" s="16" t="s">
        <v>271</v>
      </c>
      <c r="G134">
        <v>1217.26</v>
      </c>
      <c r="H134" s="17">
        <v>1947.61</v>
      </c>
      <c r="I134" s="16">
        <f t="shared" si="8"/>
        <v>1399.849</v>
      </c>
      <c r="J134" s="16">
        <f t="shared" si="9"/>
        <v>1460.712</v>
      </c>
      <c r="K134" s="16">
        <f t="shared" si="10"/>
        <v>1582.438</v>
      </c>
      <c r="L134" s="16">
        <f t="shared" si="11"/>
        <v>1704.164</v>
      </c>
    </row>
    <row r="135" spans="2:12">
      <c r="B135" s="12" t="s">
        <v>272</v>
      </c>
      <c r="C135" s="16" t="s">
        <v>273</v>
      </c>
      <c r="D135" s="16" t="s">
        <v>273</v>
      </c>
      <c r="E135" s="16" t="s">
        <v>273</v>
      </c>
      <c r="F135" s="16" t="s">
        <v>273</v>
      </c>
      <c r="G135">
        <v>1654.58</v>
      </c>
      <c r="H135" s="17">
        <v>2647.31</v>
      </c>
      <c r="I135" s="16">
        <f t="shared" si="8"/>
        <v>1902.767</v>
      </c>
      <c r="J135" s="16">
        <f t="shared" si="9"/>
        <v>1985.496</v>
      </c>
      <c r="K135" s="16">
        <f t="shared" si="10"/>
        <v>2150.954</v>
      </c>
      <c r="L135" s="16">
        <f t="shared" si="11"/>
        <v>2316.412</v>
      </c>
    </row>
    <row r="136" spans="2:12">
      <c r="B136" s="12" t="s">
        <v>274</v>
      </c>
      <c r="C136" s="16" t="s">
        <v>275</v>
      </c>
      <c r="D136" s="16" t="s">
        <v>275</v>
      </c>
      <c r="E136" s="16" t="s">
        <v>275</v>
      </c>
      <c r="F136" s="16" t="s">
        <v>275</v>
      </c>
      <c r="G136">
        <v>1581.9</v>
      </c>
      <c r="H136" s="17">
        <v>2531.04</v>
      </c>
      <c r="I136" s="16">
        <f t="shared" si="8"/>
        <v>1819.185</v>
      </c>
      <c r="J136" s="16">
        <f t="shared" si="9"/>
        <v>1898.28</v>
      </c>
      <c r="K136" s="16">
        <f t="shared" si="10"/>
        <v>2056.47</v>
      </c>
      <c r="L136" s="16">
        <f t="shared" si="11"/>
        <v>2214.66</v>
      </c>
    </row>
    <row r="137" spans="2:12">
      <c r="B137" s="12" t="s">
        <v>276</v>
      </c>
      <c r="C137" s="16" t="s">
        <v>277</v>
      </c>
      <c r="D137" s="16" t="s">
        <v>277</v>
      </c>
      <c r="E137" s="16" t="s">
        <v>277</v>
      </c>
      <c r="F137" s="16" t="s">
        <v>277</v>
      </c>
      <c r="G137">
        <v>1956.01</v>
      </c>
      <c r="H137" s="17">
        <v>3129.61</v>
      </c>
      <c r="I137" s="16">
        <f t="shared" si="8"/>
        <v>2249.4115</v>
      </c>
      <c r="J137" s="16">
        <f t="shared" si="9"/>
        <v>2347.212</v>
      </c>
      <c r="K137" s="16">
        <f t="shared" si="10"/>
        <v>2542.813</v>
      </c>
      <c r="L137" s="16">
        <f t="shared" si="11"/>
        <v>2738.414</v>
      </c>
    </row>
    <row r="138" spans="2:12">
      <c r="B138" s="12" t="s">
        <v>278</v>
      </c>
      <c r="C138" s="16" t="s">
        <v>279</v>
      </c>
      <c r="D138" s="16" t="s">
        <v>279</v>
      </c>
      <c r="E138" s="16" t="s">
        <v>279</v>
      </c>
      <c r="F138" s="16" t="s">
        <v>279</v>
      </c>
      <c r="G138">
        <v>1956.01</v>
      </c>
      <c r="H138" s="17">
        <v>3129.61</v>
      </c>
      <c r="I138" s="16">
        <f t="shared" si="8"/>
        <v>2249.4115</v>
      </c>
      <c r="J138" s="16">
        <f t="shared" si="9"/>
        <v>2347.212</v>
      </c>
      <c r="K138" s="16">
        <f t="shared" si="10"/>
        <v>2542.813</v>
      </c>
      <c r="L138" s="16">
        <f t="shared" si="11"/>
        <v>2738.414</v>
      </c>
    </row>
    <row r="139" spans="2:12">
      <c r="B139" s="12" t="s">
        <v>280</v>
      </c>
      <c r="C139" s="16" t="s">
        <v>281</v>
      </c>
      <c r="D139" s="16" t="s">
        <v>281</v>
      </c>
      <c r="E139" s="16" t="s">
        <v>281</v>
      </c>
      <c r="F139" s="16" t="s">
        <v>281</v>
      </c>
      <c r="G139">
        <v>1986.39</v>
      </c>
      <c r="H139" s="17">
        <v>3153</v>
      </c>
      <c r="I139" s="16">
        <f t="shared" si="8"/>
        <v>2284.3485</v>
      </c>
      <c r="J139" s="16">
        <f t="shared" si="9"/>
        <v>2383.668</v>
      </c>
      <c r="K139" s="16">
        <f t="shared" si="10"/>
        <v>2582.307</v>
      </c>
      <c r="L139" s="16">
        <f t="shared" si="11"/>
        <v>2780.946</v>
      </c>
    </row>
    <row r="140" spans="2:12">
      <c r="B140" s="12" t="s">
        <v>282</v>
      </c>
      <c r="C140" s="16" t="s">
        <v>283</v>
      </c>
      <c r="D140" s="16" t="s">
        <v>283</v>
      </c>
      <c r="E140" s="16" t="s">
        <v>283</v>
      </c>
      <c r="F140" s="16" t="s">
        <v>283</v>
      </c>
      <c r="G140">
        <v>2112.99</v>
      </c>
      <c r="H140" s="17">
        <v>3380.77</v>
      </c>
      <c r="I140" s="16">
        <f t="shared" si="8"/>
        <v>2429.9385</v>
      </c>
      <c r="J140" s="16">
        <f t="shared" si="9"/>
        <v>2535.588</v>
      </c>
      <c r="K140" s="16">
        <f t="shared" si="10"/>
        <v>2746.887</v>
      </c>
      <c r="L140" s="16">
        <f t="shared" si="11"/>
        <v>2958.186</v>
      </c>
    </row>
    <row r="141" spans="2:12">
      <c r="B141" s="12" t="s">
        <v>284</v>
      </c>
      <c r="C141" s="16" t="s">
        <v>285</v>
      </c>
      <c r="D141" s="16" t="s">
        <v>285</v>
      </c>
      <c r="E141" s="16" t="s">
        <v>285</v>
      </c>
      <c r="F141" s="16" t="s">
        <v>285</v>
      </c>
      <c r="G141">
        <v>2022.45</v>
      </c>
      <c r="H141" s="17">
        <v>3210.25</v>
      </c>
      <c r="I141" s="16">
        <f t="shared" si="8"/>
        <v>2325.8175</v>
      </c>
      <c r="J141" s="16">
        <f t="shared" si="9"/>
        <v>2426.94</v>
      </c>
      <c r="K141" s="16">
        <f t="shared" si="10"/>
        <v>2629.185</v>
      </c>
      <c r="L141" s="16">
        <f t="shared" si="11"/>
        <v>2831.43</v>
      </c>
    </row>
    <row r="142" spans="2:12">
      <c r="B142" s="12" t="s">
        <v>286</v>
      </c>
      <c r="C142" s="16" t="s">
        <v>287</v>
      </c>
      <c r="D142" s="16" t="s">
        <v>287</v>
      </c>
      <c r="E142" s="16" t="s">
        <v>287</v>
      </c>
      <c r="F142" s="16" t="s">
        <v>287</v>
      </c>
      <c r="G142">
        <v>2124.66</v>
      </c>
      <c r="H142" s="17">
        <v>3399.46</v>
      </c>
      <c r="I142" s="16">
        <f t="shared" si="8"/>
        <v>2443.359</v>
      </c>
      <c r="J142" s="16">
        <f t="shared" si="9"/>
        <v>2549.592</v>
      </c>
      <c r="K142" s="16">
        <f t="shared" si="10"/>
        <v>2762.058</v>
      </c>
      <c r="L142" s="16">
        <f t="shared" si="11"/>
        <v>2974.524</v>
      </c>
    </row>
    <row r="143" spans="2:12">
      <c r="B143" s="12" t="s">
        <v>288</v>
      </c>
      <c r="C143" s="16" t="s">
        <v>289</v>
      </c>
      <c r="D143" s="16" t="s">
        <v>289</v>
      </c>
      <c r="E143" s="16" t="s">
        <v>289</v>
      </c>
      <c r="F143" s="16" t="s">
        <v>289</v>
      </c>
      <c r="G143">
        <v>1864.33</v>
      </c>
      <c r="H143" s="17">
        <v>2982.93</v>
      </c>
      <c r="I143" s="16">
        <f t="shared" si="8"/>
        <v>2143.9795</v>
      </c>
      <c r="J143" s="16">
        <f t="shared" si="9"/>
        <v>2237.196</v>
      </c>
      <c r="K143" s="16">
        <f t="shared" si="10"/>
        <v>2423.629</v>
      </c>
      <c r="L143" s="16">
        <f t="shared" si="11"/>
        <v>2610.062</v>
      </c>
    </row>
    <row r="144" spans="2:12">
      <c r="B144" s="12" t="s">
        <v>290</v>
      </c>
      <c r="C144" s="16" t="s">
        <v>291</v>
      </c>
      <c r="D144" s="16" t="s">
        <v>291</v>
      </c>
      <c r="E144" s="16" t="s">
        <v>291</v>
      </c>
      <c r="F144" s="16" t="s">
        <v>291</v>
      </c>
      <c r="G144">
        <v>2240</v>
      </c>
      <c r="H144" s="17">
        <v>3584.01</v>
      </c>
      <c r="I144" s="16">
        <f t="shared" si="8"/>
        <v>2576</v>
      </c>
      <c r="J144" s="16">
        <f t="shared" si="9"/>
        <v>2688</v>
      </c>
      <c r="K144" s="16">
        <f t="shared" si="10"/>
        <v>2912</v>
      </c>
      <c r="L144" s="16">
        <f t="shared" si="11"/>
        <v>3136</v>
      </c>
    </row>
    <row r="145" spans="2:12">
      <c r="B145" s="12" t="s">
        <v>292</v>
      </c>
      <c r="C145" s="16" t="s">
        <v>293</v>
      </c>
      <c r="D145" s="16" t="s">
        <v>293</v>
      </c>
      <c r="E145" s="16" t="s">
        <v>293</v>
      </c>
      <c r="F145" s="16" t="s">
        <v>293</v>
      </c>
      <c r="G145">
        <v>2213.61</v>
      </c>
      <c r="H145" s="17">
        <v>3513.67</v>
      </c>
      <c r="I145" s="16">
        <f t="shared" si="8"/>
        <v>2545.6515</v>
      </c>
      <c r="J145" s="16">
        <f t="shared" si="9"/>
        <v>2656.332</v>
      </c>
      <c r="K145" s="16">
        <f t="shared" si="10"/>
        <v>2877.693</v>
      </c>
      <c r="L145" s="16">
        <f t="shared" si="11"/>
        <v>3099.054</v>
      </c>
    </row>
    <row r="146" spans="2:12">
      <c r="B146" s="12" t="s">
        <v>294</v>
      </c>
      <c r="C146" s="16" t="s">
        <v>295</v>
      </c>
      <c r="D146" s="16" t="s">
        <v>295</v>
      </c>
      <c r="E146" s="16" t="s">
        <v>295</v>
      </c>
      <c r="F146" s="16" t="s">
        <v>295</v>
      </c>
      <c r="G146">
        <v>701.44</v>
      </c>
      <c r="H146" s="17">
        <v>1122.3</v>
      </c>
      <c r="I146" s="16">
        <f t="shared" si="8"/>
        <v>806.656</v>
      </c>
      <c r="J146" s="16">
        <f t="shared" si="9"/>
        <v>841.728</v>
      </c>
      <c r="K146" s="16">
        <f t="shared" si="10"/>
        <v>911.872</v>
      </c>
      <c r="L146" s="16">
        <f t="shared" si="11"/>
        <v>982.016</v>
      </c>
    </row>
    <row r="147" spans="2:12">
      <c r="B147" s="12" t="s">
        <v>296</v>
      </c>
      <c r="C147" s="16" t="s">
        <v>297</v>
      </c>
      <c r="D147" s="16" t="s">
        <v>297</v>
      </c>
      <c r="E147" s="16" t="s">
        <v>297</v>
      </c>
      <c r="F147" s="16" t="s">
        <v>297</v>
      </c>
      <c r="G147">
        <v>868.68</v>
      </c>
      <c r="H147" s="17">
        <v>1401.1</v>
      </c>
      <c r="I147" s="16">
        <f t="shared" si="8"/>
        <v>998.982</v>
      </c>
      <c r="J147" s="16">
        <f t="shared" si="9"/>
        <v>1042.416</v>
      </c>
      <c r="K147" s="16">
        <f t="shared" si="10"/>
        <v>1129.284</v>
      </c>
      <c r="L147" s="16">
        <f t="shared" si="11"/>
        <v>1216.152</v>
      </c>
    </row>
    <row r="148" spans="2:12">
      <c r="B148" s="12" t="s">
        <v>298</v>
      </c>
      <c r="C148" s="16" t="s">
        <v>299</v>
      </c>
      <c r="D148" s="16" t="s">
        <v>299</v>
      </c>
      <c r="E148" s="16" t="s">
        <v>299</v>
      </c>
      <c r="F148" s="16" t="s">
        <v>299</v>
      </c>
      <c r="G148">
        <v>1367.4</v>
      </c>
      <c r="H148" s="17">
        <v>2170.48</v>
      </c>
      <c r="I148" s="16">
        <f t="shared" si="8"/>
        <v>1572.51</v>
      </c>
      <c r="J148" s="16">
        <f t="shared" si="9"/>
        <v>1640.88</v>
      </c>
      <c r="K148" s="16">
        <f t="shared" si="10"/>
        <v>1777.62</v>
      </c>
      <c r="L148" s="16">
        <f t="shared" si="11"/>
        <v>1914.36</v>
      </c>
    </row>
    <row r="149" spans="2:12">
      <c r="B149" s="12" t="s">
        <v>300</v>
      </c>
      <c r="C149" s="16" t="s">
        <v>301</v>
      </c>
      <c r="D149" s="16" t="s">
        <v>301</v>
      </c>
      <c r="E149" s="16" t="s">
        <v>301</v>
      </c>
      <c r="F149" s="16" t="s">
        <v>301</v>
      </c>
      <c r="G149">
        <v>868.68</v>
      </c>
      <c r="H149" s="17">
        <v>1401.1</v>
      </c>
      <c r="I149" s="16">
        <f t="shared" si="8"/>
        <v>998.982</v>
      </c>
      <c r="J149" s="16">
        <f t="shared" si="9"/>
        <v>1042.416</v>
      </c>
      <c r="K149" s="16">
        <f t="shared" si="10"/>
        <v>1129.284</v>
      </c>
      <c r="L149" s="16">
        <f t="shared" si="11"/>
        <v>1216.152</v>
      </c>
    </row>
    <row r="150" spans="2:12">
      <c r="B150" s="12" t="s">
        <v>302</v>
      </c>
      <c r="C150" s="16" t="s">
        <v>303</v>
      </c>
      <c r="D150" s="16" t="s">
        <v>303</v>
      </c>
      <c r="E150" s="16" t="s">
        <v>303</v>
      </c>
      <c r="F150" s="16" t="s">
        <v>303</v>
      </c>
      <c r="G150">
        <v>25.71</v>
      </c>
      <c r="H150" s="17">
        <v>41.12</v>
      </c>
      <c r="I150" s="16">
        <f t="shared" si="8"/>
        <v>29.5665</v>
      </c>
      <c r="J150" s="16">
        <f t="shared" si="9"/>
        <v>30.852</v>
      </c>
      <c r="K150" s="16">
        <f t="shared" si="10"/>
        <v>33.423</v>
      </c>
      <c r="L150" s="16">
        <f t="shared" si="11"/>
        <v>35.994</v>
      </c>
    </row>
    <row r="151" spans="2:12">
      <c r="B151" s="12" t="s">
        <v>304</v>
      </c>
      <c r="C151" s="16" t="s">
        <v>305</v>
      </c>
      <c r="D151" s="16" t="s">
        <v>305</v>
      </c>
      <c r="E151" s="16" t="s">
        <v>305</v>
      </c>
      <c r="F151" s="16" t="s">
        <v>305</v>
      </c>
      <c r="G151">
        <v>10.75</v>
      </c>
      <c r="H151" s="17">
        <v>17.2</v>
      </c>
      <c r="I151" s="16">
        <f t="shared" si="8"/>
        <v>12.3625</v>
      </c>
      <c r="J151" s="16">
        <f t="shared" si="9"/>
        <v>12.9</v>
      </c>
      <c r="K151" s="16">
        <f t="shared" si="10"/>
        <v>13.975</v>
      </c>
      <c r="L151" s="16">
        <f t="shared" si="11"/>
        <v>15.05</v>
      </c>
    </row>
    <row r="152" spans="2:12">
      <c r="B152" s="12" t="s">
        <v>306</v>
      </c>
      <c r="C152" s="16" t="s">
        <v>307</v>
      </c>
      <c r="D152" s="16" t="s">
        <v>307</v>
      </c>
      <c r="E152" s="16" t="s">
        <v>307</v>
      </c>
      <c r="F152" s="16" t="s">
        <v>307</v>
      </c>
      <c r="G152">
        <v>140.87</v>
      </c>
      <c r="H152" s="17">
        <v>225.41</v>
      </c>
      <c r="I152" s="16">
        <f t="shared" si="8"/>
        <v>162.0005</v>
      </c>
      <c r="J152" s="16">
        <f t="shared" si="9"/>
        <v>169.044</v>
      </c>
      <c r="K152" s="16">
        <f t="shared" si="10"/>
        <v>183.131</v>
      </c>
      <c r="L152" s="16">
        <f t="shared" si="11"/>
        <v>197.218</v>
      </c>
    </row>
    <row r="153" spans="2:12">
      <c r="B153" s="12" t="s">
        <v>308</v>
      </c>
      <c r="C153" s="16" t="s">
        <v>309</v>
      </c>
      <c r="D153" s="16" t="s">
        <v>309</v>
      </c>
      <c r="E153" s="16" t="s">
        <v>309</v>
      </c>
      <c r="F153" s="16" t="s">
        <v>309</v>
      </c>
      <c r="G153">
        <v>152.24</v>
      </c>
      <c r="H153" s="17">
        <v>243.58</v>
      </c>
      <c r="I153" s="16">
        <f t="shared" si="8"/>
        <v>175.076</v>
      </c>
      <c r="J153" s="16">
        <f t="shared" si="9"/>
        <v>182.688</v>
      </c>
      <c r="K153" s="16">
        <f t="shared" si="10"/>
        <v>197.912</v>
      </c>
      <c r="L153" s="16">
        <f t="shared" si="11"/>
        <v>213.136</v>
      </c>
    </row>
    <row r="154" spans="2:12">
      <c r="B154" s="12" t="s">
        <v>310</v>
      </c>
      <c r="C154" s="16" t="s">
        <v>311</v>
      </c>
      <c r="D154" s="16" t="s">
        <v>311</v>
      </c>
      <c r="E154" s="16" t="s">
        <v>311</v>
      </c>
      <c r="F154" s="16" t="s">
        <v>311</v>
      </c>
      <c r="G154">
        <v>110.79</v>
      </c>
      <c r="H154" s="17">
        <v>177.26</v>
      </c>
      <c r="I154" s="16">
        <f t="shared" si="8"/>
        <v>127.4085</v>
      </c>
      <c r="J154" s="16">
        <f t="shared" si="9"/>
        <v>132.948</v>
      </c>
      <c r="K154" s="16">
        <f t="shared" si="10"/>
        <v>144.027</v>
      </c>
      <c r="L154" s="16">
        <f t="shared" si="11"/>
        <v>155.106</v>
      </c>
    </row>
    <row r="155" spans="2:12">
      <c r="B155" s="12" t="s">
        <v>312</v>
      </c>
      <c r="C155" s="16" t="s">
        <v>313</v>
      </c>
      <c r="D155" s="16" t="s">
        <v>313</v>
      </c>
      <c r="E155" s="16" t="s">
        <v>313</v>
      </c>
      <c r="F155" s="16" t="s">
        <v>313</v>
      </c>
      <c r="G155">
        <v>151</v>
      </c>
      <c r="H155" s="17">
        <v>241.61</v>
      </c>
      <c r="I155" s="16">
        <f t="shared" si="8"/>
        <v>173.65</v>
      </c>
      <c r="J155" s="16">
        <f t="shared" si="9"/>
        <v>181.2</v>
      </c>
      <c r="K155" s="16">
        <f t="shared" si="10"/>
        <v>196.3</v>
      </c>
      <c r="L155" s="16">
        <f t="shared" si="11"/>
        <v>211.4</v>
      </c>
    </row>
    <row r="156" spans="2:12">
      <c r="B156" s="12" t="s">
        <v>314</v>
      </c>
      <c r="C156" s="16" t="s">
        <v>315</v>
      </c>
      <c r="D156" s="16" t="s">
        <v>315</v>
      </c>
      <c r="E156" s="16" t="s">
        <v>315</v>
      </c>
      <c r="F156" s="16" t="s">
        <v>315</v>
      </c>
      <c r="G156">
        <v>160.28</v>
      </c>
      <c r="H156" s="17">
        <v>256.46</v>
      </c>
      <c r="I156" s="16">
        <f t="shared" si="8"/>
        <v>184.322</v>
      </c>
      <c r="J156" s="16">
        <f t="shared" si="9"/>
        <v>192.336</v>
      </c>
      <c r="K156" s="16">
        <f t="shared" si="10"/>
        <v>208.364</v>
      </c>
      <c r="L156" s="16">
        <f t="shared" si="11"/>
        <v>224.392</v>
      </c>
    </row>
    <row r="157" spans="2:12">
      <c r="B157" s="12" t="s">
        <v>316</v>
      </c>
      <c r="C157" s="16" t="s">
        <v>317</v>
      </c>
      <c r="D157" s="16" t="s">
        <v>317</v>
      </c>
      <c r="E157" s="16" t="s">
        <v>317</v>
      </c>
      <c r="F157" s="16" t="s">
        <v>317</v>
      </c>
      <c r="G157">
        <v>143.66</v>
      </c>
      <c r="H157" s="17">
        <v>229.86</v>
      </c>
      <c r="I157" s="16">
        <f t="shared" si="8"/>
        <v>165.209</v>
      </c>
      <c r="J157" s="16">
        <f t="shared" si="9"/>
        <v>172.392</v>
      </c>
      <c r="K157" s="16">
        <f t="shared" si="10"/>
        <v>186.758</v>
      </c>
      <c r="L157" s="16">
        <f t="shared" si="11"/>
        <v>201.124</v>
      </c>
    </row>
    <row r="158" spans="2:12">
      <c r="B158" s="12" t="s">
        <v>318</v>
      </c>
      <c r="C158" s="16" t="s">
        <v>319</v>
      </c>
      <c r="D158" s="16" t="s">
        <v>319</v>
      </c>
      <c r="E158" s="16" t="s">
        <v>319</v>
      </c>
      <c r="F158" s="16" t="s">
        <v>319</v>
      </c>
      <c r="G158">
        <v>147.38</v>
      </c>
      <c r="H158" s="17">
        <v>235.81</v>
      </c>
      <c r="I158" s="16">
        <f t="shared" si="8"/>
        <v>169.487</v>
      </c>
      <c r="J158" s="16">
        <f t="shared" si="9"/>
        <v>176.856</v>
      </c>
      <c r="K158" s="16">
        <f t="shared" si="10"/>
        <v>191.594</v>
      </c>
      <c r="L158" s="16">
        <f t="shared" si="11"/>
        <v>206.332</v>
      </c>
    </row>
    <row r="159" spans="2:12">
      <c r="B159" s="12" t="s">
        <v>320</v>
      </c>
      <c r="C159" s="16" t="s">
        <v>321</v>
      </c>
      <c r="D159" s="16" t="s">
        <v>321</v>
      </c>
      <c r="E159" s="16" t="s">
        <v>321</v>
      </c>
      <c r="F159" s="16" t="s">
        <v>321</v>
      </c>
      <c r="G159">
        <v>56.17</v>
      </c>
      <c r="H159" s="17">
        <v>89.88</v>
      </c>
      <c r="I159" s="16">
        <f t="shared" si="8"/>
        <v>64.5955</v>
      </c>
      <c r="J159" s="16">
        <f t="shared" si="9"/>
        <v>67.404</v>
      </c>
      <c r="K159" s="16">
        <f t="shared" si="10"/>
        <v>73.021</v>
      </c>
      <c r="L159" s="16">
        <f t="shared" si="11"/>
        <v>78.638</v>
      </c>
    </row>
    <row r="160" spans="2:12">
      <c r="B160" s="12" t="s">
        <v>322</v>
      </c>
      <c r="C160" s="16" t="s">
        <v>323</v>
      </c>
      <c r="D160" s="16" t="s">
        <v>323</v>
      </c>
      <c r="E160" s="16" t="s">
        <v>323</v>
      </c>
      <c r="F160" s="16" t="s">
        <v>323</v>
      </c>
      <c r="G160">
        <v>267.07</v>
      </c>
      <c r="H160" s="17">
        <v>427.31</v>
      </c>
      <c r="I160" s="16">
        <f t="shared" si="8"/>
        <v>307.1305</v>
      </c>
      <c r="J160" s="16">
        <f t="shared" si="9"/>
        <v>320.484</v>
      </c>
      <c r="K160" s="16">
        <f t="shared" si="10"/>
        <v>347.191</v>
      </c>
      <c r="L160" s="16">
        <f t="shared" si="11"/>
        <v>373.898</v>
      </c>
    </row>
    <row r="161" spans="2:12">
      <c r="B161" s="12" t="s">
        <v>324</v>
      </c>
      <c r="C161" s="16" t="s">
        <v>325</v>
      </c>
      <c r="D161" s="16" t="s">
        <v>325</v>
      </c>
      <c r="E161" s="16" t="s">
        <v>325</v>
      </c>
      <c r="F161" s="16" t="s">
        <v>325</v>
      </c>
      <c r="G161">
        <v>63.56</v>
      </c>
      <c r="H161" s="17">
        <v>101.7</v>
      </c>
      <c r="I161" s="16">
        <f t="shared" si="8"/>
        <v>73.094</v>
      </c>
      <c r="J161" s="16">
        <f t="shared" si="9"/>
        <v>76.272</v>
      </c>
      <c r="K161" s="16">
        <f t="shared" si="10"/>
        <v>82.628</v>
      </c>
      <c r="L161" s="16">
        <f t="shared" si="11"/>
        <v>88.984</v>
      </c>
    </row>
    <row r="162" spans="2:12">
      <c r="B162" s="12" t="s">
        <v>326</v>
      </c>
      <c r="C162" s="16" t="s">
        <v>327</v>
      </c>
      <c r="D162" s="16" t="s">
        <v>327</v>
      </c>
      <c r="E162" s="16" t="s">
        <v>327</v>
      </c>
      <c r="F162" s="16" t="s">
        <v>327</v>
      </c>
      <c r="G162">
        <v>65.11</v>
      </c>
      <c r="H162" s="17">
        <v>104.16</v>
      </c>
      <c r="I162" s="16">
        <f t="shared" si="8"/>
        <v>74.8765</v>
      </c>
      <c r="J162" s="16">
        <f t="shared" si="9"/>
        <v>78.132</v>
      </c>
      <c r="K162" s="16">
        <f t="shared" si="10"/>
        <v>84.643</v>
      </c>
      <c r="L162" s="16">
        <f t="shared" si="11"/>
        <v>91.154</v>
      </c>
    </row>
    <row r="163" spans="2:12">
      <c r="B163" s="12" t="s">
        <v>328</v>
      </c>
      <c r="C163" s="16" t="s">
        <v>329</v>
      </c>
      <c r="D163" s="16" t="s">
        <v>329</v>
      </c>
      <c r="E163" s="16" t="s">
        <v>329</v>
      </c>
      <c r="F163" s="16" t="s">
        <v>329</v>
      </c>
      <c r="G163">
        <v>113.09</v>
      </c>
      <c r="H163" s="17">
        <v>180.96</v>
      </c>
      <c r="I163" s="16">
        <f t="shared" si="8"/>
        <v>130.0535</v>
      </c>
      <c r="J163" s="16">
        <f t="shared" si="9"/>
        <v>135.708</v>
      </c>
      <c r="K163" s="16">
        <f t="shared" si="10"/>
        <v>147.017</v>
      </c>
      <c r="L163" s="16">
        <f t="shared" si="11"/>
        <v>158.326</v>
      </c>
    </row>
    <row r="164" spans="2:12">
      <c r="B164" s="12" t="s">
        <v>330</v>
      </c>
      <c r="C164" s="16" t="s">
        <v>331</v>
      </c>
      <c r="D164" s="16" t="s">
        <v>331</v>
      </c>
      <c r="E164" s="16" t="s">
        <v>331</v>
      </c>
      <c r="F164" s="16" t="s">
        <v>331</v>
      </c>
      <c r="G164">
        <v>91.16</v>
      </c>
      <c r="H164" s="17">
        <v>144.7</v>
      </c>
      <c r="I164" s="16">
        <f t="shared" si="8"/>
        <v>104.834</v>
      </c>
      <c r="J164" s="16">
        <f t="shared" si="9"/>
        <v>109.392</v>
      </c>
      <c r="K164" s="16">
        <f t="shared" si="10"/>
        <v>118.508</v>
      </c>
      <c r="L164" s="16">
        <f t="shared" si="11"/>
        <v>127.624</v>
      </c>
    </row>
    <row r="165" spans="2:12">
      <c r="B165" s="12" t="s">
        <v>332</v>
      </c>
      <c r="C165" s="16" t="s">
        <v>333</v>
      </c>
      <c r="D165" s="16" t="s">
        <v>333</v>
      </c>
      <c r="E165" s="16" t="s">
        <v>333</v>
      </c>
      <c r="F165" s="16" t="s">
        <v>333</v>
      </c>
      <c r="G165">
        <v>109.38</v>
      </c>
      <c r="H165" s="17">
        <v>173.61</v>
      </c>
      <c r="I165" s="16">
        <f t="shared" si="8"/>
        <v>125.787</v>
      </c>
      <c r="J165" s="16">
        <f t="shared" si="9"/>
        <v>131.256</v>
      </c>
      <c r="K165" s="16">
        <f t="shared" si="10"/>
        <v>142.194</v>
      </c>
      <c r="L165" s="16">
        <f t="shared" si="11"/>
        <v>153.132</v>
      </c>
    </row>
    <row r="166" spans="2:12">
      <c r="B166" s="12" t="s">
        <v>334</v>
      </c>
      <c r="C166" s="16" t="s">
        <v>335</v>
      </c>
      <c r="D166" s="16" t="s">
        <v>335</v>
      </c>
      <c r="E166" s="16" t="s">
        <v>335</v>
      </c>
      <c r="F166" s="16" t="s">
        <v>335</v>
      </c>
      <c r="G166">
        <v>1101.89</v>
      </c>
      <c r="H166" s="17">
        <v>1763.02</v>
      </c>
      <c r="I166" s="16">
        <f t="shared" si="8"/>
        <v>1267.1735</v>
      </c>
      <c r="J166" s="16">
        <f t="shared" si="9"/>
        <v>1322.268</v>
      </c>
      <c r="K166" s="16">
        <f t="shared" si="10"/>
        <v>1432.457</v>
      </c>
      <c r="L166" s="16">
        <f t="shared" si="11"/>
        <v>1542.646</v>
      </c>
    </row>
    <row r="167" spans="2:12">
      <c r="B167" s="12" t="s">
        <v>336</v>
      </c>
      <c r="C167" s="16" t="s">
        <v>337</v>
      </c>
      <c r="D167" s="16" t="s">
        <v>337</v>
      </c>
      <c r="E167" s="16" t="s">
        <v>337</v>
      </c>
      <c r="F167" s="16" t="s">
        <v>337</v>
      </c>
      <c r="G167">
        <v>1122.3</v>
      </c>
      <c r="H167" s="17">
        <v>1795.66</v>
      </c>
      <c r="I167" s="16">
        <f t="shared" si="8"/>
        <v>1290.645</v>
      </c>
      <c r="J167" s="16">
        <f t="shared" si="9"/>
        <v>1346.76</v>
      </c>
      <c r="K167" s="16">
        <f t="shared" si="10"/>
        <v>1458.99</v>
      </c>
      <c r="L167" s="16">
        <f t="shared" si="11"/>
        <v>1571.22</v>
      </c>
    </row>
    <row r="168" spans="2:12">
      <c r="B168" s="12" t="s">
        <v>338</v>
      </c>
      <c r="C168" s="16" t="s">
        <v>339</v>
      </c>
      <c r="D168" s="16" t="s">
        <v>339</v>
      </c>
      <c r="E168" s="16" t="s">
        <v>339</v>
      </c>
      <c r="F168" s="16" t="s">
        <v>339</v>
      </c>
      <c r="G168">
        <v>1348.91</v>
      </c>
      <c r="H168" s="17">
        <v>2158.26</v>
      </c>
      <c r="I168" s="16">
        <f t="shared" si="8"/>
        <v>1551.2465</v>
      </c>
      <c r="J168" s="16">
        <f t="shared" si="9"/>
        <v>1618.692</v>
      </c>
      <c r="K168" s="16">
        <f t="shared" si="10"/>
        <v>1753.583</v>
      </c>
      <c r="L168" s="16">
        <f t="shared" si="11"/>
        <v>1888.474</v>
      </c>
    </row>
    <row r="169" spans="2:12">
      <c r="B169" s="12" t="s">
        <v>340</v>
      </c>
      <c r="C169" s="16" t="s">
        <v>341</v>
      </c>
      <c r="D169" s="16" t="s">
        <v>341</v>
      </c>
      <c r="E169" s="16" t="s">
        <v>341</v>
      </c>
      <c r="F169" s="16" t="s">
        <v>341</v>
      </c>
      <c r="G169">
        <v>928.56</v>
      </c>
      <c r="H169" s="17">
        <v>1485.71</v>
      </c>
      <c r="I169" s="16">
        <f t="shared" si="8"/>
        <v>1067.844</v>
      </c>
      <c r="J169" s="16">
        <f t="shared" si="9"/>
        <v>1114.272</v>
      </c>
      <c r="K169" s="16">
        <f t="shared" si="10"/>
        <v>1207.128</v>
      </c>
      <c r="L169" s="16">
        <f t="shared" si="11"/>
        <v>1299.984</v>
      </c>
    </row>
    <row r="170" spans="2:12">
      <c r="B170" s="12" t="s">
        <v>342</v>
      </c>
      <c r="C170" s="16" t="s">
        <v>343</v>
      </c>
      <c r="D170" s="16" t="s">
        <v>343</v>
      </c>
      <c r="E170" s="16" t="s">
        <v>343</v>
      </c>
      <c r="F170" s="16" t="s">
        <v>343</v>
      </c>
      <c r="G170">
        <v>1253.95</v>
      </c>
      <c r="H170" s="17">
        <v>2006.33</v>
      </c>
      <c r="I170" s="16">
        <f t="shared" si="8"/>
        <v>1442.0425</v>
      </c>
      <c r="J170" s="16">
        <f t="shared" si="9"/>
        <v>1504.74</v>
      </c>
      <c r="K170" s="16">
        <f t="shared" si="10"/>
        <v>1630.135</v>
      </c>
      <c r="L170" s="16">
        <f t="shared" si="11"/>
        <v>1755.53</v>
      </c>
    </row>
    <row r="171" spans="2:12">
      <c r="B171" s="12" t="s">
        <v>344</v>
      </c>
      <c r="C171" s="16" t="s">
        <v>345</v>
      </c>
      <c r="D171" s="16" t="s">
        <v>345</v>
      </c>
      <c r="E171" s="16" t="s">
        <v>345</v>
      </c>
      <c r="F171" s="16" t="s">
        <v>345</v>
      </c>
      <c r="G171">
        <v>1172.44</v>
      </c>
      <c r="H171" s="17">
        <v>1875.89</v>
      </c>
      <c r="I171" s="16">
        <f t="shared" si="8"/>
        <v>1348.306</v>
      </c>
      <c r="J171" s="16">
        <f t="shared" si="9"/>
        <v>1406.928</v>
      </c>
      <c r="K171" s="16">
        <f t="shared" si="10"/>
        <v>1524.172</v>
      </c>
      <c r="L171" s="16">
        <f t="shared" si="11"/>
        <v>1641.416</v>
      </c>
    </row>
    <row r="172" spans="2:12">
      <c r="B172" s="12" t="s">
        <v>346</v>
      </c>
      <c r="C172" s="16" t="s">
        <v>347</v>
      </c>
      <c r="D172" s="16" t="s">
        <v>347</v>
      </c>
      <c r="E172" s="16" t="s">
        <v>347</v>
      </c>
      <c r="F172" s="16" t="s">
        <v>347</v>
      </c>
      <c r="G172">
        <v>1628.73</v>
      </c>
      <c r="H172" s="17">
        <v>2626.98</v>
      </c>
      <c r="I172" s="16">
        <f t="shared" si="8"/>
        <v>1873.0395</v>
      </c>
      <c r="J172" s="16">
        <f t="shared" si="9"/>
        <v>1954.476</v>
      </c>
      <c r="K172" s="16">
        <f t="shared" si="10"/>
        <v>2117.349</v>
      </c>
      <c r="L172" s="16">
        <f t="shared" si="11"/>
        <v>2280.222</v>
      </c>
    </row>
    <row r="173" spans="2:12">
      <c r="B173" s="12" t="s">
        <v>348</v>
      </c>
      <c r="C173" s="16" t="s">
        <v>349</v>
      </c>
      <c r="D173" s="16" t="s">
        <v>349</v>
      </c>
      <c r="E173" s="16" t="s">
        <v>349</v>
      </c>
      <c r="F173" s="16" t="s">
        <v>349</v>
      </c>
      <c r="G173">
        <v>236.41</v>
      </c>
      <c r="H173" s="17">
        <v>411.13</v>
      </c>
      <c r="I173" s="16">
        <f t="shared" si="8"/>
        <v>271.8715</v>
      </c>
      <c r="J173" s="16">
        <f t="shared" si="9"/>
        <v>283.692</v>
      </c>
      <c r="K173" s="16">
        <f t="shared" si="10"/>
        <v>307.333</v>
      </c>
      <c r="L173" s="16">
        <f t="shared" si="11"/>
        <v>330.974</v>
      </c>
    </row>
    <row r="174" spans="2:12">
      <c r="B174" s="12" t="s">
        <v>350</v>
      </c>
      <c r="C174" s="16" t="s">
        <v>351</v>
      </c>
      <c r="D174" s="16" t="s">
        <v>351</v>
      </c>
      <c r="E174" s="16" t="s">
        <v>351</v>
      </c>
      <c r="F174" s="16" t="s">
        <v>351</v>
      </c>
      <c r="G174">
        <v>293.23</v>
      </c>
      <c r="H174" s="17">
        <v>509.96</v>
      </c>
      <c r="I174" s="16">
        <f t="shared" si="8"/>
        <v>337.2145</v>
      </c>
      <c r="J174" s="16">
        <f t="shared" si="9"/>
        <v>351.876</v>
      </c>
      <c r="K174" s="16">
        <f t="shared" si="10"/>
        <v>381.199</v>
      </c>
      <c r="L174" s="16">
        <f t="shared" si="11"/>
        <v>410.522</v>
      </c>
    </row>
    <row r="175" spans="2:12">
      <c r="B175" s="12" t="s">
        <v>352</v>
      </c>
      <c r="C175" s="16" t="s">
        <v>353</v>
      </c>
      <c r="D175" s="16" t="s">
        <v>353</v>
      </c>
      <c r="E175" s="16" t="s">
        <v>353</v>
      </c>
      <c r="F175" s="16" t="s">
        <v>353</v>
      </c>
      <c r="G175">
        <v>850.26</v>
      </c>
      <c r="H175" s="17">
        <v>1360.4</v>
      </c>
      <c r="I175" s="16">
        <f t="shared" si="8"/>
        <v>977.799</v>
      </c>
      <c r="J175" s="16">
        <f t="shared" si="9"/>
        <v>1020.312</v>
      </c>
      <c r="K175" s="16">
        <f t="shared" si="10"/>
        <v>1105.338</v>
      </c>
      <c r="L175" s="16">
        <f t="shared" si="11"/>
        <v>1190.364</v>
      </c>
    </row>
    <row r="176" spans="2:12">
      <c r="B176" s="12" t="s">
        <v>354</v>
      </c>
      <c r="C176" s="16" t="s">
        <v>355</v>
      </c>
      <c r="D176" s="16" t="s">
        <v>355</v>
      </c>
      <c r="E176" s="16" t="s">
        <v>355</v>
      </c>
      <c r="F176" s="16" t="s">
        <v>355</v>
      </c>
      <c r="G176">
        <v>228.63</v>
      </c>
      <c r="H176" s="17">
        <v>365.79</v>
      </c>
      <c r="I176" s="16">
        <f t="shared" si="8"/>
        <v>262.9245</v>
      </c>
      <c r="J176" s="16">
        <f t="shared" si="9"/>
        <v>274.356</v>
      </c>
      <c r="K176" s="16">
        <f t="shared" si="10"/>
        <v>297.219</v>
      </c>
      <c r="L176" s="16">
        <f t="shared" si="11"/>
        <v>320.082</v>
      </c>
    </row>
    <row r="177" spans="2:12">
      <c r="B177" s="12" t="s">
        <v>356</v>
      </c>
      <c r="C177" s="16" t="s">
        <v>357</v>
      </c>
      <c r="D177" s="16" t="s">
        <v>357</v>
      </c>
      <c r="E177" s="16" t="s">
        <v>357</v>
      </c>
      <c r="F177" s="16" t="s">
        <v>357</v>
      </c>
      <c r="G177">
        <v>414.8</v>
      </c>
      <c r="H177" s="17">
        <v>663.65</v>
      </c>
      <c r="I177" s="16">
        <f t="shared" si="8"/>
        <v>477.02</v>
      </c>
      <c r="J177" s="16">
        <f t="shared" si="9"/>
        <v>497.76</v>
      </c>
      <c r="K177" s="16">
        <f t="shared" si="10"/>
        <v>539.24</v>
      </c>
      <c r="L177" s="16">
        <f t="shared" si="11"/>
        <v>580.72</v>
      </c>
    </row>
    <row r="178" spans="2:12">
      <c r="B178" s="12" t="s">
        <v>358</v>
      </c>
      <c r="C178" s="16" t="s">
        <v>359</v>
      </c>
      <c r="D178" s="16" t="s">
        <v>359</v>
      </c>
      <c r="E178" s="16" t="s">
        <v>359</v>
      </c>
      <c r="F178" s="16" t="s">
        <v>359</v>
      </c>
      <c r="G178">
        <v>1044.43</v>
      </c>
      <c r="H178" s="17">
        <v>1671.08</v>
      </c>
      <c r="I178" s="16">
        <f t="shared" si="8"/>
        <v>1201.0945</v>
      </c>
      <c r="J178" s="16">
        <f t="shared" si="9"/>
        <v>1253.316</v>
      </c>
      <c r="K178" s="16">
        <f t="shared" si="10"/>
        <v>1357.759</v>
      </c>
      <c r="L178" s="16">
        <f t="shared" si="11"/>
        <v>1462.202</v>
      </c>
    </row>
    <row r="179" spans="2:12">
      <c r="B179" s="12" t="s">
        <v>360</v>
      </c>
      <c r="C179" s="16" t="s">
        <v>361</v>
      </c>
      <c r="D179" s="16" t="s">
        <v>361</v>
      </c>
      <c r="E179" s="16" t="s">
        <v>361</v>
      </c>
      <c r="F179" s="16" t="s">
        <v>361</v>
      </c>
      <c r="G179">
        <v>979.24</v>
      </c>
      <c r="H179" s="17">
        <v>1703.02</v>
      </c>
      <c r="I179" s="16">
        <f t="shared" si="8"/>
        <v>1126.126</v>
      </c>
      <c r="J179" s="16">
        <f t="shared" si="9"/>
        <v>1175.088</v>
      </c>
      <c r="K179" s="16">
        <f t="shared" si="10"/>
        <v>1273.012</v>
      </c>
      <c r="L179" s="16">
        <f t="shared" si="11"/>
        <v>1370.936</v>
      </c>
    </row>
    <row r="180" spans="2:12">
      <c r="B180" s="12" t="s">
        <v>362</v>
      </c>
      <c r="C180" s="16" t="s">
        <v>363</v>
      </c>
      <c r="D180" s="16" t="s">
        <v>363</v>
      </c>
      <c r="E180" s="16" t="s">
        <v>363</v>
      </c>
      <c r="F180" s="16" t="s">
        <v>363</v>
      </c>
      <c r="G180">
        <v>1208.32</v>
      </c>
      <c r="H180" s="17">
        <v>2101.43</v>
      </c>
      <c r="I180" s="16">
        <f t="shared" si="8"/>
        <v>1389.568</v>
      </c>
      <c r="J180" s="16">
        <f t="shared" si="9"/>
        <v>1449.984</v>
      </c>
      <c r="K180" s="16">
        <f t="shared" si="10"/>
        <v>1570.816</v>
      </c>
      <c r="L180" s="16">
        <f t="shared" si="11"/>
        <v>1691.648</v>
      </c>
    </row>
    <row r="181" spans="2:12">
      <c r="B181" s="12" t="s">
        <v>364</v>
      </c>
      <c r="C181" s="16" t="s">
        <v>365</v>
      </c>
      <c r="D181" s="16" t="s">
        <v>365</v>
      </c>
      <c r="E181" s="16" t="s">
        <v>365</v>
      </c>
      <c r="F181" s="16" t="s">
        <v>365</v>
      </c>
      <c r="G181">
        <v>1459.15</v>
      </c>
      <c r="H181" s="17">
        <v>2537.66</v>
      </c>
      <c r="I181" s="16">
        <f t="shared" si="8"/>
        <v>1678.0225</v>
      </c>
      <c r="J181" s="16">
        <f t="shared" si="9"/>
        <v>1750.98</v>
      </c>
      <c r="K181" s="16">
        <f t="shared" si="10"/>
        <v>1896.895</v>
      </c>
      <c r="L181" s="16">
        <f t="shared" si="11"/>
        <v>2042.81</v>
      </c>
    </row>
    <row r="182" spans="2:12">
      <c r="B182" s="12" t="s">
        <v>366</v>
      </c>
      <c r="C182" s="16" t="s">
        <v>367</v>
      </c>
      <c r="D182" s="16" t="s">
        <v>367</v>
      </c>
      <c r="E182" s="16" t="s">
        <v>367</v>
      </c>
      <c r="F182" s="16" t="s">
        <v>367</v>
      </c>
      <c r="G182">
        <v>307.58</v>
      </c>
      <c r="H182" s="17">
        <v>492.13</v>
      </c>
      <c r="I182" s="16">
        <f t="shared" si="8"/>
        <v>353.717</v>
      </c>
      <c r="J182" s="16">
        <f t="shared" si="9"/>
        <v>369.096</v>
      </c>
      <c r="K182" s="16">
        <f t="shared" si="10"/>
        <v>399.854</v>
      </c>
      <c r="L182" s="16">
        <f t="shared" si="11"/>
        <v>430.612</v>
      </c>
    </row>
    <row r="183" spans="2:12">
      <c r="B183" s="12" t="s">
        <v>368</v>
      </c>
      <c r="C183" s="16" t="s">
        <v>369</v>
      </c>
      <c r="D183" s="16" t="s">
        <v>369</v>
      </c>
      <c r="E183" s="16" t="s">
        <v>369</v>
      </c>
      <c r="F183" s="16" t="s">
        <v>369</v>
      </c>
      <c r="G183">
        <v>645.54</v>
      </c>
      <c r="H183" s="17">
        <v>1032.86</v>
      </c>
      <c r="I183" s="16">
        <f t="shared" si="8"/>
        <v>742.371</v>
      </c>
      <c r="J183" s="16">
        <f t="shared" si="9"/>
        <v>774.648</v>
      </c>
      <c r="K183" s="16">
        <f t="shared" si="10"/>
        <v>839.202</v>
      </c>
      <c r="L183" s="16">
        <f t="shared" si="11"/>
        <v>903.756</v>
      </c>
    </row>
    <row r="184" spans="2:12">
      <c r="B184" s="12" t="s">
        <v>370</v>
      </c>
      <c r="C184" s="16" t="s">
        <v>371</v>
      </c>
      <c r="D184" s="16" t="s">
        <v>371</v>
      </c>
      <c r="E184" s="16" t="s">
        <v>371</v>
      </c>
      <c r="F184" s="16" t="s">
        <v>371</v>
      </c>
      <c r="G184">
        <v>260.39</v>
      </c>
      <c r="H184" s="17">
        <v>452.86</v>
      </c>
      <c r="I184" s="16">
        <f t="shared" si="8"/>
        <v>299.4485</v>
      </c>
      <c r="J184" s="16">
        <f t="shared" si="9"/>
        <v>312.468</v>
      </c>
      <c r="K184" s="16">
        <f t="shared" si="10"/>
        <v>338.507</v>
      </c>
      <c r="L184" s="16">
        <f t="shared" si="11"/>
        <v>364.546</v>
      </c>
    </row>
    <row r="185" spans="2:12">
      <c r="B185" s="12" t="s">
        <v>372</v>
      </c>
      <c r="C185" s="16" t="s">
        <v>373</v>
      </c>
      <c r="D185" s="16" t="s">
        <v>373</v>
      </c>
      <c r="E185" s="16" t="s">
        <v>373</v>
      </c>
      <c r="F185" s="16" t="s">
        <v>373</v>
      </c>
      <c r="G185">
        <v>402.92</v>
      </c>
      <c r="H185" s="17">
        <v>700.72</v>
      </c>
      <c r="I185" s="16">
        <f t="shared" si="8"/>
        <v>463.358</v>
      </c>
      <c r="J185" s="16">
        <f t="shared" si="9"/>
        <v>483.504</v>
      </c>
      <c r="K185" s="16">
        <f t="shared" si="10"/>
        <v>523.796</v>
      </c>
      <c r="L185" s="16">
        <f t="shared" si="11"/>
        <v>564.088</v>
      </c>
    </row>
    <row r="186" spans="2:12">
      <c r="B186" s="12" t="s">
        <v>374</v>
      </c>
      <c r="C186" s="16" t="s">
        <v>375</v>
      </c>
      <c r="D186" s="16" t="s">
        <v>375</v>
      </c>
      <c r="E186" s="16" t="s">
        <v>375</v>
      </c>
      <c r="F186" s="16" t="s">
        <v>375</v>
      </c>
      <c r="G186">
        <v>130.84</v>
      </c>
      <c r="H186" s="17">
        <v>227.55</v>
      </c>
      <c r="I186" s="16">
        <f t="shared" si="8"/>
        <v>150.466</v>
      </c>
      <c r="J186" s="16">
        <f t="shared" si="9"/>
        <v>157.008</v>
      </c>
      <c r="K186" s="16">
        <f t="shared" si="10"/>
        <v>170.092</v>
      </c>
      <c r="L186" s="16">
        <f t="shared" si="11"/>
        <v>183.176</v>
      </c>
    </row>
    <row r="187" spans="2:12">
      <c r="B187" s="12" t="s">
        <v>376</v>
      </c>
      <c r="C187" s="16" t="s">
        <v>377</v>
      </c>
      <c r="D187" s="16" t="s">
        <v>377</v>
      </c>
      <c r="E187" s="16" t="s">
        <v>377</v>
      </c>
      <c r="F187" s="16" t="s">
        <v>377</v>
      </c>
      <c r="G187">
        <v>160.57</v>
      </c>
      <c r="H187" s="17">
        <v>279.24</v>
      </c>
      <c r="I187" s="16">
        <f t="shared" si="8"/>
        <v>184.6555</v>
      </c>
      <c r="J187" s="16">
        <f t="shared" si="9"/>
        <v>192.684</v>
      </c>
      <c r="K187" s="16">
        <f t="shared" si="10"/>
        <v>208.741</v>
      </c>
      <c r="L187" s="16">
        <f t="shared" si="11"/>
        <v>224.798</v>
      </c>
    </row>
    <row r="188" spans="2:12">
      <c r="B188" s="12" t="s">
        <v>378</v>
      </c>
      <c r="C188" s="16" t="s">
        <v>379</v>
      </c>
      <c r="D188" s="16" t="s">
        <v>379</v>
      </c>
      <c r="E188" s="16" t="s">
        <v>379</v>
      </c>
      <c r="F188" s="16" t="s">
        <v>379</v>
      </c>
      <c r="G188">
        <v>190.1</v>
      </c>
      <c r="H188" s="17">
        <v>330.61</v>
      </c>
      <c r="I188" s="16">
        <f t="shared" si="8"/>
        <v>218.615</v>
      </c>
      <c r="J188" s="16">
        <f t="shared" si="9"/>
        <v>228.12</v>
      </c>
      <c r="K188" s="16">
        <f t="shared" si="10"/>
        <v>247.13</v>
      </c>
      <c r="L188" s="16">
        <f t="shared" si="11"/>
        <v>266.14</v>
      </c>
    </row>
    <row r="189" spans="2:12">
      <c r="B189" s="12" t="s">
        <v>380</v>
      </c>
      <c r="C189" s="16" t="s">
        <v>381</v>
      </c>
      <c r="D189" s="16" t="s">
        <v>381</v>
      </c>
      <c r="E189" s="16" t="s">
        <v>381</v>
      </c>
      <c r="F189" s="16" t="s">
        <v>381</v>
      </c>
      <c r="G189">
        <v>257.81</v>
      </c>
      <c r="H189" s="17">
        <v>448.35</v>
      </c>
      <c r="I189" s="16">
        <f t="shared" si="8"/>
        <v>296.4815</v>
      </c>
      <c r="J189" s="16">
        <f t="shared" si="9"/>
        <v>309.372</v>
      </c>
      <c r="K189" s="16">
        <f t="shared" si="10"/>
        <v>335.153</v>
      </c>
      <c r="L189" s="16">
        <f t="shared" si="11"/>
        <v>360.934</v>
      </c>
    </row>
    <row r="190" spans="2:12">
      <c r="B190" s="12" t="s">
        <v>382</v>
      </c>
      <c r="C190" s="16" t="s">
        <v>383</v>
      </c>
      <c r="D190" s="16" t="s">
        <v>383</v>
      </c>
      <c r="E190" s="16" t="s">
        <v>383</v>
      </c>
      <c r="F190" s="16" t="s">
        <v>383</v>
      </c>
      <c r="G190">
        <v>312.53</v>
      </c>
      <c r="H190" s="17">
        <v>543.52</v>
      </c>
      <c r="I190" s="16">
        <f t="shared" si="8"/>
        <v>359.4095</v>
      </c>
      <c r="J190" s="16">
        <f t="shared" si="9"/>
        <v>375.036</v>
      </c>
      <c r="K190" s="16">
        <f t="shared" si="10"/>
        <v>406.289</v>
      </c>
      <c r="L190" s="16">
        <f t="shared" si="11"/>
        <v>437.542</v>
      </c>
    </row>
    <row r="191" spans="2:12">
      <c r="B191" s="12" t="s">
        <v>384</v>
      </c>
      <c r="C191" s="16" t="s">
        <v>385</v>
      </c>
      <c r="D191" s="16" t="s">
        <v>385</v>
      </c>
      <c r="E191" s="16" t="s">
        <v>385</v>
      </c>
      <c r="F191" s="16" t="s">
        <v>385</v>
      </c>
      <c r="G191">
        <v>407.64</v>
      </c>
      <c r="H191" s="17">
        <v>708.94</v>
      </c>
      <c r="I191" s="16">
        <f t="shared" si="8"/>
        <v>468.786</v>
      </c>
      <c r="J191" s="16">
        <f t="shared" si="9"/>
        <v>489.168</v>
      </c>
      <c r="K191" s="16">
        <f t="shared" si="10"/>
        <v>529.932</v>
      </c>
      <c r="L191" s="16">
        <f t="shared" si="11"/>
        <v>570.696</v>
      </c>
    </row>
    <row r="192" spans="2:12">
      <c r="B192" s="12" t="s">
        <v>386</v>
      </c>
      <c r="C192" s="16" t="s">
        <v>387</v>
      </c>
      <c r="D192" s="16" t="s">
        <v>387</v>
      </c>
      <c r="E192" s="16" t="s">
        <v>387</v>
      </c>
      <c r="F192" s="16" t="s">
        <v>387</v>
      </c>
      <c r="G192">
        <v>484.42</v>
      </c>
      <c r="H192" s="17">
        <v>842.48</v>
      </c>
      <c r="I192" s="16">
        <f t="shared" si="8"/>
        <v>557.083</v>
      </c>
      <c r="J192" s="16">
        <f t="shared" si="9"/>
        <v>581.304</v>
      </c>
      <c r="K192" s="16">
        <f t="shared" si="10"/>
        <v>629.746</v>
      </c>
      <c r="L192" s="16">
        <f t="shared" si="11"/>
        <v>678.188</v>
      </c>
    </row>
    <row r="193" spans="2:12">
      <c r="B193" s="12" t="s">
        <v>388</v>
      </c>
      <c r="C193" s="16" t="s">
        <v>389</v>
      </c>
      <c r="D193" s="16" t="s">
        <v>389</v>
      </c>
      <c r="E193" s="16" t="s">
        <v>389</v>
      </c>
      <c r="F193" s="16" t="s">
        <v>389</v>
      </c>
      <c r="G193">
        <v>346.81</v>
      </c>
      <c r="H193" s="17">
        <v>603.14</v>
      </c>
      <c r="I193" s="16">
        <f t="shared" si="8"/>
        <v>398.8315</v>
      </c>
      <c r="J193" s="16">
        <f t="shared" si="9"/>
        <v>416.172</v>
      </c>
      <c r="K193" s="16">
        <f t="shared" si="10"/>
        <v>450.853</v>
      </c>
      <c r="L193" s="16">
        <f t="shared" si="11"/>
        <v>485.534</v>
      </c>
    </row>
    <row r="194" spans="2:12">
      <c r="B194" s="12" t="s">
        <v>390</v>
      </c>
      <c r="C194" s="16" t="s">
        <v>391</v>
      </c>
      <c r="D194" s="16" t="s">
        <v>391</v>
      </c>
      <c r="E194" s="16" t="s">
        <v>391</v>
      </c>
      <c r="F194" s="16" t="s">
        <v>391</v>
      </c>
      <c r="G194">
        <v>419.02</v>
      </c>
      <c r="H194" s="17">
        <v>728.74</v>
      </c>
      <c r="I194" s="16">
        <f t="shared" ref="I194:I257" si="12">G194*1.15</f>
        <v>481.873</v>
      </c>
      <c r="J194" s="16">
        <f t="shared" ref="J194:J257" si="13">G194*1.2</f>
        <v>502.824</v>
      </c>
      <c r="K194" s="16">
        <f t="shared" ref="K194:K257" si="14">G194*1.3</f>
        <v>544.726</v>
      </c>
      <c r="L194" s="16">
        <f t="shared" ref="L194:L257" si="15">G194*1.4</f>
        <v>586.628</v>
      </c>
    </row>
    <row r="195" spans="2:12">
      <c r="B195" s="12" t="s">
        <v>392</v>
      </c>
      <c r="C195" s="16" t="s">
        <v>393</v>
      </c>
      <c r="D195" s="16" t="s">
        <v>393</v>
      </c>
      <c r="E195" s="16" t="s">
        <v>393</v>
      </c>
      <c r="F195" s="16" t="s">
        <v>393</v>
      </c>
      <c r="G195">
        <v>4.5</v>
      </c>
      <c r="H195" s="17">
        <v>7.19</v>
      </c>
      <c r="I195" s="16">
        <f t="shared" si="12"/>
        <v>5.175</v>
      </c>
      <c r="J195" s="16">
        <f t="shared" si="13"/>
        <v>5.4</v>
      </c>
      <c r="K195" s="16">
        <f t="shared" si="14"/>
        <v>5.85</v>
      </c>
      <c r="L195" s="16">
        <f t="shared" si="15"/>
        <v>6.3</v>
      </c>
    </row>
    <row r="196" spans="2:12">
      <c r="B196" s="12" t="s">
        <v>394</v>
      </c>
      <c r="C196" s="16" t="s">
        <v>395</v>
      </c>
      <c r="D196" s="16" t="s">
        <v>395</v>
      </c>
      <c r="E196" s="16" t="s">
        <v>395</v>
      </c>
      <c r="F196" s="16" t="s">
        <v>395</v>
      </c>
      <c r="G196">
        <v>11.15</v>
      </c>
      <c r="H196" s="17">
        <v>17.83</v>
      </c>
      <c r="I196" s="16">
        <f t="shared" si="12"/>
        <v>12.8225</v>
      </c>
      <c r="J196" s="16">
        <f t="shared" si="13"/>
        <v>13.38</v>
      </c>
      <c r="K196" s="16">
        <f t="shared" si="14"/>
        <v>14.495</v>
      </c>
      <c r="L196" s="16">
        <f t="shared" si="15"/>
        <v>15.61</v>
      </c>
    </row>
    <row r="197" spans="2:12">
      <c r="B197" s="12" t="s">
        <v>396</v>
      </c>
      <c r="C197" s="16" t="s">
        <v>397</v>
      </c>
      <c r="D197" s="16" t="s">
        <v>397</v>
      </c>
      <c r="E197" s="16" t="s">
        <v>397</v>
      </c>
      <c r="F197" s="16" t="s">
        <v>397</v>
      </c>
      <c r="G197">
        <v>11.01</v>
      </c>
      <c r="H197" s="17">
        <v>17.63</v>
      </c>
      <c r="I197" s="16">
        <f t="shared" si="12"/>
        <v>12.6615</v>
      </c>
      <c r="J197" s="16">
        <f t="shared" si="13"/>
        <v>13.212</v>
      </c>
      <c r="K197" s="16">
        <f t="shared" si="14"/>
        <v>14.313</v>
      </c>
      <c r="L197" s="16">
        <f t="shared" si="15"/>
        <v>15.414</v>
      </c>
    </row>
    <row r="198" spans="2:12">
      <c r="B198" s="12" t="s">
        <v>398</v>
      </c>
      <c r="C198" s="16" t="s">
        <v>399</v>
      </c>
      <c r="D198" s="16" t="s">
        <v>399</v>
      </c>
      <c r="E198" s="16" t="s">
        <v>399</v>
      </c>
      <c r="F198" s="16" t="s">
        <v>399</v>
      </c>
      <c r="G198">
        <v>119.58</v>
      </c>
      <c r="H198" s="17">
        <v>207.95</v>
      </c>
      <c r="I198" s="16">
        <f t="shared" si="12"/>
        <v>137.517</v>
      </c>
      <c r="J198" s="16">
        <f t="shared" si="13"/>
        <v>143.496</v>
      </c>
      <c r="K198" s="16">
        <f t="shared" si="14"/>
        <v>155.454</v>
      </c>
      <c r="L198" s="16">
        <f t="shared" si="15"/>
        <v>167.412</v>
      </c>
    </row>
    <row r="199" spans="2:12">
      <c r="B199" s="12" t="s">
        <v>400</v>
      </c>
      <c r="C199" s="16" t="s">
        <v>401</v>
      </c>
      <c r="D199" s="16" t="s">
        <v>401</v>
      </c>
      <c r="E199" s="16" t="s">
        <v>401</v>
      </c>
      <c r="F199" s="16" t="s">
        <v>401</v>
      </c>
      <c r="G199">
        <v>195.17</v>
      </c>
      <c r="H199" s="17">
        <v>339.42</v>
      </c>
      <c r="I199" s="16">
        <f t="shared" si="12"/>
        <v>224.4455</v>
      </c>
      <c r="J199" s="16">
        <f t="shared" si="13"/>
        <v>234.204</v>
      </c>
      <c r="K199" s="16">
        <f t="shared" si="14"/>
        <v>253.721</v>
      </c>
      <c r="L199" s="16">
        <f t="shared" si="15"/>
        <v>273.238</v>
      </c>
    </row>
    <row r="200" spans="2:12">
      <c r="B200" s="12" t="s">
        <v>402</v>
      </c>
      <c r="C200" s="16" t="s">
        <v>403</v>
      </c>
      <c r="D200" s="16" t="s">
        <v>403</v>
      </c>
      <c r="E200" s="16" t="s">
        <v>403</v>
      </c>
      <c r="F200" s="16" t="s">
        <v>403</v>
      </c>
      <c r="G200">
        <v>296.48</v>
      </c>
      <c r="H200" s="17">
        <v>515.62</v>
      </c>
      <c r="I200" s="16">
        <f t="shared" si="12"/>
        <v>340.952</v>
      </c>
      <c r="J200" s="16">
        <f t="shared" si="13"/>
        <v>355.776</v>
      </c>
      <c r="K200" s="16">
        <f t="shared" si="14"/>
        <v>385.424</v>
      </c>
      <c r="L200" s="16">
        <f t="shared" si="15"/>
        <v>415.072</v>
      </c>
    </row>
    <row r="201" spans="2:12">
      <c r="B201" s="12" t="s">
        <v>404</v>
      </c>
      <c r="C201" s="16" t="s">
        <v>405</v>
      </c>
      <c r="D201" s="16" t="s">
        <v>405</v>
      </c>
      <c r="E201" s="16" t="s">
        <v>405</v>
      </c>
      <c r="F201" s="16" t="s">
        <v>405</v>
      </c>
      <c r="G201">
        <v>396.7</v>
      </c>
      <c r="H201" s="17">
        <v>689.9</v>
      </c>
      <c r="I201" s="16">
        <f t="shared" si="12"/>
        <v>456.205</v>
      </c>
      <c r="J201" s="16">
        <f t="shared" si="13"/>
        <v>476.04</v>
      </c>
      <c r="K201" s="16">
        <f t="shared" si="14"/>
        <v>515.71</v>
      </c>
      <c r="L201" s="16">
        <f t="shared" si="15"/>
        <v>555.38</v>
      </c>
    </row>
    <row r="202" spans="2:12">
      <c r="B202" s="12" t="s">
        <v>406</v>
      </c>
      <c r="C202" s="16" t="s">
        <v>407</v>
      </c>
      <c r="D202" s="16" t="s">
        <v>407</v>
      </c>
      <c r="E202" s="16" t="s">
        <v>407</v>
      </c>
      <c r="F202" s="16" t="s">
        <v>407</v>
      </c>
      <c r="G202">
        <v>492.47</v>
      </c>
      <c r="H202" s="17">
        <v>856.48</v>
      </c>
      <c r="I202" s="16">
        <f t="shared" si="12"/>
        <v>566.3405</v>
      </c>
      <c r="J202" s="16">
        <f t="shared" si="13"/>
        <v>590.964</v>
      </c>
      <c r="K202" s="16">
        <f t="shared" si="14"/>
        <v>640.211</v>
      </c>
      <c r="L202" s="16">
        <f t="shared" si="15"/>
        <v>689.458</v>
      </c>
    </row>
    <row r="203" spans="2:12">
      <c r="B203" s="12" t="s">
        <v>408</v>
      </c>
      <c r="C203" s="16" t="s">
        <v>409</v>
      </c>
      <c r="D203" s="16" t="s">
        <v>409</v>
      </c>
      <c r="E203" s="16" t="s">
        <v>409</v>
      </c>
      <c r="F203" s="16" t="s">
        <v>409</v>
      </c>
      <c r="G203">
        <v>598.86</v>
      </c>
      <c r="H203" s="17">
        <v>1041.48</v>
      </c>
      <c r="I203" s="16">
        <f t="shared" si="12"/>
        <v>688.689</v>
      </c>
      <c r="J203" s="16">
        <f t="shared" si="13"/>
        <v>718.632</v>
      </c>
      <c r="K203" s="16">
        <f t="shared" si="14"/>
        <v>778.518</v>
      </c>
      <c r="L203" s="16">
        <f t="shared" si="15"/>
        <v>838.404</v>
      </c>
    </row>
    <row r="204" spans="2:12">
      <c r="B204" s="12" t="s">
        <v>410</v>
      </c>
      <c r="C204" s="16" t="s">
        <v>411</v>
      </c>
      <c r="D204" s="16" t="s">
        <v>411</v>
      </c>
      <c r="E204" s="16" t="s">
        <v>411</v>
      </c>
      <c r="F204" s="16" t="s">
        <v>411</v>
      </c>
      <c r="G204">
        <v>5.32</v>
      </c>
      <c r="H204" s="17">
        <v>8.5</v>
      </c>
      <c r="I204" s="16">
        <f t="shared" si="12"/>
        <v>6.118</v>
      </c>
      <c r="J204" s="16">
        <f t="shared" si="13"/>
        <v>6.384</v>
      </c>
      <c r="K204" s="16">
        <f t="shared" si="14"/>
        <v>6.916</v>
      </c>
      <c r="L204" s="16">
        <f t="shared" si="15"/>
        <v>7.448</v>
      </c>
    </row>
    <row r="205" spans="2:12">
      <c r="B205" s="12" t="s">
        <v>412</v>
      </c>
      <c r="C205" s="16" t="s">
        <v>413</v>
      </c>
      <c r="D205" s="16" t="s">
        <v>413</v>
      </c>
      <c r="E205" s="16" t="s">
        <v>413</v>
      </c>
      <c r="F205" s="16" t="s">
        <v>413</v>
      </c>
      <c r="G205">
        <v>7.98</v>
      </c>
      <c r="H205" s="17">
        <v>12.77</v>
      </c>
      <c r="I205" s="16">
        <f t="shared" si="12"/>
        <v>9.177</v>
      </c>
      <c r="J205" s="16">
        <f t="shared" si="13"/>
        <v>9.576</v>
      </c>
      <c r="K205" s="16">
        <f t="shared" si="14"/>
        <v>10.374</v>
      </c>
      <c r="L205" s="16">
        <f t="shared" si="15"/>
        <v>11.172</v>
      </c>
    </row>
    <row r="206" spans="2:12">
      <c r="B206" s="12" t="s">
        <v>414</v>
      </c>
      <c r="C206" s="16" t="s">
        <v>415</v>
      </c>
      <c r="D206" s="16" t="s">
        <v>415</v>
      </c>
      <c r="E206" s="16" t="s">
        <v>415</v>
      </c>
      <c r="F206" s="16" t="s">
        <v>415</v>
      </c>
      <c r="G206">
        <v>8.35</v>
      </c>
      <c r="H206" s="17">
        <v>13.37</v>
      </c>
      <c r="I206" s="16">
        <f t="shared" si="12"/>
        <v>9.6025</v>
      </c>
      <c r="J206" s="16">
        <f t="shared" si="13"/>
        <v>10.02</v>
      </c>
      <c r="K206" s="16">
        <f t="shared" si="14"/>
        <v>10.855</v>
      </c>
      <c r="L206" s="16">
        <f t="shared" si="15"/>
        <v>11.69</v>
      </c>
    </row>
    <row r="207" spans="2:12">
      <c r="B207" s="12" t="s">
        <v>416</v>
      </c>
      <c r="C207" s="16" t="s">
        <v>417</v>
      </c>
      <c r="D207" s="16" t="s">
        <v>417</v>
      </c>
      <c r="E207" s="16" t="s">
        <v>417</v>
      </c>
      <c r="F207" s="16" t="s">
        <v>417</v>
      </c>
      <c r="G207">
        <v>11.39</v>
      </c>
      <c r="H207" s="17">
        <v>18.23</v>
      </c>
      <c r="I207" s="16">
        <f t="shared" si="12"/>
        <v>13.0985</v>
      </c>
      <c r="J207" s="16">
        <f t="shared" si="13"/>
        <v>13.668</v>
      </c>
      <c r="K207" s="16">
        <f t="shared" si="14"/>
        <v>14.807</v>
      </c>
      <c r="L207" s="16">
        <f t="shared" si="15"/>
        <v>15.946</v>
      </c>
    </row>
    <row r="208" spans="2:12">
      <c r="B208" s="12" t="s">
        <v>418</v>
      </c>
      <c r="C208" s="16" t="s">
        <v>419</v>
      </c>
      <c r="D208" s="16" t="s">
        <v>419</v>
      </c>
      <c r="E208" s="16" t="s">
        <v>419</v>
      </c>
      <c r="F208" s="16" t="s">
        <v>419</v>
      </c>
      <c r="G208">
        <v>13.72</v>
      </c>
      <c r="H208" s="17">
        <v>21.95</v>
      </c>
      <c r="I208" s="16">
        <f t="shared" si="12"/>
        <v>15.778</v>
      </c>
      <c r="J208" s="16">
        <f t="shared" si="13"/>
        <v>16.464</v>
      </c>
      <c r="K208" s="16">
        <f t="shared" si="14"/>
        <v>17.836</v>
      </c>
      <c r="L208" s="16">
        <f t="shared" si="15"/>
        <v>19.208</v>
      </c>
    </row>
    <row r="209" spans="2:12">
      <c r="B209" s="12" t="s">
        <v>420</v>
      </c>
      <c r="C209" s="16" t="s">
        <v>421</v>
      </c>
      <c r="D209" s="16" t="s">
        <v>421</v>
      </c>
      <c r="E209" s="16" t="s">
        <v>421</v>
      </c>
      <c r="F209" s="16" t="s">
        <v>421</v>
      </c>
      <c r="G209">
        <v>18.04</v>
      </c>
      <c r="H209" s="17">
        <v>29.1</v>
      </c>
      <c r="I209" s="16">
        <f t="shared" si="12"/>
        <v>20.746</v>
      </c>
      <c r="J209" s="16">
        <f t="shared" si="13"/>
        <v>21.648</v>
      </c>
      <c r="K209" s="16">
        <f t="shared" si="14"/>
        <v>23.452</v>
      </c>
      <c r="L209" s="16">
        <f t="shared" si="15"/>
        <v>25.256</v>
      </c>
    </row>
    <row r="210" spans="2:12">
      <c r="B210" s="12" t="s">
        <v>422</v>
      </c>
      <c r="C210" s="16" t="s">
        <v>423</v>
      </c>
      <c r="D210" s="16" t="s">
        <v>423</v>
      </c>
      <c r="E210" s="16" t="s">
        <v>423</v>
      </c>
      <c r="F210" s="16" t="s">
        <v>423</v>
      </c>
      <c r="G210">
        <v>19.75</v>
      </c>
      <c r="H210" s="17">
        <v>31.86</v>
      </c>
      <c r="I210" s="16">
        <f t="shared" si="12"/>
        <v>22.7125</v>
      </c>
      <c r="J210" s="16">
        <f t="shared" si="13"/>
        <v>23.7</v>
      </c>
      <c r="K210" s="16">
        <f t="shared" si="14"/>
        <v>25.675</v>
      </c>
      <c r="L210" s="16">
        <f t="shared" si="15"/>
        <v>27.65</v>
      </c>
    </row>
    <row r="211" spans="2:12">
      <c r="B211" s="12" t="s">
        <v>424</v>
      </c>
      <c r="C211" s="16" t="s">
        <v>425</v>
      </c>
      <c r="D211" s="16" t="s">
        <v>425</v>
      </c>
      <c r="E211" s="16" t="s">
        <v>425</v>
      </c>
      <c r="F211" s="16" t="s">
        <v>425</v>
      </c>
      <c r="G211">
        <v>22.31</v>
      </c>
      <c r="H211" s="17">
        <v>35.99</v>
      </c>
      <c r="I211" s="16">
        <f t="shared" si="12"/>
        <v>25.6565</v>
      </c>
      <c r="J211" s="16">
        <f t="shared" si="13"/>
        <v>26.772</v>
      </c>
      <c r="K211" s="16">
        <f t="shared" si="14"/>
        <v>29.003</v>
      </c>
      <c r="L211" s="16">
        <f t="shared" si="15"/>
        <v>31.234</v>
      </c>
    </row>
    <row r="212" spans="2:12">
      <c r="B212" s="12" t="s">
        <v>426</v>
      </c>
      <c r="C212" s="16" t="s">
        <v>427</v>
      </c>
      <c r="D212" s="16" t="s">
        <v>427</v>
      </c>
      <c r="E212" s="16" t="s">
        <v>427</v>
      </c>
      <c r="F212" s="16" t="s">
        <v>427</v>
      </c>
      <c r="G212">
        <v>11.22</v>
      </c>
      <c r="H212" s="17">
        <v>18.1</v>
      </c>
      <c r="I212" s="16">
        <f t="shared" si="12"/>
        <v>12.903</v>
      </c>
      <c r="J212" s="16">
        <f t="shared" si="13"/>
        <v>13.464</v>
      </c>
      <c r="K212" s="16">
        <f t="shared" si="14"/>
        <v>14.586</v>
      </c>
      <c r="L212" s="16">
        <f t="shared" si="15"/>
        <v>15.708</v>
      </c>
    </row>
    <row r="213" spans="2:12">
      <c r="B213" s="12" t="s">
        <v>428</v>
      </c>
      <c r="C213" s="16" t="s">
        <v>429</v>
      </c>
      <c r="D213" s="16" t="s">
        <v>429</v>
      </c>
      <c r="E213" s="16" t="s">
        <v>429</v>
      </c>
      <c r="F213" s="16" t="s">
        <v>429</v>
      </c>
      <c r="G213">
        <v>12.36</v>
      </c>
      <c r="H213" s="17">
        <v>19.94</v>
      </c>
      <c r="I213" s="16">
        <f t="shared" si="12"/>
        <v>14.214</v>
      </c>
      <c r="J213" s="16">
        <f t="shared" si="13"/>
        <v>14.832</v>
      </c>
      <c r="K213" s="16">
        <f t="shared" si="14"/>
        <v>16.068</v>
      </c>
      <c r="L213" s="16">
        <f t="shared" si="15"/>
        <v>17.304</v>
      </c>
    </row>
    <row r="214" spans="2:12">
      <c r="B214" s="12" t="s">
        <v>430</v>
      </c>
      <c r="C214" s="16" t="s">
        <v>431</v>
      </c>
      <c r="D214" s="16" t="s">
        <v>431</v>
      </c>
      <c r="E214" s="16" t="s">
        <v>431</v>
      </c>
      <c r="F214" s="16" t="s">
        <v>431</v>
      </c>
      <c r="G214">
        <v>16.34</v>
      </c>
      <c r="H214" s="17">
        <v>26.35</v>
      </c>
      <c r="I214" s="16">
        <f t="shared" si="12"/>
        <v>18.791</v>
      </c>
      <c r="J214" s="16">
        <f t="shared" si="13"/>
        <v>19.608</v>
      </c>
      <c r="K214" s="16">
        <f t="shared" si="14"/>
        <v>21.242</v>
      </c>
      <c r="L214" s="16">
        <f t="shared" si="15"/>
        <v>22.876</v>
      </c>
    </row>
    <row r="215" spans="2:12">
      <c r="B215" s="12" t="s">
        <v>432</v>
      </c>
      <c r="C215" s="16" t="s">
        <v>433</v>
      </c>
      <c r="D215" s="16" t="s">
        <v>433</v>
      </c>
      <c r="E215" s="16" t="s">
        <v>433</v>
      </c>
      <c r="F215" s="16" t="s">
        <v>433</v>
      </c>
      <c r="G215">
        <v>10.79</v>
      </c>
      <c r="H215" s="17">
        <v>17.4</v>
      </c>
      <c r="I215" s="16">
        <f t="shared" si="12"/>
        <v>12.4085</v>
      </c>
      <c r="J215" s="16">
        <f t="shared" si="13"/>
        <v>12.948</v>
      </c>
      <c r="K215" s="16">
        <f t="shared" si="14"/>
        <v>14.027</v>
      </c>
      <c r="L215" s="16">
        <f t="shared" si="15"/>
        <v>15.106</v>
      </c>
    </row>
    <row r="216" spans="2:12">
      <c r="B216" s="12" t="s">
        <v>434</v>
      </c>
      <c r="C216" s="16" t="s">
        <v>435</v>
      </c>
      <c r="D216" s="16" t="s">
        <v>435</v>
      </c>
      <c r="E216" s="16" t="s">
        <v>435</v>
      </c>
      <c r="F216" s="16" t="s">
        <v>435</v>
      </c>
      <c r="G216">
        <v>38.93</v>
      </c>
      <c r="H216" s="17">
        <v>62.79</v>
      </c>
      <c r="I216" s="16">
        <f t="shared" si="12"/>
        <v>44.7695</v>
      </c>
      <c r="J216" s="16">
        <f t="shared" si="13"/>
        <v>46.716</v>
      </c>
      <c r="K216" s="16">
        <f t="shared" si="14"/>
        <v>50.609</v>
      </c>
      <c r="L216" s="16">
        <f t="shared" si="15"/>
        <v>54.502</v>
      </c>
    </row>
    <row r="217" spans="2:12">
      <c r="B217" s="12" t="s">
        <v>436</v>
      </c>
      <c r="C217" s="16" t="s">
        <v>437</v>
      </c>
      <c r="D217" s="16" t="s">
        <v>437</v>
      </c>
      <c r="E217" s="16" t="s">
        <v>437</v>
      </c>
      <c r="F217" s="16" t="s">
        <v>437</v>
      </c>
      <c r="G217">
        <v>36.94</v>
      </c>
      <c r="H217" s="17">
        <v>59.58</v>
      </c>
      <c r="I217" s="16">
        <f t="shared" si="12"/>
        <v>42.481</v>
      </c>
      <c r="J217" s="16">
        <f t="shared" si="13"/>
        <v>44.328</v>
      </c>
      <c r="K217" s="16">
        <f t="shared" si="14"/>
        <v>48.022</v>
      </c>
      <c r="L217" s="16">
        <f t="shared" si="15"/>
        <v>51.716</v>
      </c>
    </row>
    <row r="218" spans="2:12">
      <c r="B218" s="12" t="s">
        <v>438</v>
      </c>
      <c r="C218" s="16" t="s">
        <v>439</v>
      </c>
      <c r="D218" s="16" t="s">
        <v>439</v>
      </c>
      <c r="E218" s="16" t="s">
        <v>439</v>
      </c>
      <c r="F218" s="16" t="s">
        <v>439</v>
      </c>
      <c r="G218">
        <v>21.02</v>
      </c>
      <c r="H218" s="17">
        <v>33.9</v>
      </c>
      <c r="I218" s="16">
        <f t="shared" si="12"/>
        <v>24.173</v>
      </c>
      <c r="J218" s="16">
        <f t="shared" si="13"/>
        <v>25.224</v>
      </c>
      <c r="K218" s="16">
        <f t="shared" si="14"/>
        <v>27.326</v>
      </c>
      <c r="L218" s="16">
        <f t="shared" si="15"/>
        <v>29.428</v>
      </c>
    </row>
    <row r="219" spans="2:12">
      <c r="B219" s="12" t="s">
        <v>440</v>
      </c>
      <c r="C219" s="16" t="s">
        <v>441</v>
      </c>
      <c r="D219" s="16" t="s">
        <v>441</v>
      </c>
      <c r="E219" s="16" t="s">
        <v>441</v>
      </c>
      <c r="F219" s="16" t="s">
        <v>441</v>
      </c>
      <c r="G219">
        <v>1677.42</v>
      </c>
      <c r="H219" s="17">
        <v>2313.68</v>
      </c>
      <c r="I219" s="16">
        <f t="shared" si="12"/>
        <v>1929.033</v>
      </c>
      <c r="J219" s="16">
        <f t="shared" si="13"/>
        <v>2012.904</v>
      </c>
      <c r="K219" s="16">
        <f t="shared" si="14"/>
        <v>2180.646</v>
      </c>
      <c r="L219" s="16">
        <f t="shared" si="15"/>
        <v>2348.388</v>
      </c>
    </row>
    <row r="220" spans="2:12">
      <c r="B220" s="12" t="s">
        <v>442</v>
      </c>
      <c r="C220" s="16" t="s">
        <v>443</v>
      </c>
      <c r="D220" s="16" t="s">
        <v>443</v>
      </c>
      <c r="E220" s="16" t="s">
        <v>443</v>
      </c>
      <c r="F220" s="16" t="s">
        <v>443</v>
      </c>
      <c r="G220">
        <v>1402.88</v>
      </c>
      <c r="H220" s="17">
        <v>1935</v>
      </c>
      <c r="I220" s="16">
        <f t="shared" si="12"/>
        <v>1613.312</v>
      </c>
      <c r="J220" s="16">
        <f t="shared" si="13"/>
        <v>1683.456</v>
      </c>
      <c r="K220" s="16">
        <f t="shared" si="14"/>
        <v>1823.744</v>
      </c>
      <c r="L220" s="16">
        <f t="shared" si="15"/>
        <v>1964.032</v>
      </c>
    </row>
    <row r="221" spans="2:12">
      <c r="B221" s="12" t="s">
        <v>444</v>
      </c>
      <c r="C221" s="16" t="s">
        <v>445</v>
      </c>
      <c r="D221" s="16" t="s">
        <v>445</v>
      </c>
      <c r="E221" s="16" t="s">
        <v>445</v>
      </c>
      <c r="F221" s="16" t="s">
        <v>445</v>
      </c>
      <c r="G221">
        <v>2670.22</v>
      </c>
      <c r="H221" s="17">
        <v>3683.06</v>
      </c>
      <c r="I221" s="16">
        <f t="shared" si="12"/>
        <v>3070.753</v>
      </c>
      <c r="J221" s="16">
        <f t="shared" si="13"/>
        <v>3204.264</v>
      </c>
      <c r="K221" s="16">
        <f t="shared" si="14"/>
        <v>3471.286</v>
      </c>
      <c r="L221" s="16">
        <f t="shared" si="15"/>
        <v>3738.308</v>
      </c>
    </row>
    <row r="222" spans="2:12">
      <c r="B222" s="12" t="s">
        <v>446</v>
      </c>
      <c r="C222" s="16" t="s">
        <v>447</v>
      </c>
      <c r="D222" s="16" t="s">
        <v>447</v>
      </c>
      <c r="E222" s="16" t="s">
        <v>447</v>
      </c>
      <c r="F222" s="16" t="s">
        <v>447</v>
      </c>
      <c r="G222">
        <v>4701.99</v>
      </c>
      <c r="H222" s="17">
        <v>6485.5</v>
      </c>
      <c r="I222" s="16">
        <f t="shared" si="12"/>
        <v>5407.2885</v>
      </c>
      <c r="J222" s="16">
        <f t="shared" si="13"/>
        <v>5642.388</v>
      </c>
      <c r="K222" s="16">
        <f t="shared" si="14"/>
        <v>6112.587</v>
      </c>
      <c r="L222" s="16">
        <f t="shared" si="15"/>
        <v>6582.786</v>
      </c>
    </row>
    <row r="223" spans="2:12">
      <c r="B223" s="12" t="s">
        <v>448</v>
      </c>
      <c r="C223" s="16" t="s">
        <v>449</v>
      </c>
      <c r="D223" s="16" t="s">
        <v>449</v>
      </c>
      <c r="E223" s="16" t="s">
        <v>449</v>
      </c>
      <c r="F223" s="16" t="s">
        <v>449</v>
      </c>
      <c r="G223">
        <v>1473.03</v>
      </c>
      <c r="H223" s="17">
        <v>2031.76</v>
      </c>
      <c r="I223" s="16">
        <f t="shared" si="12"/>
        <v>1693.9845</v>
      </c>
      <c r="J223" s="16">
        <f t="shared" si="13"/>
        <v>1767.636</v>
      </c>
      <c r="K223" s="16">
        <f t="shared" si="14"/>
        <v>1914.939</v>
      </c>
      <c r="L223" s="16">
        <f t="shared" si="15"/>
        <v>2062.242</v>
      </c>
    </row>
    <row r="224" spans="2:12">
      <c r="B224" s="12" t="s">
        <v>450</v>
      </c>
      <c r="C224" s="16" t="s">
        <v>451</v>
      </c>
      <c r="D224" s="16" t="s">
        <v>451</v>
      </c>
      <c r="E224" s="16" t="s">
        <v>451</v>
      </c>
      <c r="F224" s="16" t="s">
        <v>451</v>
      </c>
      <c r="G224">
        <v>4701.99</v>
      </c>
      <c r="H224" s="17">
        <v>6485.5</v>
      </c>
      <c r="I224" s="16">
        <f t="shared" si="12"/>
        <v>5407.2885</v>
      </c>
      <c r="J224" s="16">
        <f t="shared" si="13"/>
        <v>5642.388</v>
      </c>
      <c r="K224" s="16">
        <f t="shared" si="14"/>
        <v>6112.587</v>
      </c>
      <c r="L224" s="16">
        <f t="shared" si="15"/>
        <v>6582.786</v>
      </c>
    </row>
    <row r="225" spans="2:12">
      <c r="B225" s="12" t="s">
        <v>452</v>
      </c>
      <c r="C225" s="16" t="s">
        <v>453</v>
      </c>
      <c r="D225" s="16" t="s">
        <v>453</v>
      </c>
      <c r="E225" s="16" t="s">
        <v>453</v>
      </c>
      <c r="F225" s="16" t="s">
        <v>453</v>
      </c>
      <c r="G225">
        <v>246.88</v>
      </c>
      <c r="H225" s="17">
        <v>340.53</v>
      </c>
      <c r="I225" s="16">
        <f t="shared" si="12"/>
        <v>283.912</v>
      </c>
      <c r="J225" s="16">
        <f t="shared" si="13"/>
        <v>296.256</v>
      </c>
      <c r="K225" s="16">
        <f t="shared" si="14"/>
        <v>320.944</v>
      </c>
      <c r="L225" s="16">
        <f t="shared" si="15"/>
        <v>345.632</v>
      </c>
    </row>
    <row r="226" spans="2:12">
      <c r="B226" s="12" t="s">
        <v>454</v>
      </c>
      <c r="C226" s="16" t="s">
        <v>455</v>
      </c>
      <c r="D226" s="16" t="s">
        <v>455</v>
      </c>
      <c r="E226" s="16" t="s">
        <v>455</v>
      </c>
      <c r="F226" s="16" t="s">
        <v>455</v>
      </c>
      <c r="G226">
        <v>289.5</v>
      </c>
      <c r="H226" s="17">
        <v>399.33</v>
      </c>
      <c r="I226" s="16">
        <f t="shared" si="12"/>
        <v>332.925</v>
      </c>
      <c r="J226" s="16">
        <f t="shared" si="13"/>
        <v>347.4</v>
      </c>
      <c r="K226" s="16">
        <f t="shared" si="14"/>
        <v>376.35</v>
      </c>
      <c r="L226" s="16">
        <f t="shared" si="15"/>
        <v>405.3</v>
      </c>
    </row>
    <row r="227" spans="2:12">
      <c r="B227" s="12" t="s">
        <v>456</v>
      </c>
      <c r="C227" s="16" t="s">
        <v>457</v>
      </c>
      <c r="D227" s="16" t="s">
        <v>457</v>
      </c>
      <c r="E227" s="16" t="s">
        <v>457</v>
      </c>
      <c r="F227" s="16" t="s">
        <v>457</v>
      </c>
      <c r="G227">
        <v>357.2</v>
      </c>
      <c r="H227" s="17">
        <v>492.68</v>
      </c>
      <c r="I227" s="16">
        <f t="shared" si="12"/>
        <v>410.78</v>
      </c>
      <c r="J227" s="16">
        <f t="shared" si="13"/>
        <v>428.64</v>
      </c>
      <c r="K227" s="16">
        <f t="shared" si="14"/>
        <v>464.36</v>
      </c>
      <c r="L227" s="16">
        <f t="shared" si="15"/>
        <v>500.08</v>
      </c>
    </row>
    <row r="228" spans="2:12">
      <c r="B228" s="12" t="s">
        <v>458</v>
      </c>
      <c r="C228" s="16" t="s">
        <v>459</v>
      </c>
      <c r="D228" s="16" t="s">
        <v>459</v>
      </c>
      <c r="E228" s="16" t="s">
        <v>459</v>
      </c>
      <c r="F228" s="16" t="s">
        <v>459</v>
      </c>
      <c r="G228">
        <v>386.32</v>
      </c>
      <c r="H228" s="17">
        <v>532.87</v>
      </c>
      <c r="I228" s="16">
        <f t="shared" si="12"/>
        <v>444.268</v>
      </c>
      <c r="J228" s="16">
        <f t="shared" si="13"/>
        <v>463.584</v>
      </c>
      <c r="K228" s="16">
        <f t="shared" si="14"/>
        <v>502.216</v>
      </c>
      <c r="L228" s="16">
        <f t="shared" si="15"/>
        <v>540.848</v>
      </c>
    </row>
    <row r="229" spans="2:12">
      <c r="B229" s="12" t="s">
        <v>460</v>
      </c>
      <c r="C229" s="16" t="s">
        <v>461</v>
      </c>
      <c r="D229" s="16" t="s">
        <v>461</v>
      </c>
      <c r="E229" s="16" t="s">
        <v>461</v>
      </c>
      <c r="F229" s="16" t="s">
        <v>461</v>
      </c>
      <c r="G229">
        <v>473.75</v>
      </c>
      <c r="H229" s="17">
        <v>653.45</v>
      </c>
      <c r="I229" s="16">
        <f t="shared" si="12"/>
        <v>544.8125</v>
      </c>
      <c r="J229" s="16">
        <f t="shared" si="13"/>
        <v>568.5</v>
      </c>
      <c r="K229" s="16">
        <f t="shared" si="14"/>
        <v>615.875</v>
      </c>
      <c r="L229" s="16">
        <f t="shared" si="15"/>
        <v>663.25</v>
      </c>
    </row>
    <row r="230" spans="2:12">
      <c r="B230" s="12" t="s">
        <v>462</v>
      </c>
      <c r="C230" s="16" t="s">
        <v>463</v>
      </c>
      <c r="D230" s="16" t="s">
        <v>463</v>
      </c>
      <c r="E230" s="16" t="s">
        <v>463</v>
      </c>
      <c r="F230" s="16" t="s">
        <v>463</v>
      </c>
      <c r="G230">
        <v>609.11</v>
      </c>
      <c r="H230" s="17">
        <v>840.14</v>
      </c>
      <c r="I230" s="16">
        <f t="shared" si="12"/>
        <v>700.4765</v>
      </c>
      <c r="J230" s="16">
        <f t="shared" si="13"/>
        <v>730.932</v>
      </c>
      <c r="K230" s="16">
        <f t="shared" si="14"/>
        <v>791.843</v>
      </c>
      <c r="L230" s="16">
        <f t="shared" si="15"/>
        <v>852.754</v>
      </c>
    </row>
    <row r="231" spans="2:12">
      <c r="B231" s="12" t="s">
        <v>464</v>
      </c>
      <c r="C231" s="16" t="s">
        <v>465</v>
      </c>
      <c r="D231" s="16" t="s">
        <v>465</v>
      </c>
      <c r="E231" s="16" t="s">
        <v>465</v>
      </c>
      <c r="F231" s="16" t="s">
        <v>465</v>
      </c>
      <c r="G231">
        <v>724.72</v>
      </c>
      <c r="H231" s="17">
        <v>999.61</v>
      </c>
      <c r="I231" s="16">
        <f t="shared" si="12"/>
        <v>833.428</v>
      </c>
      <c r="J231" s="16">
        <f t="shared" si="13"/>
        <v>869.664</v>
      </c>
      <c r="K231" s="16">
        <f t="shared" si="14"/>
        <v>942.136</v>
      </c>
      <c r="L231" s="16">
        <f t="shared" si="15"/>
        <v>1014.608</v>
      </c>
    </row>
    <row r="232" spans="2:12">
      <c r="B232" s="12" t="s">
        <v>466</v>
      </c>
      <c r="C232" s="16" t="s">
        <v>467</v>
      </c>
      <c r="D232" s="16" t="s">
        <v>467</v>
      </c>
      <c r="E232" s="16" t="s">
        <v>467</v>
      </c>
      <c r="F232" s="16" t="s">
        <v>467</v>
      </c>
      <c r="G232">
        <v>829.99</v>
      </c>
      <c r="H232" s="17">
        <v>1144.82</v>
      </c>
      <c r="I232" s="16">
        <f t="shared" si="12"/>
        <v>954.4885</v>
      </c>
      <c r="J232" s="16">
        <f t="shared" si="13"/>
        <v>995.988</v>
      </c>
      <c r="K232" s="16">
        <f t="shared" si="14"/>
        <v>1078.987</v>
      </c>
      <c r="L232" s="16">
        <f t="shared" si="15"/>
        <v>1161.986</v>
      </c>
    </row>
    <row r="233" spans="2:12">
      <c r="B233" s="12" t="s">
        <v>468</v>
      </c>
      <c r="C233" s="16" t="s">
        <v>469</v>
      </c>
      <c r="D233" s="16" t="s">
        <v>469</v>
      </c>
      <c r="E233" s="16" t="s">
        <v>469</v>
      </c>
      <c r="F233" s="16" t="s">
        <v>469</v>
      </c>
      <c r="G233">
        <v>1007.7</v>
      </c>
      <c r="H233" s="17">
        <v>1389.92</v>
      </c>
      <c r="I233" s="16">
        <f t="shared" si="12"/>
        <v>1158.855</v>
      </c>
      <c r="J233" s="16">
        <f t="shared" si="13"/>
        <v>1209.24</v>
      </c>
      <c r="K233" s="16">
        <f t="shared" si="14"/>
        <v>1310.01</v>
      </c>
      <c r="L233" s="16">
        <f t="shared" si="15"/>
        <v>1410.78</v>
      </c>
    </row>
    <row r="234" spans="2:12">
      <c r="B234" s="12" t="s">
        <v>470</v>
      </c>
      <c r="C234" s="16" t="s">
        <v>471</v>
      </c>
      <c r="D234" s="16" t="s">
        <v>471</v>
      </c>
      <c r="E234" s="16" t="s">
        <v>471</v>
      </c>
      <c r="F234" s="16" t="s">
        <v>471</v>
      </c>
      <c r="G234">
        <v>1317.83</v>
      </c>
      <c r="H234" s="17">
        <v>1817.71</v>
      </c>
      <c r="I234" s="16">
        <f t="shared" si="12"/>
        <v>1515.5045</v>
      </c>
      <c r="J234" s="16">
        <f t="shared" si="13"/>
        <v>1581.396</v>
      </c>
      <c r="K234" s="16">
        <f t="shared" si="14"/>
        <v>1713.179</v>
      </c>
      <c r="L234" s="16">
        <f t="shared" si="15"/>
        <v>1844.962</v>
      </c>
    </row>
    <row r="235" spans="2:12">
      <c r="B235" s="12" t="s">
        <v>472</v>
      </c>
      <c r="C235" s="16" t="s">
        <v>473</v>
      </c>
      <c r="D235" s="16" t="s">
        <v>473</v>
      </c>
      <c r="E235" s="16" t="s">
        <v>473</v>
      </c>
      <c r="F235" s="16" t="s">
        <v>473</v>
      </c>
      <c r="G235">
        <v>1749.55</v>
      </c>
      <c r="H235" s="17">
        <v>2413.16</v>
      </c>
      <c r="I235" s="16">
        <f t="shared" si="12"/>
        <v>2011.9825</v>
      </c>
      <c r="J235" s="16">
        <f t="shared" si="13"/>
        <v>2099.46</v>
      </c>
      <c r="K235" s="16">
        <f t="shared" si="14"/>
        <v>2274.415</v>
      </c>
      <c r="L235" s="16">
        <f t="shared" si="15"/>
        <v>2449.37</v>
      </c>
    </row>
    <row r="236" spans="2:12">
      <c r="B236" s="12" t="s">
        <v>474</v>
      </c>
      <c r="C236" s="16" t="s">
        <v>475</v>
      </c>
      <c r="D236" s="16" t="s">
        <v>475</v>
      </c>
      <c r="E236" s="16" t="s">
        <v>475</v>
      </c>
      <c r="F236" s="16" t="s">
        <v>475</v>
      </c>
      <c r="G236">
        <v>5.55</v>
      </c>
      <c r="H236" s="17">
        <v>8.88</v>
      </c>
      <c r="I236" s="16">
        <f t="shared" si="12"/>
        <v>6.3825</v>
      </c>
      <c r="J236" s="16">
        <f t="shared" si="13"/>
        <v>6.66</v>
      </c>
      <c r="K236" s="16">
        <f t="shared" si="14"/>
        <v>7.215</v>
      </c>
      <c r="L236" s="16">
        <f t="shared" si="15"/>
        <v>7.77</v>
      </c>
    </row>
    <row r="237" spans="2:12">
      <c r="B237" s="12" t="s">
        <v>476</v>
      </c>
      <c r="C237" s="16" t="s">
        <v>477</v>
      </c>
      <c r="D237" s="16" t="s">
        <v>477</v>
      </c>
      <c r="E237" s="16" t="s">
        <v>477</v>
      </c>
      <c r="F237" s="16" t="s">
        <v>477</v>
      </c>
      <c r="G237">
        <v>6.49</v>
      </c>
      <c r="H237" s="17">
        <v>10.4</v>
      </c>
      <c r="I237" s="16">
        <f t="shared" si="12"/>
        <v>7.4635</v>
      </c>
      <c r="J237" s="16">
        <f t="shared" si="13"/>
        <v>7.788</v>
      </c>
      <c r="K237" s="16">
        <f t="shared" si="14"/>
        <v>8.437</v>
      </c>
      <c r="L237" s="16">
        <f t="shared" si="15"/>
        <v>9.086</v>
      </c>
    </row>
    <row r="238" spans="2:12">
      <c r="B238" s="12" t="s">
        <v>478</v>
      </c>
      <c r="C238" s="16" t="s">
        <v>479</v>
      </c>
      <c r="D238" s="16" t="s">
        <v>479</v>
      </c>
      <c r="E238" s="16" t="s">
        <v>479</v>
      </c>
      <c r="F238" s="16" t="s">
        <v>479</v>
      </c>
      <c r="G238">
        <v>6.49</v>
      </c>
      <c r="H238" s="17">
        <v>10.4</v>
      </c>
      <c r="I238" s="16">
        <f t="shared" si="12"/>
        <v>7.4635</v>
      </c>
      <c r="J238" s="16">
        <f t="shared" si="13"/>
        <v>7.788</v>
      </c>
      <c r="K238" s="16">
        <f t="shared" si="14"/>
        <v>8.437</v>
      </c>
      <c r="L238" s="16">
        <f t="shared" si="15"/>
        <v>9.086</v>
      </c>
    </row>
    <row r="239" spans="2:12">
      <c r="B239" s="12" t="s">
        <v>480</v>
      </c>
      <c r="C239" s="16" t="s">
        <v>481</v>
      </c>
      <c r="D239" s="16" t="s">
        <v>481</v>
      </c>
      <c r="E239" s="16" t="s">
        <v>481</v>
      </c>
      <c r="F239" s="16" t="s">
        <v>481</v>
      </c>
      <c r="G239">
        <v>3.22</v>
      </c>
      <c r="H239" s="17">
        <v>5.16</v>
      </c>
      <c r="I239" s="16">
        <f t="shared" si="12"/>
        <v>3.703</v>
      </c>
      <c r="J239" s="16">
        <f t="shared" si="13"/>
        <v>3.864</v>
      </c>
      <c r="K239" s="16">
        <f t="shared" si="14"/>
        <v>4.186</v>
      </c>
      <c r="L239" s="16">
        <f t="shared" si="15"/>
        <v>4.508</v>
      </c>
    </row>
    <row r="240" spans="2:12">
      <c r="B240" s="12" t="s">
        <v>482</v>
      </c>
      <c r="C240" s="16" t="s">
        <v>483</v>
      </c>
      <c r="D240" s="16" t="s">
        <v>483</v>
      </c>
      <c r="E240" s="16" t="s">
        <v>483</v>
      </c>
      <c r="F240" s="16" t="s">
        <v>483</v>
      </c>
      <c r="G240">
        <v>3.22</v>
      </c>
      <c r="H240" s="17">
        <v>5.16</v>
      </c>
      <c r="I240" s="16">
        <f t="shared" si="12"/>
        <v>3.703</v>
      </c>
      <c r="J240" s="16">
        <f t="shared" si="13"/>
        <v>3.864</v>
      </c>
      <c r="K240" s="16">
        <f t="shared" si="14"/>
        <v>4.186</v>
      </c>
      <c r="L240" s="16">
        <f t="shared" si="15"/>
        <v>4.508</v>
      </c>
    </row>
    <row r="241" spans="2:12">
      <c r="B241" s="12" t="s">
        <v>484</v>
      </c>
      <c r="C241" s="16" t="s">
        <v>485</v>
      </c>
      <c r="D241" s="16" t="s">
        <v>485</v>
      </c>
      <c r="E241" s="16" t="s">
        <v>485</v>
      </c>
      <c r="F241" s="16" t="s">
        <v>485</v>
      </c>
      <c r="G241">
        <v>2.08</v>
      </c>
      <c r="H241" s="17">
        <v>3.33</v>
      </c>
      <c r="I241" s="16">
        <f t="shared" si="12"/>
        <v>2.392</v>
      </c>
      <c r="J241" s="16">
        <f t="shared" si="13"/>
        <v>2.496</v>
      </c>
      <c r="K241" s="16">
        <f t="shared" si="14"/>
        <v>2.704</v>
      </c>
      <c r="L241" s="16">
        <f t="shared" si="15"/>
        <v>2.912</v>
      </c>
    </row>
    <row r="242" spans="2:12">
      <c r="B242" s="12" t="s">
        <v>486</v>
      </c>
      <c r="C242" s="16" t="s">
        <v>487</v>
      </c>
      <c r="D242" s="16" t="s">
        <v>487</v>
      </c>
      <c r="E242" s="16" t="s">
        <v>487</v>
      </c>
      <c r="F242" s="16" t="s">
        <v>487</v>
      </c>
      <c r="G242">
        <v>2.08</v>
      </c>
      <c r="H242" s="17">
        <v>3.33</v>
      </c>
      <c r="I242" s="16">
        <f t="shared" si="12"/>
        <v>2.392</v>
      </c>
      <c r="J242" s="16">
        <f t="shared" si="13"/>
        <v>2.496</v>
      </c>
      <c r="K242" s="16">
        <f t="shared" si="14"/>
        <v>2.704</v>
      </c>
      <c r="L242" s="16">
        <f t="shared" si="15"/>
        <v>2.912</v>
      </c>
    </row>
    <row r="243" spans="2:12">
      <c r="B243" s="12" t="s">
        <v>488</v>
      </c>
      <c r="C243" s="16" t="s">
        <v>489</v>
      </c>
      <c r="D243" s="16" t="s">
        <v>489</v>
      </c>
      <c r="E243" s="16" t="s">
        <v>489</v>
      </c>
      <c r="F243" s="16" t="s">
        <v>489</v>
      </c>
      <c r="G243">
        <v>347.85</v>
      </c>
      <c r="H243" s="17">
        <v>556.56</v>
      </c>
      <c r="I243" s="16">
        <f t="shared" si="12"/>
        <v>400.0275</v>
      </c>
      <c r="J243" s="16">
        <f t="shared" si="13"/>
        <v>417.42</v>
      </c>
      <c r="K243" s="16">
        <f t="shared" si="14"/>
        <v>452.205</v>
      </c>
      <c r="L243" s="16">
        <f t="shared" si="15"/>
        <v>486.99</v>
      </c>
    </row>
    <row r="244" spans="2:12">
      <c r="B244" s="12" t="s">
        <v>490</v>
      </c>
      <c r="C244" s="16" t="s">
        <v>491</v>
      </c>
      <c r="D244" s="16" t="s">
        <v>491</v>
      </c>
      <c r="E244" s="16" t="s">
        <v>491</v>
      </c>
      <c r="F244" s="16" t="s">
        <v>491</v>
      </c>
      <c r="G244">
        <v>108.51</v>
      </c>
      <c r="H244" s="17">
        <v>173.6</v>
      </c>
      <c r="I244" s="16">
        <f t="shared" si="12"/>
        <v>124.7865</v>
      </c>
      <c r="J244" s="16">
        <f t="shared" si="13"/>
        <v>130.212</v>
      </c>
      <c r="K244" s="16">
        <f t="shared" si="14"/>
        <v>141.063</v>
      </c>
      <c r="L244" s="16">
        <f t="shared" si="15"/>
        <v>151.914</v>
      </c>
    </row>
    <row r="245" spans="2:12">
      <c r="B245" s="12" t="s">
        <v>492</v>
      </c>
      <c r="C245" s="16" t="s">
        <v>493</v>
      </c>
      <c r="D245" s="16" t="s">
        <v>493</v>
      </c>
      <c r="E245" s="16" t="s">
        <v>493</v>
      </c>
      <c r="F245" s="16" t="s">
        <v>493</v>
      </c>
      <c r="G245">
        <v>435.54</v>
      </c>
      <c r="H245" s="17">
        <v>696.87</v>
      </c>
      <c r="I245" s="16">
        <f t="shared" si="12"/>
        <v>500.871</v>
      </c>
      <c r="J245" s="16">
        <f t="shared" si="13"/>
        <v>522.648</v>
      </c>
      <c r="K245" s="16">
        <f t="shared" si="14"/>
        <v>566.202</v>
      </c>
      <c r="L245" s="16">
        <f t="shared" si="15"/>
        <v>609.756</v>
      </c>
    </row>
    <row r="246" spans="2:12">
      <c r="B246" s="12" t="s">
        <v>494</v>
      </c>
      <c r="C246" s="16" t="s">
        <v>495</v>
      </c>
      <c r="D246" s="16" t="s">
        <v>495</v>
      </c>
      <c r="E246" s="16" t="s">
        <v>495</v>
      </c>
      <c r="F246" s="16" t="s">
        <v>495</v>
      </c>
      <c r="G246">
        <v>290.45</v>
      </c>
      <c r="H246" s="17">
        <v>464.71</v>
      </c>
      <c r="I246" s="16">
        <f t="shared" si="12"/>
        <v>334.0175</v>
      </c>
      <c r="J246" s="16">
        <f t="shared" si="13"/>
        <v>348.54</v>
      </c>
      <c r="K246" s="16">
        <f t="shared" si="14"/>
        <v>377.585</v>
      </c>
      <c r="L246" s="16">
        <f t="shared" si="15"/>
        <v>406.63</v>
      </c>
    </row>
    <row r="247" spans="2:12">
      <c r="B247" s="12" t="s">
        <v>496</v>
      </c>
      <c r="C247" s="16" t="s">
        <v>497</v>
      </c>
      <c r="D247" s="16" t="s">
        <v>497</v>
      </c>
      <c r="E247" s="16" t="s">
        <v>497</v>
      </c>
      <c r="F247" s="16" t="s">
        <v>497</v>
      </c>
      <c r="G247">
        <v>70.99</v>
      </c>
      <c r="H247" s="17">
        <v>113.59</v>
      </c>
      <c r="I247" s="16">
        <f t="shared" si="12"/>
        <v>81.6385</v>
      </c>
      <c r="J247" s="16">
        <f t="shared" si="13"/>
        <v>85.188</v>
      </c>
      <c r="K247" s="16">
        <f t="shared" si="14"/>
        <v>92.287</v>
      </c>
      <c r="L247" s="16">
        <f t="shared" si="15"/>
        <v>99.386</v>
      </c>
    </row>
    <row r="248" spans="2:12">
      <c r="B248" s="12" t="s">
        <v>498</v>
      </c>
      <c r="C248" s="16" t="s">
        <v>499</v>
      </c>
      <c r="D248" s="16" t="s">
        <v>499</v>
      </c>
      <c r="E248" s="16" t="s">
        <v>499</v>
      </c>
      <c r="F248" s="16" t="s">
        <v>499</v>
      </c>
      <c r="G248">
        <v>89.01</v>
      </c>
      <c r="H248" s="17">
        <v>143.57</v>
      </c>
      <c r="I248" s="16">
        <f t="shared" si="12"/>
        <v>102.3615</v>
      </c>
      <c r="J248" s="16">
        <f t="shared" si="13"/>
        <v>106.812</v>
      </c>
      <c r="K248" s="16">
        <f t="shared" si="14"/>
        <v>115.713</v>
      </c>
      <c r="L248" s="16">
        <f t="shared" si="15"/>
        <v>124.614</v>
      </c>
    </row>
    <row r="249" spans="2:12">
      <c r="B249" s="12" t="s">
        <v>500</v>
      </c>
      <c r="C249" s="16" t="s">
        <v>501</v>
      </c>
      <c r="D249" s="16" t="s">
        <v>501</v>
      </c>
      <c r="E249" s="16" t="s">
        <v>501</v>
      </c>
      <c r="F249" s="16" t="s">
        <v>501</v>
      </c>
      <c r="G249">
        <v>134.25</v>
      </c>
      <c r="H249" s="17">
        <v>214.8</v>
      </c>
      <c r="I249" s="16">
        <f t="shared" si="12"/>
        <v>154.3875</v>
      </c>
      <c r="J249" s="16">
        <f t="shared" si="13"/>
        <v>161.1</v>
      </c>
      <c r="K249" s="16">
        <f t="shared" si="14"/>
        <v>174.525</v>
      </c>
      <c r="L249" s="16">
        <f t="shared" si="15"/>
        <v>187.95</v>
      </c>
    </row>
    <row r="250" spans="2:12">
      <c r="B250" s="12" t="s">
        <v>502</v>
      </c>
      <c r="C250" s="16" t="s">
        <v>503</v>
      </c>
      <c r="D250" s="16" t="s">
        <v>503</v>
      </c>
      <c r="E250" s="16" t="s">
        <v>503</v>
      </c>
      <c r="F250" s="16" t="s">
        <v>503</v>
      </c>
      <c r="G250">
        <v>168.09</v>
      </c>
      <c r="H250" s="17">
        <v>268.95</v>
      </c>
      <c r="I250" s="16">
        <f t="shared" si="12"/>
        <v>193.3035</v>
      </c>
      <c r="J250" s="16">
        <f t="shared" si="13"/>
        <v>201.708</v>
      </c>
      <c r="K250" s="16">
        <f t="shared" si="14"/>
        <v>218.517</v>
      </c>
      <c r="L250" s="16">
        <f t="shared" si="15"/>
        <v>235.326</v>
      </c>
    </row>
    <row r="251" spans="2:12">
      <c r="B251" s="12" t="s">
        <v>504</v>
      </c>
      <c r="C251" s="16" t="s">
        <v>505</v>
      </c>
      <c r="D251" s="16" t="s">
        <v>505</v>
      </c>
      <c r="E251" s="16" t="s">
        <v>505</v>
      </c>
      <c r="F251" s="16" t="s">
        <v>505</v>
      </c>
      <c r="G251">
        <v>36.85</v>
      </c>
      <c r="H251" s="17">
        <v>58.95</v>
      </c>
      <c r="I251" s="16">
        <f t="shared" si="12"/>
        <v>42.3775</v>
      </c>
      <c r="J251" s="16">
        <f t="shared" si="13"/>
        <v>44.22</v>
      </c>
      <c r="K251" s="16">
        <f t="shared" si="14"/>
        <v>47.905</v>
      </c>
      <c r="L251" s="16">
        <f t="shared" si="15"/>
        <v>51.59</v>
      </c>
    </row>
    <row r="252" spans="2:12">
      <c r="B252" s="12" t="s">
        <v>506</v>
      </c>
      <c r="C252" s="16" t="s">
        <v>507</v>
      </c>
      <c r="D252" s="16" t="s">
        <v>507</v>
      </c>
      <c r="E252" s="16" t="s">
        <v>507</v>
      </c>
      <c r="F252" s="16" t="s">
        <v>507</v>
      </c>
      <c r="G252">
        <v>17.5</v>
      </c>
      <c r="H252" s="17">
        <v>28.01</v>
      </c>
      <c r="I252" s="16">
        <f t="shared" si="12"/>
        <v>20.125</v>
      </c>
      <c r="J252" s="16">
        <f t="shared" si="13"/>
        <v>21</v>
      </c>
      <c r="K252" s="16">
        <f t="shared" si="14"/>
        <v>22.75</v>
      </c>
      <c r="L252" s="16">
        <f t="shared" si="15"/>
        <v>24.5</v>
      </c>
    </row>
    <row r="253" spans="2:12">
      <c r="B253" s="12" t="s">
        <v>508</v>
      </c>
      <c r="C253" s="16" t="s">
        <v>509</v>
      </c>
      <c r="D253" s="16" t="s">
        <v>509</v>
      </c>
      <c r="E253" s="16" t="s">
        <v>509</v>
      </c>
      <c r="F253" s="16" t="s">
        <v>509</v>
      </c>
      <c r="G253">
        <v>18.48</v>
      </c>
      <c r="H253" s="17">
        <v>29.57</v>
      </c>
      <c r="I253" s="16">
        <f t="shared" si="12"/>
        <v>21.252</v>
      </c>
      <c r="J253" s="16">
        <f t="shared" si="13"/>
        <v>22.176</v>
      </c>
      <c r="K253" s="16">
        <f t="shared" si="14"/>
        <v>24.024</v>
      </c>
      <c r="L253" s="16">
        <f t="shared" si="15"/>
        <v>25.872</v>
      </c>
    </row>
    <row r="254" spans="2:12">
      <c r="B254" s="12" t="s">
        <v>510</v>
      </c>
      <c r="C254" s="16" t="s">
        <v>511</v>
      </c>
      <c r="D254" s="16" t="s">
        <v>511</v>
      </c>
      <c r="E254" s="16" t="s">
        <v>511</v>
      </c>
      <c r="F254" s="16" t="s">
        <v>511</v>
      </c>
      <c r="G254">
        <v>16.63</v>
      </c>
      <c r="H254" s="17">
        <v>26.61</v>
      </c>
      <c r="I254" s="16">
        <f t="shared" si="12"/>
        <v>19.1245</v>
      </c>
      <c r="J254" s="16">
        <f t="shared" si="13"/>
        <v>19.956</v>
      </c>
      <c r="K254" s="16">
        <f t="shared" si="14"/>
        <v>21.619</v>
      </c>
      <c r="L254" s="16">
        <f t="shared" si="15"/>
        <v>23.282</v>
      </c>
    </row>
    <row r="255" spans="2:12">
      <c r="B255" s="12" t="s">
        <v>512</v>
      </c>
      <c r="C255" s="16" t="s">
        <v>513</v>
      </c>
      <c r="D255" s="16" t="s">
        <v>513</v>
      </c>
      <c r="E255" s="16" t="s">
        <v>513</v>
      </c>
      <c r="F255" s="16" t="s">
        <v>513</v>
      </c>
      <c r="G255">
        <v>18.48</v>
      </c>
      <c r="H255" s="17">
        <v>29.57</v>
      </c>
      <c r="I255" s="16">
        <f t="shared" si="12"/>
        <v>21.252</v>
      </c>
      <c r="J255" s="16">
        <f t="shared" si="13"/>
        <v>22.176</v>
      </c>
      <c r="K255" s="16">
        <f t="shared" si="14"/>
        <v>24.024</v>
      </c>
      <c r="L255" s="16">
        <f t="shared" si="15"/>
        <v>25.872</v>
      </c>
    </row>
    <row r="256" spans="2:12">
      <c r="B256" s="12" t="s">
        <v>514</v>
      </c>
      <c r="C256" s="16" t="s">
        <v>515</v>
      </c>
      <c r="D256" s="16" t="s">
        <v>515</v>
      </c>
      <c r="E256" s="16" t="s">
        <v>515</v>
      </c>
      <c r="F256" s="16" t="s">
        <v>515</v>
      </c>
      <c r="G256">
        <v>18.48</v>
      </c>
      <c r="H256" s="17">
        <v>29.57</v>
      </c>
      <c r="I256" s="16">
        <f t="shared" si="12"/>
        <v>21.252</v>
      </c>
      <c r="J256" s="16">
        <f t="shared" si="13"/>
        <v>22.176</v>
      </c>
      <c r="K256" s="16">
        <f t="shared" si="14"/>
        <v>24.024</v>
      </c>
      <c r="L256" s="16">
        <f t="shared" si="15"/>
        <v>25.872</v>
      </c>
    </row>
    <row r="257" spans="2:12">
      <c r="B257" s="12" t="s">
        <v>516</v>
      </c>
      <c r="C257" s="16" t="s">
        <v>517</v>
      </c>
      <c r="D257" s="16" t="s">
        <v>517</v>
      </c>
      <c r="E257" s="16" t="s">
        <v>517</v>
      </c>
      <c r="F257" s="16" t="s">
        <v>517</v>
      </c>
      <c r="G257">
        <v>18.48</v>
      </c>
      <c r="H257" s="17">
        <v>29.57</v>
      </c>
      <c r="I257" s="16">
        <f t="shared" si="12"/>
        <v>21.252</v>
      </c>
      <c r="J257" s="16">
        <f t="shared" si="13"/>
        <v>22.176</v>
      </c>
      <c r="K257" s="16">
        <f t="shared" si="14"/>
        <v>24.024</v>
      </c>
      <c r="L257" s="16">
        <f t="shared" si="15"/>
        <v>25.872</v>
      </c>
    </row>
    <row r="258" spans="2:12">
      <c r="B258" s="12" t="s">
        <v>518</v>
      </c>
      <c r="C258" s="16" t="s">
        <v>519</v>
      </c>
      <c r="D258" s="16" t="s">
        <v>519</v>
      </c>
      <c r="E258" s="16" t="s">
        <v>519</v>
      </c>
      <c r="F258" s="16" t="s">
        <v>519</v>
      </c>
      <c r="G258">
        <v>18.48</v>
      </c>
      <c r="H258" s="17">
        <v>29.57</v>
      </c>
      <c r="I258" s="16">
        <f t="shared" ref="I258:I321" si="16">G258*1.15</f>
        <v>21.252</v>
      </c>
      <c r="J258" s="16">
        <f t="shared" ref="J258:J321" si="17">G258*1.2</f>
        <v>22.176</v>
      </c>
      <c r="K258" s="16">
        <f t="shared" ref="K258:K321" si="18">G258*1.3</f>
        <v>24.024</v>
      </c>
      <c r="L258" s="16">
        <f t="shared" ref="L258:L321" si="19">G258*1.4</f>
        <v>25.872</v>
      </c>
    </row>
    <row r="259" spans="2:12">
      <c r="B259" s="12" t="s">
        <v>520</v>
      </c>
      <c r="C259" s="16" t="s">
        <v>521</v>
      </c>
      <c r="D259" s="16" t="s">
        <v>521</v>
      </c>
      <c r="E259" s="16" t="s">
        <v>521</v>
      </c>
      <c r="F259" s="16" t="s">
        <v>521</v>
      </c>
      <c r="G259">
        <v>16.63</v>
      </c>
      <c r="H259" s="17">
        <v>26.61</v>
      </c>
      <c r="I259" s="16">
        <f t="shared" si="16"/>
        <v>19.1245</v>
      </c>
      <c r="J259" s="16">
        <f t="shared" si="17"/>
        <v>19.956</v>
      </c>
      <c r="K259" s="16">
        <f t="shared" si="18"/>
        <v>21.619</v>
      </c>
      <c r="L259" s="16">
        <f t="shared" si="19"/>
        <v>23.282</v>
      </c>
    </row>
    <row r="260" spans="2:12">
      <c r="B260" s="12" t="s">
        <v>522</v>
      </c>
      <c r="C260" s="16" t="s">
        <v>523</v>
      </c>
      <c r="D260" s="16" t="s">
        <v>523</v>
      </c>
      <c r="E260" s="16" t="s">
        <v>523</v>
      </c>
      <c r="F260" s="16" t="s">
        <v>523</v>
      </c>
      <c r="G260">
        <v>16.63</v>
      </c>
      <c r="H260" s="17">
        <v>26.61</v>
      </c>
      <c r="I260" s="16">
        <f t="shared" si="16"/>
        <v>19.1245</v>
      </c>
      <c r="J260" s="16">
        <f t="shared" si="17"/>
        <v>19.956</v>
      </c>
      <c r="K260" s="16">
        <f t="shared" si="18"/>
        <v>21.619</v>
      </c>
      <c r="L260" s="16">
        <f t="shared" si="19"/>
        <v>23.282</v>
      </c>
    </row>
    <row r="261" spans="2:12">
      <c r="B261" s="12" t="s">
        <v>524</v>
      </c>
      <c r="C261" s="16" t="s">
        <v>525</v>
      </c>
      <c r="D261" s="16" t="s">
        <v>525</v>
      </c>
      <c r="E261" s="16" t="s">
        <v>525</v>
      </c>
      <c r="F261" s="16" t="s">
        <v>525</v>
      </c>
      <c r="G261">
        <v>3.16</v>
      </c>
      <c r="H261" s="17">
        <v>5.1</v>
      </c>
      <c r="I261" s="16">
        <f t="shared" si="16"/>
        <v>3.634</v>
      </c>
      <c r="J261" s="16">
        <f t="shared" si="17"/>
        <v>3.792</v>
      </c>
      <c r="K261" s="16">
        <f t="shared" si="18"/>
        <v>4.108</v>
      </c>
      <c r="L261" s="16">
        <f t="shared" si="19"/>
        <v>4.424</v>
      </c>
    </row>
    <row r="262" spans="2:12">
      <c r="B262" s="12" t="s">
        <v>526</v>
      </c>
      <c r="C262" s="16" t="s">
        <v>527</v>
      </c>
      <c r="D262" s="16" t="s">
        <v>527</v>
      </c>
      <c r="E262" s="16" t="s">
        <v>527</v>
      </c>
      <c r="F262" s="16" t="s">
        <v>527</v>
      </c>
      <c r="G262">
        <v>3.16</v>
      </c>
      <c r="H262" s="17">
        <v>5.1</v>
      </c>
      <c r="I262" s="16">
        <f t="shared" si="16"/>
        <v>3.634</v>
      </c>
      <c r="J262" s="16">
        <f t="shared" si="17"/>
        <v>3.792</v>
      </c>
      <c r="K262" s="16">
        <f t="shared" si="18"/>
        <v>4.108</v>
      </c>
      <c r="L262" s="16">
        <f t="shared" si="19"/>
        <v>4.424</v>
      </c>
    </row>
    <row r="263" spans="2:12">
      <c r="B263" s="12" t="s">
        <v>528</v>
      </c>
      <c r="C263" s="16" t="s">
        <v>529</v>
      </c>
      <c r="D263" s="16" t="s">
        <v>529</v>
      </c>
      <c r="E263" s="16" t="s">
        <v>529</v>
      </c>
      <c r="F263" s="16" t="s">
        <v>529</v>
      </c>
      <c r="G263">
        <v>3.16</v>
      </c>
      <c r="H263" s="17">
        <v>5.1</v>
      </c>
      <c r="I263" s="16">
        <f t="shared" si="16"/>
        <v>3.634</v>
      </c>
      <c r="J263" s="16">
        <f t="shared" si="17"/>
        <v>3.792</v>
      </c>
      <c r="K263" s="16">
        <f t="shared" si="18"/>
        <v>4.108</v>
      </c>
      <c r="L263" s="16">
        <f t="shared" si="19"/>
        <v>4.424</v>
      </c>
    </row>
    <row r="264" spans="2:12">
      <c r="B264" s="12" t="s">
        <v>530</v>
      </c>
      <c r="C264" s="16" t="s">
        <v>531</v>
      </c>
      <c r="D264" s="16" t="s">
        <v>531</v>
      </c>
      <c r="E264" s="16" t="s">
        <v>531</v>
      </c>
      <c r="F264" s="16" t="s">
        <v>531</v>
      </c>
      <c r="G264">
        <v>15.33</v>
      </c>
      <c r="H264" s="17">
        <v>24.52</v>
      </c>
      <c r="I264" s="16">
        <f t="shared" si="16"/>
        <v>17.6295</v>
      </c>
      <c r="J264" s="16">
        <f t="shared" si="17"/>
        <v>18.396</v>
      </c>
      <c r="K264" s="16">
        <f t="shared" si="18"/>
        <v>19.929</v>
      </c>
      <c r="L264" s="16">
        <f t="shared" si="19"/>
        <v>21.462</v>
      </c>
    </row>
    <row r="265" spans="2:12">
      <c r="B265" s="12" t="s">
        <v>532</v>
      </c>
      <c r="C265" s="16" t="s">
        <v>533</v>
      </c>
      <c r="D265" s="16" t="s">
        <v>533</v>
      </c>
      <c r="E265" s="16" t="s">
        <v>533</v>
      </c>
      <c r="F265" s="16" t="s">
        <v>533</v>
      </c>
      <c r="G265">
        <v>2.32</v>
      </c>
      <c r="H265" s="17">
        <v>3.75</v>
      </c>
      <c r="I265" s="16">
        <f t="shared" si="16"/>
        <v>2.668</v>
      </c>
      <c r="J265" s="16">
        <f t="shared" si="17"/>
        <v>2.784</v>
      </c>
      <c r="K265" s="16">
        <f t="shared" si="18"/>
        <v>3.016</v>
      </c>
      <c r="L265" s="16">
        <f t="shared" si="19"/>
        <v>3.248</v>
      </c>
    </row>
    <row r="266" spans="2:12">
      <c r="B266" s="12" t="s">
        <v>534</v>
      </c>
      <c r="C266" s="16" t="s">
        <v>535</v>
      </c>
      <c r="D266" s="16" t="s">
        <v>535</v>
      </c>
      <c r="E266" s="16" t="s">
        <v>535</v>
      </c>
      <c r="F266" s="16" t="s">
        <v>535</v>
      </c>
      <c r="G266">
        <v>10.47</v>
      </c>
      <c r="H266" s="17">
        <v>16.76</v>
      </c>
      <c r="I266" s="16">
        <f t="shared" si="16"/>
        <v>12.0405</v>
      </c>
      <c r="J266" s="16">
        <f t="shared" si="17"/>
        <v>12.564</v>
      </c>
      <c r="K266" s="16">
        <f t="shared" si="18"/>
        <v>13.611</v>
      </c>
      <c r="L266" s="16">
        <f t="shared" si="19"/>
        <v>14.658</v>
      </c>
    </row>
    <row r="267" spans="2:12">
      <c r="B267" s="12" t="s">
        <v>536</v>
      </c>
      <c r="C267" s="16" t="s">
        <v>537</v>
      </c>
      <c r="D267" s="16" t="s">
        <v>537</v>
      </c>
      <c r="E267" s="16" t="s">
        <v>537</v>
      </c>
      <c r="F267" s="16" t="s">
        <v>537</v>
      </c>
      <c r="G267">
        <v>10.47</v>
      </c>
      <c r="H267" s="17">
        <v>16.76</v>
      </c>
      <c r="I267" s="16">
        <f t="shared" si="16"/>
        <v>12.0405</v>
      </c>
      <c r="J267" s="16">
        <f t="shared" si="17"/>
        <v>12.564</v>
      </c>
      <c r="K267" s="16">
        <f t="shared" si="18"/>
        <v>13.611</v>
      </c>
      <c r="L267" s="16">
        <f t="shared" si="19"/>
        <v>14.658</v>
      </c>
    </row>
    <row r="268" spans="2:12">
      <c r="B268" s="12" t="s">
        <v>538</v>
      </c>
      <c r="C268" s="16" t="s">
        <v>539</v>
      </c>
      <c r="D268" s="16" t="s">
        <v>539</v>
      </c>
      <c r="E268" s="16" t="s">
        <v>539</v>
      </c>
      <c r="F268" s="16" t="s">
        <v>539</v>
      </c>
      <c r="G268">
        <v>12.41</v>
      </c>
      <c r="H268" s="17">
        <v>19.86</v>
      </c>
      <c r="I268" s="16">
        <f t="shared" si="16"/>
        <v>14.2715</v>
      </c>
      <c r="J268" s="16">
        <f t="shared" si="17"/>
        <v>14.892</v>
      </c>
      <c r="K268" s="16">
        <f t="shared" si="18"/>
        <v>16.133</v>
      </c>
      <c r="L268" s="16">
        <f t="shared" si="19"/>
        <v>17.374</v>
      </c>
    </row>
    <row r="269" spans="2:12">
      <c r="B269" s="12" t="s">
        <v>540</v>
      </c>
      <c r="C269" s="16" t="s">
        <v>541</v>
      </c>
      <c r="D269" s="16" t="s">
        <v>541</v>
      </c>
      <c r="E269" s="16" t="s">
        <v>541</v>
      </c>
      <c r="F269" s="16" t="s">
        <v>541</v>
      </c>
      <c r="G269">
        <v>10.47</v>
      </c>
      <c r="H269" s="17">
        <v>16.76</v>
      </c>
      <c r="I269" s="16">
        <f t="shared" si="16"/>
        <v>12.0405</v>
      </c>
      <c r="J269" s="16">
        <f t="shared" si="17"/>
        <v>12.564</v>
      </c>
      <c r="K269" s="16">
        <f t="shared" si="18"/>
        <v>13.611</v>
      </c>
      <c r="L269" s="16">
        <f t="shared" si="19"/>
        <v>14.658</v>
      </c>
    </row>
    <row r="270" spans="2:12">
      <c r="B270" s="12" t="s">
        <v>542</v>
      </c>
      <c r="C270" s="16" t="s">
        <v>543</v>
      </c>
      <c r="D270" s="16" t="s">
        <v>543</v>
      </c>
      <c r="E270" s="16" t="s">
        <v>543</v>
      </c>
      <c r="F270" s="16" t="s">
        <v>543</v>
      </c>
      <c r="G270">
        <v>10.47</v>
      </c>
      <c r="H270" s="17">
        <v>16.76</v>
      </c>
      <c r="I270" s="16">
        <f t="shared" si="16"/>
        <v>12.0405</v>
      </c>
      <c r="J270" s="16">
        <f t="shared" si="17"/>
        <v>12.564</v>
      </c>
      <c r="K270" s="16">
        <f t="shared" si="18"/>
        <v>13.611</v>
      </c>
      <c r="L270" s="16">
        <f t="shared" si="19"/>
        <v>14.658</v>
      </c>
    </row>
    <row r="271" spans="2:12">
      <c r="B271" s="12" t="s">
        <v>544</v>
      </c>
      <c r="C271" s="16" t="s">
        <v>545</v>
      </c>
      <c r="D271" s="16" t="s">
        <v>545</v>
      </c>
      <c r="E271" s="16" t="s">
        <v>545</v>
      </c>
      <c r="F271" s="16" t="s">
        <v>545</v>
      </c>
      <c r="G271">
        <v>10.47</v>
      </c>
      <c r="H271" s="17">
        <v>16.76</v>
      </c>
      <c r="I271" s="16">
        <f t="shared" si="16"/>
        <v>12.0405</v>
      </c>
      <c r="J271" s="16">
        <f t="shared" si="17"/>
        <v>12.564</v>
      </c>
      <c r="K271" s="16">
        <f t="shared" si="18"/>
        <v>13.611</v>
      </c>
      <c r="L271" s="16">
        <f t="shared" si="19"/>
        <v>14.658</v>
      </c>
    </row>
    <row r="272" spans="2:12">
      <c r="B272" s="12" t="s">
        <v>546</v>
      </c>
      <c r="C272" s="16" t="s">
        <v>547</v>
      </c>
      <c r="D272" s="16" t="s">
        <v>547</v>
      </c>
      <c r="E272" s="16" t="s">
        <v>547</v>
      </c>
      <c r="F272" s="16" t="s">
        <v>547</v>
      </c>
      <c r="G272">
        <v>10.47</v>
      </c>
      <c r="H272" s="17">
        <v>16.76</v>
      </c>
      <c r="I272" s="16">
        <f t="shared" si="16"/>
        <v>12.0405</v>
      </c>
      <c r="J272" s="16">
        <f t="shared" si="17"/>
        <v>12.564</v>
      </c>
      <c r="K272" s="16">
        <f t="shared" si="18"/>
        <v>13.611</v>
      </c>
      <c r="L272" s="16">
        <f t="shared" si="19"/>
        <v>14.658</v>
      </c>
    </row>
    <row r="273" spans="2:12">
      <c r="B273" s="12" t="s">
        <v>548</v>
      </c>
      <c r="C273" s="16" t="s">
        <v>549</v>
      </c>
      <c r="D273" s="16" t="s">
        <v>549</v>
      </c>
      <c r="E273" s="16" t="s">
        <v>549</v>
      </c>
      <c r="F273" s="16" t="s">
        <v>549</v>
      </c>
      <c r="G273">
        <v>3.08</v>
      </c>
      <c r="H273" s="17">
        <v>4.92</v>
      </c>
      <c r="I273" s="16">
        <f t="shared" si="16"/>
        <v>3.542</v>
      </c>
      <c r="J273" s="16">
        <f t="shared" si="17"/>
        <v>3.696</v>
      </c>
      <c r="K273" s="16">
        <f t="shared" si="18"/>
        <v>4.004</v>
      </c>
      <c r="L273" s="16">
        <f t="shared" si="19"/>
        <v>4.312</v>
      </c>
    </row>
    <row r="274" spans="2:12">
      <c r="B274" s="12" t="s">
        <v>550</v>
      </c>
      <c r="C274" s="16" t="s">
        <v>551</v>
      </c>
      <c r="D274" s="16" t="s">
        <v>551</v>
      </c>
      <c r="E274" s="16" t="s">
        <v>551</v>
      </c>
      <c r="F274" s="16" t="s">
        <v>551</v>
      </c>
      <c r="G274">
        <v>3.08</v>
      </c>
      <c r="H274" s="17">
        <v>4.92</v>
      </c>
      <c r="I274" s="16">
        <f t="shared" si="16"/>
        <v>3.542</v>
      </c>
      <c r="J274" s="16">
        <f t="shared" si="17"/>
        <v>3.696</v>
      </c>
      <c r="K274" s="16">
        <f t="shared" si="18"/>
        <v>4.004</v>
      </c>
      <c r="L274" s="16">
        <f t="shared" si="19"/>
        <v>4.312</v>
      </c>
    </row>
    <row r="275" spans="2:12">
      <c r="B275" s="12" t="s">
        <v>552</v>
      </c>
      <c r="C275" s="16" t="s">
        <v>553</v>
      </c>
      <c r="D275" s="16" t="s">
        <v>553</v>
      </c>
      <c r="E275" s="16" t="s">
        <v>553</v>
      </c>
      <c r="F275" s="16" t="s">
        <v>553</v>
      </c>
      <c r="G275">
        <v>3.08</v>
      </c>
      <c r="H275" s="17">
        <v>4.92</v>
      </c>
      <c r="I275" s="16">
        <f t="shared" si="16"/>
        <v>3.542</v>
      </c>
      <c r="J275" s="16">
        <f t="shared" si="17"/>
        <v>3.696</v>
      </c>
      <c r="K275" s="16">
        <f t="shared" si="18"/>
        <v>4.004</v>
      </c>
      <c r="L275" s="16">
        <f t="shared" si="19"/>
        <v>4.312</v>
      </c>
    </row>
    <row r="276" spans="2:12">
      <c r="B276" s="12" t="s">
        <v>554</v>
      </c>
      <c r="C276" s="16" t="s">
        <v>555</v>
      </c>
      <c r="D276" s="16" t="s">
        <v>555</v>
      </c>
      <c r="E276" s="16" t="s">
        <v>555</v>
      </c>
      <c r="F276" s="16" t="s">
        <v>555</v>
      </c>
      <c r="G276">
        <v>3.08</v>
      </c>
      <c r="H276" s="17">
        <v>4.92</v>
      </c>
      <c r="I276" s="16">
        <f t="shared" si="16"/>
        <v>3.542</v>
      </c>
      <c r="J276" s="16">
        <f t="shared" si="17"/>
        <v>3.696</v>
      </c>
      <c r="K276" s="16">
        <f t="shared" si="18"/>
        <v>4.004</v>
      </c>
      <c r="L276" s="16">
        <f t="shared" si="19"/>
        <v>4.312</v>
      </c>
    </row>
    <row r="277" spans="2:12">
      <c r="B277" s="12" t="s">
        <v>556</v>
      </c>
      <c r="C277" s="16" t="s">
        <v>557</v>
      </c>
      <c r="D277" s="16" t="s">
        <v>557</v>
      </c>
      <c r="E277" s="16" t="s">
        <v>557</v>
      </c>
      <c r="F277" s="16" t="s">
        <v>557</v>
      </c>
      <c r="G277">
        <v>3.08</v>
      </c>
      <c r="H277" s="17">
        <v>4.92</v>
      </c>
      <c r="I277" s="16">
        <f t="shared" si="16"/>
        <v>3.542</v>
      </c>
      <c r="J277" s="16">
        <f t="shared" si="17"/>
        <v>3.696</v>
      </c>
      <c r="K277" s="16">
        <f t="shared" si="18"/>
        <v>4.004</v>
      </c>
      <c r="L277" s="16">
        <f t="shared" si="19"/>
        <v>4.312</v>
      </c>
    </row>
    <row r="278" spans="2:12">
      <c r="B278" s="12" t="s">
        <v>558</v>
      </c>
      <c r="C278" s="16" t="s">
        <v>559</v>
      </c>
      <c r="D278" s="16" t="s">
        <v>559</v>
      </c>
      <c r="E278" s="16" t="s">
        <v>559</v>
      </c>
      <c r="F278" s="16" t="s">
        <v>559</v>
      </c>
      <c r="G278">
        <v>3.08</v>
      </c>
      <c r="H278" s="17">
        <v>4.92</v>
      </c>
      <c r="I278" s="16">
        <f t="shared" si="16"/>
        <v>3.542</v>
      </c>
      <c r="J278" s="16">
        <f t="shared" si="17"/>
        <v>3.696</v>
      </c>
      <c r="K278" s="16">
        <f t="shared" si="18"/>
        <v>4.004</v>
      </c>
      <c r="L278" s="16">
        <f t="shared" si="19"/>
        <v>4.312</v>
      </c>
    </row>
    <row r="279" spans="2:12">
      <c r="B279" s="12" t="s">
        <v>560</v>
      </c>
      <c r="C279" s="16" t="s">
        <v>561</v>
      </c>
      <c r="D279" s="16" t="s">
        <v>561</v>
      </c>
      <c r="E279" s="16" t="s">
        <v>561</v>
      </c>
      <c r="F279" s="16" t="s">
        <v>561</v>
      </c>
      <c r="G279">
        <v>3.08</v>
      </c>
      <c r="H279" s="17">
        <v>4.92</v>
      </c>
      <c r="I279" s="16">
        <f t="shared" si="16"/>
        <v>3.542</v>
      </c>
      <c r="J279" s="16">
        <f t="shared" si="17"/>
        <v>3.696</v>
      </c>
      <c r="K279" s="16">
        <f t="shared" si="18"/>
        <v>4.004</v>
      </c>
      <c r="L279" s="16">
        <f t="shared" si="19"/>
        <v>4.312</v>
      </c>
    </row>
    <row r="280" spans="2:12">
      <c r="B280" s="12" t="s">
        <v>562</v>
      </c>
      <c r="C280" s="16" t="s">
        <v>563</v>
      </c>
      <c r="D280" s="16" t="s">
        <v>563</v>
      </c>
      <c r="E280" s="16" t="s">
        <v>563</v>
      </c>
      <c r="F280" s="16" t="s">
        <v>563</v>
      </c>
      <c r="G280">
        <v>3.08</v>
      </c>
      <c r="H280" s="17">
        <v>4.92</v>
      </c>
      <c r="I280" s="16">
        <f t="shared" si="16"/>
        <v>3.542</v>
      </c>
      <c r="J280" s="16">
        <f t="shared" si="17"/>
        <v>3.696</v>
      </c>
      <c r="K280" s="16">
        <f t="shared" si="18"/>
        <v>4.004</v>
      </c>
      <c r="L280" s="16">
        <f t="shared" si="19"/>
        <v>4.312</v>
      </c>
    </row>
    <row r="281" spans="2:12">
      <c r="B281" s="12" t="s">
        <v>564</v>
      </c>
      <c r="C281" s="16" t="s">
        <v>565</v>
      </c>
      <c r="D281" s="16" t="s">
        <v>565</v>
      </c>
      <c r="E281" s="16" t="s">
        <v>565</v>
      </c>
      <c r="F281" s="16" t="s">
        <v>565</v>
      </c>
      <c r="G281">
        <v>3.08</v>
      </c>
      <c r="H281" s="17">
        <v>4.92</v>
      </c>
      <c r="I281" s="16">
        <f t="shared" si="16"/>
        <v>3.542</v>
      </c>
      <c r="J281" s="16">
        <f t="shared" si="17"/>
        <v>3.696</v>
      </c>
      <c r="K281" s="16">
        <f t="shared" si="18"/>
        <v>4.004</v>
      </c>
      <c r="L281" s="16">
        <f t="shared" si="19"/>
        <v>4.312</v>
      </c>
    </row>
    <row r="282" spans="2:12">
      <c r="B282" s="12" t="s">
        <v>566</v>
      </c>
      <c r="C282" s="16" t="s">
        <v>567</v>
      </c>
      <c r="D282" s="16" t="s">
        <v>567</v>
      </c>
      <c r="E282" s="16" t="s">
        <v>567</v>
      </c>
      <c r="F282" s="16" t="s">
        <v>567</v>
      </c>
      <c r="G282">
        <v>3.08</v>
      </c>
      <c r="H282" s="17">
        <v>4.92</v>
      </c>
      <c r="I282" s="16">
        <f t="shared" si="16"/>
        <v>3.542</v>
      </c>
      <c r="J282" s="16">
        <f t="shared" si="17"/>
        <v>3.696</v>
      </c>
      <c r="K282" s="16">
        <f t="shared" si="18"/>
        <v>4.004</v>
      </c>
      <c r="L282" s="16">
        <f t="shared" si="19"/>
        <v>4.312</v>
      </c>
    </row>
    <row r="283" spans="2:12">
      <c r="B283" s="12" t="s">
        <v>568</v>
      </c>
      <c r="C283" s="16" t="s">
        <v>569</v>
      </c>
      <c r="D283" s="16" t="s">
        <v>569</v>
      </c>
      <c r="E283" s="16" t="s">
        <v>569</v>
      </c>
      <c r="F283" s="16" t="s">
        <v>569</v>
      </c>
      <c r="G283">
        <v>3.08</v>
      </c>
      <c r="H283" s="17">
        <v>4.92</v>
      </c>
      <c r="I283" s="16">
        <f t="shared" si="16"/>
        <v>3.542</v>
      </c>
      <c r="J283" s="16">
        <f t="shared" si="17"/>
        <v>3.696</v>
      </c>
      <c r="K283" s="16">
        <f t="shared" si="18"/>
        <v>4.004</v>
      </c>
      <c r="L283" s="16">
        <f t="shared" si="19"/>
        <v>4.312</v>
      </c>
    </row>
    <row r="284" spans="2:12">
      <c r="B284" s="12" t="s">
        <v>570</v>
      </c>
      <c r="C284" s="16" t="s">
        <v>571</v>
      </c>
      <c r="D284" s="16" t="s">
        <v>571</v>
      </c>
      <c r="E284" s="16" t="s">
        <v>571</v>
      </c>
      <c r="F284" s="16" t="s">
        <v>571</v>
      </c>
      <c r="G284">
        <v>3.08</v>
      </c>
      <c r="H284" s="17">
        <v>4.92</v>
      </c>
      <c r="I284" s="16">
        <f t="shared" si="16"/>
        <v>3.542</v>
      </c>
      <c r="J284" s="16">
        <f t="shared" si="17"/>
        <v>3.696</v>
      </c>
      <c r="K284" s="16">
        <f t="shared" si="18"/>
        <v>4.004</v>
      </c>
      <c r="L284" s="16">
        <f t="shared" si="19"/>
        <v>4.312</v>
      </c>
    </row>
    <row r="285" spans="2:12">
      <c r="B285" s="12" t="s">
        <v>572</v>
      </c>
      <c r="C285" s="16" t="s">
        <v>573</v>
      </c>
      <c r="D285" s="16" t="s">
        <v>573</v>
      </c>
      <c r="E285" s="16" t="s">
        <v>573</v>
      </c>
      <c r="F285" s="16" t="s">
        <v>573</v>
      </c>
      <c r="G285">
        <v>3.08</v>
      </c>
      <c r="H285" s="17">
        <v>4.92</v>
      </c>
      <c r="I285" s="16">
        <f t="shared" si="16"/>
        <v>3.542</v>
      </c>
      <c r="J285" s="16">
        <f t="shared" si="17"/>
        <v>3.696</v>
      </c>
      <c r="K285" s="16">
        <f t="shared" si="18"/>
        <v>4.004</v>
      </c>
      <c r="L285" s="16">
        <f t="shared" si="19"/>
        <v>4.312</v>
      </c>
    </row>
    <row r="286" spans="2:12">
      <c r="B286" s="12" t="s">
        <v>574</v>
      </c>
      <c r="C286" s="16" t="s">
        <v>575</v>
      </c>
      <c r="D286" s="16" t="s">
        <v>575</v>
      </c>
      <c r="E286" s="16" t="s">
        <v>575</v>
      </c>
      <c r="F286" s="16" t="s">
        <v>575</v>
      </c>
      <c r="G286">
        <v>3.08</v>
      </c>
      <c r="H286" s="17">
        <v>4.92</v>
      </c>
      <c r="I286" s="16">
        <f t="shared" si="16"/>
        <v>3.542</v>
      </c>
      <c r="J286" s="16">
        <f t="shared" si="17"/>
        <v>3.696</v>
      </c>
      <c r="K286" s="16">
        <f t="shared" si="18"/>
        <v>4.004</v>
      </c>
      <c r="L286" s="16">
        <f t="shared" si="19"/>
        <v>4.312</v>
      </c>
    </row>
    <row r="287" spans="2:12">
      <c r="B287" s="12" t="s">
        <v>576</v>
      </c>
      <c r="C287" s="16" t="s">
        <v>577</v>
      </c>
      <c r="D287" s="16" t="s">
        <v>577</v>
      </c>
      <c r="E287" s="16" t="s">
        <v>577</v>
      </c>
      <c r="F287" s="16" t="s">
        <v>577</v>
      </c>
      <c r="G287">
        <v>3.08</v>
      </c>
      <c r="H287" s="17">
        <v>4.92</v>
      </c>
      <c r="I287" s="16">
        <f t="shared" si="16"/>
        <v>3.542</v>
      </c>
      <c r="J287" s="16">
        <f t="shared" si="17"/>
        <v>3.696</v>
      </c>
      <c r="K287" s="16">
        <f t="shared" si="18"/>
        <v>4.004</v>
      </c>
      <c r="L287" s="16">
        <f t="shared" si="19"/>
        <v>4.312</v>
      </c>
    </row>
    <row r="288" spans="2:12">
      <c r="B288" s="12" t="s">
        <v>578</v>
      </c>
      <c r="C288" s="16" t="s">
        <v>579</v>
      </c>
      <c r="D288" s="16" t="s">
        <v>579</v>
      </c>
      <c r="E288" s="16" t="s">
        <v>579</v>
      </c>
      <c r="F288" s="16" t="s">
        <v>579</v>
      </c>
      <c r="G288">
        <v>3.08</v>
      </c>
      <c r="H288" s="17">
        <v>4.92</v>
      </c>
      <c r="I288" s="16">
        <f t="shared" si="16"/>
        <v>3.542</v>
      </c>
      <c r="J288" s="16">
        <f t="shared" si="17"/>
        <v>3.696</v>
      </c>
      <c r="K288" s="16">
        <f t="shared" si="18"/>
        <v>4.004</v>
      </c>
      <c r="L288" s="16">
        <f t="shared" si="19"/>
        <v>4.312</v>
      </c>
    </row>
    <row r="289" spans="2:12">
      <c r="B289" s="12" t="s">
        <v>580</v>
      </c>
      <c r="C289" s="16" t="s">
        <v>581</v>
      </c>
      <c r="D289" s="16" t="s">
        <v>581</v>
      </c>
      <c r="E289" s="16" t="s">
        <v>581</v>
      </c>
      <c r="F289" s="16" t="s">
        <v>581</v>
      </c>
      <c r="G289">
        <v>121.2</v>
      </c>
      <c r="H289" s="17">
        <v>193.91</v>
      </c>
      <c r="I289" s="16">
        <f t="shared" si="16"/>
        <v>139.38</v>
      </c>
      <c r="J289" s="16">
        <f t="shared" si="17"/>
        <v>145.44</v>
      </c>
      <c r="K289" s="16">
        <f t="shared" si="18"/>
        <v>157.56</v>
      </c>
      <c r="L289" s="16">
        <f t="shared" si="19"/>
        <v>169.68</v>
      </c>
    </row>
    <row r="290" spans="2:12">
      <c r="B290" s="12" t="s">
        <v>582</v>
      </c>
      <c r="C290" s="16" t="s">
        <v>583</v>
      </c>
      <c r="D290" s="16" t="s">
        <v>583</v>
      </c>
      <c r="E290" s="16" t="s">
        <v>583</v>
      </c>
      <c r="F290" s="16" t="s">
        <v>583</v>
      </c>
      <c r="G290">
        <v>252.73</v>
      </c>
      <c r="H290" s="17">
        <v>404.36</v>
      </c>
      <c r="I290" s="16">
        <f t="shared" si="16"/>
        <v>290.6395</v>
      </c>
      <c r="J290" s="16">
        <f t="shared" si="17"/>
        <v>303.276</v>
      </c>
      <c r="K290" s="16">
        <f t="shared" si="18"/>
        <v>328.549</v>
      </c>
      <c r="L290" s="16">
        <f t="shared" si="19"/>
        <v>353.822</v>
      </c>
    </row>
    <row r="291" spans="2:12">
      <c r="B291" s="12" t="s">
        <v>584</v>
      </c>
      <c r="C291" s="16" t="s">
        <v>585</v>
      </c>
      <c r="D291" s="16" t="s">
        <v>585</v>
      </c>
      <c r="E291" s="16" t="s">
        <v>585</v>
      </c>
      <c r="F291" s="16" t="s">
        <v>585</v>
      </c>
      <c r="G291">
        <v>83.58</v>
      </c>
      <c r="H291" s="17">
        <v>133.71</v>
      </c>
      <c r="I291" s="16">
        <f t="shared" si="16"/>
        <v>96.117</v>
      </c>
      <c r="J291" s="16">
        <f t="shared" si="17"/>
        <v>100.296</v>
      </c>
      <c r="K291" s="16">
        <f t="shared" si="18"/>
        <v>108.654</v>
      </c>
      <c r="L291" s="16">
        <f t="shared" si="19"/>
        <v>117.012</v>
      </c>
    </row>
    <row r="292" spans="2:12">
      <c r="B292" s="12" t="s">
        <v>586</v>
      </c>
      <c r="C292" s="16" t="s">
        <v>587</v>
      </c>
      <c r="D292" s="16" t="s">
        <v>587</v>
      </c>
      <c r="E292" s="16" t="s">
        <v>587</v>
      </c>
      <c r="F292" s="16" t="s">
        <v>587</v>
      </c>
      <c r="G292">
        <v>100.44</v>
      </c>
      <c r="H292" s="17">
        <v>160.7</v>
      </c>
      <c r="I292" s="16">
        <f t="shared" si="16"/>
        <v>115.506</v>
      </c>
      <c r="J292" s="16">
        <f t="shared" si="17"/>
        <v>120.528</v>
      </c>
      <c r="K292" s="16">
        <f t="shared" si="18"/>
        <v>130.572</v>
      </c>
      <c r="L292" s="16">
        <f t="shared" si="19"/>
        <v>140.616</v>
      </c>
    </row>
    <row r="293" spans="2:12">
      <c r="B293" s="12" t="s">
        <v>588</v>
      </c>
      <c r="C293" s="16" t="s">
        <v>589</v>
      </c>
      <c r="D293" s="16" t="s">
        <v>589</v>
      </c>
      <c r="E293" s="16" t="s">
        <v>589</v>
      </c>
      <c r="F293" s="16" t="s">
        <v>589</v>
      </c>
      <c r="G293">
        <v>105.41</v>
      </c>
      <c r="H293" s="17">
        <v>183.32</v>
      </c>
      <c r="I293" s="16">
        <f t="shared" si="16"/>
        <v>121.2215</v>
      </c>
      <c r="J293" s="16">
        <f t="shared" si="17"/>
        <v>126.492</v>
      </c>
      <c r="K293" s="16">
        <f t="shared" si="18"/>
        <v>137.033</v>
      </c>
      <c r="L293" s="16">
        <f t="shared" si="19"/>
        <v>147.574</v>
      </c>
    </row>
    <row r="294" spans="2:12">
      <c r="B294" s="12" t="s">
        <v>590</v>
      </c>
      <c r="C294" s="16" t="s">
        <v>591</v>
      </c>
      <c r="D294" s="16" t="s">
        <v>591</v>
      </c>
      <c r="E294" s="16" t="s">
        <v>591</v>
      </c>
      <c r="F294" s="16" t="s">
        <v>591</v>
      </c>
      <c r="G294">
        <v>227.07</v>
      </c>
      <c r="H294" s="17">
        <v>363.29</v>
      </c>
      <c r="I294" s="16">
        <f t="shared" si="16"/>
        <v>261.1305</v>
      </c>
      <c r="J294" s="16">
        <f t="shared" si="17"/>
        <v>272.484</v>
      </c>
      <c r="K294" s="16">
        <f t="shared" si="18"/>
        <v>295.191</v>
      </c>
      <c r="L294" s="16">
        <f t="shared" si="19"/>
        <v>317.898</v>
      </c>
    </row>
    <row r="295" spans="2:12">
      <c r="B295" s="12" t="s">
        <v>592</v>
      </c>
      <c r="C295" s="16" t="s">
        <v>593</v>
      </c>
      <c r="D295" s="16" t="s">
        <v>593</v>
      </c>
      <c r="E295" s="16" t="s">
        <v>593</v>
      </c>
      <c r="F295" s="16" t="s">
        <v>593</v>
      </c>
      <c r="G295">
        <v>249.35</v>
      </c>
      <c r="H295" s="17">
        <v>398.95</v>
      </c>
      <c r="I295" s="16">
        <f t="shared" si="16"/>
        <v>286.7525</v>
      </c>
      <c r="J295" s="16">
        <f t="shared" si="17"/>
        <v>299.22</v>
      </c>
      <c r="K295" s="16">
        <f t="shared" si="18"/>
        <v>324.155</v>
      </c>
      <c r="L295" s="16">
        <f t="shared" si="19"/>
        <v>349.09</v>
      </c>
    </row>
    <row r="296" spans="2:12">
      <c r="B296" s="12" t="s">
        <v>594</v>
      </c>
      <c r="C296" s="16" t="s">
        <v>595</v>
      </c>
      <c r="D296" s="16" t="s">
        <v>595</v>
      </c>
      <c r="E296" s="16" t="s">
        <v>595</v>
      </c>
      <c r="F296" s="16" t="s">
        <v>595</v>
      </c>
      <c r="G296">
        <v>122.57</v>
      </c>
      <c r="H296" s="17">
        <v>196.1</v>
      </c>
      <c r="I296" s="16">
        <f t="shared" si="16"/>
        <v>140.9555</v>
      </c>
      <c r="J296" s="16">
        <f t="shared" si="17"/>
        <v>147.084</v>
      </c>
      <c r="K296" s="16">
        <f t="shared" si="18"/>
        <v>159.341</v>
      </c>
      <c r="L296" s="16">
        <f t="shared" si="19"/>
        <v>171.598</v>
      </c>
    </row>
    <row r="297" spans="2:12">
      <c r="B297" s="12" t="s">
        <v>596</v>
      </c>
      <c r="C297" s="16" t="s">
        <v>597</v>
      </c>
      <c r="D297" s="16" t="s">
        <v>597</v>
      </c>
      <c r="E297" s="16" t="s">
        <v>597</v>
      </c>
      <c r="F297" s="16" t="s">
        <v>597</v>
      </c>
      <c r="G297">
        <v>134.54</v>
      </c>
      <c r="H297" s="17">
        <v>215.28</v>
      </c>
      <c r="I297" s="16">
        <f t="shared" si="16"/>
        <v>154.721</v>
      </c>
      <c r="J297" s="16">
        <f t="shared" si="17"/>
        <v>161.448</v>
      </c>
      <c r="K297" s="16">
        <f t="shared" si="18"/>
        <v>174.902</v>
      </c>
      <c r="L297" s="16">
        <f t="shared" si="19"/>
        <v>188.356</v>
      </c>
    </row>
    <row r="298" spans="2:12">
      <c r="B298" s="12" t="s">
        <v>598</v>
      </c>
      <c r="C298" s="16" t="s">
        <v>599</v>
      </c>
      <c r="D298" s="16" t="s">
        <v>599</v>
      </c>
      <c r="E298" s="16" t="s">
        <v>599</v>
      </c>
      <c r="F298" s="16" t="s">
        <v>599</v>
      </c>
      <c r="G298">
        <v>128.69</v>
      </c>
      <c r="H298" s="17">
        <v>205.91</v>
      </c>
      <c r="I298" s="16">
        <f t="shared" si="16"/>
        <v>147.9935</v>
      </c>
      <c r="J298" s="16">
        <f t="shared" si="17"/>
        <v>154.428</v>
      </c>
      <c r="K298" s="16">
        <f t="shared" si="18"/>
        <v>167.297</v>
      </c>
      <c r="L298" s="16">
        <f t="shared" si="19"/>
        <v>180.166</v>
      </c>
    </row>
    <row r="299" spans="2:12">
      <c r="B299" s="12" t="s">
        <v>600</v>
      </c>
      <c r="C299" s="16" t="s">
        <v>601</v>
      </c>
      <c r="D299" s="16" t="s">
        <v>601</v>
      </c>
      <c r="E299" s="16" t="s">
        <v>601</v>
      </c>
      <c r="F299" s="16" t="s">
        <v>601</v>
      </c>
      <c r="G299">
        <v>109.15</v>
      </c>
      <c r="H299" s="17">
        <v>174.64</v>
      </c>
      <c r="I299" s="16">
        <f t="shared" si="16"/>
        <v>125.5225</v>
      </c>
      <c r="J299" s="16">
        <f t="shared" si="17"/>
        <v>130.98</v>
      </c>
      <c r="K299" s="16">
        <f t="shared" si="18"/>
        <v>141.895</v>
      </c>
      <c r="L299" s="16">
        <f t="shared" si="19"/>
        <v>152.81</v>
      </c>
    </row>
    <row r="300" spans="2:12">
      <c r="B300" s="12" t="s">
        <v>602</v>
      </c>
      <c r="C300" s="16" t="s">
        <v>603</v>
      </c>
      <c r="D300" s="16" t="s">
        <v>603</v>
      </c>
      <c r="E300" s="16" t="s">
        <v>603</v>
      </c>
      <c r="F300" s="16" t="s">
        <v>603</v>
      </c>
      <c r="G300">
        <v>122.57</v>
      </c>
      <c r="H300" s="17">
        <v>196.1</v>
      </c>
      <c r="I300" s="16">
        <f t="shared" si="16"/>
        <v>140.9555</v>
      </c>
      <c r="J300" s="16">
        <f t="shared" si="17"/>
        <v>147.084</v>
      </c>
      <c r="K300" s="16">
        <f t="shared" si="18"/>
        <v>159.341</v>
      </c>
      <c r="L300" s="16">
        <f t="shared" si="19"/>
        <v>171.598</v>
      </c>
    </row>
    <row r="301" spans="2:12">
      <c r="B301" s="12" t="s">
        <v>604</v>
      </c>
      <c r="C301" s="16" t="s">
        <v>605</v>
      </c>
      <c r="D301" s="16" t="s">
        <v>605</v>
      </c>
      <c r="E301" s="16" t="s">
        <v>605</v>
      </c>
      <c r="F301" s="16" t="s">
        <v>605</v>
      </c>
      <c r="G301">
        <v>339.24</v>
      </c>
      <c r="H301" s="17">
        <v>542.78</v>
      </c>
      <c r="I301" s="16">
        <f t="shared" si="16"/>
        <v>390.126</v>
      </c>
      <c r="J301" s="16">
        <f t="shared" si="17"/>
        <v>407.088</v>
      </c>
      <c r="K301" s="16">
        <f t="shared" si="18"/>
        <v>441.012</v>
      </c>
      <c r="L301" s="16">
        <f t="shared" si="19"/>
        <v>474.936</v>
      </c>
    </row>
    <row r="302" spans="2:12">
      <c r="B302" s="12" t="s">
        <v>606</v>
      </c>
      <c r="C302" s="16" t="s">
        <v>607</v>
      </c>
      <c r="D302" s="16" t="s">
        <v>607</v>
      </c>
      <c r="E302" s="16" t="s">
        <v>607</v>
      </c>
      <c r="F302" s="16" t="s">
        <v>607</v>
      </c>
      <c r="G302">
        <v>120.8</v>
      </c>
      <c r="H302" s="17">
        <v>193.27</v>
      </c>
      <c r="I302" s="16">
        <f t="shared" si="16"/>
        <v>138.92</v>
      </c>
      <c r="J302" s="16">
        <f t="shared" si="17"/>
        <v>144.96</v>
      </c>
      <c r="K302" s="16">
        <f t="shared" si="18"/>
        <v>157.04</v>
      </c>
      <c r="L302" s="16">
        <f t="shared" si="19"/>
        <v>169.12</v>
      </c>
    </row>
    <row r="303" spans="2:12">
      <c r="B303" s="12" t="s">
        <v>608</v>
      </c>
      <c r="C303" s="16" t="s">
        <v>609</v>
      </c>
      <c r="D303" s="16" t="s">
        <v>609</v>
      </c>
      <c r="E303" s="16" t="s">
        <v>609</v>
      </c>
      <c r="F303" s="16" t="s">
        <v>609</v>
      </c>
      <c r="G303">
        <v>259.65</v>
      </c>
      <c r="H303" s="17">
        <v>415.44</v>
      </c>
      <c r="I303" s="16">
        <f t="shared" si="16"/>
        <v>298.5975</v>
      </c>
      <c r="J303" s="16">
        <f t="shared" si="17"/>
        <v>311.58</v>
      </c>
      <c r="K303" s="16">
        <f t="shared" si="18"/>
        <v>337.545</v>
      </c>
      <c r="L303" s="16">
        <f t="shared" si="19"/>
        <v>363.51</v>
      </c>
    </row>
    <row r="304" spans="2:12">
      <c r="B304" s="12" t="s">
        <v>610</v>
      </c>
      <c r="C304" s="16" t="s">
        <v>611</v>
      </c>
      <c r="D304" s="16" t="s">
        <v>611</v>
      </c>
      <c r="E304" s="16" t="s">
        <v>611</v>
      </c>
      <c r="F304" s="16" t="s">
        <v>611</v>
      </c>
      <c r="G304">
        <v>351.22</v>
      </c>
      <c r="H304" s="17">
        <v>561.97</v>
      </c>
      <c r="I304" s="16">
        <f t="shared" si="16"/>
        <v>403.903</v>
      </c>
      <c r="J304" s="16">
        <f t="shared" si="17"/>
        <v>421.464</v>
      </c>
      <c r="K304" s="16">
        <f t="shared" si="18"/>
        <v>456.586</v>
      </c>
      <c r="L304" s="16">
        <f t="shared" si="19"/>
        <v>491.708</v>
      </c>
    </row>
    <row r="305" spans="2:12">
      <c r="B305" s="12" t="s">
        <v>612</v>
      </c>
      <c r="C305" s="16" t="s">
        <v>613</v>
      </c>
      <c r="D305" s="16" t="s">
        <v>613</v>
      </c>
      <c r="E305" s="16" t="s">
        <v>613</v>
      </c>
      <c r="F305" s="16" t="s">
        <v>613</v>
      </c>
      <c r="G305">
        <v>77.02</v>
      </c>
      <c r="H305" s="17">
        <v>123.23</v>
      </c>
      <c r="I305" s="16">
        <f t="shared" si="16"/>
        <v>88.573</v>
      </c>
      <c r="J305" s="16">
        <f t="shared" si="17"/>
        <v>92.424</v>
      </c>
      <c r="K305" s="16">
        <f t="shared" si="18"/>
        <v>100.126</v>
      </c>
      <c r="L305" s="16">
        <f t="shared" si="19"/>
        <v>107.828</v>
      </c>
    </row>
    <row r="306" spans="2:12">
      <c r="B306" s="12" t="s">
        <v>614</v>
      </c>
      <c r="C306" s="16" t="s">
        <v>615</v>
      </c>
      <c r="D306" s="16" t="s">
        <v>615</v>
      </c>
      <c r="E306" s="16" t="s">
        <v>615</v>
      </c>
      <c r="F306" s="16" t="s">
        <v>615</v>
      </c>
      <c r="G306">
        <v>95.13</v>
      </c>
      <c r="H306" s="17">
        <v>152.2</v>
      </c>
      <c r="I306" s="16">
        <f t="shared" si="16"/>
        <v>109.3995</v>
      </c>
      <c r="J306" s="16">
        <f t="shared" si="17"/>
        <v>114.156</v>
      </c>
      <c r="K306" s="16">
        <f t="shared" si="18"/>
        <v>123.669</v>
      </c>
      <c r="L306" s="16">
        <f t="shared" si="19"/>
        <v>133.182</v>
      </c>
    </row>
    <row r="307" spans="2:12">
      <c r="B307" s="12" t="s">
        <v>616</v>
      </c>
      <c r="C307" s="16" t="s">
        <v>617</v>
      </c>
      <c r="D307" s="16" t="s">
        <v>617</v>
      </c>
      <c r="E307" s="16" t="s">
        <v>617</v>
      </c>
      <c r="F307" s="16" t="s">
        <v>617</v>
      </c>
      <c r="G307">
        <v>120.8</v>
      </c>
      <c r="H307" s="17">
        <v>193.27</v>
      </c>
      <c r="I307" s="16">
        <f t="shared" si="16"/>
        <v>138.92</v>
      </c>
      <c r="J307" s="16">
        <f t="shared" si="17"/>
        <v>144.96</v>
      </c>
      <c r="K307" s="16">
        <f t="shared" si="18"/>
        <v>157.04</v>
      </c>
      <c r="L307" s="16">
        <f t="shared" si="19"/>
        <v>169.12</v>
      </c>
    </row>
    <row r="308" spans="2:12">
      <c r="B308" s="12" t="s">
        <v>618</v>
      </c>
      <c r="C308" s="16" t="s">
        <v>619</v>
      </c>
      <c r="D308" s="16" t="s">
        <v>619</v>
      </c>
      <c r="E308" s="16" t="s">
        <v>619</v>
      </c>
      <c r="F308" s="16" t="s">
        <v>619</v>
      </c>
      <c r="G308">
        <v>151.68</v>
      </c>
      <c r="H308" s="17">
        <v>242.69</v>
      </c>
      <c r="I308" s="16">
        <f t="shared" si="16"/>
        <v>174.432</v>
      </c>
      <c r="J308" s="16">
        <f t="shared" si="17"/>
        <v>182.016</v>
      </c>
      <c r="K308" s="16">
        <f t="shared" si="18"/>
        <v>197.184</v>
      </c>
      <c r="L308" s="16">
        <f t="shared" si="19"/>
        <v>212.352</v>
      </c>
    </row>
    <row r="309" spans="2:12">
      <c r="B309" s="12" t="s">
        <v>620</v>
      </c>
      <c r="C309" s="16" t="s">
        <v>621</v>
      </c>
      <c r="D309" s="16" t="s">
        <v>621</v>
      </c>
      <c r="E309" s="16" t="s">
        <v>621</v>
      </c>
      <c r="F309" s="16" t="s">
        <v>621</v>
      </c>
      <c r="G309">
        <v>339.24</v>
      </c>
      <c r="H309" s="17">
        <v>542.78</v>
      </c>
      <c r="I309" s="16">
        <f t="shared" si="16"/>
        <v>390.126</v>
      </c>
      <c r="J309" s="16">
        <f t="shared" si="17"/>
        <v>407.088</v>
      </c>
      <c r="K309" s="16">
        <f t="shared" si="18"/>
        <v>441.012</v>
      </c>
      <c r="L309" s="16">
        <f t="shared" si="19"/>
        <v>474.936</v>
      </c>
    </row>
    <row r="310" spans="2:12">
      <c r="B310" s="12" t="s">
        <v>622</v>
      </c>
      <c r="C310" s="16" t="s">
        <v>623</v>
      </c>
      <c r="D310" s="16" t="s">
        <v>623</v>
      </c>
      <c r="E310" s="16" t="s">
        <v>623</v>
      </c>
      <c r="F310" s="16" t="s">
        <v>623</v>
      </c>
      <c r="G310">
        <v>272.41</v>
      </c>
      <c r="H310" s="17">
        <v>439.37</v>
      </c>
      <c r="I310" s="16">
        <f t="shared" si="16"/>
        <v>313.2715</v>
      </c>
      <c r="J310" s="16">
        <f t="shared" si="17"/>
        <v>326.892</v>
      </c>
      <c r="K310" s="16">
        <f t="shared" si="18"/>
        <v>354.133</v>
      </c>
      <c r="L310" s="16">
        <f t="shared" si="19"/>
        <v>381.374</v>
      </c>
    </row>
    <row r="311" spans="2:12">
      <c r="B311" s="12" t="s">
        <v>624</v>
      </c>
      <c r="C311" s="16" t="s">
        <v>625</v>
      </c>
      <c r="D311" s="16" t="s">
        <v>625</v>
      </c>
      <c r="E311" s="16" t="s">
        <v>625</v>
      </c>
      <c r="F311" s="16" t="s">
        <v>625</v>
      </c>
      <c r="G311">
        <v>19.7</v>
      </c>
      <c r="H311" s="17">
        <v>31.76</v>
      </c>
      <c r="I311" s="16">
        <f t="shared" si="16"/>
        <v>22.655</v>
      </c>
      <c r="J311" s="16">
        <f t="shared" si="17"/>
        <v>23.64</v>
      </c>
      <c r="K311" s="16">
        <f t="shared" si="18"/>
        <v>25.61</v>
      </c>
      <c r="L311" s="16">
        <f t="shared" si="19"/>
        <v>27.58</v>
      </c>
    </row>
    <row r="312" spans="2:12">
      <c r="B312" s="12" t="s">
        <v>626</v>
      </c>
      <c r="C312" s="16" t="s">
        <v>627</v>
      </c>
      <c r="D312" s="16" t="s">
        <v>627</v>
      </c>
      <c r="E312" s="16" t="s">
        <v>627</v>
      </c>
      <c r="F312" s="16" t="s">
        <v>627</v>
      </c>
      <c r="G312">
        <v>272.41</v>
      </c>
      <c r="H312" s="17">
        <v>439.37</v>
      </c>
      <c r="I312" s="16">
        <f t="shared" si="16"/>
        <v>313.2715</v>
      </c>
      <c r="J312" s="16">
        <f t="shared" si="17"/>
        <v>326.892</v>
      </c>
      <c r="K312" s="16">
        <f t="shared" si="18"/>
        <v>354.133</v>
      </c>
      <c r="L312" s="16">
        <f t="shared" si="19"/>
        <v>381.374</v>
      </c>
    </row>
    <row r="313" spans="2:12">
      <c r="B313" s="12" t="s">
        <v>628</v>
      </c>
      <c r="C313" s="16" t="s">
        <v>629</v>
      </c>
      <c r="D313" s="16" t="s">
        <v>629</v>
      </c>
      <c r="E313" s="16" t="s">
        <v>629</v>
      </c>
      <c r="F313" s="16" t="s">
        <v>629</v>
      </c>
      <c r="G313">
        <v>257.97</v>
      </c>
      <c r="H313" s="17">
        <v>412.74</v>
      </c>
      <c r="I313" s="16">
        <f t="shared" si="16"/>
        <v>296.6655</v>
      </c>
      <c r="J313" s="16">
        <f t="shared" si="17"/>
        <v>309.564</v>
      </c>
      <c r="K313" s="16">
        <f t="shared" si="18"/>
        <v>335.361</v>
      </c>
      <c r="L313" s="16">
        <f t="shared" si="19"/>
        <v>361.158</v>
      </c>
    </row>
    <row r="314" spans="2:12">
      <c r="B314" s="12" t="s">
        <v>630</v>
      </c>
      <c r="C314" s="16" t="s">
        <v>631</v>
      </c>
      <c r="D314" s="16" t="s">
        <v>631</v>
      </c>
      <c r="E314" s="16" t="s">
        <v>631</v>
      </c>
      <c r="F314" s="16" t="s">
        <v>631</v>
      </c>
      <c r="G314">
        <v>119.1</v>
      </c>
      <c r="H314" s="17">
        <v>190.56</v>
      </c>
      <c r="I314" s="16">
        <f t="shared" si="16"/>
        <v>136.965</v>
      </c>
      <c r="J314" s="16">
        <f t="shared" si="17"/>
        <v>142.92</v>
      </c>
      <c r="K314" s="16">
        <f t="shared" si="18"/>
        <v>154.83</v>
      </c>
      <c r="L314" s="16">
        <f t="shared" si="19"/>
        <v>166.74</v>
      </c>
    </row>
    <row r="315" spans="2:12">
      <c r="B315" s="12" t="s">
        <v>632</v>
      </c>
      <c r="C315" s="16" t="s">
        <v>633</v>
      </c>
      <c r="D315" s="16" t="s">
        <v>633</v>
      </c>
      <c r="E315" s="16" t="s">
        <v>633</v>
      </c>
      <c r="F315" s="16" t="s">
        <v>633</v>
      </c>
      <c r="G315">
        <v>86.4</v>
      </c>
      <c r="H315" s="17">
        <v>139.35</v>
      </c>
      <c r="I315" s="16">
        <f t="shared" si="16"/>
        <v>99.36</v>
      </c>
      <c r="J315" s="16">
        <f t="shared" si="17"/>
        <v>103.68</v>
      </c>
      <c r="K315" s="16">
        <f t="shared" si="18"/>
        <v>112.32</v>
      </c>
      <c r="L315" s="16">
        <f t="shared" si="19"/>
        <v>120.96</v>
      </c>
    </row>
    <row r="316" spans="2:12">
      <c r="B316" s="12" t="s">
        <v>634</v>
      </c>
      <c r="C316" s="16" t="s">
        <v>635</v>
      </c>
      <c r="D316" s="16" t="s">
        <v>635</v>
      </c>
      <c r="E316" s="16" t="s">
        <v>635</v>
      </c>
      <c r="F316" s="16" t="s">
        <v>635</v>
      </c>
      <c r="G316">
        <v>119.81</v>
      </c>
      <c r="H316" s="17">
        <v>208.35</v>
      </c>
      <c r="I316" s="16">
        <f t="shared" si="16"/>
        <v>137.7815</v>
      </c>
      <c r="J316" s="16">
        <f t="shared" si="17"/>
        <v>143.772</v>
      </c>
      <c r="K316" s="16">
        <f t="shared" si="18"/>
        <v>155.753</v>
      </c>
      <c r="L316" s="16">
        <f t="shared" si="19"/>
        <v>167.734</v>
      </c>
    </row>
    <row r="317" spans="2:12">
      <c r="B317" s="12" t="s">
        <v>636</v>
      </c>
      <c r="C317" s="16" t="s">
        <v>637</v>
      </c>
      <c r="D317" s="16" t="s">
        <v>637</v>
      </c>
      <c r="E317" s="16" t="s">
        <v>637</v>
      </c>
      <c r="F317" s="16" t="s">
        <v>637</v>
      </c>
      <c r="G317">
        <v>2.75</v>
      </c>
      <c r="H317" s="17">
        <v>4.39</v>
      </c>
      <c r="I317" s="16">
        <f t="shared" si="16"/>
        <v>3.1625</v>
      </c>
      <c r="J317" s="16">
        <f t="shared" si="17"/>
        <v>3.3</v>
      </c>
      <c r="K317" s="16">
        <f t="shared" si="18"/>
        <v>3.575</v>
      </c>
      <c r="L317" s="16">
        <f t="shared" si="19"/>
        <v>3.85</v>
      </c>
    </row>
    <row r="318" spans="2:12">
      <c r="B318" s="12" t="s">
        <v>638</v>
      </c>
      <c r="C318" s="16" t="s">
        <v>639</v>
      </c>
      <c r="D318" s="16" t="s">
        <v>639</v>
      </c>
      <c r="E318" s="16" t="s">
        <v>639</v>
      </c>
      <c r="F318" s="16" t="s">
        <v>639</v>
      </c>
      <c r="G318">
        <v>12.61</v>
      </c>
      <c r="H318" s="17">
        <v>20.17</v>
      </c>
      <c r="I318" s="16">
        <f t="shared" si="16"/>
        <v>14.5015</v>
      </c>
      <c r="J318" s="16">
        <f t="shared" si="17"/>
        <v>15.132</v>
      </c>
      <c r="K318" s="16">
        <f t="shared" si="18"/>
        <v>16.393</v>
      </c>
      <c r="L318" s="16">
        <f t="shared" si="19"/>
        <v>17.654</v>
      </c>
    </row>
    <row r="319" spans="2:12">
      <c r="B319" s="12" t="s">
        <v>640</v>
      </c>
      <c r="C319" s="16" t="s">
        <v>641</v>
      </c>
      <c r="D319" s="16" t="s">
        <v>641</v>
      </c>
      <c r="E319" s="16" t="s">
        <v>641</v>
      </c>
      <c r="F319" s="16" t="s">
        <v>641</v>
      </c>
      <c r="G319">
        <v>9.08</v>
      </c>
      <c r="H319" s="17">
        <v>14.53</v>
      </c>
      <c r="I319" s="16">
        <f t="shared" si="16"/>
        <v>10.442</v>
      </c>
      <c r="J319" s="16">
        <f t="shared" si="17"/>
        <v>10.896</v>
      </c>
      <c r="K319" s="16">
        <f t="shared" si="18"/>
        <v>11.804</v>
      </c>
      <c r="L319" s="16">
        <f t="shared" si="19"/>
        <v>12.712</v>
      </c>
    </row>
    <row r="320" spans="2:12">
      <c r="B320" s="12" t="s">
        <v>642</v>
      </c>
      <c r="C320" s="16" t="s">
        <v>643</v>
      </c>
      <c r="D320" s="16" t="s">
        <v>643</v>
      </c>
      <c r="E320" s="16" t="s">
        <v>643</v>
      </c>
      <c r="F320" s="16" t="s">
        <v>643</v>
      </c>
      <c r="G320">
        <v>5.91</v>
      </c>
      <c r="H320" s="17">
        <v>9.46</v>
      </c>
      <c r="I320" s="16">
        <f t="shared" si="16"/>
        <v>6.7965</v>
      </c>
      <c r="J320" s="16">
        <f t="shared" si="17"/>
        <v>7.092</v>
      </c>
      <c r="K320" s="16">
        <f t="shared" si="18"/>
        <v>7.683</v>
      </c>
      <c r="L320" s="16">
        <f t="shared" si="19"/>
        <v>8.274</v>
      </c>
    </row>
    <row r="321" spans="2:12">
      <c r="B321" s="12" t="s">
        <v>644</v>
      </c>
      <c r="C321" s="16" t="s">
        <v>645</v>
      </c>
      <c r="D321" s="16" t="s">
        <v>645</v>
      </c>
      <c r="E321" s="16" t="s">
        <v>645</v>
      </c>
      <c r="F321" s="16" t="s">
        <v>645</v>
      </c>
      <c r="G321">
        <v>6.85</v>
      </c>
      <c r="H321" s="17">
        <v>10.95</v>
      </c>
      <c r="I321" s="16">
        <f t="shared" si="16"/>
        <v>7.8775</v>
      </c>
      <c r="J321" s="16">
        <f t="shared" si="17"/>
        <v>8.22</v>
      </c>
      <c r="K321" s="16">
        <f t="shared" si="18"/>
        <v>8.905</v>
      </c>
      <c r="L321" s="16">
        <f t="shared" si="19"/>
        <v>9.59</v>
      </c>
    </row>
    <row r="322" spans="2:12">
      <c r="B322" s="12" t="s">
        <v>646</v>
      </c>
      <c r="C322" s="16" t="s">
        <v>647</v>
      </c>
      <c r="D322" s="16" t="s">
        <v>647</v>
      </c>
      <c r="E322" s="16" t="s">
        <v>647</v>
      </c>
      <c r="F322" s="16" t="s">
        <v>647</v>
      </c>
      <c r="G322">
        <v>8.65</v>
      </c>
      <c r="H322" s="17">
        <v>13.84</v>
      </c>
      <c r="I322" s="16">
        <f t="shared" ref="I322:I385" si="20">G322*1.15</f>
        <v>9.9475</v>
      </c>
      <c r="J322" s="16">
        <f t="shared" ref="J322:J385" si="21">G322*1.2</f>
        <v>10.38</v>
      </c>
      <c r="K322" s="16">
        <f t="shared" ref="K322:K385" si="22">G322*1.3</f>
        <v>11.245</v>
      </c>
      <c r="L322" s="16">
        <f t="shared" ref="L322:L385" si="23">G322*1.4</f>
        <v>12.11</v>
      </c>
    </row>
    <row r="323" spans="2:12">
      <c r="B323" s="12" t="s">
        <v>648</v>
      </c>
      <c r="C323" s="16" t="s">
        <v>649</v>
      </c>
      <c r="D323" s="16" t="s">
        <v>649</v>
      </c>
      <c r="E323" s="16" t="s">
        <v>649</v>
      </c>
      <c r="F323" s="16" t="s">
        <v>649</v>
      </c>
      <c r="G323">
        <v>9.67</v>
      </c>
      <c r="H323" s="17">
        <v>15.46</v>
      </c>
      <c r="I323" s="16">
        <f t="shared" si="20"/>
        <v>11.1205</v>
      </c>
      <c r="J323" s="16">
        <f t="shared" si="21"/>
        <v>11.604</v>
      </c>
      <c r="K323" s="16">
        <f t="shared" si="22"/>
        <v>12.571</v>
      </c>
      <c r="L323" s="16">
        <f t="shared" si="23"/>
        <v>13.538</v>
      </c>
    </row>
    <row r="324" spans="2:12">
      <c r="B324" s="12" t="s">
        <v>650</v>
      </c>
      <c r="C324" s="16" t="s">
        <v>651</v>
      </c>
      <c r="D324" s="16" t="s">
        <v>651</v>
      </c>
      <c r="E324" s="16" t="s">
        <v>651</v>
      </c>
      <c r="F324" s="16" t="s">
        <v>651</v>
      </c>
      <c r="G324">
        <v>10.64</v>
      </c>
      <c r="H324" s="17">
        <v>17.03</v>
      </c>
      <c r="I324" s="16">
        <f t="shared" si="20"/>
        <v>12.236</v>
      </c>
      <c r="J324" s="16">
        <f t="shared" si="21"/>
        <v>12.768</v>
      </c>
      <c r="K324" s="16">
        <f t="shared" si="22"/>
        <v>13.832</v>
      </c>
      <c r="L324" s="16">
        <f t="shared" si="23"/>
        <v>14.896</v>
      </c>
    </row>
    <row r="325" spans="2:12">
      <c r="B325" s="12" t="s">
        <v>652</v>
      </c>
      <c r="C325" s="16" t="s">
        <v>653</v>
      </c>
      <c r="D325" s="16" t="s">
        <v>653</v>
      </c>
      <c r="E325" s="16" t="s">
        <v>653</v>
      </c>
      <c r="F325" s="16" t="s">
        <v>653</v>
      </c>
      <c r="G325">
        <v>13.2</v>
      </c>
      <c r="H325" s="17">
        <v>21.12</v>
      </c>
      <c r="I325" s="16">
        <f t="shared" si="20"/>
        <v>15.18</v>
      </c>
      <c r="J325" s="16">
        <f t="shared" si="21"/>
        <v>15.84</v>
      </c>
      <c r="K325" s="16">
        <f t="shared" si="22"/>
        <v>17.16</v>
      </c>
      <c r="L325" s="16">
        <f t="shared" si="23"/>
        <v>18.48</v>
      </c>
    </row>
    <row r="326" spans="2:12">
      <c r="B326" s="12" t="s">
        <v>654</v>
      </c>
      <c r="C326" s="16" t="s">
        <v>655</v>
      </c>
      <c r="D326" s="16" t="s">
        <v>655</v>
      </c>
      <c r="E326" s="16" t="s">
        <v>655</v>
      </c>
      <c r="F326" s="16" t="s">
        <v>655</v>
      </c>
      <c r="G326">
        <v>18.04</v>
      </c>
      <c r="H326" s="17">
        <v>28.87</v>
      </c>
      <c r="I326" s="16">
        <f t="shared" si="20"/>
        <v>20.746</v>
      </c>
      <c r="J326" s="16">
        <f t="shared" si="21"/>
        <v>21.648</v>
      </c>
      <c r="K326" s="16">
        <f t="shared" si="22"/>
        <v>23.452</v>
      </c>
      <c r="L326" s="16">
        <f t="shared" si="23"/>
        <v>25.256</v>
      </c>
    </row>
    <row r="327" spans="2:12">
      <c r="B327" s="12" t="s">
        <v>656</v>
      </c>
      <c r="C327" s="16" t="s">
        <v>657</v>
      </c>
      <c r="D327" s="16" t="s">
        <v>657</v>
      </c>
      <c r="E327" s="16" t="s">
        <v>657</v>
      </c>
      <c r="F327" s="16" t="s">
        <v>657</v>
      </c>
      <c r="G327">
        <v>30.13</v>
      </c>
      <c r="H327" s="17">
        <v>48.21</v>
      </c>
      <c r="I327" s="16">
        <f t="shared" si="20"/>
        <v>34.6495</v>
      </c>
      <c r="J327" s="16">
        <f t="shared" si="21"/>
        <v>36.156</v>
      </c>
      <c r="K327" s="16">
        <f t="shared" si="22"/>
        <v>39.169</v>
      </c>
      <c r="L327" s="16">
        <f t="shared" si="23"/>
        <v>42.182</v>
      </c>
    </row>
    <row r="328" spans="2:12">
      <c r="B328" s="12" t="s">
        <v>658</v>
      </c>
      <c r="C328" s="16" t="s">
        <v>659</v>
      </c>
      <c r="D328" s="16" t="s">
        <v>659</v>
      </c>
      <c r="E328" s="16" t="s">
        <v>659</v>
      </c>
      <c r="F328" s="16" t="s">
        <v>659</v>
      </c>
      <c r="G328">
        <v>105.31</v>
      </c>
      <c r="H328" s="17">
        <v>168.5</v>
      </c>
      <c r="I328" s="16">
        <f t="shared" si="20"/>
        <v>121.1065</v>
      </c>
      <c r="J328" s="16">
        <f t="shared" si="21"/>
        <v>126.372</v>
      </c>
      <c r="K328" s="16">
        <f t="shared" si="22"/>
        <v>136.903</v>
      </c>
      <c r="L328" s="16">
        <f t="shared" si="23"/>
        <v>147.434</v>
      </c>
    </row>
    <row r="329" spans="2:12">
      <c r="B329" s="12" t="s">
        <v>660</v>
      </c>
      <c r="C329" s="16" t="s">
        <v>661</v>
      </c>
      <c r="D329" s="16" t="s">
        <v>661</v>
      </c>
      <c r="E329" s="16" t="s">
        <v>661</v>
      </c>
      <c r="F329" s="16" t="s">
        <v>661</v>
      </c>
      <c r="G329">
        <v>7.72</v>
      </c>
      <c r="H329" s="17">
        <v>12.36</v>
      </c>
      <c r="I329" s="16">
        <f t="shared" si="20"/>
        <v>8.878</v>
      </c>
      <c r="J329" s="16">
        <f t="shared" si="21"/>
        <v>9.264</v>
      </c>
      <c r="K329" s="16">
        <f t="shared" si="22"/>
        <v>10.036</v>
      </c>
      <c r="L329" s="16">
        <f t="shared" si="23"/>
        <v>10.808</v>
      </c>
    </row>
    <row r="330" spans="2:12">
      <c r="B330" s="12" t="s">
        <v>662</v>
      </c>
      <c r="C330" s="16" t="s">
        <v>663</v>
      </c>
      <c r="D330" s="16" t="s">
        <v>663</v>
      </c>
      <c r="E330" s="16" t="s">
        <v>663</v>
      </c>
      <c r="F330" s="16" t="s">
        <v>663</v>
      </c>
      <c r="G330">
        <v>7.72</v>
      </c>
      <c r="H330" s="17">
        <v>12.36</v>
      </c>
      <c r="I330" s="16">
        <f t="shared" si="20"/>
        <v>8.878</v>
      </c>
      <c r="J330" s="16">
        <f t="shared" si="21"/>
        <v>9.264</v>
      </c>
      <c r="K330" s="16">
        <f t="shared" si="22"/>
        <v>10.036</v>
      </c>
      <c r="L330" s="16">
        <f t="shared" si="23"/>
        <v>10.808</v>
      </c>
    </row>
    <row r="331" spans="2:12">
      <c r="B331" s="12" t="s">
        <v>664</v>
      </c>
      <c r="C331" s="16" t="s">
        <v>665</v>
      </c>
      <c r="D331" s="16" t="s">
        <v>665</v>
      </c>
      <c r="E331" s="16" t="s">
        <v>665</v>
      </c>
      <c r="F331" s="16" t="s">
        <v>665</v>
      </c>
      <c r="G331">
        <v>7.72</v>
      </c>
      <c r="H331" s="17">
        <v>12.36</v>
      </c>
      <c r="I331" s="16">
        <f t="shared" si="20"/>
        <v>8.878</v>
      </c>
      <c r="J331" s="16">
        <f t="shared" si="21"/>
        <v>9.264</v>
      </c>
      <c r="K331" s="16">
        <f t="shared" si="22"/>
        <v>10.036</v>
      </c>
      <c r="L331" s="16">
        <f t="shared" si="23"/>
        <v>10.808</v>
      </c>
    </row>
    <row r="332" spans="2:12">
      <c r="B332" s="12" t="s">
        <v>666</v>
      </c>
      <c r="C332" s="16" t="s">
        <v>667</v>
      </c>
      <c r="D332" s="16" t="s">
        <v>667</v>
      </c>
      <c r="E332" s="16" t="s">
        <v>667</v>
      </c>
      <c r="F332" s="16" t="s">
        <v>667</v>
      </c>
      <c r="G332">
        <v>7.72</v>
      </c>
      <c r="H332" s="17">
        <v>12.36</v>
      </c>
      <c r="I332" s="16">
        <f t="shared" si="20"/>
        <v>8.878</v>
      </c>
      <c r="J332" s="16">
        <f t="shared" si="21"/>
        <v>9.264</v>
      </c>
      <c r="K332" s="16">
        <f t="shared" si="22"/>
        <v>10.036</v>
      </c>
      <c r="L332" s="16">
        <f t="shared" si="23"/>
        <v>10.808</v>
      </c>
    </row>
    <row r="333" spans="2:12">
      <c r="B333" s="12" t="s">
        <v>668</v>
      </c>
      <c r="C333" s="16" t="s">
        <v>669</v>
      </c>
      <c r="D333" s="16" t="s">
        <v>669</v>
      </c>
      <c r="E333" s="16" t="s">
        <v>669</v>
      </c>
      <c r="F333" s="16" t="s">
        <v>669</v>
      </c>
      <c r="G333">
        <v>7.72</v>
      </c>
      <c r="H333" s="17">
        <v>12.36</v>
      </c>
      <c r="I333" s="16">
        <f t="shared" si="20"/>
        <v>8.878</v>
      </c>
      <c r="J333" s="16">
        <f t="shared" si="21"/>
        <v>9.264</v>
      </c>
      <c r="K333" s="16">
        <f t="shared" si="22"/>
        <v>10.036</v>
      </c>
      <c r="L333" s="16">
        <f t="shared" si="23"/>
        <v>10.808</v>
      </c>
    </row>
    <row r="334" spans="2:12">
      <c r="B334" s="12" t="s">
        <v>670</v>
      </c>
      <c r="C334" s="16" t="s">
        <v>671</v>
      </c>
      <c r="D334" s="16" t="s">
        <v>671</v>
      </c>
      <c r="E334" s="16" t="s">
        <v>671</v>
      </c>
      <c r="F334" s="16" t="s">
        <v>671</v>
      </c>
      <c r="G334">
        <v>7.72</v>
      </c>
      <c r="H334" s="17">
        <v>12.36</v>
      </c>
      <c r="I334" s="16">
        <f t="shared" si="20"/>
        <v>8.878</v>
      </c>
      <c r="J334" s="16">
        <f t="shared" si="21"/>
        <v>9.264</v>
      </c>
      <c r="K334" s="16">
        <f t="shared" si="22"/>
        <v>10.036</v>
      </c>
      <c r="L334" s="16">
        <f t="shared" si="23"/>
        <v>10.808</v>
      </c>
    </row>
    <row r="335" spans="2:12">
      <c r="B335" s="12" t="s">
        <v>672</v>
      </c>
      <c r="C335" s="16" t="s">
        <v>673</v>
      </c>
      <c r="D335" s="16" t="s">
        <v>673</v>
      </c>
      <c r="E335" s="16" t="s">
        <v>673</v>
      </c>
      <c r="F335" s="16" t="s">
        <v>673</v>
      </c>
      <c r="G335">
        <v>7.72</v>
      </c>
      <c r="H335" s="17">
        <v>12.36</v>
      </c>
      <c r="I335" s="16">
        <f t="shared" si="20"/>
        <v>8.878</v>
      </c>
      <c r="J335" s="16">
        <f t="shared" si="21"/>
        <v>9.264</v>
      </c>
      <c r="K335" s="16">
        <f t="shared" si="22"/>
        <v>10.036</v>
      </c>
      <c r="L335" s="16">
        <f t="shared" si="23"/>
        <v>10.808</v>
      </c>
    </row>
    <row r="336" spans="2:12">
      <c r="B336" s="12" t="s">
        <v>674</v>
      </c>
      <c r="C336" s="16" t="s">
        <v>675</v>
      </c>
      <c r="D336" s="16" t="s">
        <v>675</v>
      </c>
      <c r="E336" s="16" t="s">
        <v>675</v>
      </c>
      <c r="F336" s="16" t="s">
        <v>675</v>
      </c>
      <c r="G336">
        <v>7.72</v>
      </c>
      <c r="H336" s="17">
        <v>12.36</v>
      </c>
      <c r="I336" s="16">
        <f t="shared" si="20"/>
        <v>8.878</v>
      </c>
      <c r="J336" s="16">
        <f t="shared" si="21"/>
        <v>9.264</v>
      </c>
      <c r="K336" s="16">
        <f t="shared" si="22"/>
        <v>10.036</v>
      </c>
      <c r="L336" s="16">
        <f t="shared" si="23"/>
        <v>10.808</v>
      </c>
    </row>
    <row r="337" spans="2:12">
      <c r="B337" s="12" t="s">
        <v>676</v>
      </c>
      <c r="C337" s="16" t="s">
        <v>677</v>
      </c>
      <c r="D337" s="16" t="s">
        <v>677</v>
      </c>
      <c r="E337" s="16" t="s">
        <v>677</v>
      </c>
      <c r="F337" s="16" t="s">
        <v>677</v>
      </c>
      <c r="G337">
        <v>7.72</v>
      </c>
      <c r="H337" s="17">
        <v>12.36</v>
      </c>
      <c r="I337" s="16">
        <f t="shared" si="20"/>
        <v>8.878</v>
      </c>
      <c r="J337" s="16">
        <f t="shared" si="21"/>
        <v>9.264</v>
      </c>
      <c r="K337" s="16">
        <f t="shared" si="22"/>
        <v>10.036</v>
      </c>
      <c r="L337" s="16">
        <f t="shared" si="23"/>
        <v>10.808</v>
      </c>
    </row>
    <row r="338" spans="2:12">
      <c r="B338" s="12" t="s">
        <v>678</v>
      </c>
      <c r="C338" s="16" t="s">
        <v>679</v>
      </c>
      <c r="D338" s="16" t="s">
        <v>679</v>
      </c>
      <c r="E338" s="16" t="s">
        <v>679</v>
      </c>
      <c r="F338" s="16" t="s">
        <v>679</v>
      </c>
      <c r="G338">
        <v>7.72</v>
      </c>
      <c r="H338" s="17">
        <v>12.36</v>
      </c>
      <c r="I338" s="16">
        <f t="shared" si="20"/>
        <v>8.878</v>
      </c>
      <c r="J338" s="16">
        <f t="shared" si="21"/>
        <v>9.264</v>
      </c>
      <c r="K338" s="16">
        <f t="shared" si="22"/>
        <v>10.036</v>
      </c>
      <c r="L338" s="16">
        <f t="shared" si="23"/>
        <v>10.808</v>
      </c>
    </row>
    <row r="339" spans="2:12">
      <c r="B339" s="12" t="s">
        <v>680</v>
      </c>
      <c r="C339" s="16" t="s">
        <v>681</v>
      </c>
      <c r="D339" s="16" t="s">
        <v>681</v>
      </c>
      <c r="E339" s="16" t="s">
        <v>681</v>
      </c>
      <c r="F339" s="16" t="s">
        <v>681</v>
      </c>
      <c r="G339">
        <v>7.72</v>
      </c>
      <c r="H339" s="17">
        <v>12.36</v>
      </c>
      <c r="I339" s="16">
        <f t="shared" si="20"/>
        <v>8.878</v>
      </c>
      <c r="J339" s="16">
        <f t="shared" si="21"/>
        <v>9.264</v>
      </c>
      <c r="K339" s="16">
        <f t="shared" si="22"/>
        <v>10.036</v>
      </c>
      <c r="L339" s="16">
        <f t="shared" si="23"/>
        <v>10.808</v>
      </c>
    </row>
    <row r="340" spans="2:12">
      <c r="B340" s="12" t="s">
        <v>682</v>
      </c>
      <c r="C340" s="16" t="s">
        <v>683</v>
      </c>
      <c r="D340" s="16" t="s">
        <v>683</v>
      </c>
      <c r="E340" s="16" t="s">
        <v>683</v>
      </c>
      <c r="F340" s="16" t="s">
        <v>683</v>
      </c>
      <c r="G340">
        <v>147.24</v>
      </c>
      <c r="H340" s="17">
        <v>235.59</v>
      </c>
      <c r="I340" s="16">
        <f t="shared" si="20"/>
        <v>169.326</v>
      </c>
      <c r="J340" s="16">
        <f t="shared" si="21"/>
        <v>176.688</v>
      </c>
      <c r="K340" s="16">
        <f t="shared" si="22"/>
        <v>191.412</v>
      </c>
      <c r="L340" s="16">
        <f t="shared" si="23"/>
        <v>206.136</v>
      </c>
    </row>
    <row r="341" spans="2:12">
      <c r="B341" s="12" t="s">
        <v>684</v>
      </c>
      <c r="C341" s="16" t="s">
        <v>685</v>
      </c>
      <c r="D341" s="16" t="s">
        <v>685</v>
      </c>
      <c r="E341" s="16" t="s">
        <v>685</v>
      </c>
      <c r="F341" s="16" t="s">
        <v>685</v>
      </c>
      <c r="G341">
        <v>17.39</v>
      </c>
      <c r="H341" s="17">
        <v>27.82</v>
      </c>
      <c r="I341" s="16">
        <f t="shared" si="20"/>
        <v>19.9985</v>
      </c>
      <c r="J341" s="16">
        <f t="shared" si="21"/>
        <v>20.868</v>
      </c>
      <c r="K341" s="16">
        <f t="shared" si="22"/>
        <v>22.607</v>
      </c>
      <c r="L341" s="16">
        <f t="shared" si="23"/>
        <v>24.346</v>
      </c>
    </row>
    <row r="342" spans="2:12">
      <c r="B342" s="12" t="s">
        <v>686</v>
      </c>
      <c r="C342" s="16" t="s">
        <v>687</v>
      </c>
      <c r="D342" s="16" t="s">
        <v>687</v>
      </c>
      <c r="E342" s="16" t="s">
        <v>687</v>
      </c>
      <c r="F342" s="16" t="s">
        <v>687</v>
      </c>
      <c r="G342">
        <v>18.4</v>
      </c>
      <c r="H342" s="17">
        <v>29.43</v>
      </c>
      <c r="I342" s="16">
        <f t="shared" si="20"/>
        <v>21.16</v>
      </c>
      <c r="J342" s="16">
        <f t="shared" si="21"/>
        <v>22.08</v>
      </c>
      <c r="K342" s="16">
        <f t="shared" si="22"/>
        <v>23.92</v>
      </c>
      <c r="L342" s="16">
        <f t="shared" si="23"/>
        <v>25.76</v>
      </c>
    </row>
    <row r="343" spans="2:12">
      <c r="B343" s="12" t="s">
        <v>688</v>
      </c>
      <c r="C343" s="16" t="s">
        <v>689</v>
      </c>
      <c r="D343" s="16" t="s">
        <v>689</v>
      </c>
      <c r="E343" s="16" t="s">
        <v>689</v>
      </c>
      <c r="F343" s="16" t="s">
        <v>689</v>
      </c>
      <c r="G343">
        <v>20.18</v>
      </c>
      <c r="H343" s="17">
        <v>32.28</v>
      </c>
      <c r="I343" s="16">
        <f t="shared" si="20"/>
        <v>23.207</v>
      </c>
      <c r="J343" s="16">
        <f t="shared" si="21"/>
        <v>24.216</v>
      </c>
      <c r="K343" s="16">
        <f t="shared" si="22"/>
        <v>26.234</v>
      </c>
      <c r="L343" s="16">
        <f t="shared" si="23"/>
        <v>28.252</v>
      </c>
    </row>
    <row r="344" spans="2:12">
      <c r="B344" s="12" t="s">
        <v>690</v>
      </c>
      <c r="C344" s="16" t="s">
        <v>691</v>
      </c>
      <c r="D344" s="16" t="s">
        <v>691</v>
      </c>
      <c r="E344" s="16" t="s">
        <v>691</v>
      </c>
      <c r="F344" s="16" t="s">
        <v>691</v>
      </c>
      <c r="G344">
        <v>26.71</v>
      </c>
      <c r="H344" s="17">
        <v>42.74</v>
      </c>
      <c r="I344" s="16">
        <f t="shared" si="20"/>
        <v>30.7165</v>
      </c>
      <c r="J344" s="16">
        <f t="shared" si="21"/>
        <v>32.052</v>
      </c>
      <c r="K344" s="16">
        <f t="shared" si="22"/>
        <v>34.723</v>
      </c>
      <c r="L344" s="16">
        <f t="shared" si="23"/>
        <v>37.394</v>
      </c>
    </row>
    <row r="345" spans="2:12">
      <c r="B345" s="12" t="s">
        <v>692</v>
      </c>
      <c r="C345" s="16" t="s">
        <v>693</v>
      </c>
      <c r="D345" s="16" t="s">
        <v>693</v>
      </c>
      <c r="E345" s="16" t="s">
        <v>693</v>
      </c>
      <c r="F345" s="16" t="s">
        <v>693</v>
      </c>
      <c r="G345">
        <v>27.54</v>
      </c>
      <c r="H345" s="17">
        <v>44.42</v>
      </c>
      <c r="I345" s="16">
        <f t="shared" si="20"/>
        <v>31.671</v>
      </c>
      <c r="J345" s="16">
        <f t="shared" si="21"/>
        <v>33.048</v>
      </c>
      <c r="K345" s="16">
        <f t="shared" si="22"/>
        <v>35.802</v>
      </c>
      <c r="L345" s="16">
        <f t="shared" si="23"/>
        <v>38.556</v>
      </c>
    </row>
    <row r="346" spans="2:12">
      <c r="B346" s="12" t="s">
        <v>694</v>
      </c>
      <c r="C346" s="16" t="s">
        <v>695</v>
      </c>
      <c r="D346" s="16" t="s">
        <v>695</v>
      </c>
      <c r="E346" s="16" t="s">
        <v>695</v>
      </c>
      <c r="F346" s="16" t="s">
        <v>695</v>
      </c>
      <c r="G346">
        <v>25.87</v>
      </c>
      <c r="H346" s="17">
        <v>41.73</v>
      </c>
      <c r="I346" s="16">
        <f t="shared" si="20"/>
        <v>29.7505</v>
      </c>
      <c r="J346" s="16">
        <f t="shared" si="21"/>
        <v>31.044</v>
      </c>
      <c r="K346" s="16">
        <f t="shared" si="22"/>
        <v>33.631</v>
      </c>
      <c r="L346" s="16">
        <f t="shared" si="23"/>
        <v>36.218</v>
      </c>
    </row>
    <row r="347" spans="2:12">
      <c r="B347" s="12" t="s">
        <v>696</v>
      </c>
      <c r="C347" s="16" t="s">
        <v>697</v>
      </c>
      <c r="D347" s="16" t="s">
        <v>697</v>
      </c>
      <c r="E347" s="16" t="s">
        <v>697</v>
      </c>
      <c r="F347" s="16" t="s">
        <v>697</v>
      </c>
      <c r="G347">
        <v>29.98</v>
      </c>
      <c r="H347" s="17">
        <v>48.35</v>
      </c>
      <c r="I347" s="16">
        <f t="shared" si="20"/>
        <v>34.477</v>
      </c>
      <c r="J347" s="16">
        <f t="shared" si="21"/>
        <v>35.976</v>
      </c>
      <c r="K347" s="16">
        <f t="shared" si="22"/>
        <v>38.974</v>
      </c>
      <c r="L347" s="16">
        <f t="shared" si="23"/>
        <v>41.972</v>
      </c>
    </row>
    <row r="348" spans="2:12">
      <c r="B348" s="12" t="s">
        <v>698</v>
      </c>
      <c r="C348" s="16" t="s">
        <v>699</v>
      </c>
      <c r="D348" s="16" t="s">
        <v>699</v>
      </c>
      <c r="E348" s="16" t="s">
        <v>699</v>
      </c>
      <c r="F348" s="16" t="s">
        <v>699</v>
      </c>
      <c r="G348">
        <v>34.62</v>
      </c>
      <c r="H348" s="17">
        <v>55.85</v>
      </c>
      <c r="I348" s="16">
        <f t="shared" si="20"/>
        <v>39.813</v>
      </c>
      <c r="J348" s="16">
        <f t="shared" si="21"/>
        <v>41.544</v>
      </c>
      <c r="K348" s="16">
        <f t="shared" si="22"/>
        <v>45.006</v>
      </c>
      <c r="L348" s="16">
        <f t="shared" si="23"/>
        <v>48.468</v>
      </c>
    </row>
    <row r="349" spans="2:12">
      <c r="B349" s="12" t="s">
        <v>700</v>
      </c>
      <c r="C349" s="16" t="s">
        <v>701</v>
      </c>
      <c r="D349" s="16" t="s">
        <v>701</v>
      </c>
      <c r="E349" s="16" t="s">
        <v>701</v>
      </c>
      <c r="F349" s="16" t="s">
        <v>701</v>
      </c>
      <c r="G349">
        <v>256.18</v>
      </c>
      <c r="H349" s="17">
        <v>409.88</v>
      </c>
      <c r="I349" s="16">
        <f t="shared" si="20"/>
        <v>294.607</v>
      </c>
      <c r="J349" s="16">
        <f t="shared" si="21"/>
        <v>307.416</v>
      </c>
      <c r="K349" s="16">
        <f t="shared" si="22"/>
        <v>333.034</v>
      </c>
      <c r="L349" s="16">
        <f t="shared" si="23"/>
        <v>358.652</v>
      </c>
    </row>
    <row r="350" spans="2:12">
      <c r="B350" s="12" t="s">
        <v>702</v>
      </c>
      <c r="C350" s="16" t="s">
        <v>703</v>
      </c>
      <c r="D350" s="16" t="s">
        <v>703</v>
      </c>
      <c r="E350" s="16" t="s">
        <v>703</v>
      </c>
      <c r="F350" s="16" t="s">
        <v>703</v>
      </c>
      <c r="G350">
        <v>256.18</v>
      </c>
      <c r="H350" s="17">
        <v>409.88</v>
      </c>
      <c r="I350" s="16">
        <f t="shared" si="20"/>
        <v>294.607</v>
      </c>
      <c r="J350" s="16">
        <f t="shared" si="21"/>
        <v>307.416</v>
      </c>
      <c r="K350" s="16">
        <f t="shared" si="22"/>
        <v>333.034</v>
      </c>
      <c r="L350" s="16">
        <f t="shared" si="23"/>
        <v>358.652</v>
      </c>
    </row>
    <row r="351" spans="2:12">
      <c r="B351" s="12" t="s">
        <v>704</v>
      </c>
      <c r="C351" s="16" t="s">
        <v>705</v>
      </c>
      <c r="D351" s="16" t="s">
        <v>705</v>
      </c>
      <c r="E351" s="16" t="s">
        <v>705</v>
      </c>
      <c r="F351" s="16" t="s">
        <v>705</v>
      </c>
      <c r="G351">
        <v>384.74</v>
      </c>
      <c r="H351" s="17">
        <v>674.98</v>
      </c>
      <c r="I351" s="16">
        <f t="shared" si="20"/>
        <v>442.451</v>
      </c>
      <c r="J351" s="16">
        <f t="shared" si="21"/>
        <v>461.688</v>
      </c>
      <c r="K351" s="16">
        <f t="shared" si="22"/>
        <v>500.162</v>
      </c>
      <c r="L351" s="16">
        <f t="shared" si="23"/>
        <v>538.636</v>
      </c>
    </row>
    <row r="352" spans="2:12">
      <c r="B352" s="12" t="s">
        <v>706</v>
      </c>
      <c r="C352" s="16" t="s">
        <v>707</v>
      </c>
      <c r="D352" s="16" t="s">
        <v>707</v>
      </c>
      <c r="E352" s="16" t="s">
        <v>707</v>
      </c>
      <c r="F352" s="16" t="s">
        <v>707</v>
      </c>
      <c r="G352">
        <v>384.74</v>
      </c>
      <c r="H352" s="17">
        <v>674.98</v>
      </c>
      <c r="I352" s="16">
        <f t="shared" si="20"/>
        <v>442.451</v>
      </c>
      <c r="J352" s="16">
        <f t="shared" si="21"/>
        <v>461.688</v>
      </c>
      <c r="K352" s="16">
        <f t="shared" si="22"/>
        <v>500.162</v>
      </c>
      <c r="L352" s="16">
        <f t="shared" si="23"/>
        <v>538.636</v>
      </c>
    </row>
    <row r="353" spans="2:12">
      <c r="B353" s="12" t="s">
        <v>708</v>
      </c>
      <c r="C353" s="16" t="s">
        <v>709</v>
      </c>
      <c r="D353" s="16" t="s">
        <v>709</v>
      </c>
      <c r="E353" s="16" t="s">
        <v>709</v>
      </c>
      <c r="F353" s="16" t="s">
        <v>709</v>
      </c>
      <c r="G353">
        <v>384.74</v>
      </c>
      <c r="H353" s="17">
        <v>674.98</v>
      </c>
      <c r="I353" s="16">
        <f t="shared" si="20"/>
        <v>442.451</v>
      </c>
      <c r="J353" s="16">
        <f t="shared" si="21"/>
        <v>461.688</v>
      </c>
      <c r="K353" s="16">
        <f t="shared" si="22"/>
        <v>500.162</v>
      </c>
      <c r="L353" s="16">
        <f t="shared" si="23"/>
        <v>538.636</v>
      </c>
    </row>
    <row r="354" spans="2:12">
      <c r="B354" s="12" t="s">
        <v>710</v>
      </c>
      <c r="C354" s="16" t="s">
        <v>711</v>
      </c>
      <c r="D354" s="16" t="s">
        <v>711</v>
      </c>
      <c r="E354" s="16" t="s">
        <v>711</v>
      </c>
      <c r="F354" s="16" t="s">
        <v>711</v>
      </c>
      <c r="G354">
        <v>384.74</v>
      </c>
      <c r="H354" s="17">
        <v>674.98</v>
      </c>
      <c r="I354" s="16">
        <f t="shared" si="20"/>
        <v>442.451</v>
      </c>
      <c r="J354" s="16">
        <f t="shared" si="21"/>
        <v>461.688</v>
      </c>
      <c r="K354" s="16">
        <f t="shared" si="22"/>
        <v>500.162</v>
      </c>
      <c r="L354" s="16">
        <f t="shared" si="23"/>
        <v>538.636</v>
      </c>
    </row>
    <row r="355" spans="2:12">
      <c r="B355" s="12" t="s">
        <v>712</v>
      </c>
      <c r="C355" s="16" t="s">
        <v>713</v>
      </c>
      <c r="D355" s="16" t="s">
        <v>713</v>
      </c>
      <c r="E355" s="16" t="s">
        <v>713</v>
      </c>
      <c r="F355" s="16" t="s">
        <v>713</v>
      </c>
      <c r="G355">
        <v>356.24</v>
      </c>
      <c r="H355" s="17">
        <v>624.98</v>
      </c>
      <c r="I355" s="16">
        <f t="shared" si="20"/>
        <v>409.676</v>
      </c>
      <c r="J355" s="16">
        <f t="shared" si="21"/>
        <v>427.488</v>
      </c>
      <c r="K355" s="16">
        <f t="shared" si="22"/>
        <v>463.112</v>
      </c>
      <c r="L355" s="16">
        <f t="shared" si="23"/>
        <v>498.736</v>
      </c>
    </row>
    <row r="356" spans="2:12">
      <c r="B356" s="12" t="s">
        <v>714</v>
      </c>
      <c r="C356" s="16" t="s">
        <v>715</v>
      </c>
      <c r="D356" s="16" t="s">
        <v>715</v>
      </c>
      <c r="E356" s="16" t="s">
        <v>715</v>
      </c>
      <c r="F356" s="16" t="s">
        <v>715</v>
      </c>
      <c r="G356">
        <v>356.24</v>
      </c>
      <c r="H356" s="17">
        <v>624.98</v>
      </c>
      <c r="I356" s="16">
        <f t="shared" si="20"/>
        <v>409.676</v>
      </c>
      <c r="J356" s="16">
        <f t="shared" si="21"/>
        <v>427.488</v>
      </c>
      <c r="K356" s="16">
        <f t="shared" si="22"/>
        <v>463.112</v>
      </c>
      <c r="L356" s="16">
        <f t="shared" si="23"/>
        <v>498.736</v>
      </c>
    </row>
    <row r="357" spans="2:12">
      <c r="B357" s="12" t="s">
        <v>716</v>
      </c>
      <c r="C357" s="16" t="s">
        <v>717</v>
      </c>
      <c r="D357" s="16" t="s">
        <v>717</v>
      </c>
      <c r="E357" s="16" t="s">
        <v>717</v>
      </c>
      <c r="F357" s="16" t="s">
        <v>717</v>
      </c>
      <c r="G357">
        <v>374.38</v>
      </c>
      <c r="H357" s="17">
        <v>651.1</v>
      </c>
      <c r="I357" s="16">
        <f t="shared" si="20"/>
        <v>430.537</v>
      </c>
      <c r="J357" s="16">
        <f t="shared" si="21"/>
        <v>449.256</v>
      </c>
      <c r="K357" s="16">
        <f t="shared" si="22"/>
        <v>486.694</v>
      </c>
      <c r="L357" s="16">
        <f t="shared" si="23"/>
        <v>524.132</v>
      </c>
    </row>
    <row r="358" spans="2:12">
      <c r="B358" s="12" t="s">
        <v>718</v>
      </c>
      <c r="C358" s="16" t="s">
        <v>719</v>
      </c>
      <c r="D358" s="16" t="s">
        <v>719</v>
      </c>
      <c r="E358" s="16" t="s">
        <v>719</v>
      </c>
      <c r="F358" s="16" t="s">
        <v>719</v>
      </c>
      <c r="G358">
        <v>356.24</v>
      </c>
      <c r="H358" s="17">
        <v>624.98</v>
      </c>
      <c r="I358" s="16">
        <f t="shared" si="20"/>
        <v>409.676</v>
      </c>
      <c r="J358" s="16">
        <f t="shared" si="21"/>
        <v>427.488</v>
      </c>
      <c r="K358" s="16">
        <f t="shared" si="22"/>
        <v>463.112</v>
      </c>
      <c r="L358" s="16">
        <f t="shared" si="23"/>
        <v>498.736</v>
      </c>
    </row>
    <row r="359" spans="2:12">
      <c r="B359" s="12" t="s">
        <v>720</v>
      </c>
      <c r="C359" s="16" t="s">
        <v>721</v>
      </c>
      <c r="D359" s="16" t="s">
        <v>721</v>
      </c>
      <c r="E359" s="16" t="s">
        <v>721</v>
      </c>
      <c r="F359" s="16" t="s">
        <v>721</v>
      </c>
      <c r="G359">
        <v>374.38</v>
      </c>
      <c r="H359" s="17">
        <v>651.1</v>
      </c>
      <c r="I359" s="16">
        <f t="shared" si="20"/>
        <v>430.537</v>
      </c>
      <c r="J359" s="16">
        <f t="shared" si="21"/>
        <v>449.256</v>
      </c>
      <c r="K359" s="16">
        <f t="shared" si="22"/>
        <v>486.694</v>
      </c>
      <c r="L359" s="16">
        <f t="shared" si="23"/>
        <v>524.132</v>
      </c>
    </row>
    <row r="360" spans="2:12">
      <c r="B360" s="12" t="s">
        <v>722</v>
      </c>
      <c r="C360" s="16" t="s">
        <v>723</v>
      </c>
      <c r="D360" s="16" t="s">
        <v>723</v>
      </c>
      <c r="E360" s="16" t="s">
        <v>723</v>
      </c>
      <c r="F360" s="16" t="s">
        <v>723</v>
      </c>
      <c r="G360">
        <v>356.24</v>
      </c>
      <c r="H360" s="17">
        <v>624.98</v>
      </c>
      <c r="I360" s="16">
        <f t="shared" si="20"/>
        <v>409.676</v>
      </c>
      <c r="J360" s="16">
        <f t="shared" si="21"/>
        <v>427.488</v>
      </c>
      <c r="K360" s="16">
        <f t="shared" si="22"/>
        <v>463.112</v>
      </c>
      <c r="L360" s="16">
        <f t="shared" si="23"/>
        <v>498.736</v>
      </c>
    </row>
    <row r="361" spans="2:12">
      <c r="B361" s="12" t="s">
        <v>724</v>
      </c>
      <c r="C361" s="16" t="s">
        <v>725</v>
      </c>
      <c r="D361" s="16" t="s">
        <v>725</v>
      </c>
      <c r="E361" s="16" t="s">
        <v>725</v>
      </c>
      <c r="F361" s="16" t="s">
        <v>725</v>
      </c>
      <c r="G361">
        <v>356.24</v>
      </c>
      <c r="H361" s="17">
        <v>624.98</v>
      </c>
      <c r="I361" s="16">
        <f t="shared" si="20"/>
        <v>409.676</v>
      </c>
      <c r="J361" s="16">
        <f t="shared" si="21"/>
        <v>427.488</v>
      </c>
      <c r="K361" s="16">
        <f t="shared" si="22"/>
        <v>463.112</v>
      </c>
      <c r="L361" s="16">
        <f t="shared" si="23"/>
        <v>498.736</v>
      </c>
    </row>
    <row r="362" spans="2:12">
      <c r="B362" s="12" t="s">
        <v>726</v>
      </c>
      <c r="C362" s="16" t="s">
        <v>727</v>
      </c>
      <c r="D362" s="16" t="s">
        <v>727</v>
      </c>
      <c r="E362" s="16" t="s">
        <v>727</v>
      </c>
      <c r="F362" s="16" t="s">
        <v>727</v>
      </c>
      <c r="G362">
        <v>238.02</v>
      </c>
      <c r="H362" s="17">
        <v>413.94</v>
      </c>
      <c r="I362" s="16">
        <f t="shared" si="20"/>
        <v>273.723</v>
      </c>
      <c r="J362" s="16">
        <f t="shared" si="21"/>
        <v>285.624</v>
      </c>
      <c r="K362" s="16">
        <f t="shared" si="22"/>
        <v>309.426</v>
      </c>
      <c r="L362" s="16">
        <f t="shared" si="23"/>
        <v>333.228</v>
      </c>
    </row>
    <row r="363" spans="2:12">
      <c r="B363" s="12" t="s">
        <v>728</v>
      </c>
      <c r="C363" s="16" t="s">
        <v>729</v>
      </c>
      <c r="D363" s="16" t="s">
        <v>729</v>
      </c>
      <c r="E363" s="16" t="s">
        <v>729</v>
      </c>
      <c r="F363" s="16" t="s">
        <v>729</v>
      </c>
      <c r="G363">
        <v>238.02</v>
      </c>
      <c r="H363" s="17">
        <v>413.94</v>
      </c>
      <c r="I363" s="16">
        <f t="shared" si="20"/>
        <v>273.723</v>
      </c>
      <c r="J363" s="16">
        <f t="shared" si="21"/>
        <v>285.624</v>
      </c>
      <c r="K363" s="16">
        <f t="shared" si="22"/>
        <v>309.426</v>
      </c>
      <c r="L363" s="16">
        <f t="shared" si="23"/>
        <v>333.228</v>
      </c>
    </row>
    <row r="364" spans="2:12">
      <c r="B364" s="12" t="s">
        <v>730</v>
      </c>
      <c r="C364" s="16" t="s">
        <v>731</v>
      </c>
      <c r="D364" s="16" t="s">
        <v>731</v>
      </c>
      <c r="E364" s="16" t="s">
        <v>731</v>
      </c>
      <c r="F364" s="16" t="s">
        <v>731</v>
      </c>
      <c r="G364">
        <v>238.02</v>
      </c>
      <c r="H364" s="17">
        <v>413.94</v>
      </c>
      <c r="I364" s="16">
        <f t="shared" si="20"/>
        <v>273.723</v>
      </c>
      <c r="J364" s="16">
        <f t="shared" si="21"/>
        <v>285.624</v>
      </c>
      <c r="K364" s="16">
        <f t="shared" si="22"/>
        <v>309.426</v>
      </c>
      <c r="L364" s="16">
        <f t="shared" si="23"/>
        <v>333.228</v>
      </c>
    </row>
    <row r="365" spans="2:12">
      <c r="B365" s="12" t="s">
        <v>732</v>
      </c>
      <c r="C365" s="16" t="s">
        <v>733</v>
      </c>
      <c r="D365" s="16" t="s">
        <v>733</v>
      </c>
      <c r="E365" s="16" t="s">
        <v>733</v>
      </c>
      <c r="F365" s="16" t="s">
        <v>733</v>
      </c>
      <c r="G365">
        <v>238.02</v>
      </c>
      <c r="H365" s="17">
        <v>413.94</v>
      </c>
      <c r="I365" s="16">
        <f t="shared" si="20"/>
        <v>273.723</v>
      </c>
      <c r="J365" s="16">
        <f t="shared" si="21"/>
        <v>285.624</v>
      </c>
      <c r="K365" s="16">
        <f t="shared" si="22"/>
        <v>309.426</v>
      </c>
      <c r="L365" s="16">
        <f t="shared" si="23"/>
        <v>333.228</v>
      </c>
    </row>
    <row r="366" spans="2:12">
      <c r="B366" s="12" t="s">
        <v>734</v>
      </c>
      <c r="C366" s="16" t="s">
        <v>735</v>
      </c>
      <c r="D366" s="16" t="s">
        <v>735</v>
      </c>
      <c r="E366" s="16" t="s">
        <v>735</v>
      </c>
      <c r="F366" s="16" t="s">
        <v>735</v>
      </c>
      <c r="G366">
        <v>31.69</v>
      </c>
      <c r="H366" s="17">
        <v>55.1</v>
      </c>
      <c r="I366" s="16">
        <f t="shared" si="20"/>
        <v>36.4435</v>
      </c>
      <c r="J366" s="16">
        <f t="shared" si="21"/>
        <v>38.028</v>
      </c>
      <c r="K366" s="16">
        <f t="shared" si="22"/>
        <v>41.197</v>
      </c>
      <c r="L366" s="16">
        <f t="shared" si="23"/>
        <v>44.366</v>
      </c>
    </row>
    <row r="367" spans="2:12">
      <c r="B367" s="12" t="s">
        <v>736</v>
      </c>
      <c r="C367" s="16" t="s">
        <v>737</v>
      </c>
      <c r="D367" s="16" t="s">
        <v>737</v>
      </c>
      <c r="E367" s="16" t="s">
        <v>737</v>
      </c>
      <c r="F367" s="16" t="s">
        <v>737</v>
      </c>
      <c r="G367">
        <v>44.69</v>
      </c>
      <c r="H367" s="17">
        <v>77.72</v>
      </c>
      <c r="I367" s="16">
        <f t="shared" si="20"/>
        <v>51.3935</v>
      </c>
      <c r="J367" s="16">
        <f t="shared" si="21"/>
        <v>53.628</v>
      </c>
      <c r="K367" s="16">
        <f t="shared" si="22"/>
        <v>58.097</v>
      </c>
      <c r="L367" s="16">
        <f t="shared" si="23"/>
        <v>62.566</v>
      </c>
    </row>
    <row r="368" spans="2:12">
      <c r="B368" s="12" t="s">
        <v>738</v>
      </c>
      <c r="C368" s="16" t="s">
        <v>739</v>
      </c>
      <c r="D368" s="16" t="s">
        <v>739</v>
      </c>
      <c r="E368" s="16" t="s">
        <v>739</v>
      </c>
      <c r="F368" s="16" t="s">
        <v>739</v>
      </c>
      <c r="G368">
        <v>64.15</v>
      </c>
      <c r="H368" s="17">
        <v>111.57</v>
      </c>
      <c r="I368" s="16">
        <f t="shared" si="20"/>
        <v>73.7725</v>
      </c>
      <c r="J368" s="16">
        <f t="shared" si="21"/>
        <v>76.98</v>
      </c>
      <c r="K368" s="16">
        <f t="shared" si="22"/>
        <v>83.395</v>
      </c>
      <c r="L368" s="16">
        <f t="shared" si="23"/>
        <v>89.81</v>
      </c>
    </row>
    <row r="369" spans="2:12">
      <c r="B369" s="12" t="s">
        <v>740</v>
      </c>
      <c r="C369" s="16" t="s">
        <v>741</v>
      </c>
      <c r="D369" s="16" t="s">
        <v>741</v>
      </c>
      <c r="E369" s="16" t="s">
        <v>741</v>
      </c>
      <c r="F369" s="16" t="s">
        <v>741</v>
      </c>
      <c r="G369">
        <v>153.67</v>
      </c>
      <c r="H369" s="17">
        <v>267.27</v>
      </c>
      <c r="I369" s="16">
        <f t="shared" si="20"/>
        <v>176.7205</v>
      </c>
      <c r="J369" s="16">
        <f t="shared" si="21"/>
        <v>184.404</v>
      </c>
      <c r="K369" s="16">
        <f t="shared" si="22"/>
        <v>199.771</v>
      </c>
      <c r="L369" s="16">
        <f t="shared" si="23"/>
        <v>215.138</v>
      </c>
    </row>
    <row r="370" spans="2:12">
      <c r="B370" s="12" t="s">
        <v>742</v>
      </c>
      <c r="C370" s="16" t="s">
        <v>743</v>
      </c>
      <c r="D370" s="16" t="s">
        <v>743</v>
      </c>
      <c r="E370" s="16" t="s">
        <v>743</v>
      </c>
      <c r="F370" s="16" t="s">
        <v>743</v>
      </c>
      <c r="G370">
        <v>437.98</v>
      </c>
      <c r="H370" s="17">
        <v>761.71</v>
      </c>
      <c r="I370" s="16">
        <f t="shared" si="20"/>
        <v>503.677</v>
      </c>
      <c r="J370" s="16">
        <f t="shared" si="21"/>
        <v>525.576</v>
      </c>
      <c r="K370" s="16">
        <f t="shared" si="22"/>
        <v>569.374</v>
      </c>
      <c r="L370" s="16">
        <f t="shared" si="23"/>
        <v>613.172</v>
      </c>
    </row>
    <row r="371" spans="2:12">
      <c r="B371" s="12" t="s">
        <v>744</v>
      </c>
      <c r="C371" s="16" t="s">
        <v>745</v>
      </c>
      <c r="D371" s="16" t="s">
        <v>745</v>
      </c>
      <c r="E371" s="16" t="s">
        <v>745</v>
      </c>
      <c r="F371" s="16" t="s">
        <v>745</v>
      </c>
      <c r="G371">
        <v>118.28</v>
      </c>
      <c r="H371" s="17">
        <v>205.69</v>
      </c>
      <c r="I371" s="16">
        <f t="shared" si="20"/>
        <v>136.022</v>
      </c>
      <c r="J371" s="16">
        <f t="shared" si="21"/>
        <v>141.936</v>
      </c>
      <c r="K371" s="16">
        <f t="shared" si="22"/>
        <v>153.764</v>
      </c>
      <c r="L371" s="16">
        <f t="shared" si="23"/>
        <v>165.592</v>
      </c>
    </row>
    <row r="372" spans="2:12">
      <c r="B372" s="12" t="s">
        <v>746</v>
      </c>
      <c r="C372" s="16" t="s">
        <v>747</v>
      </c>
      <c r="D372" s="16" t="s">
        <v>747</v>
      </c>
      <c r="E372" s="16" t="s">
        <v>747</v>
      </c>
      <c r="F372" s="16" t="s">
        <v>747</v>
      </c>
      <c r="G372">
        <v>145.06</v>
      </c>
      <c r="H372" s="17">
        <v>252.27</v>
      </c>
      <c r="I372" s="16">
        <f t="shared" si="20"/>
        <v>166.819</v>
      </c>
      <c r="J372" s="16">
        <f t="shared" si="21"/>
        <v>174.072</v>
      </c>
      <c r="K372" s="16">
        <f t="shared" si="22"/>
        <v>188.578</v>
      </c>
      <c r="L372" s="16">
        <f t="shared" si="23"/>
        <v>203.084</v>
      </c>
    </row>
    <row r="373" spans="2:12">
      <c r="B373" s="12" t="s">
        <v>748</v>
      </c>
      <c r="C373" s="16" t="s">
        <v>749</v>
      </c>
      <c r="D373" s="16" t="s">
        <v>749</v>
      </c>
      <c r="E373" s="16" t="s">
        <v>749</v>
      </c>
      <c r="F373" s="16" t="s">
        <v>749</v>
      </c>
      <c r="G373">
        <v>145.84</v>
      </c>
      <c r="H373" s="17">
        <v>253.64</v>
      </c>
      <c r="I373" s="16">
        <f t="shared" si="20"/>
        <v>167.716</v>
      </c>
      <c r="J373" s="16">
        <f t="shared" si="21"/>
        <v>175.008</v>
      </c>
      <c r="K373" s="16">
        <f t="shared" si="22"/>
        <v>189.592</v>
      </c>
      <c r="L373" s="16">
        <f t="shared" si="23"/>
        <v>204.176</v>
      </c>
    </row>
    <row r="374" spans="2:12">
      <c r="B374" s="12" t="s">
        <v>750</v>
      </c>
      <c r="C374" s="16" t="s">
        <v>751</v>
      </c>
      <c r="D374" s="16" t="s">
        <v>751</v>
      </c>
      <c r="E374" s="16" t="s">
        <v>751</v>
      </c>
      <c r="F374" s="16" t="s">
        <v>751</v>
      </c>
      <c r="G374">
        <v>145.06</v>
      </c>
      <c r="H374" s="17">
        <v>252.27</v>
      </c>
      <c r="I374" s="16">
        <f t="shared" si="20"/>
        <v>166.819</v>
      </c>
      <c r="J374" s="16">
        <f t="shared" si="21"/>
        <v>174.072</v>
      </c>
      <c r="K374" s="16">
        <f t="shared" si="22"/>
        <v>188.578</v>
      </c>
      <c r="L374" s="16">
        <f t="shared" si="23"/>
        <v>203.084</v>
      </c>
    </row>
    <row r="375" spans="2:12">
      <c r="B375" s="12" t="s">
        <v>752</v>
      </c>
      <c r="C375" s="16" t="s">
        <v>753</v>
      </c>
      <c r="D375" s="16" t="s">
        <v>753</v>
      </c>
      <c r="E375" s="16" t="s">
        <v>753</v>
      </c>
      <c r="F375" s="16" t="s">
        <v>753</v>
      </c>
      <c r="G375">
        <v>239.64</v>
      </c>
      <c r="H375" s="17">
        <v>416.76</v>
      </c>
      <c r="I375" s="16">
        <f t="shared" si="20"/>
        <v>275.586</v>
      </c>
      <c r="J375" s="16">
        <f t="shared" si="21"/>
        <v>287.568</v>
      </c>
      <c r="K375" s="16">
        <f t="shared" si="22"/>
        <v>311.532</v>
      </c>
      <c r="L375" s="16">
        <f t="shared" si="23"/>
        <v>335.496</v>
      </c>
    </row>
    <row r="376" spans="2:12">
      <c r="B376" s="12" t="s">
        <v>754</v>
      </c>
      <c r="C376" s="16" t="s">
        <v>755</v>
      </c>
      <c r="D376" s="16" t="s">
        <v>755</v>
      </c>
      <c r="E376" s="16" t="s">
        <v>755</v>
      </c>
      <c r="F376" s="16" t="s">
        <v>755</v>
      </c>
      <c r="G376">
        <v>61.24</v>
      </c>
      <c r="H376" s="17">
        <v>106.48</v>
      </c>
      <c r="I376" s="16">
        <f t="shared" si="20"/>
        <v>70.426</v>
      </c>
      <c r="J376" s="16">
        <f t="shared" si="21"/>
        <v>73.488</v>
      </c>
      <c r="K376" s="16">
        <f t="shared" si="22"/>
        <v>79.612</v>
      </c>
      <c r="L376" s="16">
        <f t="shared" si="23"/>
        <v>85.736</v>
      </c>
    </row>
    <row r="377" spans="2:12">
      <c r="B377" s="12" t="s">
        <v>756</v>
      </c>
      <c r="C377" s="16" t="s">
        <v>757</v>
      </c>
      <c r="D377" s="16" t="s">
        <v>757</v>
      </c>
      <c r="E377" s="16" t="s">
        <v>757</v>
      </c>
      <c r="F377" s="16" t="s">
        <v>757</v>
      </c>
      <c r="G377">
        <v>80.85</v>
      </c>
      <c r="H377" s="17">
        <v>140.61</v>
      </c>
      <c r="I377" s="16">
        <f t="shared" si="20"/>
        <v>92.9775</v>
      </c>
      <c r="J377" s="16">
        <f t="shared" si="21"/>
        <v>97.02</v>
      </c>
      <c r="K377" s="16">
        <f t="shared" si="22"/>
        <v>105.105</v>
      </c>
      <c r="L377" s="16">
        <f t="shared" si="23"/>
        <v>113.19</v>
      </c>
    </row>
    <row r="378" spans="2:12">
      <c r="B378" s="12" t="s">
        <v>758</v>
      </c>
      <c r="C378" s="16" t="s">
        <v>759</v>
      </c>
      <c r="D378" s="16" t="s">
        <v>759</v>
      </c>
      <c r="E378" s="16" t="s">
        <v>759</v>
      </c>
      <c r="F378" s="16" t="s">
        <v>759</v>
      </c>
      <c r="G378">
        <v>117.88</v>
      </c>
      <c r="H378" s="17">
        <v>205.01</v>
      </c>
      <c r="I378" s="16">
        <f t="shared" si="20"/>
        <v>135.562</v>
      </c>
      <c r="J378" s="16">
        <f t="shared" si="21"/>
        <v>141.456</v>
      </c>
      <c r="K378" s="16">
        <f t="shared" si="22"/>
        <v>153.244</v>
      </c>
      <c r="L378" s="16">
        <f t="shared" si="23"/>
        <v>165.032</v>
      </c>
    </row>
    <row r="379" spans="2:12">
      <c r="B379" s="12" t="s">
        <v>760</v>
      </c>
      <c r="C379" s="16" t="s">
        <v>761</v>
      </c>
      <c r="D379" s="16" t="s">
        <v>761</v>
      </c>
      <c r="E379" s="16" t="s">
        <v>761</v>
      </c>
      <c r="F379" s="16" t="s">
        <v>761</v>
      </c>
      <c r="G379">
        <v>258.27</v>
      </c>
      <c r="H379" s="17">
        <v>449.15</v>
      </c>
      <c r="I379" s="16">
        <f t="shared" si="20"/>
        <v>297.0105</v>
      </c>
      <c r="J379" s="16">
        <f t="shared" si="21"/>
        <v>309.924</v>
      </c>
      <c r="K379" s="16">
        <f t="shared" si="22"/>
        <v>335.751</v>
      </c>
      <c r="L379" s="16">
        <f t="shared" si="23"/>
        <v>361.578</v>
      </c>
    </row>
    <row r="380" spans="2:12">
      <c r="B380" s="12" t="s">
        <v>762</v>
      </c>
      <c r="C380" s="16" t="s">
        <v>763</v>
      </c>
      <c r="D380" s="16" t="s">
        <v>763</v>
      </c>
      <c r="E380" s="16" t="s">
        <v>763</v>
      </c>
      <c r="F380" s="16" t="s">
        <v>763</v>
      </c>
      <c r="G380">
        <v>109.56</v>
      </c>
      <c r="H380" s="17">
        <v>190.55</v>
      </c>
      <c r="I380" s="16">
        <f t="shared" si="20"/>
        <v>125.994</v>
      </c>
      <c r="J380" s="16">
        <f t="shared" si="21"/>
        <v>131.472</v>
      </c>
      <c r="K380" s="16">
        <f t="shared" si="22"/>
        <v>142.428</v>
      </c>
      <c r="L380" s="16">
        <f t="shared" si="23"/>
        <v>153.384</v>
      </c>
    </row>
    <row r="381" spans="2:12">
      <c r="B381" s="12" t="s">
        <v>764</v>
      </c>
      <c r="C381" s="16" t="s">
        <v>765</v>
      </c>
      <c r="D381" s="16" t="s">
        <v>765</v>
      </c>
      <c r="E381" s="16" t="s">
        <v>765</v>
      </c>
      <c r="F381" s="16" t="s">
        <v>765</v>
      </c>
      <c r="G381">
        <v>239.64</v>
      </c>
      <c r="H381" s="17">
        <v>416.76</v>
      </c>
      <c r="I381" s="16">
        <f t="shared" si="20"/>
        <v>275.586</v>
      </c>
      <c r="J381" s="16">
        <f t="shared" si="21"/>
        <v>287.568</v>
      </c>
      <c r="K381" s="16">
        <f t="shared" si="22"/>
        <v>311.532</v>
      </c>
      <c r="L381" s="16">
        <f t="shared" si="23"/>
        <v>335.496</v>
      </c>
    </row>
    <row r="382" spans="2:12">
      <c r="B382" s="12" t="s">
        <v>766</v>
      </c>
      <c r="C382" s="16" t="s">
        <v>767</v>
      </c>
      <c r="D382" s="16" t="s">
        <v>767</v>
      </c>
      <c r="E382" s="16" t="s">
        <v>767</v>
      </c>
      <c r="F382" s="16" t="s">
        <v>767</v>
      </c>
      <c r="G382">
        <v>72.3</v>
      </c>
      <c r="H382" s="17">
        <v>125.74</v>
      </c>
      <c r="I382" s="16">
        <f t="shared" si="20"/>
        <v>83.145</v>
      </c>
      <c r="J382" s="16">
        <f t="shared" si="21"/>
        <v>86.76</v>
      </c>
      <c r="K382" s="16">
        <f t="shared" si="22"/>
        <v>93.99</v>
      </c>
      <c r="L382" s="16">
        <f t="shared" si="23"/>
        <v>101.22</v>
      </c>
    </row>
    <row r="383" spans="2:12">
      <c r="B383" s="12" t="s">
        <v>768</v>
      </c>
      <c r="C383" s="16" t="s">
        <v>769</v>
      </c>
      <c r="D383" s="16" t="s">
        <v>769</v>
      </c>
      <c r="E383" s="16" t="s">
        <v>769</v>
      </c>
      <c r="F383" s="16" t="s">
        <v>769</v>
      </c>
      <c r="G383">
        <v>134.04</v>
      </c>
      <c r="H383" s="17">
        <v>233.12</v>
      </c>
      <c r="I383" s="16">
        <f t="shared" si="20"/>
        <v>154.146</v>
      </c>
      <c r="J383" s="16">
        <f t="shared" si="21"/>
        <v>160.848</v>
      </c>
      <c r="K383" s="16">
        <f t="shared" si="22"/>
        <v>174.252</v>
      </c>
      <c r="L383" s="16">
        <f t="shared" si="23"/>
        <v>187.656</v>
      </c>
    </row>
    <row r="384" spans="2:12">
      <c r="B384" s="12" t="s">
        <v>770</v>
      </c>
      <c r="C384" s="16" t="s">
        <v>771</v>
      </c>
      <c r="D384" s="16" t="s">
        <v>771</v>
      </c>
      <c r="E384" s="16" t="s">
        <v>771</v>
      </c>
      <c r="F384" s="16" t="s">
        <v>771</v>
      </c>
      <c r="G384">
        <v>51.61</v>
      </c>
      <c r="H384" s="17">
        <v>89.75</v>
      </c>
      <c r="I384" s="16">
        <f t="shared" si="20"/>
        <v>59.3515</v>
      </c>
      <c r="J384" s="16">
        <f t="shared" si="21"/>
        <v>61.932</v>
      </c>
      <c r="K384" s="16">
        <f t="shared" si="22"/>
        <v>67.093</v>
      </c>
      <c r="L384" s="16">
        <f t="shared" si="23"/>
        <v>72.254</v>
      </c>
    </row>
    <row r="385" spans="2:12">
      <c r="B385" s="12" t="s">
        <v>772</v>
      </c>
      <c r="C385" s="16" t="s">
        <v>773</v>
      </c>
      <c r="D385" s="16" t="s">
        <v>773</v>
      </c>
      <c r="E385" s="16" t="s">
        <v>773</v>
      </c>
      <c r="F385" s="16" t="s">
        <v>773</v>
      </c>
      <c r="G385">
        <v>75.38</v>
      </c>
      <c r="H385" s="17">
        <v>131.08</v>
      </c>
      <c r="I385" s="16">
        <f t="shared" si="20"/>
        <v>86.687</v>
      </c>
      <c r="J385" s="16">
        <f t="shared" si="21"/>
        <v>90.456</v>
      </c>
      <c r="K385" s="16">
        <f t="shared" si="22"/>
        <v>97.994</v>
      </c>
      <c r="L385" s="16">
        <f t="shared" si="23"/>
        <v>105.532</v>
      </c>
    </row>
    <row r="386" spans="2:12">
      <c r="B386" s="12" t="s">
        <v>774</v>
      </c>
      <c r="C386" s="16" t="s">
        <v>775</v>
      </c>
      <c r="D386" s="16" t="s">
        <v>775</v>
      </c>
      <c r="E386" s="16" t="s">
        <v>775</v>
      </c>
      <c r="F386" s="16" t="s">
        <v>775</v>
      </c>
      <c r="G386">
        <v>89.3</v>
      </c>
      <c r="H386" s="17">
        <v>155.32</v>
      </c>
      <c r="I386" s="16">
        <f t="shared" ref="I386:I405" si="24">G386*1.15</f>
        <v>102.695</v>
      </c>
      <c r="J386" s="16">
        <f t="shared" ref="J386:J405" si="25">G386*1.2</f>
        <v>107.16</v>
      </c>
      <c r="K386" s="16">
        <f t="shared" ref="K386:K405" si="26">G386*1.3</f>
        <v>116.09</v>
      </c>
      <c r="L386" s="16">
        <f t="shared" ref="L386:L405" si="27">G386*1.4</f>
        <v>125.02</v>
      </c>
    </row>
    <row r="387" spans="2:12">
      <c r="B387" s="12" t="s">
        <v>776</v>
      </c>
      <c r="C387" s="16" t="s">
        <v>777</v>
      </c>
      <c r="D387" s="16" t="s">
        <v>777</v>
      </c>
      <c r="E387" s="16" t="s">
        <v>777</v>
      </c>
      <c r="F387" s="16" t="s">
        <v>777</v>
      </c>
      <c r="G387">
        <v>121.44</v>
      </c>
      <c r="H387" s="17">
        <v>211.22</v>
      </c>
      <c r="I387" s="16">
        <f t="shared" si="24"/>
        <v>139.656</v>
      </c>
      <c r="J387" s="16">
        <f t="shared" si="25"/>
        <v>145.728</v>
      </c>
      <c r="K387" s="16">
        <f t="shared" si="26"/>
        <v>157.872</v>
      </c>
      <c r="L387" s="16">
        <f t="shared" si="27"/>
        <v>170.016</v>
      </c>
    </row>
    <row r="388" spans="2:12">
      <c r="B388" s="12" t="s">
        <v>778</v>
      </c>
      <c r="C388" s="16" t="s">
        <v>779</v>
      </c>
      <c r="D388" s="16" t="s">
        <v>779</v>
      </c>
      <c r="E388" s="16" t="s">
        <v>779</v>
      </c>
      <c r="F388" s="16" t="s">
        <v>779</v>
      </c>
      <c r="G388">
        <v>139.94</v>
      </c>
      <c r="H388" s="17">
        <v>243.37</v>
      </c>
      <c r="I388" s="16">
        <f t="shared" si="24"/>
        <v>160.931</v>
      </c>
      <c r="J388" s="16">
        <f t="shared" si="25"/>
        <v>167.928</v>
      </c>
      <c r="K388" s="16">
        <f t="shared" si="26"/>
        <v>181.922</v>
      </c>
      <c r="L388" s="16">
        <f t="shared" si="27"/>
        <v>195.916</v>
      </c>
    </row>
    <row r="389" spans="2:12">
      <c r="B389" s="12" t="s">
        <v>780</v>
      </c>
      <c r="C389" s="16" t="s">
        <v>781</v>
      </c>
      <c r="D389" s="16" t="s">
        <v>781</v>
      </c>
      <c r="E389" s="16" t="s">
        <v>781</v>
      </c>
      <c r="F389" s="16" t="s">
        <v>781</v>
      </c>
      <c r="G389">
        <v>156.8</v>
      </c>
      <c r="H389" s="17">
        <v>272.68</v>
      </c>
      <c r="I389" s="16">
        <f t="shared" si="24"/>
        <v>180.32</v>
      </c>
      <c r="J389" s="16">
        <f t="shared" si="25"/>
        <v>188.16</v>
      </c>
      <c r="K389" s="16">
        <f t="shared" si="26"/>
        <v>203.84</v>
      </c>
      <c r="L389" s="16">
        <f t="shared" si="27"/>
        <v>219.52</v>
      </c>
    </row>
    <row r="390" spans="2:12">
      <c r="B390" s="12" t="s">
        <v>782</v>
      </c>
      <c r="C390" s="16" t="s">
        <v>783</v>
      </c>
      <c r="D390" s="16" t="s">
        <v>783</v>
      </c>
      <c r="E390" s="16" t="s">
        <v>783</v>
      </c>
      <c r="F390" s="16" t="s">
        <v>783</v>
      </c>
      <c r="G390">
        <v>186.6</v>
      </c>
      <c r="H390" s="17">
        <v>324.53</v>
      </c>
      <c r="I390" s="16">
        <f t="shared" si="24"/>
        <v>214.59</v>
      </c>
      <c r="J390" s="16">
        <f t="shared" si="25"/>
        <v>223.92</v>
      </c>
      <c r="K390" s="16">
        <f t="shared" si="26"/>
        <v>242.58</v>
      </c>
      <c r="L390" s="16">
        <f t="shared" si="27"/>
        <v>261.24</v>
      </c>
    </row>
    <row r="391" spans="2:12">
      <c r="B391" s="12" t="s">
        <v>784</v>
      </c>
      <c r="C391" s="16" t="s">
        <v>785</v>
      </c>
      <c r="D391" s="16" t="s">
        <v>785</v>
      </c>
      <c r="E391" s="16" t="s">
        <v>785</v>
      </c>
      <c r="F391" s="16" t="s">
        <v>785</v>
      </c>
      <c r="G391">
        <v>60.17</v>
      </c>
      <c r="H391" s="17">
        <v>104.65</v>
      </c>
      <c r="I391" s="16">
        <f t="shared" si="24"/>
        <v>69.1955</v>
      </c>
      <c r="J391" s="16">
        <f t="shared" si="25"/>
        <v>72.204</v>
      </c>
      <c r="K391" s="16">
        <f t="shared" si="26"/>
        <v>78.221</v>
      </c>
      <c r="L391" s="16">
        <f t="shared" si="27"/>
        <v>84.238</v>
      </c>
    </row>
    <row r="392" spans="2:12">
      <c r="B392" s="12" t="s">
        <v>786</v>
      </c>
      <c r="C392" s="16" t="s">
        <v>787</v>
      </c>
      <c r="D392" s="16" t="s">
        <v>787</v>
      </c>
      <c r="E392" s="16" t="s">
        <v>787</v>
      </c>
      <c r="F392" s="16" t="s">
        <v>787</v>
      </c>
      <c r="G392">
        <v>160.05</v>
      </c>
      <c r="H392" s="17">
        <v>278.35</v>
      </c>
      <c r="I392" s="16">
        <f t="shared" si="24"/>
        <v>184.0575</v>
      </c>
      <c r="J392" s="16">
        <f t="shared" si="25"/>
        <v>192.06</v>
      </c>
      <c r="K392" s="16">
        <f t="shared" si="26"/>
        <v>208.065</v>
      </c>
      <c r="L392" s="16">
        <f t="shared" si="27"/>
        <v>224.07</v>
      </c>
    </row>
    <row r="393" spans="2:12">
      <c r="B393" s="12" t="s">
        <v>788</v>
      </c>
      <c r="C393" s="16" t="s">
        <v>789</v>
      </c>
      <c r="D393" s="16" t="s">
        <v>789</v>
      </c>
      <c r="E393" s="16" t="s">
        <v>789</v>
      </c>
      <c r="F393" s="16" t="s">
        <v>789</v>
      </c>
      <c r="G393">
        <v>162.39</v>
      </c>
      <c r="H393" s="17">
        <v>282.39</v>
      </c>
      <c r="I393" s="16">
        <f t="shared" si="24"/>
        <v>186.7485</v>
      </c>
      <c r="J393" s="16">
        <f t="shared" si="25"/>
        <v>194.868</v>
      </c>
      <c r="K393" s="16">
        <f t="shared" si="26"/>
        <v>211.107</v>
      </c>
      <c r="L393" s="16">
        <f t="shared" si="27"/>
        <v>227.346</v>
      </c>
    </row>
    <row r="394" spans="2:12">
      <c r="B394" s="12" t="s">
        <v>790</v>
      </c>
      <c r="C394" s="16" t="s">
        <v>791</v>
      </c>
      <c r="D394" s="16" t="s">
        <v>791</v>
      </c>
      <c r="E394" s="16" t="s">
        <v>791</v>
      </c>
      <c r="F394" s="16" t="s">
        <v>791</v>
      </c>
      <c r="G394">
        <v>170.44</v>
      </c>
      <c r="H394" s="17">
        <v>293.87</v>
      </c>
      <c r="I394" s="16">
        <f t="shared" si="24"/>
        <v>196.006</v>
      </c>
      <c r="J394" s="16">
        <f t="shared" si="25"/>
        <v>204.528</v>
      </c>
      <c r="K394" s="16">
        <f t="shared" si="26"/>
        <v>221.572</v>
      </c>
      <c r="L394" s="16">
        <f t="shared" si="27"/>
        <v>238.616</v>
      </c>
    </row>
    <row r="395" spans="2:12">
      <c r="B395" s="12" t="s">
        <v>792</v>
      </c>
      <c r="C395" s="16" t="s">
        <v>793</v>
      </c>
      <c r="D395" s="16" t="s">
        <v>793</v>
      </c>
      <c r="E395" s="16" t="s">
        <v>793</v>
      </c>
      <c r="F395" s="16" t="s">
        <v>793</v>
      </c>
      <c r="G395">
        <v>197.1</v>
      </c>
      <c r="H395" s="17">
        <v>342.77</v>
      </c>
      <c r="I395" s="16">
        <f t="shared" si="24"/>
        <v>226.665</v>
      </c>
      <c r="J395" s="16">
        <f t="shared" si="25"/>
        <v>236.52</v>
      </c>
      <c r="K395" s="16">
        <f t="shared" si="26"/>
        <v>256.23</v>
      </c>
      <c r="L395" s="16">
        <f t="shared" si="27"/>
        <v>275.94</v>
      </c>
    </row>
    <row r="396" spans="2:12">
      <c r="B396" s="12" t="s">
        <v>794</v>
      </c>
      <c r="C396" s="16" t="s">
        <v>795</v>
      </c>
      <c r="D396" s="16" t="s">
        <v>795</v>
      </c>
      <c r="E396" s="16" t="s">
        <v>795</v>
      </c>
      <c r="F396" s="16" t="s">
        <v>795</v>
      </c>
      <c r="G396">
        <v>205.22</v>
      </c>
      <c r="H396" s="17">
        <v>353.84</v>
      </c>
      <c r="I396" s="16">
        <f t="shared" si="24"/>
        <v>236.003</v>
      </c>
      <c r="J396" s="16">
        <f t="shared" si="25"/>
        <v>246.264</v>
      </c>
      <c r="K396" s="16">
        <f t="shared" si="26"/>
        <v>266.786</v>
      </c>
      <c r="L396" s="16">
        <f t="shared" si="27"/>
        <v>287.308</v>
      </c>
    </row>
    <row r="397" spans="2:12">
      <c r="B397" s="12" t="s">
        <v>796</v>
      </c>
      <c r="C397" s="16" t="s">
        <v>797</v>
      </c>
      <c r="D397" s="16" t="s">
        <v>797</v>
      </c>
      <c r="E397" s="16" t="s">
        <v>797</v>
      </c>
      <c r="F397" s="16" t="s">
        <v>797</v>
      </c>
      <c r="G397">
        <v>696.73</v>
      </c>
      <c r="H397" s="17">
        <v>1211.7</v>
      </c>
      <c r="I397" s="16">
        <f t="shared" si="24"/>
        <v>801.2395</v>
      </c>
      <c r="J397" s="16">
        <f t="shared" si="25"/>
        <v>836.076</v>
      </c>
      <c r="K397" s="16">
        <f t="shared" si="26"/>
        <v>905.749</v>
      </c>
      <c r="L397" s="16">
        <f t="shared" si="27"/>
        <v>975.422</v>
      </c>
    </row>
    <row r="398" spans="2:12">
      <c r="B398" s="12" t="s">
        <v>798</v>
      </c>
      <c r="C398" s="16" t="s">
        <v>799</v>
      </c>
      <c r="D398" s="16" t="s">
        <v>799</v>
      </c>
      <c r="E398" s="16" t="s">
        <v>799</v>
      </c>
      <c r="F398" s="16" t="s">
        <v>799</v>
      </c>
      <c r="G398">
        <v>1051.21</v>
      </c>
      <c r="H398" s="17">
        <v>1828.19</v>
      </c>
      <c r="I398" s="16">
        <f t="shared" si="24"/>
        <v>1208.8915</v>
      </c>
      <c r="J398" s="16">
        <f t="shared" si="25"/>
        <v>1261.452</v>
      </c>
      <c r="K398" s="16">
        <f t="shared" si="26"/>
        <v>1366.573</v>
      </c>
      <c r="L398" s="16">
        <f t="shared" si="27"/>
        <v>1471.694</v>
      </c>
    </row>
    <row r="399" spans="2:12">
      <c r="B399" s="12" t="s">
        <v>800</v>
      </c>
      <c r="C399" s="16" t="s">
        <v>801</v>
      </c>
      <c r="D399" s="16" t="s">
        <v>801</v>
      </c>
      <c r="E399" s="16" t="s">
        <v>801</v>
      </c>
      <c r="F399" s="16" t="s">
        <v>801</v>
      </c>
      <c r="G399">
        <v>1219.99</v>
      </c>
      <c r="H399" s="17">
        <v>2121.72</v>
      </c>
      <c r="I399" s="16">
        <f t="shared" si="24"/>
        <v>1402.9885</v>
      </c>
      <c r="J399" s="16">
        <f t="shared" si="25"/>
        <v>1463.988</v>
      </c>
      <c r="K399" s="16">
        <f t="shared" si="26"/>
        <v>1585.987</v>
      </c>
      <c r="L399" s="16">
        <f t="shared" si="27"/>
        <v>1707.986</v>
      </c>
    </row>
    <row r="400" spans="2:12">
      <c r="B400" s="12" t="s">
        <v>802</v>
      </c>
      <c r="C400" s="16" t="s">
        <v>803</v>
      </c>
      <c r="D400" s="16" t="s">
        <v>803</v>
      </c>
      <c r="E400" s="16" t="s">
        <v>803</v>
      </c>
      <c r="F400" s="16" t="s">
        <v>803</v>
      </c>
      <c r="G400">
        <v>1767.75</v>
      </c>
      <c r="H400" s="17">
        <v>3074.35</v>
      </c>
      <c r="I400" s="16">
        <f t="shared" si="24"/>
        <v>2032.9125</v>
      </c>
      <c r="J400" s="16">
        <f t="shared" si="25"/>
        <v>2121.3</v>
      </c>
      <c r="K400" s="16">
        <f t="shared" si="26"/>
        <v>2298.075</v>
      </c>
      <c r="L400" s="16">
        <f t="shared" si="27"/>
        <v>2474.85</v>
      </c>
    </row>
    <row r="401" spans="2:12">
      <c r="B401" s="12" t="s">
        <v>804</v>
      </c>
      <c r="C401" s="16" t="s">
        <v>805</v>
      </c>
      <c r="D401" s="16" t="s">
        <v>805</v>
      </c>
      <c r="E401" s="16" t="s">
        <v>805</v>
      </c>
      <c r="F401" s="16" t="s">
        <v>805</v>
      </c>
      <c r="G401">
        <v>1830.22</v>
      </c>
      <c r="H401" s="17">
        <v>3182.99</v>
      </c>
      <c r="I401" s="16">
        <f t="shared" si="24"/>
        <v>2104.753</v>
      </c>
      <c r="J401" s="16">
        <f t="shared" si="25"/>
        <v>2196.264</v>
      </c>
      <c r="K401" s="16">
        <f t="shared" si="26"/>
        <v>2379.286</v>
      </c>
      <c r="L401" s="16">
        <f t="shared" si="27"/>
        <v>2562.308</v>
      </c>
    </row>
    <row r="402" spans="2:12">
      <c r="B402" s="12" t="s">
        <v>806</v>
      </c>
      <c r="C402" s="16" t="s">
        <v>807</v>
      </c>
      <c r="D402" s="16" t="s">
        <v>807</v>
      </c>
      <c r="E402" s="16" t="s">
        <v>807</v>
      </c>
      <c r="F402" s="16" t="s">
        <v>807</v>
      </c>
      <c r="G402">
        <v>2229.36</v>
      </c>
      <c r="H402" s="17">
        <v>3877.13</v>
      </c>
      <c r="I402" s="16">
        <f t="shared" si="24"/>
        <v>2563.764</v>
      </c>
      <c r="J402" s="16">
        <f t="shared" si="25"/>
        <v>2675.232</v>
      </c>
      <c r="K402" s="16">
        <f t="shared" si="26"/>
        <v>2898.168</v>
      </c>
      <c r="L402" s="16">
        <f t="shared" si="27"/>
        <v>3121.104</v>
      </c>
    </row>
    <row r="403" spans="2:12">
      <c r="B403" s="12" t="s">
        <v>808</v>
      </c>
      <c r="C403" s="16" t="s">
        <v>809</v>
      </c>
      <c r="D403" s="16" t="s">
        <v>809</v>
      </c>
      <c r="E403" s="16" t="s">
        <v>809</v>
      </c>
      <c r="F403" s="16" t="s">
        <v>809</v>
      </c>
      <c r="G403">
        <v>2725.3</v>
      </c>
      <c r="H403" s="17">
        <v>4698.79</v>
      </c>
      <c r="I403" s="16">
        <f t="shared" si="24"/>
        <v>3134.095</v>
      </c>
      <c r="J403" s="16">
        <f t="shared" si="25"/>
        <v>3270.36</v>
      </c>
      <c r="K403" s="16">
        <f t="shared" si="26"/>
        <v>3542.89</v>
      </c>
      <c r="L403" s="16">
        <f t="shared" si="27"/>
        <v>3815.42</v>
      </c>
    </row>
    <row r="404" spans="2:12">
      <c r="B404" s="12" t="s">
        <v>810</v>
      </c>
      <c r="C404" s="16" t="s">
        <v>811</v>
      </c>
      <c r="D404" s="16" t="s">
        <v>811</v>
      </c>
      <c r="E404" s="16" t="s">
        <v>811</v>
      </c>
      <c r="F404" s="16" t="s">
        <v>811</v>
      </c>
      <c r="G404">
        <v>750.92</v>
      </c>
      <c r="H404" s="17">
        <v>1305.96</v>
      </c>
      <c r="I404" s="16">
        <f t="shared" si="24"/>
        <v>863.558</v>
      </c>
      <c r="J404" s="16">
        <f t="shared" si="25"/>
        <v>901.104</v>
      </c>
      <c r="K404" s="16">
        <f t="shared" si="26"/>
        <v>976.196</v>
      </c>
      <c r="L404" s="16">
        <f t="shared" si="27"/>
        <v>1051.288</v>
      </c>
    </row>
    <row r="405" spans="2:12">
      <c r="B405" s="12" t="s">
        <v>812</v>
      </c>
      <c r="C405" s="16" t="s">
        <v>813</v>
      </c>
      <c r="D405" s="16" t="s">
        <v>813</v>
      </c>
      <c r="E405" s="16" t="s">
        <v>813</v>
      </c>
      <c r="F405" s="16" t="s">
        <v>813</v>
      </c>
      <c r="G405">
        <v>1347.32</v>
      </c>
      <c r="H405" s="17">
        <v>2343.18</v>
      </c>
      <c r="I405" s="16">
        <f t="shared" si="24"/>
        <v>1549.418</v>
      </c>
      <c r="J405" s="16">
        <f t="shared" si="25"/>
        <v>1616.784</v>
      </c>
      <c r="K405" s="16">
        <f t="shared" si="26"/>
        <v>1751.516</v>
      </c>
      <c r="L405" s="16">
        <f t="shared" si="27"/>
        <v>1886.248</v>
      </c>
    </row>
  </sheetData>
  <conditionalFormatting sqref="B1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899990844447157"/>
  </sheetPr>
  <dimension ref="A1:J407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D1" sqref="D$1:D$1048576"/>
    </sheetView>
  </sheetViews>
  <sheetFormatPr defaultColWidth="9" defaultRowHeight="14.25"/>
  <cols>
    <col min="1" max="1" width="35" customWidth="1"/>
    <col min="2" max="2" width="40.1833333333333" customWidth="1"/>
    <col min="7" max="7" width="9.18333333333333" style="1"/>
  </cols>
  <sheetData>
    <row r="1" ht="19.5" customHeight="1" spans="1:2">
      <c r="A1" s="2" t="s">
        <v>814</v>
      </c>
      <c r="B1" s="3"/>
    </row>
    <row r="2" ht="15" spans="1:7">
      <c r="A2" s="4" t="s">
        <v>815</v>
      </c>
      <c r="B2" s="5"/>
      <c r="D2" s="6">
        <f>SUBTOTAL(9,D4:D407)</f>
        <v>210529.41</v>
      </c>
      <c r="G2" s="6">
        <f>SUBTOTAL(9,G4:G407)</f>
        <v>347033.269999999</v>
      </c>
    </row>
    <row r="3" ht="29.25" spans="1:10">
      <c r="A3" s="7" t="s">
        <v>816</v>
      </c>
      <c r="B3" s="8" t="s">
        <v>817</v>
      </c>
      <c r="C3" s="8" t="s">
        <v>0</v>
      </c>
      <c r="D3" s="9" t="s">
        <v>818</v>
      </c>
      <c r="E3" s="8" t="s">
        <v>819</v>
      </c>
      <c r="F3" s="8" t="s">
        <v>820</v>
      </c>
      <c r="G3" s="10" t="s">
        <v>6</v>
      </c>
      <c r="H3" s="11" t="s">
        <v>821</v>
      </c>
      <c r="I3" s="13" t="s">
        <v>822</v>
      </c>
      <c r="J3" s="13" t="s">
        <v>823</v>
      </c>
    </row>
    <row r="4" spans="1:10">
      <c r="A4" s="12" t="s">
        <v>13</v>
      </c>
      <c r="B4" t="s">
        <v>14</v>
      </c>
      <c r="C4" t="s">
        <v>824</v>
      </c>
      <c r="D4">
        <v>258.01</v>
      </c>
      <c r="E4" t="s">
        <v>825</v>
      </c>
      <c r="F4" t="s">
        <v>826</v>
      </c>
      <c r="G4" s="1">
        <v>258.01</v>
      </c>
      <c r="H4">
        <v>1</v>
      </c>
      <c r="I4">
        <v>0</v>
      </c>
      <c r="J4">
        <v>0</v>
      </c>
    </row>
    <row r="5" spans="1:10">
      <c r="A5" s="12" t="s">
        <v>15</v>
      </c>
      <c r="B5" t="s">
        <v>16</v>
      </c>
      <c r="C5" t="s">
        <v>824</v>
      </c>
      <c r="D5">
        <v>95.81</v>
      </c>
      <c r="E5" t="s">
        <v>825</v>
      </c>
      <c r="F5" t="s">
        <v>826</v>
      </c>
      <c r="G5" s="1">
        <v>153.28</v>
      </c>
      <c r="H5">
        <v>1</v>
      </c>
      <c r="I5">
        <v>0</v>
      </c>
      <c r="J5">
        <v>0</v>
      </c>
    </row>
    <row r="6" spans="1:10">
      <c r="A6" s="12" t="s">
        <v>17</v>
      </c>
      <c r="B6" t="s">
        <v>18</v>
      </c>
      <c r="C6" t="s">
        <v>824</v>
      </c>
      <c r="D6">
        <v>140.96</v>
      </c>
      <c r="E6" t="s">
        <v>825</v>
      </c>
      <c r="F6" t="s">
        <v>826</v>
      </c>
      <c r="G6" s="1">
        <v>225.53</v>
      </c>
      <c r="H6">
        <v>1</v>
      </c>
      <c r="I6">
        <v>0</v>
      </c>
      <c r="J6">
        <v>0</v>
      </c>
    </row>
    <row r="7" spans="1:10">
      <c r="A7" s="12" t="s">
        <v>19</v>
      </c>
      <c r="B7" t="s">
        <v>20</v>
      </c>
      <c r="C7" t="s">
        <v>824</v>
      </c>
      <c r="D7">
        <v>199.88</v>
      </c>
      <c r="E7" t="s">
        <v>825</v>
      </c>
      <c r="F7" t="s">
        <v>826</v>
      </c>
      <c r="G7" s="1">
        <v>319.8</v>
      </c>
      <c r="H7">
        <v>1</v>
      </c>
      <c r="I7">
        <v>0</v>
      </c>
      <c r="J7">
        <v>0</v>
      </c>
    </row>
    <row r="8" spans="1:10">
      <c r="A8" s="12" t="s">
        <v>21</v>
      </c>
      <c r="B8" t="s">
        <v>22</v>
      </c>
      <c r="C8" t="s">
        <v>824</v>
      </c>
      <c r="D8">
        <v>125.35</v>
      </c>
      <c r="E8" t="s">
        <v>825</v>
      </c>
      <c r="F8" t="s">
        <v>826</v>
      </c>
      <c r="G8" s="1">
        <v>200.56</v>
      </c>
      <c r="H8">
        <v>1</v>
      </c>
      <c r="I8">
        <v>0</v>
      </c>
      <c r="J8">
        <v>0</v>
      </c>
    </row>
    <row r="9" spans="1:10">
      <c r="A9" s="12" t="s">
        <v>23</v>
      </c>
      <c r="B9" t="s">
        <v>24</v>
      </c>
      <c r="C9" t="s">
        <v>824</v>
      </c>
      <c r="D9">
        <v>240.31</v>
      </c>
      <c r="E9" t="s">
        <v>825</v>
      </c>
      <c r="F9" t="s">
        <v>826</v>
      </c>
      <c r="G9" s="1">
        <v>384.49</v>
      </c>
      <c r="H9">
        <v>1</v>
      </c>
      <c r="I9">
        <v>0</v>
      </c>
      <c r="J9">
        <v>0</v>
      </c>
    </row>
    <row r="10" spans="1:10">
      <c r="A10" s="12" t="s">
        <v>25</v>
      </c>
      <c r="B10" t="s">
        <v>26</v>
      </c>
      <c r="C10" t="s">
        <v>824</v>
      </c>
      <c r="D10">
        <v>206.57</v>
      </c>
      <c r="E10" t="s">
        <v>825</v>
      </c>
      <c r="F10" t="s">
        <v>826</v>
      </c>
      <c r="G10" s="1">
        <v>330.51</v>
      </c>
      <c r="H10">
        <v>1</v>
      </c>
      <c r="I10">
        <v>0</v>
      </c>
      <c r="J10">
        <v>0</v>
      </c>
    </row>
    <row r="11" spans="1:10">
      <c r="A11" s="12" t="s">
        <v>27</v>
      </c>
      <c r="B11" t="s">
        <v>28</v>
      </c>
      <c r="C11" t="s">
        <v>824</v>
      </c>
      <c r="D11">
        <v>54.4</v>
      </c>
      <c r="E11" t="s">
        <v>825</v>
      </c>
      <c r="F11" t="s">
        <v>826</v>
      </c>
      <c r="G11" s="1">
        <v>94.6</v>
      </c>
      <c r="H11">
        <v>1</v>
      </c>
      <c r="I11">
        <v>0</v>
      </c>
      <c r="J11">
        <v>0</v>
      </c>
    </row>
    <row r="12" spans="1:10">
      <c r="A12" s="12" t="s">
        <v>29</v>
      </c>
      <c r="B12" t="s">
        <v>30</v>
      </c>
      <c r="C12" t="s">
        <v>824</v>
      </c>
      <c r="D12">
        <v>78.04</v>
      </c>
      <c r="E12" t="s">
        <v>825</v>
      </c>
      <c r="F12" t="s">
        <v>826</v>
      </c>
      <c r="G12" s="1">
        <v>135.73</v>
      </c>
      <c r="H12">
        <v>1</v>
      </c>
      <c r="I12">
        <v>0</v>
      </c>
      <c r="J12">
        <v>0</v>
      </c>
    </row>
    <row r="13" spans="1:10">
      <c r="A13" s="12" t="s">
        <v>31</v>
      </c>
      <c r="B13" t="s">
        <v>32</v>
      </c>
      <c r="C13" t="s">
        <v>824</v>
      </c>
      <c r="D13">
        <v>158.43</v>
      </c>
      <c r="E13" t="s">
        <v>825</v>
      </c>
      <c r="F13" t="s">
        <v>826</v>
      </c>
      <c r="G13" s="1">
        <v>275.51</v>
      </c>
      <c r="H13">
        <v>1</v>
      </c>
      <c r="I13">
        <v>0</v>
      </c>
      <c r="J13">
        <v>0</v>
      </c>
    </row>
    <row r="14" spans="1:10">
      <c r="A14" s="12" t="s">
        <v>33</v>
      </c>
      <c r="B14" t="s">
        <v>34</v>
      </c>
      <c r="C14" t="s">
        <v>824</v>
      </c>
      <c r="D14">
        <v>437.2</v>
      </c>
      <c r="E14" t="s">
        <v>825</v>
      </c>
      <c r="F14" t="s">
        <v>826</v>
      </c>
      <c r="G14" s="1">
        <v>760.35</v>
      </c>
      <c r="H14">
        <v>1</v>
      </c>
      <c r="I14">
        <v>0</v>
      </c>
      <c r="J14">
        <v>0</v>
      </c>
    </row>
    <row r="15" spans="1:10">
      <c r="A15" s="12" t="s">
        <v>35</v>
      </c>
      <c r="B15" t="s">
        <v>36</v>
      </c>
      <c r="C15" t="s">
        <v>824</v>
      </c>
      <c r="D15">
        <v>316.58</v>
      </c>
      <c r="E15" t="s">
        <v>825</v>
      </c>
      <c r="F15" t="s">
        <v>826</v>
      </c>
      <c r="G15" s="1">
        <v>506.52</v>
      </c>
      <c r="H15">
        <v>1</v>
      </c>
      <c r="I15">
        <v>0</v>
      </c>
      <c r="J15">
        <v>0</v>
      </c>
    </row>
    <row r="16" spans="1:10">
      <c r="A16" s="12" t="s">
        <v>37</v>
      </c>
      <c r="B16" t="s">
        <v>38</v>
      </c>
      <c r="C16" t="s">
        <v>824</v>
      </c>
      <c r="D16">
        <v>316.58</v>
      </c>
      <c r="E16" t="s">
        <v>825</v>
      </c>
      <c r="F16" t="s">
        <v>826</v>
      </c>
      <c r="G16" s="1">
        <v>506.52</v>
      </c>
      <c r="H16">
        <v>1</v>
      </c>
      <c r="I16">
        <v>0</v>
      </c>
      <c r="J16">
        <v>0</v>
      </c>
    </row>
    <row r="17" spans="1:10">
      <c r="A17" s="12" t="s">
        <v>39</v>
      </c>
      <c r="B17" t="s">
        <v>40</v>
      </c>
      <c r="C17" t="s">
        <v>824</v>
      </c>
      <c r="D17">
        <v>300.75</v>
      </c>
      <c r="E17" t="s">
        <v>825</v>
      </c>
      <c r="F17" t="s">
        <v>826</v>
      </c>
      <c r="G17" s="1">
        <v>481.2</v>
      </c>
      <c r="H17">
        <v>1</v>
      </c>
      <c r="I17">
        <v>0</v>
      </c>
      <c r="J17">
        <v>0</v>
      </c>
    </row>
    <row r="18" spans="1:10">
      <c r="A18" s="12" t="s">
        <v>41</v>
      </c>
      <c r="B18" t="s">
        <v>42</v>
      </c>
      <c r="C18" t="s">
        <v>824</v>
      </c>
      <c r="D18">
        <v>112.26</v>
      </c>
      <c r="E18" t="s">
        <v>825</v>
      </c>
      <c r="F18" t="s">
        <v>826</v>
      </c>
      <c r="G18" s="1">
        <v>179.62</v>
      </c>
      <c r="H18">
        <v>1</v>
      </c>
      <c r="I18">
        <v>0</v>
      </c>
      <c r="J18">
        <v>0</v>
      </c>
    </row>
    <row r="19" spans="1:10">
      <c r="A19" s="12" t="s">
        <v>43</v>
      </c>
      <c r="B19" t="s">
        <v>44</v>
      </c>
      <c r="C19" t="s">
        <v>824</v>
      </c>
      <c r="D19">
        <v>1168.71</v>
      </c>
      <c r="E19" t="s">
        <v>825</v>
      </c>
      <c r="F19" t="s">
        <v>826</v>
      </c>
      <c r="G19" s="1">
        <v>2032.55</v>
      </c>
      <c r="H19">
        <v>1</v>
      </c>
      <c r="I19">
        <v>0</v>
      </c>
      <c r="J19">
        <v>0</v>
      </c>
    </row>
    <row r="20" spans="1:10">
      <c r="A20" s="12" t="s">
        <v>45</v>
      </c>
      <c r="B20" t="s">
        <v>46</v>
      </c>
      <c r="C20" t="s">
        <v>824</v>
      </c>
      <c r="D20">
        <v>1178.81</v>
      </c>
      <c r="E20" t="s">
        <v>825</v>
      </c>
      <c r="F20" t="s">
        <v>826</v>
      </c>
      <c r="G20" s="1">
        <v>2050.11</v>
      </c>
      <c r="H20">
        <v>1</v>
      </c>
      <c r="I20">
        <v>0</v>
      </c>
      <c r="J20">
        <v>0</v>
      </c>
    </row>
    <row r="21" spans="1:10">
      <c r="A21" s="12" t="s">
        <v>47</v>
      </c>
      <c r="B21" t="s">
        <v>48</v>
      </c>
      <c r="C21" t="s">
        <v>824</v>
      </c>
      <c r="D21">
        <v>556.8</v>
      </c>
      <c r="E21" t="s">
        <v>825</v>
      </c>
      <c r="F21" t="s">
        <v>826</v>
      </c>
      <c r="G21" s="1">
        <v>968.33</v>
      </c>
      <c r="H21">
        <v>1</v>
      </c>
      <c r="I21">
        <v>0</v>
      </c>
      <c r="J21">
        <v>0</v>
      </c>
    </row>
    <row r="22" spans="1:10">
      <c r="A22" s="12" t="s">
        <v>49</v>
      </c>
      <c r="B22" t="s">
        <v>50</v>
      </c>
      <c r="C22" t="s">
        <v>824</v>
      </c>
      <c r="D22">
        <v>872.85</v>
      </c>
      <c r="E22" t="s">
        <v>825</v>
      </c>
      <c r="F22" t="s">
        <v>826</v>
      </c>
      <c r="G22" s="1">
        <v>1518</v>
      </c>
      <c r="H22">
        <v>1</v>
      </c>
      <c r="I22">
        <v>0</v>
      </c>
      <c r="J22">
        <v>0</v>
      </c>
    </row>
    <row r="23" spans="1:10">
      <c r="A23" s="12" t="s">
        <v>51</v>
      </c>
      <c r="B23" t="s">
        <v>52</v>
      </c>
      <c r="C23" t="s">
        <v>824</v>
      </c>
      <c r="D23">
        <v>1530.6</v>
      </c>
      <c r="E23" t="s">
        <v>825</v>
      </c>
      <c r="F23" t="s">
        <v>826</v>
      </c>
      <c r="G23" s="1">
        <v>2661.91</v>
      </c>
      <c r="H23">
        <v>1</v>
      </c>
      <c r="I23">
        <v>0</v>
      </c>
      <c r="J23">
        <v>0</v>
      </c>
    </row>
    <row r="24" spans="1:10">
      <c r="A24" s="12" t="s">
        <v>53</v>
      </c>
      <c r="B24" t="s">
        <v>54</v>
      </c>
      <c r="C24" t="s">
        <v>824</v>
      </c>
      <c r="D24">
        <v>2642.62</v>
      </c>
      <c r="E24" t="s">
        <v>825</v>
      </c>
      <c r="F24" t="s">
        <v>826</v>
      </c>
      <c r="G24" s="1">
        <v>4595.86</v>
      </c>
      <c r="H24">
        <v>1</v>
      </c>
      <c r="I24">
        <v>0</v>
      </c>
      <c r="J24">
        <v>0</v>
      </c>
    </row>
    <row r="25" spans="1:10">
      <c r="A25" s="12" t="s">
        <v>55</v>
      </c>
      <c r="B25" t="s">
        <v>56</v>
      </c>
      <c r="C25" t="s">
        <v>824</v>
      </c>
      <c r="D25">
        <v>1291.42</v>
      </c>
      <c r="E25" t="s">
        <v>825</v>
      </c>
      <c r="F25" t="s">
        <v>826</v>
      </c>
      <c r="G25" s="1">
        <v>2245.94</v>
      </c>
      <c r="H25">
        <v>1</v>
      </c>
      <c r="I25">
        <v>0</v>
      </c>
      <c r="J25">
        <v>0</v>
      </c>
    </row>
    <row r="26" spans="1:10">
      <c r="A26" s="12" t="s">
        <v>57</v>
      </c>
      <c r="B26" t="s">
        <v>58</v>
      </c>
      <c r="C26" t="s">
        <v>824</v>
      </c>
      <c r="D26">
        <v>1103.33</v>
      </c>
      <c r="E26" t="s">
        <v>825</v>
      </c>
      <c r="F26" t="s">
        <v>826</v>
      </c>
      <c r="G26" s="1">
        <v>1918.83</v>
      </c>
      <c r="H26">
        <v>1</v>
      </c>
      <c r="I26">
        <v>0</v>
      </c>
      <c r="J26">
        <v>0</v>
      </c>
    </row>
    <row r="27" spans="1:10">
      <c r="A27" s="12" t="s">
        <v>59</v>
      </c>
      <c r="B27" t="s">
        <v>60</v>
      </c>
      <c r="C27" t="s">
        <v>824</v>
      </c>
      <c r="D27">
        <v>994.77</v>
      </c>
      <c r="E27" t="s">
        <v>825</v>
      </c>
      <c r="F27" t="s">
        <v>826</v>
      </c>
      <c r="G27" s="1">
        <v>1730.04</v>
      </c>
      <c r="H27">
        <v>1</v>
      </c>
      <c r="I27">
        <v>0</v>
      </c>
      <c r="J27">
        <v>0</v>
      </c>
    </row>
    <row r="28" spans="1:10">
      <c r="A28" s="12" t="s">
        <v>61</v>
      </c>
      <c r="B28" t="s">
        <v>62</v>
      </c>
      <c r="C28" t="s">
        <v>824</v>
      </c>
      <c r="D28">
        <v>1651.74</v>
      </c>
      <c r="E28" t="s">
        <v>825</v>
      </c>
      <c r="F28" t="s">
        <v>826</v>
      </c>
      <c r="G28" s="1">
        <v>2872.58</v>
      </c>
      <c r="H28">
        <v>1</v>
      </c>
      <c r="I28">
        <v>0</v>
      </c>
      <c r="J28">
        <v>0</v>
      </c>
    </row>
    <row r="29" spans="1:10">
      <c r="A29" s="12" t="s">
        <v>63</v>
      </c>
      <c r="B29" t="s">
        <v>64</v>
      </c>
      <c r="C29" t="s">
        <v>824</v>
      </c>
      <c r="D29">
        <v>2804.92</v>
      </c>
      <c r="E29" t="s">
        <v>825</v>
      </c>
      <c r="F29" t="s">
        <v>826</v>
      </c>
      <c r="G29" s="1">
        <v>4878.12</v>
      </c>
      <c r="H29">
        <v>1</v>
      </c>
      <c r="I29">
        <v>0</v>
      </c>
      <c r="J29">
        <v>0</v>
      </c>
    </row>
    <row r="30" spans="1:10">
      <c r="A30" s="12" t="s">
        <v>65</v>
      </c>
      <c r="B30" t="s">
        <v>66</v>
      </c>
      <c r="C30" t="s">
        <v>824</v>
      </c>
      <c r="D30">
        <v>1265.11</v>
      </c>
      <c r="E30" t="s">
        <v>825</v>
      </c>
      <c r="F30" t="s">
        <v>826</v>
      </c>
      <c r="G30" s="1">
        <v>2200.18</v>
      </c>
      <c r="H30">
        <v>1</v>
      </c>
      <c r="I30">
        <v>0</v>
      </c>
      <c r="J30">
        <v>0</v>
      </c>
    </row>
    <row r="31" spans="1:10">
      <c r="A31" s="12" t="s">
        <v>67</v>
      </c>
      <c r="B31" t="s">
        <v>68</v>
      </c>
      <c r="C31" t="s">
        <v>824</v>
      </c>
      <c r="D31">
        <v>1973.23</v>
      </c>
      <c r="E31" t="s">
        <v>825</v>
      </c>
      <c r="F31" t="s">
        <v>826</v>
      </c>
      <c r="G31" s="1">
        <v>3431.71</v>
      </c>
      <c r="H31">
        <v>1</v>
      </c>
      <c r="I31">
        <v>0</v>
      </c>
      <c r="J31">
        <v>0</v>
      </c>
    </row>
    <row r="32" spans="1:10">
      <c r="A32" s="12" t="s">
        <v>69</v>
      </c>
      <c r="B32" t="s">
        <v>70</v>
      </c>
      <c r="C32" t="s">
        <v>824</v>
      </c>
      <c r="D32">
        <v>126.11</v>
      </c>
      <c r="E32" t="s">
        <v>825</v>
      </c>
      <c r="F32" t="s">
        <v>826</v>
      </c>
      <c r="G32" s="1">
        <v>219.33</v>
      </c>
      <c r="H32">
        <v>1</v>
      </c>
      <c r="I32">
        <v>0</v>
      </c>
      <c r="J32">
        <v>0</v>
      </c>
    </row>
    <row r="33" spans="1:10">
      <c r="A33" s="12" t="s">
        <v>71</v>
      </c>
      <c r="B33" t="s">
        <v>72</v>
      </c>
      <c r="C33" t="s">
        <v>824</v>
      </c>
      <c r="D33">
        <v>161.59</v>
      </c>
      <c r="E33" t="s">
        <v>825</v>
      </c>
      <c r="F33" t="s">
        <v>826</v>
      </c>
      <c r="G33" s="1">
        <v>281.04</v>
      </c>
      <c r="H33">
        <v>1</v>
      </c>
      <c r="I33">
        <v>0</v>
      </c>
      <c r="J33">
        <v>0</v>
      </c>
    </row>
    <row r="34" spans="1:10">
      <c r="A34" s="12" t="s">
        <v>73</v>
      </c>
      <c r="B34" t="s">
        <v>74</v>
      </c>
      <c r="C34" t="s">
        <v>824</v>
      </c>
      <c r="D34">
        <v>276.69</v>
      </c>
      <c r="E34" t="s">
        <v>825</v>
      </c>
      <c r="F34" t="s">
        <v>826</v>
      </c>
      <c r="G34" s="1">
        <v>481.19</v>
      </c>
      <c r="H34">
        <v>1</v>
      </c>
      <c r="I34">
        <v>0</v>
      </c>
      <c r="J34">
        <v>0</v>
      </c>
    </row>
    <row r="35" spans="1:10">
      <c r="A35" s="12" t="s">
        <v>75</v>
      </c>
      <c r="B35" t="s">
        <v>76</v>
      </c>
      <c r="C35" t="s">
        <v>824</v>
      </c>
      <c r="D35">
        <v>353.1</v>
      </c>
      <c r="E35" t="s">
        <v>825</v>
      </c>
      <c r="F35" t="s">
        <v>826</v>
      </c>
      <c r="G35" s="1">
        <v>614.09</v>
      </c>
      <c r="H35">
        <v>1</v>
      </c>
      <c r="I35">
        <v>0</v>
      </c>
      <c r="J35">
        <v>0</v>
      </c>
    </row>
    <row r="36" spans="1:10">
      <c r="A36" s="12" t="s">
        <v>77</v>
      </c>
      <c r="B36" t="s">
        <v>78</v>
      </c>
      <c r="C36" t="s">
        <v>824</v>
      </c>
      <c r="D36">
        <v>528.07</v>
      </c>
      <c r="E36" t="s">
        <v>825</v>
      </c>
      <c r="F36" t="s">
        <v>826</v>
      </c>
      <c r="G36" s="1">
        <v>918.36</v>
      </c>
      <c r="H36">
        <v>1</v>
      </c>
      <c r="I36">
        <v>0</v>
      </c>
      <c r="J36">
        <v>0</v>
      </c>
    </row>
    <row r="37" spans="1:10">
      <c r="A37" s="12" t="s">
        <v>79</v>
      </c>
      <c r="B37" t="s">
        <v>80</v>
      </c>
      <c r="C37" t="s">
        <v>824</v>
      </c>
      <c r="D37">
        <v>709.77</v>
      </c>
      <c r="E37" t="s">
        <v>825</v>
      </c>
      <c r="F37" t="s">
        <v>826</v>
      </c>
      <c r="G37" s="1">
        <v>1234.38</v>
      </c>
      <c r="H37">
        <v>1</v>
      </c>
      <c r="I37">
        <v>0</v>
      </c>
      <c r="J37">
        <v>0</v>
      </c>
    </row>
    <row r="38" spans="1:10">
      <c r="A38" s="12" t="s">
        <v>81</v>
      </c>
      <c r="B38" t="s">
        <v>82</v>
      </c>
      <c r="C38" t="s">
        <v>824</v>
      </c>
      <c r="D38">
        <v>890.7</v>
      </c>
      <c r="E38" t="s">
        <v>825</v>
      </c>
      <c r="F38" t="s">
        <v>826</v>
      </c>
      <c r="G38" s="1">
        <v>1549.06</v>
      </c>
      <c r="H38">
        <v>1</v>
      </c>
      <c r="I38">
        <v>0</v>
      </c>
      <c r="J38">
        <v>0</v>
      </c>
    </row>
    <row r="39" spans="1:10">
      <c r="A39" s="12" t="s">
        <v>83</v>
      </c>
      <c r="B39" t="s">
        <v>84</v>
      </c>
      <c r="C39" t="s">
        <v>824</v>
      </c>
      <c r="D39">
        <v>1174.15</v>
      </c>
      <c r="E39" t="s">
        <v>825</v>
      </c>
      <c r="F39" t="s">
        <v>826</v>
      </c>
      <c r="G39" s="1">
        <v>2042</v>
      </c>
      <c r="H39">
        <v>1</v>
      </c>
      <c r="I39">
        <v>0</v>
      </c>
      <c r="J39">
        <v>0</v>
      </c>
    </row>
    <row r="40" spans="1:10">
      <c r="A40" s="12" t="s">
        <v>85</v>
      </c>
      <c r="B40" t="s">
        <v>86</v>
      </c>
      <c r="C40" t="s">
        <v>824</v>
      </c>
      <c r="D40">
        <v>126.11</v>
      </c>
      <c r="E40" t="s">
        <v>825</v>
      </c>
      <c r="F40" t="s">
        <v>826</v>
      </c>
      <c r="G40" s="1">
        <v>219.33</v>
      </c>
      <c r="H40">
        <v>1</v>
      </c>
      <c r="I40">
        <v>0</v>
      </c>
      <c r="J40">
        <v>0</v>
      </c>
    </row>
    <row r="41" spans="1:10">
      <c r="A41" s="12" t="s">
        <v>87</v>
      </c>
      <c r="B41" t="s">
        <v>88</v>
      </c>
      <c r="C41" t="s">
        <v>824</v>
      </c>
      <c r="D41">
        <v>161.59</v>
      </c>
      <c r="E41" t="s">
        <v>825</v>
      </c>
      <c r="F41" t="s">
        <v>826</v>
      </c>
      <c r="G41" s="1">
        <v>281.04</v>
      </c>
      <c r="H41">
        <v>1</v>
      </c>
      <c r="I41">
        <v>0</v>
      </c>
      <c r="J41">
        <v>0</v>
      </c>
    </row>
    <row r="42" spans="1:10">
      <c r="A42" s="12" t="s">
        <v>89</v>
      </c>
      <c r="B42" t="s">
        <v>90</v>
      </c>
      <c r="C42" t="s">
        <v>824</v>
      </c>
      <c r="D42">
        <v>276.69</v>
      </c>
      <c r="E42" t="s">
        <v>825</v>
      </c>
      <c r="F42" t="s">
        <v>826</v>
      </c>
      <c r="G42" s="1">
        <v>481.19</v>
      </c>
      <c r="H42">
        <v>1</v>
      </c>
      <c r="I42">
        <v>0</v>
      </c>
      <c r="J42">
        <v>0</v>
      </c>
    </row>
    <row r="43" spans="1:10">
      <c r="A43" s="12" t="s">
        <v>91</v>
      </c>
      <c r="B43" t="s">
        <v>92</v>
      </c>
      <c r="C43" t="s">
        <v>824</v>
      </c>
      <c r="D43">
        <v>353.1</v>
      </c>
      <c r="E43" t="s">
        <v>825</v>
      </c>
      <c r="F43" t="s">
        <v>826</v>
      </c>
      <c r="G43" s="1">
        <v>614.09</v>
      </c>
      <c r="H43">
        <v>1</v>
      </c>
      <c r="I43">
        <v>0</v>
      </c>
      <c r="J43">
        <v>0</v>
      </c>
    </row>
    <row r="44" spans="1:10">
      <c r="A44" s="12" t="s">
        <v>93</v>
      </c>
      <c r="B44" t="s">
        <v>94</v>
      </c>
      <c r="C44" t="s">
        <v>824</v>
      </c>
      <c r="D44">
        <v>528.07</v>
      </c>
      <c r="E44" t="s">
        <v>825</v>
      </c>
      <c r="F44" t="s">
        <v>826</v>
      </c>
      <c r="G44" s="1">
        <v>918.36</v>
      </c>
      <c r="H44">
        <v>1</v>
      </c>
      <c r="I44">
        <v>0</v>
      </c>
      <c r="J44">
        <v>0</v>
      </c>
    </row>
    <row r="45" spans="1:10">
      <c r="A45" s="12" t="s">
        <v>95</v>
      </c>
      <c r="B45" t="s">
        <v>96</v>
      </c>
      <c r="C45" t="s">
        <v>824</v>
      </c>
      <c r="D45">
        <v>709.77</v>
      </c>
      <c r="E45" t="s">
        <v>825</v>
      </c>
      <c r="F45" t="s">
        <v>826</v>
      </c>
      <c r="G45" s="1">
        <v>1234.38</v>
      </c>
      <c r="H45">
        <v>1</v>
      </c>
      <c r="I45">
        <v>0</v>
      </c>
      <c r="J45">
        <v>0</v>
      </c>
    </row>
    <row r="46" spans="1:10">
      <c r="A46" s="12" t="s">
        <v>97</v>
      </c>
      <c r="B46" t="s">
        <v>98</v>
      </c>
      <c r="C46" t="s">
        <v>824</v>
      </c>
      <c r="D46">
        <v>890.7</v>
      </c>
      <c r="E46" t="s">
        <v>825</v>
      </c>
      <c r="F46" t="s">
        <v>826</v>
      </c>
      <c r="G46" s="1">
        <v>1549.06</v>
      </c>
      <c r="H46">
        <v>1</v>
      </c>
      <c r="I46">
        <v>0</v>
      </c>
      <c r="J46">
        <v>0</v>
      </c>
    </row>
    <row r="47" spans="1:10">
      <c r="A47" s="12" t="s">
        <v>99</v>
      </c>
      <c r="B47" t="s">
        <v>100</v>
      </c>
      <c r="C47" t="s">
        <v>824</v>
      </c>
      <c r="D47">
        <v>276.69</v>
      </c>
      <c r="E47" t="s">
        <v>825</v>
      </c>
      <c r="F47" t="s">
        <v>826</v>
      </c>
      <c r="G47" s="1">
        <v>481.19</v>
      </c>
      <c r="H47">
        <v>1</v>
      </c>
      <c r="I47">
        <v>0</v>
      </c>
      <c r="J47">
        <v>0</v>
      </c>
    </row>
    <row r="48" spans="1:10">
      <c r="A48" s="12" t="s">
        <v>101</v>
      </c>
      <c r="B48" t="s">
        <v>102</v>
      </c>
      <c r="C48" t="s">
        <v>824</v>
      </c>
      <c r="D48">
        <v>367.38</v>
      </c>
      <c r="E48" t="s">
        <v>825</v>
      </c>
      <c r="F48" t="s">
        <v>826</v>
      </c>
      <c r="G48" s="1">
        <v>638.91</v>
      </c>
      <c r="H48">
        <v>1</v>
      </c>
      <c r="I48">
        <v>0</v>
      </c>
      <c r="J48">
        <v>0</v>
      </c>
    </row>
    <row r="49" spans="1:10">
      <c r="A49" s="12" t="s">
        <v>103</v>
      </c>
      <c r="B49" t="s">
        <v>104</v>
      </c>
      <c r="C49" t="s">
        <v>824</v>
      </c>
      <c r="D49">
        <v>528.07</v>
      </c>
      <c r="E49" t="s">
        <v>825</v>
      </c>
      <c r="F49" t="s">
        <v>826</v>
      </c>
      <c r="G49" s="1">
        <v>918.36</v>
      </c>
      <c r="H49">
        <v>1</v>
      </c>
      <c r="I49">
        <v>0</v>
      </c>
      <c r="J49">
        <v>0</v>
      </c>
    </row>
    <row r="50" spans="1:10">
      <c r="A50" s="12" t="s">
        <v>105</v>
      </c>
      <c r="B50" t="s">
        <v>106</v>
      </c>
      <c r="C50" t="s">
        <v>824</v>
      </c>
      <c r="D50">
        <v>282.59</v>
      </c>
      <c r="E50" t="s">
        <v>825</v>
      </c>
      <c r="F50" t="s">
        <v>826</v>
      </c>
      <c r="G50" s="1">
        <v>491.47</v>
      </c>
      <c r="H50">
        <v>1</v>
      </c>
      <c r="I50">
        <v>0</v>
      </c>
      <c r="J50">
        <v>0</v>
      </c>
    </row>
    <row r="51" spans="1:10">
      <c r="A51" s="12" t="s">
        <v>107</v>
      </c>
      <c r="B51" t="s">
        <v>108</v>
      </c>
      <c r="C51" t="s">
        <v>824</v>
      </c>
      <c r="D51">
        <v>456.14</v>
      </c>
      <c r="E51" t="s">
        <v>825</v>
      </c>
      <c r="F51" t="s">
        <v>826</v>
      </c>
      <c r="G51" s="1">
        <v>793.31</v>
      </c>
      <c r="H51">
        <v>1</v>
      </c>
      <c r="I51">
        <v>0</v>
      </c>
      <c r="J51">
        <v>0</v>
      </c>
    </row>
    <row r="52" spans="1:10">
      <c r="A52" s="12" t="s">
        <v>109</v>
      </c>
      <c r="B52" t="s">
        <v>110</v>
      </c>
      <c r="C52" t="s">
        <v>824</v>
      </c>
      <c r="D52">
        <v>528.07</v>
      </c>
      <c r="E52" t="s">
        <v>825</v>
      </c>
      <c r="F52" t="s">
        <v>826</v>
      </c>
      <c r="G52" s="1">
        <v>918.36</v>
      </c>
      <c r="H52">
        <v>1</v>
      </c>
      <c r="I52">
        <v>0</v>
      </c>
      <c r="J52">
        <v>0</v>
      </c>
    </row>
    <row r="53" spans="1:10">
      <c r="A53" s="12" t="s">
        <v>111</v>
      </c>
      <c r="B53" t="s">
        <v>112</v>
      </c>
      <c r="C53" t="s">
        <v>824</v>
      </c>
      <c r="D53">
        <v>276.69</v>
      </c>
      <c r="E53" t="s">
        <v>825</v>
      </c>
      <c r="F53" t="s">
        <v>826</v>
      </c>
      <c r="G53" s="1">
        <v>481.19</v>
      </c>
      <c r="H53">
        <v>1</v>
      </c>
      <c r="I53">
        <v>0</v>
      </c>
      <c r="J53">
        <v>0</v>
      </c>
    </row>
    <row r="54" spans="1:10">
      <c r="A54" s="12" t="s">
        <v>113</v>
      </c>
      <c r="B54" t="s">
        <v>114</v>
      </c>
      <c r="C54" t="s">
        <v>824</v>
      </c>
      <c r="D54">
        <v>353.1</v>
      </c>
      <c r="E54" t="s">
        <v>825</v>
      </c>
      <c r="F54" t="s">
        <v>826</v>
      </c>
      <c r="G54" s="1">
        <v>614.09</v>
      </c>
      <c r="H54">
        <v>1</v>
      </c>
      <c r="I54">
        <v>0</v>
      </c>
      <c r="J54">
        <v>0</v>
      </c>
    </row>
    <row r="55" spans="1:10">
      <c r="A55" s="12" t="s">
        <v>115</v>
      </c>
      <c r="B55" t="s">
        <v>116</v>
      </c>
      <c r="C55" t="s">
        <v>824</v>
      </c>
      <c r="D55">
        <v>528.07</v>
      </c>
      <c r="E55" t="s">
        <v>825</v>
      </c>
      <c r="F55" t="s">
        <v>826</v>
      </c>
      <c r="G55" s="1">
        <v>918.36</v>
      </c>
      <c r="H55">
        <v>1</v>
      </c>
      <c r="I55">
        <v>0</v>
      </c>
      <c r="J55">
        <v>0</v>
      </c>
    </row>
    <row r="56" spans="1:10">
      <c r="A56" s="12" t="s">
        <v>117</v>
      </c>
      <c r="B56" t="s">
        <v>118</v>
      </c>
      <c r="C56" t="s">
        <v>824</v>
      </c>
      <c r="D56">
        <v>890.7</v>
      </c>
      <c r="E56" t="s">
        <v>825</v>
      </c>
      <c r="F56" t="s">
        <v>826</v>
      </c>
      <c r="G56" s="1">
        <v>1549.06</v>
      </c>
      <c r="H56">
        <v>1</v>
      </c>
      <c r="I56">
        <v>0</v>
      </c>
      <c r="J56">
        <v>0</v>
      </c>
    </row>
    <row r="57" spans="1:10">
      <c r="A57" s="12" t="s">
        <v>119</v>
      </c>
      <c r="B57" t="s">
        <v>120</v>
      </c>
      <c r="C57" t="s">
        <v>824</v>
      </c>
      <c r="D57">
        <v>1174.15</v>
      </c>
      <c r="E57" t="s">
        <v>825</v>
      </c>
      <c r="F57" t="s">
        <v>826</v>
      </c>
      <c r="G57" s="1">
        <v>2042</v>
      </c>
      <c r="H57">
        <v>1</v>
      </c>
      <c r="I57">
        <v>0</v>
      </c>
      <c r="J57">
        <v>0</v>
      </c>
    </row>
    <row r="58" spans="1:10">
      <c r="A58" s="12" t="s">
        <v>121</v>
      </c>
      <c r="B58" t="s">
        <v>122</v>
      </c>
      <c r="C58" t="s">
        <v>824</v>
      </c>
      <c r="D58">
        <v>291.25</v>
      </c>
      <c r="E58" t="s">
        <v>825</v>
      </c>
      <c r="F58" t="s">
        <v>826</v>
      </c>
      <c r="G58" s="1">
        <v>506.53</v>
      </c>
      <c r="H58">
        <v>1</v>
      </c>
      <c r="I58">
        <v>0</v>
      </c>
      <c r="J58">
        <v>0</v>
      </c>
    </row>
    <row r="59" spans="1:10">
      <c r="A59" s="12" t="s">
        <v>123</v>
      </c>
      <c r="B59" t="s">
        <v>124</v>
      </c>
      <c r="C59" t="s">
        <v>824</v>
      </c>
      <c r="D59">
        <v>353.1</v>
      </c>
      <c r="E59" t="s">
        <v>825</v>
      </c>
      <c r="F59" t="s">
        <v>826</v>
      </c>
      <c r="G59" s="1">
        <v>614.09</v>
      </c>
      <c r="H59">
        <v>1</v>
      </c>
      <c r="I59">
        <v>0</v>
      </c>
      <c r="J59">
        <v>0</v>
      </c>
    </row>
    <row r="60" spans="1:10">
      <c r="A60" s="12" t="s">
        <v>125</v>
      </c>
      <c r="B60" t="s">
        <v>126</v>
      </c>
      <c r="C60" t="s">
        <v>824</v>
      </c>
      <c r="D60">
        <v>528.07</v>
      </c>
      <c r="E60" t="s">
        <v>825</v>
      </c>
      <c r="F60" t="s">
        <v>826</v>
      </c>
      <c r="G60" s="1">
        <v>918.36</v>
      </c>
      <c r="H60">
        <v>1</v>
      </c>
      <c r="I60">
        <v>0</v>
      </c>
      <c r="J60">
        <v>0</v>
      </c>
    </row>
    <row r="61" spans="1:10">
      <c r="A61" s="12" t="s">
        <v>127</v>
      </c>
      <c r="B61" t="s">
        <v>128</v>
      </c>
      <c r="C61" t="s">
        <v>824</v>
      </c>
      <c r="D61">
        <v>890.7</v>
      </c>
      <c r="E61" t="s">
        <v>825</v>
      </c>
      <c r="F61" t="s">
        <v>826</v>
      </c>
      <c r="G61" s="1">
        <v>1549.06</v>
      </c>
      <c r="H61">
        <v>2</v>
      </c>
      <c r="I61">
        <v>0</v>
      </c>
      <c r="J61">
        <v>0</v>
      </c>
    </row>
    <row r="62" spans="1:10">
      <c r="A62" s="12" t="s">
        <v>129</v>
      </c>
      <c r="B62" t="s">
        <v>130</v>
      </c>
      <c r="C62" t="s">
        <v>824</v>
      </c>
      <c r="D62">
        <v>290.53</v>
      </c>
      <c r="E62" t="s">
        <v>825</v>
      </c>
      <c r="F62" t="s">
        <v>826</v>
      </c>
      <c r="G62" s="1">
        <v>505.25</v>
      </c>
      <c r="H62">
        <v>1</v>
      </c>
      <c r="I62">
        <v>0</v>
      </c>
      <c r="J62">
        <v>0</v>
      </c>
    </row>
    <row r="63" spans="1:10">
      <c r="A63" s="12" t="s">
        <v>131</v>
      </c>
      <c r="B63" t="s">
        <v>132</v>
      </c>
      <c r="C63" t="s">
        <v>824</v>
      </c>
      <c r="D63">
        <v>709.77</v>
      </c>
      <c r="E63" t="s">
        <v>825</v>
      </c>
      <c r="F63" t="s">
        <v>826</v>
      </c>
      <c r="G63" s="1">
        <v>1234.38</v>
      </c>
      <c r="H63">
        <v>1</v>
      </c>
      <c r="I63">
        <v>0</v>
      </c>
      <c r="J63">
        <v>0</v>
      </c>
    </row>
    <row r="64" spans="1:10">
      <c r="A64" s="12" t="s">
        <v>133</v>
      </c>
      <c r="B64" t="s">
        <v>134</v>
      </c>
      <c r="C64" t="s">
        <v>824</v>
      </c>
      <c r="D64">
        <v>276.69</v>
      </c>
      <c r="E64" t="s">
        <v>825</v>
      </c>
      <c r="F64" t="s">
        <v>826</v>
      </c>
      <c r="G64" s="1">
        <v>481.19</v>
      </c>
      <c r="H64">
        <v>1</v>
      </c>
      <c r="I64">
        <v>0</v>
      </c>
      <c r="J64">
        <v>0</v>
      </c>
    </row>
    <row r="65" spans="1:10">
      <c r="A65" s="12" t="s">
        <v>135</v>
      </c>
      <c r="B65" t="s">
        <v>136</v>
      </c>
      <c r="C65" t="s">
        <v>824</v>
      </c>
      <c r="D65">
        <v>709.77</v>
      </c>
      <c r="E65" t="s">
        <v>825</v>
      </c>
      <c r="F65" t="s">
        <v>826</v>
      </c>
      <c r="G65" s="1">
        <v>1234.38</v>
      </c>
      <c r="H65">
        <v>1</v>
      </c>
      <c r="I65">
        <v>0</v>
      </c>
      <c r="J65">
        <v>0</v>
      </c>
    </row>
    <row r="66" spans="1:10">
      <c r="A66" s="12" t="s">
        <v>137</v>
      </c>
      <c r="B66" t="s">
        <v>138</v>
      </c>
      <c r="C66" t="s">
        <v>824</v>
      </c>
      <c r="D66">
        <v>815.38</v>
      </c>
      <c r="E66" t="s">
        <v>825</v>
      </c>
      <c r="F66" t="s">
        <v>826</v>
      </c>
      <c r="G66" s="1">
        <v>1418.05</v>
      </c>
      <c r="H66">
        <v>1</v>
      </c>
      <c r="I66">
        <v>0</v>
      </c>
      <c r="J66">
        <v>0</v>
      </c>
    </row>
    <row r="67" spans="1:10">
      <c r="A67" s="12" t="s">
        <v>139</v>
      </c>
      <c r="B67" t="s">
        <v>140</v>
      </c>
      <c r="C67" t="s">
        <v>824</v>
      </c>
      <c r="D67">
        <v>1118.24</v>
      </c>
      <c r="E67" t="s">
        <v>825</v>
      </c>
      <c r="F67" t="s">
        <v>826</v>
      </c>
      <c r="G67" s="1">
        <v>1944.77</v>
      </c>
      <c r="H67">
        <v>1</v>
      </c>
      <c r="I67">
        <v>0</v>
      </c>
      <c r="J67">
        <v>0</v>
      </c>
    </row>
    <row r="68" spans="1:10">
      <c r="A68" s="12" t="s">
        <v>141</v>
      </c>
      <c r="B68" t="s">
        <v>142</v>
      </c>
      <c r="C68" t="s">
        <v>824</v>
      </c>
      <c r="D68">
        <v>815.38</v>
      </c>
      <c r="E68" t="s">
        <v>825</v>
      </c>
      <c r="F68" t="s">
        <v>826</v>
      </c>
      <c r="G68" s="1">
        <v>1418.05</v>
      </c>
      <c r="H68">
        <v>1</v>
      </c>
      <c r="I68">
        <v>0</v>
      </c>
      <c r="J68">
        <v>0</v>
      </c>
    </row>
    <row r="69" spans="1:10">
      <c r="A69" s="12" t="s">
        <v>143</v>
      </c>
      <c r="B69" t="s">
        <v>144</v>
      </c>
      <c r="C69" t="s">
        <v>824</v>
      </c>
      <c r="D69">
        <v>1118.24</v>
      </c>
      <c r="E69" t="s">
        <v>825</v>
      </c>
      <c r="F69" t="s">
        <v>826</v>
      </c>
      <c r="G69" s="1">
        <v>1944.77</v>
      </c>
      <c r="H69">
        <v>1</v>
      </c>
      <c r="I69">
        <v>0</v>
      </c>
      <c r="J69">
        <v>0</v>
      </c>
    </row>
    <row r="70" spans="1:10">
      <c r="A70" s="12" t="s">
        <v>145</v>
      </c>
      <c r="B70" t="s">
        <v>146</v>
      </c>
      <c r="C70" t="s">
        <v>824</v>
      </c>
      <c r="D70">
        <v>797.3</v>
      </c>
      <c r="E70" t="s">
        <v>825</v>
      </c>
      <c r="F70" t="s">
        <v>826</v>
      </c>
      <c r="G70" s="1">
        <v>1386.61</v>
      </c>
      <c r="H70">
        <v>1</v>
      </c>
      <c r="I70">
        <v>0</v>
      </c>
      <c r="J70">
        <v>0</v>
      </c>
    </row>
    <row r="71" spans="1:10">
      <c r="A71" s="12" t="s">
        <v>147</v>
      </c>
      <c r="B71" t="s">
        <v>148</v>
      </c>
      <c r="C71" t="s">
        <v>824</v>
      </c>
      <c r="D71">
        <v>945.06</v>
      </c>
      <c r="E71" t="s">
        <v>825</v>
      </c>
      <c r="F71" t="s">
        <v>826</v>
      </c>
      <c r="G71" s="1">
        <v>1643.59</v>
      </c>
      <c r="H71">
        <v>1</v>
      </c>
      <c r="I71">
        <v>0</v>
      </c>
      <c r="J71">
        <v>0</v>
      </c>
    </row>
    <row r="72" spans="1:10">
      <c r="A72" s="12" t="s">
        <v>149</v>
      </c>
      <c r="B72" t="s">
        <v>150</v>
      </c>
      <c r="C72" t="s">
        <v>824</v>
      </c>
      <c r="D72">
        <v>1181.15</v>
      </c>
      <c r="E72" t="s">
        <v>825</v>
      </c>
      <c r="F72" t="s">
        <v>826</v>
      </c>
      <c r="G72" s="1">
        <v>2054.17</v>
      </c>
      <c r="H72">
        <v>1</v>
      </c>
      <c r="I72">
        <v>0</v>
      </c>
      <c r="J72">
        <v>0</v>
      </c>
    </row>
    <row r="73" spans="1:10">
      <c r="A73" s="12" t="s">
        <v>151</v>
      </c>
      <c r="B73" t="s">
        <v>152</v>
      </c>
      <c r="C73" t="s">
        <v>824</v>
      </c>
      <c r="D73">
        <v>1574.86</v>
      </c>
      <c r="E73" t="s">
        <v>825</v>
      </c>
      <c r="F73" t="s">
        <v>826</v>
      </c>
      <c r="G73" s="1">
        <v>2738.9</v>
      </c>
      <c r="H73">
        <v>1</v>
      </c>
      <c r="I73">
        <v>0</v>
      </c>
      <c r="J73">
        <v>0</v>
      </c>
    </row>
    <row r="74" spans="1:10">
      <c r="A74" s="12" t="s">
        <v>153</v>
      </c>
      <c r="B74" t="s">
        <v>154</v>
      </c>
      <c r="C74" t="s">
        <v>824</v>
      </c>
      <c r="D74">
        <v>945.06</v>
      </c>
      <c r="E74" t="s">
        <v>825</v>
      </c>
      <c r="F74" t="s">
        <v>826</v>
      </c>
      <c r="G74" s="1">
        <v>1643.59</v>
      </c>
      <c r="H74">
        <v>1</v>
      </c>
      <c r="I74">
        <v>0</v>
      </c>
      <c r="J74">
        <v>0</v>
      </c>
    </row>
    <row r="75" spans="1:10">
      <c r="A75" s="12" t="s">
        <v>155</v>
      </c>
      <c r="B75" t="s">
        <v>156</v>
      </c>
      <c r="C75" t="s">
        <v>824</v>
      </c>
      <c r="D75">
        <v>1181.15</v>
      </c>
      <c r="E75" t="s">
        <v>825</v>
      </c>
      <c r="F75" t="s">
        <v>826</v>
      </c>
      <c r="G75" s="1">
        <v>2054.17</v>
      </c>
      <c r="H75">
        <v>1</v>
      </c>
      <c r="I75">
        <v>0</v>
      </c>
      <c r="J75">
        <v>0</v>
      </c>
    </row>
    <row r="76" spans="1:10">
      <c r="A76" s="12" t="s">
        <v>157</v>
      </c>
      <c r="B76" t="s">
        <v>158</v>
      </c>
      <c r="C76" t="s">
        <v>824</v>
      </c>
      <c r="D76">
        <v>1574.86</v>
      </c>
      <c r="E76" t="s">
        <v>825</v>
      </c>
      <c r="F76" t="s">
        <v>826</v>
      </c>
      <c r="G76" s="1">
        <v>2738.9</v>
      </c>
      <c r="H76">
        <v>1</v>
      </c>
      <c r="I76">
        <v>0</v>
      </c>
      <c r="J76">
        <v>0</v>
      </c>
    </row>
    <row r="77" spans="1:10">
      <c r="A77" s="12" t="s">
        <v>159</v>
      </c>
      <c r="B77" t="s">
        <v>160</v>
      </c>
      <c r="C77" t="s">
        <v>824</v>
      </c>
      <c r="D77">
        <v>1830.52</v>
      </c>
      <c r="E77" t="s">
        <v>825</v>
      </c>
      <c r="F77" t="s">
        <v>826</v>
      </c>
      <c r="G77" s="1">
        <v>3183.51</v>
      </c>
      <c r="H77">
        <v>1</v>
      </c>
      <c r="I77">
        <v>0</v>
      </c>
      <c r="J77">
        <v>0</v>
      </c>
    </row>
    <row r="78" spans="1:10">
      <c r="A78" s="12" t="s">
        <v>161</v>
      </c>
      <c r="B78" t="s">
        <v>162</v>
      </c>
      <c r="C78" t="s">
        <v>824</v>
      </c>
      <c r="D78">
        <v>1709.94</v>
      </c>
      <c r="E78" t="s">
        <v>825</v>
      </c>
      <c r="F78" t="s">
        <v>826</v>
      </c>
      <c r="G78" s="1">
        <v>2999.91</v>
      </c>
      <c r="H78">
        <v>1</v>
      </c>
      <c r="I78">
        <v>0</v>
      </c>
      <c r="J78">
        <v>0</v>
      </c>
    </row>
    <row r="79" spans="1:10">
      <c r="A79" s="12" t="s">
        <v>163</v>
      </c>
      <c r="B79" t="s">
        <v>164</v>
      </c>
      <c r="C79" t="s">
        <v>824</v>
      </c>
      <c r="D79">
        <v>1493.22</v>
      </c>
      <c r="E79" t="s">
        <v>825</v>
      </c>
      <c r="F79" t="s">
        <v>826</v>
      </c>
      <c r="G79" s="1">
        <v>2596.91</v>
      </c>
      <c r="H79">
        <v>1</v>
      </c>
      <c r="I79">
        <v>0</v>
      </c>
      <c r="J79">
        <v>0</v>
      </c>
    </row>
    <row r="80" spans="1:10">
      <c r="A80" s="12" t="s">
        <v>165</v>
      </c>
      <c r="B80" t="s">
        <v>166</v>
      </c>
      <c r="C80" t="s">
        <v>824</v>
      </c>
      <c r="D80">
        <v>595.55</v>
      </c>
      <c r="E80" t="s">
        <v>825</v>
      </c>
      <c r="F80" t="s">
        <v>826</v>
      </c>
      <c r="G80" s="1">
        <v>1035.74</v>
      </c>
      <c r="H80">
        <v>1</v>
      </c>
      <c r="I80">
        <v>0</v>
      </c>
      <c r="J80">
        <v>0</v>
      </c>
    </row>
    <row r="81" spans="1:10">
      <c r="A81" s="12" t="s">
        <v>167</v>
      </c>
      <c r="B81" t="s">
        <v>168</v>
      </c>
      <c r="C81" t="s">
        <v>824</v>
      </c>
      <c r="D81">
        <v>795.73</v>
      </c>
      <c r="E81" t="s">
        <v>825</v>
      </c>
      <c r="F81" t="s">
        <v>826</v>
      </c>
      <c r="G81" s="1">
        <v>1383.87</v>
      </c>
      <c r="H81">
        <v>1</v>
      </c>
      <c r="I81">
        <v>0</v>
      </c>
      <c r="J81">
        <v>0</v>
      </c>
    </row>
    <row r="82" spans="1:10">
      <c r="A82" s="12" t="s">
        <v>169</v>
      </c>
      <c r="B82" t="s">
        <v>170</v>
      </c>
      <c r="C82" t="s">
        <v>824</v>
      </c>
      <c r="D82">
        <v>1749.95</v>
      </c>
      <c r="E82" t="s">
        <v>825</v>
      </c>
      <c r="F82" t="s">
        <v>826</v>
      </c>
      <c r="G82" s="1">
        <v>3043.39</v>
      </c>
      <c r="H82">
        <v>1</v>
      </c>
      <c r="I82">
        <v>0</v>
      </c>
      <c r="J82">
        <v>0</v>
      </c>
    </row>
    <row r="83" spans="1:10">
      <c r="A83" s="12" t="s">
        <v>171</v>
      </c>
      <c r="B83" t="s">
        <v>172</v>
      </c>
      <c r="C83" t="s">
        <v>824</v>
      </c>
      <c r="D83">
        <v>2106.79</v>
      </c>
      <c r="E83" t="s">
        <v>825</v>
      </c>
      <c r="F83" t="s">
        <v>826</v>
      </c>
      <c r="G83" s="1">
        <v>3663.99</v>
      </c>
      <c r="H83">
        <v>1</v>
      </c>
      <c r="I83">
        <v>0</v>
      </c>
      <c r="J83">
        <v>0</v>
      </c>
    </row>
    <row r="84" spans="1:10">
      <c r="A84" s="12" t="s">
        <v>173</v>
      </c>
      <c r="B84" t="s">
        <v>174</v>
      </c>
      <c r="C84" t="s">
        <v>824</v>
      </c>
      <c r="D84">
        <v>2350.64</v>
      </c>
      <c r="E84" t="s">
        <v>827</v>
      </c>
      <c r="F84" t="s">
        <v>826</v>
      </c>
      <c r="G84" s="1">
        <v>4088.07</v>
      </c>
      <c r="H84">
        <v>1</v>
      </c>
      <c r="I84">
        <v>0</v>
      </c>
      <c r="J84">
        <v>0</v>
      </c>
    </row>
    <row r="85" spans="1:10">
      <c r="A85" s="12" t="s">
        <v>175</v>
      </c>
      <c r="B85" t="s">
        <v>176</v>
      </c>
      <c r="C85" t="s">
        <v>824</v>
      </c>
      <c r="D85">
        <v>2350.64</v>
      </c>
      <c r="E85" t="s">
        <v>825</v>
      </c>
      <c r="F85" t="s">
        <v>826</v>
      </c>
      <c r="G85" s="1">
        <v>4088.07</v>
      </c>
      <c r="H85">
        <v>1</v>
      </c>
      <c r="I85">
        <v>0</v>
      </c>
      <c r="J85">
        <v>0</v>
      </c>
    </row>
    <row r="86" spans="1:10">
      <c r="A86" s="12" t="s">
        <v>177</v>
      </c>
      <c r="B86" t="s">
        <v>178</v>
      </c>
      <c r="C86" t="s">
        <v>824</v>
      </c>
      <c r="D86">
        <v>1887.8</v>
      </c>
      <c r="E86" t="s">
        <v>825</v>
      </c>
      <c r="F86" t="s">
        <v>826</v>
      </c>
      <c r="G86" s="1">
        <v>3283.14</v>
      </c>
      <c r="H86">
        <v>1</v>
      </c>
      <c r="I86">
        <v>0</v>
      </c>
      <c r="J86">
        <v>0</v>
      </c>
    </row>
    <row r="87" spans="1:10">
      <c r="A87" s="12" t="s">
        <v>179</v>
      </c>
      <c r="B87" t="s">
        <v>180</v>
      </c>
      <c r="C87" t="s">
        <v>824</v>
      </c>
      <c r="D87">
        <v>2106.79</v>
      </c>
      <c r="E87" t="s">
        <v>825</v>
      </c>
      <c r="F87" t="s">
        <v>826</v>
      </c>
      <c r="G87" s="1">
        <v>3663.99</v>
      </c>
      <c r="H87">
        <v>1</v>
      </c>
      <c r="I87">
        <v>0</v>
      </c>
      <c r="J87">
        <v>0</v>
      </c>
    </row>
    <row r="88" spans="1:10">
      <c r="A88" s="12" t="s">
        <v>181</v>
      </c>
      <c r="B88" t="s">
        <v>182</v>
      </c>
      <c r="C88" t="s">
        <v>824</v>
      </c>
      <c r="D88">
        <v>637.55</v>
      </c>
      <c r="E88" t="s">
        <v>825</v>
      </c>
      <c r="F88" t="s">
        <v>826</v>
      </c>
      <c r="G88" s="1">
        <v>1108.77</v>
      </c>
      <c r="H88">
        <v>1</v>
      </c>
      <c r="I88">
        <v>0</v>
      </c>
      <c r="J88">
        <v>0</v>
      </c>
    </row>
    <row r="89" spans="1:10">
      <c r="A89" s="12" t="s">
        <v>183</v>
      </c>
      <c r="B89" t="s">
        <v>184</v>
      </c>
      <c r="C89" t="s">
        <v>824</v>
      </c>
      <c r="D89">
        <v>678.7</v>
      </c>
      <c r="E89" t="s">
        <v>825</v>
      </c>
      <c r="F89" t="s">
        <v>826</v>
      </c>
      <c r="G89" s="1">
        <v>1180.37</v>
      </c>
      <c r="H89">
        <v>1</v>
      </c>
      <c r="I89">
        <v>0</v>
      </c>
      <c r="J89">
        <v>0</v>
      </c>
    </row>
    <row r="90" spans="1:10">
      <c r="A90" s="12" t="s">
        <v>185</v>
      </c>
      <c r="B90" t="s">
        <v>186</v>
      </c>
      <c r="C90" t="s">
        <v>824</v>
      </c>
      <c r="D90">
        <v>959.82</v>
      </c>
      <c r="E90" t="s">
        <v>825</v>
      </c>
      <c r="F90" t="s">
        <v>826</v>
      </c>
      <c r="G90" s="1">
        <v>1669.26</v>
      </c>
      <c r="H90">
        <v>1</v>
      </c>
      <c r="I90">
        <v>0</v>
      </c>
      <c r="J90">
        <v>0</v>
      </c>
    </row>
    <row r="91" spans="1:10">
      <c r="A91" s="12" t="s">
        <v>187</v>
      </c>
      <c r="B91" t="s">
        <v>188</v>
      </c>
      <c r="C91" t="s">
        <v>824</v>
      </c>
      <c r="D91">
        <v>1463.81</v>
      </c>
      <c r="E91" t="s">
        <v>825</v>
      </c>
      <c r="F91" t="s">
        <v>826</v>
      </c>
      <c r="G91" s="1">
        <v>2545.76</v>
      </c>
      <c r="H91">
        <v>1</v>
      </c>
      <c r="I91">
        <v>0</v>
      </c>
      <c r="J91">
        <v>0</v>
      </c>
    </row>
    <row r="92" spans="1:10">
      <c r="A92" s="12" t="s">
        <v>189</v>
      </c>
      <c r="B92" t="s">
        <v>190</v>
      </c>
      <c r="C92" t="s">
        <v>824</v>
      </c>
      <c r="D92">
        <v>1893.25</v>
      </c>
      <c r="E92" t="s">
        <v>825</v>
      </c>
      <c r="F92" t="s">
        <v>826</v>
      </c>
      <c r="G92" s="1">
        <v>3292.6</v>
      </c>
      <c r="H92">
        <v>1</v>
      </c>
      <c r="I92">
        <v>0</v>
      </c>
      <c r="J92">
        <v>0</v>
      </c>
    </row>
    <row r="93" spans="1:10">
      <c r="A93" s="12" t="s">
        <v>191</v>
      </c>
      <c r="B93" t="s">
        <v>192</v>
      </c>
      <c r="C93" t="s">
        <v>824</v>
      </c>
      <c r="D93">
        <v>2109.13</v>
      </c>
      <c r="E93" t="s">
        <v>825</v>
      </c>
      <c r="F93" t="s">
        <v>826</v>
      </c>
      <c r="G93" s="1">
        <v>3668.05</v>
      </c>
      <c r="H93">
        <v>1</v>
      </c>
      <c r="I93">
        <v>0</v>
      </c>
      <c r="J93">
        <v>0</v>
      </c>
    </row>
    <row r="94" spans="1:10">
      <c r="A94" s="12" t="s">
        <v>193</v>
      </c>
      <c r="B94" t="s">
        <v>194</v>
      </c>
      <c r="C94" t="s">
        <v>824</v>
      </c>
      <c r="D94">
        <v>744.71</v>
      </c>
      <c r="E94" t="s">
        <v>825</v>
      </c>
      <c r="F94" t="s">
        <v>826</v>
      </c>
      <c r="G94" s="1">
        <v>1295.15</v>
      </c>
      <c r="H94">
        <v>1</v>
      </c>
      <c r="I94">
        <v>0</v>
      </c>
      <c r="J94">
        <v>0</v>
      </c>
    </row>
    <row r="95" spans="1:10">
      <c r="A95" s="12" t="s">
        <v>195</v>
      </c>
      <c r="B95" t="s">
        <v>196</v>
      </c>
      <c r="C95" t="s">
        <v>824</v>
      </c>
      <c r="D95">
        <v>1249.48</v>
      </c>
      <c r="E95" t="s">
        <v>825</v>
      </c>
      <c r="F95" t="s">
        <v>826</v>
      </c>
      <c r="G95" s="1">
        <v>2173.01</v>
      </c>
      <c r="H95">
        <v>1</v>
      </c>
      <c r="I95">
        <v>0</v>
      </c>
      <c r="J95">
        <v>0</v>
      </c>
    </row>
    <row r="96" spans="1:10">
      <c r="A96" s="12" t="s">
        <v>197</v>
      </c>
      <c r="B96" t="s">
        <v>198</v>
      </c>
      <c r="C96" t="s">
        <v>824</v>
      </c>
      <c r="D96">
        <v>1414.88</v>
      </c>
      <c r="E96" t="s">
        <v>825</v>
      </c>
      <c r="F96" t="s">
        <v>826</v>
      </c>
      <c r="G96" s="1">
        <v>2460.66</v>
      </c>
      <c r="H96">
        <v>1</v>
      </c>
      <c r="I96">
        <v>0</v>
      </c>
      <c r="J96">
        <v>0</v>
      </c>
    </row>
    <row r="97" spans="1:10">
      <c r="A97" s="12" t="s">
        <v>199</v>
      </c>
      <c r="B97" t="s">
        <v>200</v>
      </c>
      <c r="C97" t="s">
        <v>824</v>
      </c>
      <c r="D97">
        <v>878.29</v>
      </c>
      <c r="E97" t="s">
        <v>825</v>
      </c>
      <c r="F97" t="s">
        <v>826</v>
      </c>
      <c r="G97" s="1">
        <v>1527.46</v>
      </c>
      <c r="H97">
        <v>1</v>
      </c>
      <c r="I97">
        <v>0</v>
      </c>
      <c r="J97">
        <v>0</v>
      </c>
    </row>
    <row r="98" spans="1:10">
      <c r="A98" s="12" t="s">
        <v>201</v>
      </c>
      <c r="B98" t="s">
        <v>202</v>
      </c>
      <c r="C98" t="s">
        <v>824</v>
      </c>
      <c r="D98">
        <v>16.72</v>
      </c>
      <c r="E98" t="s">
        <v>825</v>
      </c>
      <c r="F98" t="s">
        <v>826</v>
      </c>
      <c r="G98" s="1">
        <v>26.74</v>
      </c>
      <c r="H98">
        <v>1</v>
      </c>
      <c r="I98">
        <v>0</v>
      </c>
      <c r="J98">
        <v>0</v>
      </c>
    </row>
    <row r="99" spans="1:10">
      <c r="A99" s="12" t="s">
        <v>203</v>
      </c>
      <c r="B99" t="s">
        <v>204</v>
      </c>
      <c r="C99" t="s">
        <v>824</v>
      </c>
      <c r="D99">
        <v>22.11</v>
      </c>
      <c r="E99" t="s">
        <v>825</v>
      </c>
      <c r="F99" t="s">
        <v>826</v>
      </c>
      <c r="G99" s="1">
        <v>35.39</v>
      </c>
      <c r="H99">
        <v>1</v>
      </c>
      <c r="I99">
        <v>0</v>
      </c>
      <c r="J99">
        <v>0</v>
      </c>
    </row>
    <row r="100" spans="1:10">
      <c r="A100" s="12" t="s">
        <v>205</v>
      </c>
      <c r="B100" t="s">
        <v>206</v>
      </c>
      <c r="C100" t="s">
        <v>824</v>
      </c>
      <c r="D100">
        <v>18.87</v>
      </c>
      <c r="E100" t="s">
        <v>825</v>
      </c>
      <c r="F100" t="s">
        <v>826</v>
      </c>
      <c r="G100" s="1">
        <v>32.82</v>
      </c>
      <c r="H100">
        <v>1</v>
      </c>
      <c r="I100">
        <v>0</v>
      </c>
      <c r="J100">
        <v>0</v>
      </c>
    </row>
    <row r="101" spans="1:10">
      <c r="A101" s="12" t="s">
        <v>207</v>
      </c>
      <c r="B101" t="s">
        <v>208</v>
      </c>
      <c r="C101" t="s">
        <v>824</v>
      </c>
      <c r="D101">
        <v>30.93</v>
      </c>
      <c r="E101" t="s">
        <v>825</v>
      </c>
      <c r="F101" t="s">
        <v>826</v>
      </c>
      <c r="G101" s="1">
        <v>49.5</v>
      </c>
      <c r="H101">
        <v>1</v>
      </c>
      <c r="I101">
        <v>0</v>
      </c>
      <c r="J101">
        <v>0</v>
      </c>
    </row>
    <row r="102" spans="1:10">
      <c r="A102" s="12" t="s">
        <v>209</v>
      </c>
      <c r="B102" t="s">
        <v>210</v>
      </c>
      <c r="C102" t="s">
        <v>824</v>
      </c>
      <c r="D102">
        <v>1183.5</v>
      </c>
      <c r="E102" t="s">
        <v>825</v>
      </c>
      <c r="F102" t="s">
        <v>826</v>
      </c>
      <c r="G102" s="1">
        <v>2076.32</v>
      </c>
      <c r="H102">
        <v>1</v>
      </c>
      <c r="I102">
        <v>0</v>
      </c>
      <c r="J102">
        <v>0</v>
      </c>
    </row>
    <row r="103" spans="1:10">
      <c r="A103" s="12" t="s">
        <v>211</v>
      </c>
      <c r="B103" t="s">
        <v>212</v>
      </c>
      <c r="C103" t="s">
        <v>824</v>
      </c>
      <c r="D103">
        <v>1898.4</v>
      </c>
      <c r="E103" t="s">
        <v>825</v>
      </c>
      <c r="F103" t="s">
        <v>826</v>
      </c>
      <c r="G103" s="1">
        <v>3300.85</v>
      </c>
      <c r="H103">
        <v>1</v>
      </c>
      <c r="I103">
        <v>0</v>
      </c>
      <c r="J103">
        <v>0</v>
      </c>
    </row>
    <row r="104" spans="1:10">
      <c r="A104" s="12" t="s">
        <v>213</v>
      </c>
      <c r="B104" t="s">
        <v>198</v>
      </c>
      <c r="C104" t="s">
        <v>824</v>
      </c>
      <c r="D104">
        <v>741.8</v>
      </c>
      <c r="E104" t="s">
        <v>825</v>
      </c>
      <c r="F104" t="s">
        <v>826</v>
      </c>
      <c r="G104" s="1">
        <v>1301.4</v>
      </c>
      <c r="H104">
        <v>1</v>
      </c>
      <c r="I104">
        <v>0</v>
      </c>
      <c r="J104">
        <v>0</v>
      </c>
    </row>
    <row r="105" spans="1:10">
      <c r="A105" s="12" t="s">
        <v>214</v>
      </c>
      <c r="B105" t="s">
        <v>215</v>
      </c>
      <c r="C105" t="s">
        <v>824</v>
      </c>
      <c r="D105">
        <v>753.33</v>
      </c>
      <c r="E105" t="s">
        <v>825</v>
      </c>
      <c r="F105" t="s">
        <v>826</v>
      </c>
      <c r="G105" s="1">
        <v>1332.88</v>
      </c>
      <c r="H105">
        <v>1</v>
      </c>
      <c r="I105">
        <v>0</v>
      </c>
      <c r="J105">
        <v>0</v>
      </c>
    </row>
    <row r="106" spans="1:10">
      <c r="A106" s="12" t="s">
        <v>216</v>
      </c>
      <c r="B106" t="s">
        <v>217</v>
      </c>
      <c r="C106" t="s">
        <v>824</v>
      </c>
      <c r="D106">
        <v>67.79</v>
      </c>
      <c r="E106" t="s">
        <v>825</v>
      </c>
      <c r="F106" t="s">
        <v>826</v>
      </c>
      <c r="G106" s="1">
        <v>117.9</v>
      </c>
      <c r="H106">
        <v>1</v>
      </c>
      <c r="I106">
        <v>0</v>
      </c>
      <c r="J106">
        <v>0</v>
      </c>
    </row>
    <row r="107" spans="1:10">
      <c r="A107" s="12" t="s">
        <v>218</v>
      </c>
      <c r="B107" t="s">
        <v>219</v>
      </c>
      <c r="C107" t="s">
        <v>824</v>
      </c>
      <c r="D107">
        <v>69.43</v>
      </c>
      <c r="E107" t="s">
        <v>825</v>
      </c>
      <c r="F107" t="s">
        <v>826</v>
      </c>
      <c r="G107" s="1">
        <v>120.74</v>
      </c>
      <c r="H107">
        <v>6</v>
      </c>
      <c r="I107">
        <v>0</v>
      </c>
      <c r="J107">
        <v>0</v>
      </c>
    </row>
    <row r="108" spans="1:10">
      <c r="A108" s="12" t="s">
        <v>220</v>
      </c>
      <c r="B108" t="s">
        <v>221</v>
      </c>
      <c r="C108" t="s">
        <v>824</v>
      </c>
      <c r="D108">
        <v>101.66</v>
      </c>
      <c r="E108" t="s">
        <v>825</v>
      </c>
      <c r="F108" t="s">
        <v>826</v>
      </c>
      <c r="G108" s="1">
        <v>176.79</v>
      </c>
      <c r="H108">
        <v>1</v>
      </c>
      <c r="I108">
        <v>0</v>
      </c>
      <c r="J108">
        <v>0</v>
      </c>
    </row>
    <row r="109" spans="1:10">
      <c r="A109" s="12" t="s">
        <v>222</v>
      </c>
      <c r="B109" t="s">
        <v>223</v>
      </c>
      <c r="C109" t="s">
        <v>824</v>
      </c>
      <c r="D109">
        <v>103.29</v>
      </c>
      <c r="E109" t="s">
        <v>825</v>
      </c>
      <c r="F109" t="s">
        <v>826</v>
      </c>
      <c r="G109" s="1">
        <v>179.63</v>
      </c>
      <c r="H109">
        <v>4</v>
      </c>
      <c r="I109">
        <v>0</v>
      </c>
      <c r="J109">
        <v>0</v>
      </c>
    </row>
    <row r="110" spans="1:10">
      <c r="A110" s="12" t="s">
        <v>224</v>
      </c>
      <c r="B110" t="s">
        <v>225</v>
      </c>
      <c r="C110" t="s">
        <v>824</v>
      </c>
      <c r="D110">
        <v>50.61</v>
      </c>
      <c r="E110" t="s">
        <v>825</v>
      </c>
      <c r="F110" t="s">
        <v>826</v>
      </c>
      <c r="G110" s="1">
        <v>88.03</v>
      </c>
      <c r="H110">
        <v>1</v>
      </c>
      <c r="I110">
        <v>0</v>
      </c>
      <c r="J110">
        <v>0</v>
      </c>
    </row>
    <row r="111" spans="1:10">
      <c r="A111" s="12" t="s">
        <v>226</v>
      </c>
      <c r="B111" t="s">
        <v>227</v>
      </c>
      <c r="C111" t="s">
        <v>824</v>
      </c>
      <c r="D111">
        <v>50.61</v>
      </c>
      <c r="E111" t="s">
        <v>825</v>
      </c>
      <c r="F111" t="s">
        <v>826</v>
      </c>
      <c r="G111" s="1">
        <v>88.03</v>
      </c>
      <c r="H111">
        <v>10</v>
      </c>
      <c r="I111">
        <v>0</v>
      </c>
      <c r="J111">
        <v>0</v>
      </c>
    </row>
    <row r="112" spans="1:10">
      <c r="A112" s="12" t="s">
        <v>228</v>
      </c>
      <c r="B112" t="s">
        <v>229</v>
      </c>
      <c r="C112" t="s">
        <v>824</v>
      </c>
      <c r="D112">
        <v>251.61</v>
      </c>
      <c r="E112" t="s">
        <v>825</v>
      </c>
      <c r="F112" t="s">
        <v>826</v>
      </c>
      <c r="G112" s="1">
        <v>437.58</v>
      </c>
      <c r="H112">
        <v>1</v>
      </c>
      <c r="I112">
        <v>0</v>
      </c>
      <c r="J112">
        <v>0</v>
      </c>
    </row>
    <row r="113" spans="1:10">
      <c r="A113" s="12" t="s">
        <v>230</v>
      </c>
      <c r="B113" t="s">
        <v>231</v>
      </c>
      <c r="C113" t="s">
        <v>824</v>
      </c>
      <c r="D113">
        <v>281.43</v>
      </c>
      <c r="E113" t="s">
        <v>825</v>
      </c>
      <c r="F113" t="s">
        <v>826</v>
      </c>
      <c r="G113" s="1">
        <v>489.44</v>
      </c>
      <c r="H113">
        <v>1</v>
      </c>
      <c r="I113">
        <v>0</v>
      </c>
      <c r="J113">
        <v>0</v>
      </c>
    </row>
    <row r="114" spans="1:10">
      <c r="A114" s="12" t="s">
        <v>232</v>
      </c>
      <c r="B114" t="s">
        <v>233</v>
      </c>
      <c r="C114" t="s">
        <v>824</v>
      </c>
      <c r="D114">
        <v>262.31</v>
      </c>
      <c r="E114" t="s">
        <v>825</v>
      </c>
      <c r="F114" t="s">
        <v>826</v>
      </c>
      <c r="G114" s="1" t="s">
        <v>828</v>
      </c>
      <c r="H114">
        <v>1</v>
      </c>
      <c r="I114" s="14">
        <v>20</v>
      </c>
      <c r="J114" s="14">
        <v>999999</v>
      </c>
    </row>
    <row r="115" spans="1:10">
      <c r="A115" s="12" t="s">
        <v>232</v>
      </c>
      <c r="B115" t="s">
        <v>233</v>
      </c>
      <c r="C115" t="s">
        <v>824</v>
      </c>
      <c r="D115">
        <v>278.71</v>
      </c>
      <c r="E115" t="s">
        <v>825</v>
      </c>
      <c r="F115" t="s">
        <v>826</v>
      </c>
      <c r="G115" s="1" t="s">
        <v>828</v>
      </c>
      <c r="H115">
        <v>1</v>
      </c>
      <c r="I115" s="14">
        <v>10</v>
      </c>
      <c r="J115" s="14">
        <v>19</v>
      </c>
    </row>
    <row r="116" spans="1:10">
      <c r="A116" s="12" t="s">
        <v>232</v>
      </c>
      <c r="B116" t="s">
        <v>233</v>
      </c>
      <c r="C116" t="s">
        <v>824</v>
      </c>
      <c r="D116">
        <v>295.1</v>
      </c>
      <c r="E116" t="s">
        <v>825</v>
      </c>
      <c r="F116" t="s">
        <v>826</v>
      </c>
      <c r="G116" s="1" t="s">
        <v>828</v>
      </c>
      <c r="H116">
        <v>1</v>
      </c>
      <c r="I116" s="14">
        <v>5</v>
      </c>
      <c r="J116" s="14">
        <v>9</v>
      </c>
    </row>
    <row r="117" spans="1:10">
      <c r="A117" s="12" t="s">
        <v>232</v>
      </c>
      <c r="B117" t="s">
        <v>233</v>
      </c>
      <c r="C117" t="s">
        <v>824</v>
      </c>
      <c r="D117">
        <v>327.89</v>
      </c>
      <c r="E117" t="s">
        <v>825</v>
      </c>
      <c r="F117" t="s">
        <v>826</v>
      </c>
      <c r="G117" s="1" t="s">
        <v>828</v>
      </c>
      <c r="H117">
        <v>1</v>
      </c>
      <c r="I117" s="14">
        <v>1</v>
      </c>
      <c r="J117" s="14">
        <v>4</v>
      </c>
    </row>
    <row r="118" spans="1:10">
      <c r="A118" s="12" t="s">
        <v>234</v>
      </c>
      <c r="B118" t="s">
        <v>235</v>
      </c>
      <c r="C118" t="s">
        <v>824</v>
      </c>
      <c r="D118">
        <v>291.12</v>
      </c>
      <c r="E118" t="s">
        <v>825</v>
      </c>
      <c r="F118" t="s">
        <v>826</v>
      </c>
      <c r="G118" s="1">
        <v>574.53</v>
      </c>
      <c r="H118">
        <v>1</v>
      </c>
      <c r="I118">
        <v>0</v>
      </c>
      <c r="J118">
        <v>0</v>
      </c>
    </row>
    <row r="119" spans="1:10">
      <c r="A119" s="12" t="s">
        <v>236</v>
      </c>
      <c r="B119" t="s">
        <v>237</v>
      </c>
      <c r="C119" t="s">
        <v>824</v>
      </c>
      <c r="D119">
        <v>387.47</v>
      </c>
      <c r="E119" t="s">
        <v>825</v>
      </c>
      <c r="F119" t="s">
        <v>826</v>
      </c>
      <c r="G119" s="1">
        <v>673.86</v>
      </c>
      <c r="H119">
        <v>1</v>
      </c>
      <c r="I119">
        <v>0</v>
      </c>
      <c r="J119">
        <v>0</v>
      </c>
    </row>
    <row r="120" spans="1:10">
      <c r="A120" s="12" t="s">
        <v>238</v>
      </c>
      <c r="B120" t="s">
        <v>239</v>
      </c>
      <c r="C120" t="s">
        <v>824</v>
      </c>
      <c r="D120">
        <v>483.78</v>
      </c>
      <c r="E120" t="s">
        <v>825</v>
      </c>
      <c r="F120" t="s">
        <v>826</v>
      </c>
      <c r="G120" s="1">
        <v>841.35</v>
      </c>
      <c r="H120">
        <v>1</v>
      </c>
      <c r="I120">
        <v>0</v>
      </c>
      <c r="J120">
        <v>0</v>
      </c>
    </row>
    <row r="121" spans="1:10">
      <c r="A121" s="12" t="s">
        <v>240</v>
      </c>
      <c r="B121" t="s">
        <v>241</v>
      </c>
      <c r="C121" t="s">
        <v>824</v>
      </c>
      <c r="D121">
        <v>722.2</v>
      </c>
      <c r="E121" t="s">
        <v>825</v>
      </c>
      <c r="F121" t="s">
        <v>826</v>
      </c>
      <c r="G121" s="1">
        <v>1256.01</v>
      </c>
      <c r="H121">
        <v>1</v>
      </c>
      <c r="I121">
        <v>0</v>
      </c>
      <c r="J121">
        <v>0</v>
      </c>
    </row>
    <row r="122" spans="1:10">
      <c r="A122" s="12" t="s">
        <v>242</v>
      </c>
      <c r="B122" t="s">
        <v>243</v>
      </c>
      <c r="C122" t="s">
        <v>824</v>
      </c>
      <c r="D122">
        <v>908.57</v>
      </c>
      <c r="E122" t="s">
        <v>825</v>
      </c>
      <c r="F122" t="s">
        <v>826</v>
      </c>
      <c r="G122" s="1">
        <v>1580.12</v>
      </c>
      <c r="H122">
        <v>1</v>
      </c>
      <c r="I122">
        <v>0</v>
      </c>
      <c r="J122">
        <v>0</v>
      </c>
    </row>
    <row r="123" spans="1:10">
      <c r="A123" s="12" t="s">
        <v>244</v>
      </c>
      <c r="B123" t="s">
        <v>245</v>
      </c>
      <c r="C123" t="s">
        <v>824</v>
      </c>
      <c r="D123">
        <v>378.99</v>
      </c>
      <c r="E123" t="s">
        <v>825</v>
      </c>
      <c r="F123" t="s">
        <v>826</v>
      </c>
      <c r="G123" s="1">
        <v>659.11</v>
      </c>
      <c r="H123">
        <v>1</v>
      </c>
      <c r="I123">
        <v>0</v>
      </c>
      <c r="J123">
        <v>0</v>
      </c>
    </row>
    <row r="124" spans="1:10">
      <c r="A124" s="12" t="s">
        <v>246</v>
      </c>
      <c r="B124" t="s">
        <v>247</v>
      </c>
      <c r="C124" t="s">
        <v>824</v>
      </c>
      <c r="D124">
        <v>499.37</v>
      </c>
      <c r="E124" t="s">
        <v>825</v>
      </c>
      <c r="F124" t="s">
        <v>826</v>
      </c>
      <c r="G124" s="1">
        <v>868.48</v>
      </c>
      <c r="H124">
        <v>1</v>
      </c>
      <c r="I124">
        <v>0</v>
      </c>
      <c r="J124">
        <v>0</v>
      </c>
    </row>
    <row r="125" spans="1:10">
      <c r="A125" s="12" t="s">
        <v>248</v>
      </c>
      <c r="B125" t="s">
        <v>249</v>
      </c>
      <c r="C125" t="s">
        <v>824</v>
      </c>
      <c r="D125">
        <v>638.33</v>
      </c>
      <c r="E125" t="s">
        <v>825</v>
      </c>
      <c r="F125" t="s">
        <v>826</v>
      </c>
      <c r="G125" s="1">
        <v>1110.13</v>
      </c>
      <c r="H125">
        <v>1</v>
      </c>
      <c r="I125">
        <v>0</v>
      </c>
      <c r="J125">
        <v>0</v>
      </c>
    </row>
    <row r="126" spans="1:10">
      <c r="A126" s="12" t="s">
        <v>250</v>
      </c>
      <c r="B126" t="s">
        <v>251</v>
      </c>
      <c r="C126" t="s">
        <v>824</v>
      </c>
      <c r="D126">
        <v>786.65</v>
      </c>
      <c r="E126" t="s">
        <v>825</v>
      </c>
      <c r="F126" t="s">
        <v>826</v>
      </c>
      <c r="G126" s="1">
        <v>1368.09</v>
      </c>
      <c r="H126">
        <v>1</v>
      </c>
      <c r="I126">
        <v>0</v>
      </c>
      <c r="J126">
        <v>0</v>
      </c>
    </row>
    <row r="127" spans="1:10">
      <c r="A127" s="12" t="s">
        <v>252</v>
      </c>
      <c r="B127" t="s">
        <v>253</v>
      </c>
      <c r="C127" t="s">
        <v>824</v>
      </c>
      <c r="D127">
        <v>1150.86</v>
      </c>
      <c r="E127" t="s">
        <v>825</v>
      </c>
      <c r="F127" t="s">
        <v>826</v>
      </c>
      <c r="G127" s="1">
        <v>2001.49</v>
      </c>
      <c r="H127">
        <v>1</v>
      </c>
      <c r="I127">
        <v>0</v>
      </c>
      <c r="J127">
        <v>0</v>
      </c>
    </row>
    <row r="128" spans="1:10">
      <c r="A128" s="12" t="s">
        <v>254</v>
      </c>
      <c r="B128" t="s">
        <v>255</v>
      </c>
      <c r="C128" t="s">
        <v>824</v>
      </c>
      <c r="D128">
        <v>1486.32</v>
      </c>
      <c r="E128" t="s">
        <v>825</v>
      </c>
      <c r="F128" t="s">
        <v>826</v>
      </c>
      <c r="G128" s="1">
        <v>2584.93</v>
      </c>
      <c r="H128">
        <v>1</v>
      </c>
      <c r="I128">
        <v>0</v>
      </c>
      <c r="J128">
        <v>0</v>
      </c>
    </row>
    <row r="129" spans="1:10">
      <c r="A129" s="12" t="s">
        <v>256</v>
      </c>
      <c r="B129" t="s">
        <v>257</v>
      </c>
      <c r="C129" t="s">
        <v>824</v>
      </c>
      <c r="D129">
        <v>11.05</v>
      </c>
      <c r="E129" t="s">
        <v>825</v>
      </c>
      <c r="F129" t="s">
        <v>826</v>
      </c>
      <c r="G129" s="1">
        <v>17.68</v>
      </c>
      <c r="H129">
        <v>1</v>
      </c>
      <c r="I129">
        <v>0</v>
      </c>
      <c r="J129">
        <v>0</v>
      </c>
    </row>
    <row r="130" spans="1:10">
      <c r="A130" s="12" t="s">
        <v>258</v>
      </c>
      <c r="B130" t="s">
        <v>259</v>
      </c>
      <c r="C130" t="s">
        <v>824</v>
      </c>
      <c r="D130">
        <v>247.57</v>
      </c>
      <c r="E130" t="s">
        <v>825</v>
      </c>
      <c r="F130" t="s">
        <v>826</v>
      </c>
      <c r="G130" s="1">
        <v>396.11</v>
      </c>
      <c r="H130">
        <v>1</v>
      </c>
      <c r="I130">
        <v>0</v>
      </c>
      <c r="J130">
        <v>0</v>
      </c>
    </row>
    <row r="131" spans="1:10">
      <c r="A131" s="12" t="s">
        <v>260</v>
      </c>
      <c r="B131" t="s">
        <v>261</v>
      </c>
      <c r="C131" t="s">
        <v>824</v>
      </c>
      <c r="D131">
        <v>280.11</v>
      </c>
      <c r="E131" t="s">
        <v>825</v>
      </c>
      <c r="F131" t="s">
        <v>826</v>
      </c>
      <c r="G131" s="1">
        <v>445.21</v>
      </c>
      <c r="H131">
        <v>1</v>
      </c>
      <c r="I131">
        <v>0</v>
      </c>
      <c r="J131">
        <v>0</v>
      </c>
    </row>
    <row r="132" spans="1:10">
      <c r="A132" s="12" t="s">
        <v>262</v>
      </c>
      <c r="B132" t="s">
        <v>263</v>
      </c>
      <c r="C132" t="s">
        <v>824</v>
      </c>
      <c r="D132">
        <v>1742.85</v>
      </c>
      <c r="E132" t="s">
        <v>825</v>
      </c>
      <c r="F132" t="s">
        <v>826</v>
      </c>
      <c r="G132" s="1">
        <v>2788.56</v>
      </c>
      <c r="H132">
        <v>1</v>
      </c>
      <c r="I132">
        <v>0</v>
      </c>
      <c r="J132">
        <v>0</v>
      </c>
    </row>
    <row r="133" spans="1:10">
      <c r="A133" s="12" t="s">
        <v>264</v>
      </c>
      <c r="B133" t="s">
        <v>265</v>
      </c>
      <c r="C133" t="s">
        <v>824</v>
      </c>
      <c r="D133">
        <v>1795.11</v>
      </c>
      <c r="E133" t="s">
        <v>825</v>
      </c>
      <c r="F133" t="s">
        <v>826</v>
      </c>
      <c r="G133" s="1">
        <v>2872.17</v>
      </c>
      <c r="H133">
        <v>1</v>
      </c>
      <c r="I133">
        <v>0</v>
      </c>
      <c r="J133">
        <v>0</v>
      </c>
    </row>
    <row r="134" spans="1:10">
      <c r="A134" s="12" t="s">
        <v>266</v>
      </c>
      <c r="B134" t="s">
        <v>267</v>
      </c>
      <c r="C134" t="s">
        <v>824</v>
      </c>
      <c r="D134">
        <v>1796.97</v>
      </c>
      <c r="E134" t="s">
        <v>825</v>
      </c>
      <c r="F134" t="s">
        <v>826</v>
      </c>
      <c r="G134" s="1">
        <v>2875.15</v>
      </c>
      <c r="H134">
        <v>1</v>
      </c>
      <c r="I134">
        <v>0</v>
      </c>
      <c r="J134">
        <v>0</v>
      </c>
    </row>
    <row r="135" spans="1:10">
      <c r="A135" s="12" t="s">
        <v>268</v>
      </c>
      <c r="B135" t="s">
        <v>269</v>
      </c>
      <c r="C135" t="s">
        <v>824</v>
      </c>
      <c r="D135">
        <v>1869.74</v>
      </c>
      <c r="E135" t="s">
        <v>825</v>
      </c>
      <c r="F135" t="s">
        <v>826</v>
      </c>
      <c r="G135" s="1">
        <v>2991.58</v>
      </c>
      <c r="H135">
        <v>1</v>
      </c>
      <c r="I135">
        <v>0</v>
      </c>
      <c r="J135">
        <v>0</v>
      </c>
    </row>
    <row r="136" spans="1:10">
      <c r="A136" s="12" t="s">
        <v>270</v>
      </c>
      <c r="B136" t="s">
        <v>271</v>
      </c>
      <c r="C136" t="s">
        <v>824</v>
      </c>
      <c r="D136">
        <v>1217.26</v>
      </c>
      <c r="E136" t="s">
        <v>825</v>
      </c>
      <c r="F136" t="s">
        <v>826</v>
      </c>
      <c r="G136" s="1">
        <v>1947.61</v>
      </c>
      <c r="H136">
        <v>1</v>
      </c>
      <c r="I136">
        <v>0</v>
      </c>
      <c r="J136">
        <v>0</v>
      </c>
    </row>
    <row r="137" spans="1:10">
      <c r="A137" s="12" t="s">
        <v>272</v>
      </c>
      <c r="B137" t="s">
        <v>273</v>
      </c>
      <c r="C137" t="s">
        <v>824</v>
      </c>
      <c r="D137">
        <v>1654.58</v>
      </c>
      <c r="E137" t="s">
        <v>825</v>
      </c>
      <c r="F137" t="s">
        <v>826</v>
      </c>
      <c r="G137" s="1">
        <v>2647.31</v>
      </c>
      <c r="H137">
        <v>1</v>
      </c>
      <c r="I137">
        <v>0</v>
      </c>
      <c r="J137">
        <v>0</v>
      </c>
    </row>
    <row r="138" spans="1:10">
      <c r="A138" s="12" t="s">
        <v>274</v>
      </c>
      <c r="B138" t="s">
        <v>275</v>
      </c>
      <c r="C138" t="s">
        <v>824</v>
      </c>
      <c r="D138">
        <v>1581.9</v>
      </c>
      <c r="E138" t="s">
        <v>825</v>
      </c>
      <c r="F138" t="s">
        <v>826</v>
      </c>
      <c r="G138" s="1">
        <v>2531.04</v>
      </c>
      <c r="H138">
        <v>1</v>
      </c>
      <c r="I138">
        <v>0</v>
      </c>
      <c r="J138">
        <v>0</v>
      </c>
    </row>
    <row r="139" spans="1:10">
      <c r="A139" s="12" t="s">
        <v>276</v>
      </c>
      <c r="B139" t="s">
        <v>277</v>
      </c>
      <c r="C139" t="s">
        <v>824</v>
      </c>
      <c r="D139">
        <v>1956.01</v>
      </c>
      <c r="E139" t="s">
        <v>825</v>
      </c>
      <c r="F139" t="s">
        <v>826</v>
      </c>
      <c r="G139" s="1">
        <v>3129.61</v>
      </c>
      <c r="H139">
        <v>1</v>
      </c>
      <c r="I139">
        <v>0</v>
      </c>
      <c r="J139">
        <v>0</v>
      </c>
    </row>
    <row r="140" spans="1:10">
      <c r="A140" s="12" t="s">
        <v>278</v>
      </c>
      <c r="B140" t="s">
        <v>279</v>
      </c>
      <c r="C140" t="s">
        <v>824</v>
      </c>
      <c r="D140">
        <v>1956.01</v>
      </c>
      <c r="E140" t="s">
        <v>825</v>
      </c>
      <c r="F140" t="s">
        <v>826</v>
      </c>
      <c r="G140" s="1">
        <v>3129.61</v>
      </c>
      <c r="H140">
        <v>1</v>
      </c>
      <c r="I140">
        <v>0</v>
      </c>
      <c r="J140">
        <v>0</v>
      </c>
    </row>
    <row r="141" spans="1:10">
      <c r="A141" s="12" t="s">
        <v>280</v>
      </c>
      <c r="B141" t="s">
        <v>281</v>
      </c>
      <c r="C141" t="s">
        <v>824</v>
      </c>
      <c r="D141">
        <v>1986.39</v>
      </c>
      <c r="E141" t="s">
        <v>825</v>
      </c>
      <c r="F141" t="s">
        <v>826</v>
      </c>
      <c r="G141" s="1">
        <v>3153</v>
      </c>
      <c r="H141">
        <v>1</v>
      </c>
      <c r="I141">
        <v>0</v>
      </c>
      <c r="J141">
        <v>0</v>
      </c>
    </row>
    <row r="142" spans="1:10">
      <c r="A142" s="12" t="s">
        <v>282</v>
      </c>
      <c r="B142" t="s">
        <v>283</v>
      </c>
      <c r="C142" t="s">
        <v>824</v>
      </c>
      <c r="D142">
        <v>2112.99</v>
      </c>
      <c r="E142" t="s">
        <v>825</v>
      </c>
      <c r="F142" t="s">
        <v>826</v>
      </c>
      <c r="G142" s="1">
        <v>3380.77</v>
      </c>
      <c r="H142">
        <v>1</v>
      </c>
      <c r="I142">
        <v>0</v>
      </c>
      <c r="J142">
        <v>0</v>
      </c>
    </row>
    <row r="143" spans="1:10">
      <c r="A143" s="12" t="s">
        <v>284</v>
      </c>
      <c r="B143" t="s">
        <v>285</v>
      </c>
      <c r="C143" t="s">
        <v>824</v>
      </c>
      <c r="D143">
        <v>2022.45</v>
      </c>
      <c r="E143" t="s">
        <v>825</v>
      </c>
      <c r="F143" t="s">
        <v>826</v>
      </c>
      <c r="G143" s="1">
        <v>3210.25</v>
      </c>
      <c r="H143">
        <v>1</v>
      </c>
      <c r="I143">
        <v>0</v>
      </c>
      <c r="J143">
        <v>0</v>
      </c>
    </row>
    <row r="144" spans="1:10">
      <c r="A144" s="12" t="s">
        <v>286</v>
      </c>
      <c r="B144" t="s">
        <v>287</v>
      </c>
      <c r="C144" t="s">
        <v>824</v>
      </c>
      <c r="D144">
        <v>2124.66</v>
      </c>
      <c r="E144" t="s">
        <v>825</v>
      </c>
      <c r="F144" t="s">
        <v>826</v>
      </c>
      <c r="G144" s="1">
        <v>3399.46</v>
      </c>
      <c r="H144">
        <v>1</v>
      </c>
      <c r="I144">
        <v>0</v>
      </c>
      <c r="J144">
        <v>0</v>
      </c>
    </row>
    <row r="145" spans="1:10">
      <c r="A145" s="12" t="s">
        <v>288</v>
      </c>
      <c r="B145" t="s">
        <v>289</v>
      </c>
      <c r="C145" t="s">
        <v>824</v>
      </c>
      <c r="D145">
        <v>1864.33</v>
      </c>
      <c r="E145" t="s">
        <v>825</v>
      </c>
      <c r="F145" t="s">
        <v>826</v>
      </c>
      <c r="G145" s="1">
        <v>2982.93</v>
      </c>
      <c r="H145">
        <v>1</v>
      </c>
      <c r="I145">
        <v>0</v>
      </c>
      <c r="J145">
        <v>0</v>
      </c>
    </row>
    <row r="146" spans="1:10">
      <c r="A146" s="12" t="s">
        <v>290</v>
      </c>
      <c r="B146" t="s">
        <v>291</v>
      </c>
      <c r="C146" t="s">
        <v>824</v>
      </c>
      <c r="D146">
        <v>2240</v>
      </c>
      <c r="E146" t="s">
        <v>825</v>
      </c>
      <c r="F146" t="s">
        <v>826</v>
      </c>
      <c r="G146" s="1">
        <v>3584.01</v>
      </c>
      <c r="H146">
        <v>1</v>
      </c>
      <c r="I146">
        <v>0</v>
      </c>
      <c r="J146">
        <v>0</v>
      </c>
    </row>
    <row r="147" spans="1:10">
      <c r="A147" s="12" t="s">
        <v>292</v>
      </c>
      <c r="B147" t="s">
        <v>293</v>
      </c>
      <c r="C147" t="s">
        <v>824</v>
      </c>
      <c r="D147">
        <v>2213.61</v>
      </c>
      <c r="E147" t="s">
        <v>825</v>
      </c>
      <c r="F147" t="s">
        <v>826</v>
      </c>
      <c r="G147" s="1">
        <v>3513.67</v>
      </c>
      <c r="H147">
        <v>1</v>
      </c>
      <c r="I147">
        <v>0</v>
      </c>
      <c r="J147">
        <v>0</v>
      </c>
    </row>
    <row r="148" spans="1:10">
      <c r="A148" s="12" t="s">
        <v>294</v>
      </c>
      <c r="B148" t="s">
        <v>295</v>
      </c>
      <c r="C148" t="s">
        <v>824</v>
      </c>
      <c r="D148">
        <v>701.44</v>
      </c>
      <c r="E148" t="s">
        <v>825</v>
      </c>
      <c r="F148" t="s">
        <v>826</v>
      </c>
      <c r="G148" s="1">
        <v>1122.3</v>
      </c>
      <c r="H148">
        <v>1</v>
      </c>
      <c r="I148">
        <v>0</v>
      </c>
      <c r="J148">
        <v>0</v>
      </c>
    </row>
    <row r="149" spans="1:10">
      <c r="A149" s="12" t="s">
        <v>296</v>
      </c>
      <c r="B149" t="s">
        <v>297</v>
      </c>
      <c r="C149" t="s">
        <v>824</v>
      </c>
      <c r="D149">
        <v>868.68</v>
      </c>
      <c r="E149" t="s">
        <v>825</v>
      </c>
      <c r="F149" t="s">
        <v>826</v>
      </c>
      <c r="G149" s="1">
        <v>1401.1</v>
      </c>
      <c r="H149">
        <v>1</v>
      </c>
      <c r="I149">
        <v>0</v>
      </c>
      <c r="J149">
        <v>0</v>
      </c>
    </row>
    <row r="150" spans="1:10">
      <c r="A150" s="12" t="s">
        <v>298</v>
      </c>
      <c r="B150" t="s">
        <v>299</v>
      </c>
      <c r="C150" t="s">
        <v>824</v>
      </c>
      <c r="D150">
        <v>1367.4</v>
      </c>
      <c r="E150" t="s">
        <v>825</v>
      </c>
      <c r="F150" t="s">
        <v>826</v>
      </c>
      <c r="G150" s="1">
        <v>2170.48</v>
      </c>
      <c r="H150">
        <v>1</v>
      </c>
      <c r="I150">
        <v>0</v>
      </c>
      <c r="J150">
        <v>0</v>
      </c>
    </row>
    <row r="151" spans="1:10">
      <c r="A151" s="12" t="s">
        <v>300</v>
      </c>
      <c r="B151" t="s">
        <v>301</v>
      </c>
      <c r="C151" t="s">
        <v>824</v>
      </c>
      <c r="D151">
        <v>868.68</v>
      </c>
      <c r="E151" t="s">
        <v>825</v>
      </c>
      <c r="F151" t="s">
        <v>826</v>
      </c>
      <c r="G151" s="1">
        <v>1401.1</v>
      </c>
      <c r="H151">
        <v>1</v>
      </c>
      <c r="I151">
        <v>0</v>
      </c>
      <c r="J151">
        <v>0</v>
      </c>
    </row>
    <row r="152" spans="1:10">
      <c r="A152" s="12" t="s">
        <v>302</v>
      </c>
      <c r="B152" t="s">
        <v>303</v>
      </c>
      <c r="C152" t="s">
        <v>824</v>
      </c>
      <c r="D152">
        <v>25.71</v>
      </c>
      <c r="E152" t="s">
        <v>825</v>
      </c>
      <c r="F152" t="s">
        <v>826</v>
      </c>
      <c r="G152" s="1">
        <v>41.12</v>
      </c>
      <c r="H152">
        <v>1</v>
      </c>
      <c r="I152">
        <v>0</v>
      </c>
      <c r="J152">
        <v>0</v>
      </c>
    </row>
    <row r="153" spans="1:10">
      <c r="A153" s="12" t="s">
        <v>304</v>
      </c>
      <c r="B153" t="s">
        <v>305</v>
      </c>
      <c r="C153" t="s">
        <v>824</v>
      </c>
      <c r="D153">
        <v>10.75</v>
      </c>
      <c r="E153" t="s">
        <v>825</v>
      </c>
      <c r="F153" t="s">
        <v>826</v>
      </c>
      <c r="G153" s="1">
        <v>17.2</v>
      </c>
      <c r="H153" t="s">
        <v>828</v>
      </c>
      <c r="I153">
        <v>0</v>
      </c>
      <c r="J153">
        <v>0</v>
      </c>
    </row>
    <row r="154" spans="1:10">
      <c r="A154" s="12" t="s">
        <v>306</v>
      </c>
      <c r="B154" t="s">
        <v>307</v>
      </c>
      <c r="C154" t="s">
        <v>824</v>
      </c>
      <c r="D154">
        <v>140.87</v>
      </c>
      <c r="E154" t="s">
        <v>825</v>
      </c>
      <c r="F154" t="s">
        <v>826</v>
      </c>
      <c r="G154" s="1">
        <v>225.41</v>
      </c>
      <c r="H154">
        <v>1</v>
      </c>
      <c r="I154">
        <v>0</v>
      </c>
      <c r="J154">
        <v>0</v>
      </c>
    </row>
    <row r="155" spans="1:10">
      <c r="A155" s="12" t="s">
        <v>308</v>
      </c>
      <c r="B155" t="s">
        <v>309</v>
      </c>
      <c r="C155" t="s">
        <v>824</v>
      </c>
      <c r="D155">
        <v>152.24</v>
      </c>
      <c r="E155" t="s">
        <v>825</v>
      </c>
      <c r="F155" t="s">
        <v>826</v>
      </c>
      <c r="G155" s="1">
        <v>243.58</v>
      </c>
      <c r="H155">
        <v>1</v>
      </c>
      <c r="I155">
        <v>0</v>
      </c>
      <c r="J155">
        <v>0</v>
      </c>
    </row>
    <row r="156" spans="1:10">
      <c r="A156" s="12" t="s">
        <v>310</v>
      </c>
      <c r="B156" t="s">
        <v>311</v>
      </c>
      <c r="C156" t="s">
        <v>824</v>
      </c>
      <c r="D156">
        <v>110.79</v>
      </c>
      <c r="E156" t="s">
        <v>825</v>
      </c>
      <c r="F156" t="s">
        <v>826</v>
      </c>
      <c r="G156" s="1">
        <v>177.26</v>
      </c>
      <c r="H156">
        <v>1</v>
      </c>
      <c r="I156">
        <v>0</v>
      </c>
      <c r="J156">
        <v>0</v>
      </c>
    </row>
    <row r="157" spans="1:10">
      <c r="A157" s="12" t="s">
        <v>312</v>
      </c>
      <c r="B157" t="s">
        <v>313</v>
      </c>
      <c r="C157" t="s">
        <v>824</v>
      </c>
      <c r="D157">
        <v>151</v>
      </c>
      <c r="E157" t="s">
        <v>825</v>
      </c>
      <c r="F157" t="s">
        <v>826</v>
      </c>
      <c r="G157" s="1">
        <v>241.61</v>
      </c>
      <c r="H157">
        <v>1</v>
      </c>
      <c r="I157">
        <v>0</v>
      </c>
      <c r="J157">
        <v>0</v>
      </c>
    </row>
    <row r="158" spans="1:10">
      <c r="A158" s="12" t="s">
        <v>314</v>
      </c>
      <c r="B158" t="s">
        <v>315</v>
      </c>
      <c r="C158" t="s">
        <v>824</v>
      </c>
      <c r="D158">
        <v>160.28</v>
      </c>
      <c r="E158" t="s">
        <v>825</v>
      </c>
      <c r="F158" t="s">
        <v>826</v>
      </c>
      <c r="G158" s="1">
        <v>256.46</v>
      </c>
      <c r="H158">
        <v>1</v>
      </c>
      <c r="I158">
        <v>0</v>
      </c>
      <c r="J158">
        <v>0</v>
      </c>
    </row>
    <row r="159" spans="1:10">
      <c r="A159" s="12" t="s">
        <v>316</v>
      </c>
      <c r="B159" t="s">
        <v>317</v>
      </c>
      <c r="C159" t="s">
        <v>824</v>
      </c>
      <c r="D159">
        <v>143.66</v>
      </c>
      <c r="E159" t="s">
        <v>825</v>
      </c>
      <c r="F159" t="s">
        <v>826</v>
      </c>
      <c r="G159" s="1">
        <v>229.86</v>
      </c>
      <c r="H159">
        <v>1</v>
      </c>
      <c r="I159">
        <v>0</v>
      </c>
      <c r="J159">
        <v>0</v>
      </c>
    </row>
    <row r="160" spans="1:10">
      <c r="A160" s="12" t="s">
        <v>318</v>
      </c>
      <c r="B160" t="s">
        <v>319</v>
      </c>
      <c r="C160" t="s">
        <v>824</v>
      </c>
      <c r="D160">
        <v>147.38</v>
      </c>
      <c r="E160" t="s">
        <v>825</v>
      </c>
      <c r="F160" t="s">
        <v>826</v>
      </c>
      <c r="G160" s="1">
        <v>235.81</v>
      </c>
      <c r="H160">
        <v>1</v>
      </c>
      <c r="I160">
        <v>0</v>
      </c>
      <c r="J160">
        <v>0</v>
      </c>
    </row>
    <row r="161" spans="1:10">
      <c r="A161" s="12" t="s">
        <v>320</v>
      </c>
      <c r="B161" t="s">
        <v>321</v>
      </c>
      <c r="C161" t="s">
        <v>824</v>
      </c>
      <c r="D161">
        <v>56.17</v>
      </c>
      <c r="E161" t="s">
        <v>825</v>
      </c>
      <c r="F161" t="s">
        <v>826</v>
      </c>
      <c r="G161" s="1">
        <v>89.88</v>
      </c>
      <c r="H161">
        <v>1</v>
      </c>
      <c r="I161">
        <v>0</v>
      </c>
      <c r="J161">
        <v>0</v>
      </c>
    </row>
    <row r="162" spans="1:10">
      <c r="A162" s="12" t="s">
        <v>322</v>
      </c>
      <c r="B162" t="s">
        <v>323</v>
      </c>
      <c r="C162" t="s">
        <v>824</v>
      </c>
      <c r="D162">
        <v>267.07</v>
      </c>
      <c r="E162" t="s">
        <v>825</v>
      </c>
      <c r="F162" t="s">
        <v>826</v>
      </c>
      <c r="G162" s="1">
        <v>427.31</v>
      </c>
      <c r="H162">
        <v>1</v>
      </c>
      <c r="I162">
        <v>0</v>
      </c>
      <c r="J162">
        <v>0</v>
      </c>
    </row>
    <row r="163" spans="1:10">
      <c r="A163" s="12" t="s">
        <v>324</v>
      </c>
      <c r="B163" t="s">
        <v>325</v>
      </c>
      <c r="C163" t="s">
        <v>824</v>
      </c>
      <c r="D163">
        <v>63.56</v>
      </c>
      <c r="E163" t="s">
        <v>825</v>
      </c>
      <c r="F163" t="s">
        <v>826</v>
      </c>
      <c r="G163" s="1">
        <v>101.7</v>
      </c>
      <c r="H163">
        <v>1</v>
      </c>
      <c r="I163">
        <v>0</v>
      </c>
      <c r="J163">
        <v>0</v>
      </c>
    </row>
    <row r="164" spans="1:10">
      <c r="A164" s="12" t="s">
        <v>326</v>
      </c>
      <c r="B164" t="s">
        <v>327</v>
      </c>
      <c r="C164" t="s">
        <v>824</v>
      </c>
      <c r="D164">
        <v>65.11</v>
      </c>
      <c r="E164" t="s">
        <v>825</v>
      </c>
      <c r="F164" t="s">
        <v>826</v>
      </c>
      <c r="G164" s="1">
        <v>104.16</v>
      </c>
      <c r="H164">
        <v>1</v>
      </c>
      <c r="I164">
        <v>0</v>
      </c>
      <c r="J164">
        <v>0</v>
      </c>
    </row>
    <row r="165" spans="1:10">
      <c r="A165" s="12" t="s">
        <v>328</v>
      </c>
      <c r="B165" t="s">
        <v>329</v>
      </c>
      <c r="C165" t="s">
        <v>824</v>
      </c>
      <c r="D165">
        <v>113.09</v>
      </c>
      <c r="E165" t="s">
        <v>825</v>
      </c>
      <c r="F165" t="s">
        <v>826</v>
      </c>
      <c r="G165" s="1">
        <v>180.96</v>
      </c>
      <c r="H165">
        <v>1</v>
      </c>
      <c r="I165">
        <v>0</v>
      </c>
      <c r="J165">
        <v>0</v>
      </c>
    </row>
    <row r="166" spans="1:10">
      <c r="A166" s="12" t="s">
        <v>330</v>
      </c>
      <c r="B166" t="s">
        <v>331</v>
      </c>
      <c r="C166" t="s">
        <v>824</v>
      </c>
      <c r="D166">
        <v>91.16</v>
      </c>
      <c r="E166" t="s">
        <v>825</v>
      </c>
      <c r="F166" t="s">
        <v>826</v>
      </c>
      <c r="G166" s="1">
        <v>144.7</v>
      </c>
      <c r="H166">
        <v>1</v>
      </c>
      <c r="I166">
        <v>0</v>
      </c>
      <c r="J166">
        <v>0</v>
      </c>
    </row>
    <row r="167" spans="1:10">
      <c r="A167" s="12" t="s">
        <v>332</v>
      </c>
      <c r="B167" t="s">
        <v>333</v>
      </c>
      <c r="C167" t="s">
        <v>824</v>
      </c>
      <c r="D167">
        <v>109.38</v>
      </c>
      <c r="E167" t="s">
        <v>825</v>
      </c>
      <c r="F167" t="s">
        <v>826</v>
      </c>
      <c r="G167" s="1">
        <v>173.61</v>
      </c>
      <c r="H167">
        <v>1</v>
      </c>
      <c r="I167">
        <v>0</v>
      </c>
      <c r="J167">
        <v>0</v>
      </c>
    </row>
    <row r="168" spans="1:10">
      <c r="A168" s="12" t="s">
        <v>334</v>
      </c>
      <c r="B168" t="s">
        <v>335</v>
      </c>
      <c r="C168" t="s">
        <v>824</v>
      </c>
      <c r="D168">
        <v>1101.89</v>
      </c>
      <c r="E168" t="s">
        <v>825</v>
      </c>
      <c r="F168" t="s">
        <v>826</v>
      </c>
      <c r="G168" s="1">
        <v>1763.02</v>
      </c>
      <c r="H168">
        <v>1</v>
      </c>
      <c r="I168">
        <v>0</v>
      </c>
      <c r="J168">
        <v>0</v>
      </c>
    </row>
    <row r="169" spans="1:10">
      <c r="A169" s="12" t="s">
        <v>336</v>
      </c>
      <c r="B169" t="s">
        <v>337</v>
      </c>
      <c r="C169" t="s">
        <v>824</v>
      </c>
      <c r="D169">
        <v>1122.3</v>
      </c>
      <c r="E169" t="s">
        <v>825</v>
      </c>
      <c r="F169" t="s">
        <v>826</v>
      </c>
      <c r="G169" s="1">
        <v>1795.66</v>
      </c>
      <c r="H169">
        <v>1</v>
      </c>
      <c r="I169">
        <v>0</v>
      </c>
      <c r="J169">
        <v>0</v>
      </c>
    </row>
    <row r="170" spans="1:10">
      <c r="A170" s="12" t="s">
        <v>338</v>
      </c>
      <c r="B170" t="s">
        <v>339</v>
      </c>
      <c r="C170" t="s">
        <v>824</v>
      </c>
      <c r="D170">
        <v>1348.91</v>
      </c>
      <c r="E170" t="s">
        <v>825</v>
      </c>
      <c r="F170" t="s">
        <v>826</v>
      </c>
      <c r="G170" s="1">
        <v>2158.26</v>
      </c>
      <c r="H170">
        <v>1</v>
      </c>
      <c r="I170">
        <v>0</v>
      </c>
      <c r="J170">
        <v>0</v>
      </c>
    </row>
    <row r="171" spans="1:10">
      <c r="A171" s="12" t="s">
        <v>340</v>
      </c>
      <c r="B171" t="s">
        <v>341</v>
      </c>
      <c r="C171" t="s">
        <v>824</v>
      </c>
      <c r="D171">
        <v>928.56</v>
      </c>
      <c r="E171" t="s">
        <v>825</v>
      </c>
      <c r="F171" t="s">
        <v>826</v>
      </c>
      <c r="G171" s="1">
        <v>1485.71</v>
      </c>
      <c r="H171">
        <v>1</v>
      </c>
      <c r="I171">
        <v>0</v>
      </c>
      <c r="J171">
        <v>0</v>
      </c>
    </row>
    <row r="172" spans="1:10">
      <c r="A172" s="12" t="s">
        <v>342</v>
      </c>
      <c r="B172" t="s">
        <v>343</v>
      </c>
      <c r="C172" t="s">
        <v>824</v>
      </c>
      <c r="D172">
        <v>1253.95</v>
      </c>
      <c r="E172" t="s">
        <v>825</v>
      </c>
      <c r="F172" t="s">
        <v>826</v>
      </c>
      <c r="G172" s="1">
        <v>2006.33</v>
      </c>
      <c r="H172">
        <v>1</v>
      </c>
      <c r="I172">
        <v>0</v>
      </c>
      <c r="J172">
        <v>0</v>
      </c>
    </row>
    <row r="173" spans="1:10">
      <c r="A173" s="12" t="s">
        <v>344</v>
      </c>
      <c r="B173" t="s">
        <v>345</v>
      </c>
      <c r="C173" t="s">
        <v>824</v>
      </c>
      <c r="D173">
        <v>1172.44</v>
      </c>
      <c r="E173" t="s">
        <v>825</v>
      </c>
      <c r="F173" t="s">
        <v>826</v>
      </c>
      <c r="G173" s="1">
        <v>1875.89</v>
      </c>
      <c r="H173">
        <v>1</v>
      </c>
      <c r="I173">
        <v>0</v>
      </c>
      <c r="J173">
        <v>0</v>
      </c>
    </row>
    <row r="174" spans="1:10">
      <c r="A174" s="12" t="s">
        <v>346</v>
      </c>
      <c r="B174" t="s">
        <v>347</v>
      </c>
      <c r="C174" t="s">
        <v>824</v>
      </c>
      <c r="D174">
        <v>1628.73</v>
      </c>
      <c r="E174" t="s">
        <v>825</v>
      </c>
      <c r="F174" t="s">
        <v>826</v>
      </c>
      <c r="G174" s="1">
        <v>2626.98</v>
      </c>
      <c r="H174">
        <v>1</v>
      </c>
      <c r="I174">
        <v>0</v>
      </c>
      <c r="J174">
        <v>0</v>
      </c>
    </row>
    <row r="175" spans="1:10">
      <c r="A175" s="12" t="s">
        <v>348</v>
      </c>
      <c r="B175" t="s">
        <v>349</v>
      </c>
      <c r="C175" t="s">
        <v>824</v>
      </c>
      <c r="D175">
        <v>236.41</v>
      </c>
      <c r="E175" t="s">
        <v>825</v>
      </c>
      <c r="F175" t="s">
        <v>826</v>
      </c>
      <c r="G175" s="1">
        <v>411.13</v>
      </c>
      <c r="H175">
        <v>1</v>
      </c>
      <c r="I175">
        <v>0</v>
      </c>
      <c r="J175">
        <v>0</v>
      </c>
    </row>
    <row r="176" spans="1:10">
      <c r="A176" s="12" t="s">
        <v>350</v>
      </c>
      <c r="B176" t="s">
        <v>351</v>
      </c>
      <c r="C176" t="s">
        <v>824</v>
      </c>
      <c r="D176">
        <v>293.23</v>
      </c>
      <c r="E176" t="s">
        <v>825</v>
      </c>
      <c r="F176" t="s">
        <v>826</v>
      </c>
      <c r="G176" s="1">
        <v>509.96</v>
      </c>
      <c r="H176">
        <v>1</v>
      </c>
      <c r="I176">
        <v>0</v>
      </c>
      <c r="J176">
        <v>0</v>
      </c>
    </row>
    <row r="177" spans="1:10">
      <c r="A177" s="12" t="s">
        <v>352</v>
      </c>
      <c r="B177" t="s">
        <v>353</v>
      </c>
      <c r="C177" t="s">
        <v>824</v>
      </c>
      <c r="D177">
        <v>850.26</v>
      </c>
      <c r="E177" t="s">
        <v>825</v>
      </c>
      <c r="F177" t="s">
        <v>826</v>
      </c>
      <c r="G177" s="1">
        <v>1360.4</v>
      </c>
      <c r="H177">
        <v>1</v>
      </c>
      <c r="I177">
        <v>0</v>
      </c>
      <c r="J177">
        <v>0</v>
      </c>
    </row>
    <row r="178" spans="1:10">
      <c r="A178" s="12" t="s">
        <v>354</v>
      </c>
      <c r="B178" t="s">
        <v>355</v>
      </c>
      <c r="C178" t="s">
        <v>824</v>
      </c>
      <c r="D178">
        <v>228.63</v>
      </c>
      <c r="E178" t="s">
        <v>825</v>
      </c>
      <c r="F178" t="s">
        <v>826</v>
      </c>
      <c r="G178" s="1">
        <v>365.79</v>
      </c>
      <c r="H178">
        <v>1</v>
      </c>
      <c r="I178">
        <v>0</v>
      </c>
      <c r="J178">
        <v>0</v>
      </c>
    </row>
    <row r="179" spans="1:10">
      <c r="A179" s="12" t="s">
        <v>356</v>
      </c>
      <c r="B179" t="s">
        <v>357</v>
      </c>
      <c r="C179" t="s">
        <v>824</v>
      </c>
      <c r="D179">
        <v>414.8</v>
      </c>
      <c r="E179" t="s">
        <v>825</v>
      </c>
      <c r="F179" t="s">
        <v>826</v>
      </c>
      <c r="G179" s="1">
        <v>663.65</v>
      </c>
      <c r="H179">
        <v>1</v>
      </c>
      <c r="I179">
        <v>0</v>
      </c>
      <c r="J179">
        <v>0</v>
      </c>
    </row>
    <row r="180" spans="1:10">
      <c r="A180" s="12" t="s">
        <v>358</v>
      </c>
      <c r="B180" t="s">
        <v>359</v>
      </c>
      <c r="C180" t="s">
        <v>824</v>
      </c>
      <c r="D180">
        <v>1044.43</v>
      </c>
      <c r="E180" t="s">
        <v>825</v>
      </c>
      <c r="F180" t="s">
        <v>826</v>
      </c>
      <c r="G180" s="1">
        <v>1671.08</v>
      </c>
      <c r="H180">
        <v>1</v>
      </c>
      <c r="I180">
        <v>0</v>
      </c>
      <c r="J180">
        <v>0</v>
      </c>
    </row>
    <row r="181" spans="1:10">
      <c r="A181" s="12" t="s">
        <v>360</v>
      </c>
      <c r="B181" t="s">
        <v>361</v>
      </c>
      <c r="C181" t="s">
        <v>824</v>
      </c>
      <c r="D181">
        <v>979.24</v>
      </c>
      <c r="E181" t="s">
        <v>825</v>
      </c>
      <c r="F181" t="s">
        <v>826</v>
      </c>
      <c r="G181" s="1">
        <v>1703.02</v>
      </c>
      <c r="H181">
        <v>1</v>
      </c>
      <c r="I181">
        <v>0</v>
      </c>
      <c r="J181">
        <v>0</v>
      </c>
    </row>
    <row r="182" spans="1:10">
      <c r="A182" s="12" t="s">
        <v>362</v>
      </c>
      <c r="B182" t="s">
        <v>363</v>
      </c>
      <c r="C182" t="s">
        <v>824</v>
      </c>
      <c r="D182">
        <v>1208.32</v>
      </c>
      <c r="E182" t="s">
        <v>825</v>
      </c>
      <c r="F182" t="s">
        <v>826</v>
      </c>
      <c r="G182" s="1">
        <v>2101.43</v>
      </c>
      <c r="H182">
        <v>1</v>
      </c>
      <c r="I182">
        <v>0</v>
      </c>
      <c r="J182">
        <v>0</v>
      </c>
    </row>
    <row r="183" spans="1:10">
      <c r="A183" s="12" t="s">
        <v>364</v>
      </c>
      <c r="B183" t="s">
        <v>365</v>
      </c>
      <c r="C183" t="s">
        <v>824</v>
      </c>
      <c r="D183">
        <v>1459.15</v>
      </c>
      <c r="E183" t="s">
        <v>825</v>
      </c>
      <c r="F183" t="s">
        <v>826</v>
      </c>
      <c r="G183" s="1">
        <v>2537.66</v>
      </c>
      <c r="H183">
        <v>1</v>
      </c>
      <c r="I183">
        <v>0</v>
      </c>
      <c r="J183">
        <v>0</v>
      </c>
    </row>
    <row r="184" spans="1:10">
      <c r="A184" s="12" t="s">
        <v>366</v>
      </c>
      <c r="B184" t="s">
        <v>367</v>
      </c>
      <c r="C184" t="s">
        <v>824</v>
      </c>
      <c r="D184">
        <v>307.58</v>
      </c>
      <c r="E184" t="s">
        <v>825</v>
      </c>
      <c r="F184" t="s">
        <v>826</v>
      </c>
      <c r="G184" s="1">
        <v>492.13</v>
      </c>
      <c r="H184">
        <v>1</v>
      </c>
      <c r="I184">
        <v>0</v>
      </c>
      <c r="J184">
        <v>0</v>
      </c>
    </row>
    <row r="185" spans="1:10">
      <c r="A185" s="12" t="s">
        <v>368</v>
      </c>
      <c r="B185" t="s">
        <v>369</v>
      </c>
      <c r="C185" t="s">
        <v>824</v>
      </c>
      <c r="D185">
        <v>645.54</v>
      </c>
      <c r="E185" t="s">
        <v>825</v>
      </c>
      <c r="F185" t="s">
        <v>826</v>
      </c>
      <c r="G185" s="1">
        <v>1032.86</v>
      </c>
      <c r="H185">
        <v>1</v>
      </c>
      <c r="I185">
        <v>0</v>
      </c>
      <c r="J185">
        <v>0</v>
      </c>
    </row>
    <row r="186" spans="1:10">
      <c r="A186" s="12" t="s">
        <v>370</v>
      </c>
      <c r="B186" t="s">
        <v>371</v>
      </c>
      <c r="C186" t="s">
        <v>824</v>
      </c>
      <c r="D186">
        <v>260.39</v>
      </c>
      <c r="E186" t="s">
        <v>825</v>
      </c>
      <c r="F186" t="s">
        <v>826</v>
      </c>
      <c r="G186" s="1">
        <v>452.86</v>
      </c>
      <c r="H186">
        <v>1</v>
      </c>
      <c r="I186">
        <v>0</v>
      </c>
      <c r="J186">
        <v>0</v>
      </c>
    </row>
    <row r="187" spans="1:10">
      <c r="A187" s="12" t="s">
        <v>372</v>
      </c>
      <c r="B187" t="s">
        <v>373</v>
      </c>
      <c r="C187" t="s">
        <v>824</v>
      </c>
      <c r="D187">
        <v>402.92</v>
      </c>
      <c r="E187" t="s">
        <v>825</v>
      </c>
      <c r="F187" t="s">
        <v>826</v>
      </c>
      <c r="G187" s="1">
        <v>700.72</v>
      </c>
      <c r="H187">
        <v>1</v>
      </c>
      <c r="I187">
        <v>0</v>
      </c>
      <c r="J187">
        <v>0</v>
      </c>
    </row>
    <row r="188" spans="1:10">
      <c r="A188" s="12" t="s">
        <v>374</v>
      </c>
      <c r="B188" t="s">
        <v>375</v>
      </c>
      <c r="C188" t="s">
        <v>824</v>
      </c>
      <c r="D188">
        <v>130.84</v>
      </c>
      <c r="E188" t="s">
        <v>825</v>
      </c>
      <c r="F188" t="s">
        <v>826</v>
      </c>
      <c r="G188" s="1">
        <v>227.55</v>
      </c>
      <c r="H188">
        <v>1</v>
      </c>
      <c r="I188">
        <v>0</v>
      </c>
      <c r="J188">
        <v>0</v>
      </c>
    </row>
    <row r="189" spans="1:10">
      <c r="A189" s="12" t="s">
        <v>376</v>
      </c>
      <c r="B189" t="s">
        <v>377</v>
      </c>
      <c r="C189" t="s">
        <v>824</v>
      </c>
      <c r="D189">
        <v>160.57</v>
      </c>
      <c r="E189" t="s">
        <v>825</v>
      </c>
      <c r="F189" t="s">
        <v>826</v>
      </c>
      <c r="G189" s="1">
        <v>279.24</v>
      </c>
      <c r="H189">
        <v>1</v>
      </c>
      <c r="I189">
        <v>0</v>
      </c>
      <c r="J189">
        <v>0</v>
      </c>
    </row>
    <row r="190" spans="1:10">
      <c r="A190" s="12" t="s">
        <v>378</v>
      </c>
      <c r="B190" t="s">
        <v>379</v>
      </c>
      <c r="C190" t="s">
        <v>824</v>
      </c>
      <c r="D190">
        <v>190.1</v>
      </c>
      <c r="E190" t="s">
        <v>825</v>
      </c>
      <c r="F190" t="s">
        <v>826</v>
      </c>
      <c r="G190" s="1">
        <v>330.61</v>
      </c>
      <c r="H190">
        <v>1</v>
      </c>
      <c r="I190">
        <v>0</v>
      </c>
      <c r="J190">
        <v>0</v>
      </c>
    </row>
    <row r="191" spans="1:10">
      <c r="A191" s="12" t="s">
        <v>380</v>
      </c>
      <c r="B191" t="s">
        <v>381</v>
      </c>
      <c r="C191" t="s">
        <v>824</v>
      </c>
      <c r="D191">
        <v>257.81</v>
      </c>
      <c r="E191" t="s">
        <v>825</v>
      </c>
      <c r="F191" t="s">
        <v>826</v>
      </c>
      <c r="G191" s="1">
        <v>448.35</v>
      </c>
      <c r="H191">
        <v>1</v>
      </c>
      <c r="I191">
        <v>0</v>
      </c>
      <c r="J191">
        <v>0</v>
      </c>
    </row>
    <row r="192" spans="1:10">
      <c r="A192" s="12" t="s">
        <v>382</v>
      </c>
      <c r="B192" t="s">
        <v>383</v>
      </c>
      <c r="C192" t="s">
        <v>824</v>
      </c>
      <c r="D192">
        <v>312.53</v>
      </c>
      <c r="E192" t="s">
        <v>825</v>
      </c>
      <c r="F192" t="s">
        <v>826</v>
      </c>
      <c r="G192" s="1">
        <v>543.52</v>
      </c>
      <c r="H192">
        <v>1</v>
      </c>
      <c r="I192">
        <v>0</v>
      </c>
      <c r="J192">
        <v>0</v>
      </c>
    </row>
    <row r="193" spans="1:10">
      <c r="A193" s="12" t="s">
        <v>384</v>
      </c>
      <c r="B193" t="s">
        <v>385</v>
      </c>
      <c r="C193" t="s">
        <v>824</v>
      </c>
      <c r="D193">
        <v>407.64</v>
      </c>
      <c r="E193" t="s">
        <v>825</v>
      </c>
      <c r="F193" t="s">
        <v>826</v>
      </c>
      <c r="G193" s="1">
        <v>708.94</v>
      </c>
      <c r="H193">
        <v>1</v>
      </c>
      <c r="I193">
        <v>0</v>
      </c>
      <c r="J193">
        <v>0</v>
      </c>
    </row>
    <row r="194" spans="1:10">
      <c r="A194" s="12" t="s">
        <v>386</v>
      </c>
      <c r="B194" t="s">
        <v>387</v>
      </c>
      <c r="C194" t="s">
        <v>824</v>
      </c>
      <c r="D194">
        <v>484.42</v>
      </c>
      <c r="E194" t="s">
        <v>825</v>
      </c>
      <c r="F194" t="s">
        <v>826</v>
      </c>
      <c r="G194" s="1">
        <v>842.48</v>
      </c>
      <c r="H194">
        <v>1</v>
      </c>
      <c r="I194">
        <v>0</v>
      </c>
      <c r="J194">
        <v>0</v>
      </c>
    </row>
    <row r="195" spans="1:10">
      <c r="A195" s="12" t="s">
        <v>388</v>
      </c>
      <c r="B195" t="s">
        <v>389</v>
      </c>
      <c r="C195" t="s">
        <v>824</v>
      </c>
      <c r="D195">
        <v>346.81</v>
      </c>
      <c r="E195" t="s">
        <v>825</v>
      </c>
      <c r="F195" t="s">
        <v>826</v>
      </c>
      <c r="G195" s="1">
        <v>603.14</v>
      </c>
      <c r="H195">
        <v>1</v>
      </c>
      <c r="I195">
        <v>0</v>
      </c>
      <c r="J195">
        <v>0</v>
      </c>
    </row>
    <row r="196" spans="1:10">
      <c r="A196" s="12" t="s">
        <v>390</v>
      </c>
      <c r="B196" t="s">
        <v>391</v>
      </c>
      <c r="C196" t="s">
        <v>824</v>
      </c>
      <c r="D196">
        <v>419.02</v>
      </c>
      <c r="E196" t="s">
        <v>825</v>
      </c>
      <c r="F196" t="s">
        <v>826</v>
      </c>
      <c r="G196" s="1">
        <v>728.74</v>
      </c>
      <c r="H196">
        <v>1</v>
      </c>
      <c r="I196">
        <v>0</v>
      </c>
      <c r="J196">
        <v>0</v>
      </c>
    </row>
    <row r="197" spans="1:10">
      <c r="A197" s="12" t="s">
        <v>392</v>
      </c>
      <c r="B197" t="s">
        <v>393</v>
      </c>
      <c r="C197" t="s">
        <v>824</v>
      </c>
      <c r="D197">
        <v>4.5</v>
      </c>
      <c r="E197" t="s">
        <v>825</v>
      </c>
      <c r="F197" t="s">
        <v>826</v>
      </c>
      <c r="G197" s="1">
        <v>7.19</v>
      </c>
      <c r="H197" t="s">
        <v>828</v>
      </c>
      <c r="I197">
        <v>0</v>
      </c>
      <c r="J197">
        <v>0</v>
      </c>
    </row>
    <row r="198" spans="1:10">
      <c r="A198" s="12" t="s">
        <v>394</v>
      </c>
      <c r="B198" t="s">
        <v>395</v>
      </c>
      <c r="C198" t="s">
        <v>824</v>
      </c>
      <c r="D198">
        <v>11.15</v>
      </c>
      <c r="E198" t="s">
        <v>825</v>
      </c>
      <c r="F198" t="s">
        <v>826</v>
      </c>
      <c r="G198" s="1">
        <v>17.83</v>
      </c>
      <c r="H198">
        <v>1</v>
      </c>
      <c r="I198">
        <v>0</v>
      </c>
      <c r="J198">
        <v>0</v>
      </c>
    </row>
    <row r="199" spans="1:10">
      <c r="A199" s="12" t="s">
        <v>396</v>
      </c>
      <c r="B199" t="s">
        <v>397</v>
      </c>
      <c r="C199" t="s">
        <v>824</v>
      </c>
      <c r="D199">
        <v>11.01</v>
      </c>
      <c r="E199" t="s">
        <v>825</v>
      </c>
      <c r="F199" t="s">
        <v>826</v>
      </c>
      <c r="G199" s="1">
        <v>17.63</v>
      </c>
      <c r="H199" t="s">
        <v>828</v>
      </c>
      <c r="I199">
        <v>0</v>
      </c>
      <c r="J199">
        <v>0</v>
      </c>
    </row>
    <row r="200" spans="1:10">
      <c r="A200" s="12" t="s">
        <v>398</v>
      </c>
      <c r="B200" t="s">
        <v>399</v>
      </c>
      <c r="C200" t="s">
        <v>824</v>
      </c>
      <c r="D200">
        <v>119.58</v>
      </c>
      <c r="E200" t="s">
        <v>825</v>
      </c>
      <c r="F200" t="s">
        <v>826</v>
      </c>
      <c r="G200" s="1">
        <v>207.95</v>
      </c>
      <c r="H200">
        <v>1</v>
      </c>
      <c r="I200">
        <v>0</v>
      </c>
      <c r="J200">
        <v>0</v>
      </c>
    </row>
    <row r="201" spans="1:10">
      <c r="A201" s="12" t="s">
        <v>400</v>
      </c>
      <c r="B201" t="s">
        <v>401</v>
      </c>
      <c r="C201" t="s">
        <v>824</v>
      </c>
      <c r="D201">
        <v>195.17</v>
      </c>
      <c r="E201" t="s">
        <v>825</v>
      </c>
      <c r="F201" t="s">
        <v>826</v>
      </c>
      <c r="G201" s="1">
        <v>339.42</v>
      </c>
      <c r="H201">
        <v>1</v>
      </c>
      <c r="I201">
        <v>0</v>
      </c>
      <c r="J201">
        <v>0</v>
      </c>
    </row>
    <row r="202" spans="1:10">
      <c r="A202" s="12" t="s">
        <v>402</v>
      </c>
      <c r="B202" t="s">
        <v>403</v>
      </c>
      <c r="C202" t="s">
        <v>824</v>
      </c>
      <c r="D202">
        <v>296.48</v>
      </c>
      <c r="E202" t="s">
        <v>825</v>
      </c>
      <c r="F202" t="s">
        <v>826</v>
      </c>
      <c r="G202" s="1">
        <v>515.62</v>
      </c>
      <c r="H202">
        <v>1</v>
      </c>
      <c r="I202">
        <v>0</v>
      </c>
      <c r="J202">
        <v>0</v>
      </c>
    </row>
    <row r="203" spans="1:10">
      <c r="A203" s="12" t="s">
        <v>404</v>
      </c>
      <c r="B203" t="s">
        <v>405</v>
      </c>
      <c r="C203" t="s">
        <v>824</v>
      </c>
      <c r="D203">
        <v>396.7</v>
      </c>
      <c r="E203" t="s">
        <v>825</v>
      </c>
      <c r="F203" t="s">
        <v>826</v>
      </c>
      <c r="G203" s="1">
        <v>689.9</v>
      </c>
      <c r="H203">
        <v>1</v>
      </c>
      <c r="I203">
        <v>0</v>
      </c>
      <c r="J203">
        <v>0</v>
      </c>
    </row>
    <row r="204" spans="1:10">
      <c r="A204" s="12" t="s">
        <v>406</v>
      </c>
      <c r="B204" t="s">
        <v>407</v>
      </c>
      <c r="C204" t="s">
        <v>824</v>
      </c>
      <c r="D204">
        <v>492.47</v>
      </c>
      <c r="E204" t="s">
        <v>825</v>
      </c>
      <c r="F204" t="s">
        <v>826</v>
      </c>
      <c r="G204" s="1">
        <v>856.48</v>
      </c>
      <c r="H204">
        <v>1</v>
      </c>
      <c r="I204">
        <v>0</v>
      </c>
      <c r="J204">
        <v>0</v>
      </c>
    </row>
    <row r="205" spans="1:10">
      <c r="A205" s="12" t="s">
        <v>408</v>
      </c>
      <c r="B205" t="s">
        <v>409</v>
      </c>
      <c r="C205" t="s">
        <v>824</v>
      </c>
      <c r="D205">
        <v>598.86</v>
      </c>
      <c r="E205" t="s">
        <v>825</v>
      </c>
      <c r="F205" t="s">
        <v>826</v>
      </c>
      <c r="G205" s="1">
        <v>1041.48</v>
      </c>
      <c r="H205">
        <v>1</v>
      </c>
      <c r="I205">
        <v>0</v>
      </c>
      <c r="J205">
        <v>0</v>
      </c>
    </row>
    <row r="206" spans="1:10">
      <c r="A206" s="12" t="s">
        <v>410</v>
      </c>
      <c r="B206" t="s">
        <v>411</v>
      </c>
      <c r="C206" t="s">
        <v>824</v>
      </c>
      <c r="D206">
        <v>5.32</v>
      </c>
      <c r="E206" t="s">
        <v>825</v>
      </c>
      <c r="F206" t="s">
        <v>826</v>
      </c>
      <c r="G206" s="1">
        <v>8.5</v>
      </c>
      <c r="H206">
        <v>1</v>
      </c>
      <c r="I206">
        <v>0</v>
      </c>
      <c r="J206">
        <v>0</v>
      </c>
    </row>
    <row r="207" spans="1:10">
      <c r="A207" s="12" t="s">
        <v>412</v>
      </c>
      <c r="B207" t="s">
        <v>413</v>
      </c>
      <c r="C207" t="s">
        <v>824</v>
      </c>
      <c r="D207">
        <v>7.98</v>
      </c>
      <c r="E207" t="s">
        <v>825</v>
      </c>
      <c r="F207" t="s">
        <v>826</v>
      </c>
      <c r="G207" s="1">
        <v>12.77</v>
      </c>
      <c r="H207">
        <v>1</v>
      </c>
      <c r="I207">
        <v>0</v>
      </c>
      <c r="J207">
        <v>0</v>
      </c>
    </row>
    <row r="208" spans="1:10">
      <c r="A208" s="12" t="s">
        <v>414</v>
      </c>
      <c r="B208" t="s">
        <v>415</v>
      </c>
      <c r="C208" t="s">
        <v>824</v>
      </c>
      <c r="D208">
        <v>8.35</v>
      </c>
      <c r="E208" t="s">
        <v>825</v>
      </c>
      <c r="F208" t="s">
        <v>826</v>
      </c>
      <c r="G208" s="1">
        <v>13.37</v>
      </c>
      <c r="H208">
        <v>1</v>
      </c>
      <c r="I208">
        <v>0</v>
      </c>
      <c r="J208">
        <v>0</v>
      </c>
    </row>
    <row r="209" spans="1:10">
      <c r="A209" s="12" t="s">
        <v>416</v>
      </c>
      <c r="B209" t="s">
        <v>417</v>
      </c>
      <c r="C209" t="s">
        <v>824</v>
      </c>
      <c r="D209">
        <v>11.39</v>
      </c>
      <c r="E209" t="s">
        <v>825</v>
      </c>
      <c r="F209" t="s">
        <v>826</v>
      </c>
      <c r="G209" s="1">
        <v>18.23</v>
      </c>
      <c r="H209">
        <v>1</v>
      </c>
      <c r="I209">
        <v>0</v>
      </c>
      <c r="J209">
        <v>0</v>
      </c>
    </row>
    <row r="210" spans="1:10">
      <c r="A210" s="12" t="s">
        <v>418</v>
      </c>
      <c r="B210" t="s">
        <v>419</v>
      </c>
      <c r="C210" t="s">
        <v>824</v>
      </c>
      <c r="D210">
        <v>13.72</v>
      </c>
      <c r="E210" t="s">
        <v>825</v>
      </c>
      <c r="F210" t="s">
        <v>826</v>
      </c>
      <c r="G210" s="1">
        <v>21.95</v>
      </c>
      <c r="H210">
        <v>1</v>
      </c>
      <c r="I210">
        <v>0</v>
      </c>
      <c r="J210">
        <v>0</v>
      </c>
    </row>
    <row r="211" spans="1:10">
      <c r="A211" s="12" t="s">
        <v>420</v>
      </c>
      <c r="B211" t="s">
        <v>421</v>
      </c>
      <c r="C211" t="s">
        <v>824</v>
      </c>
      <c r="D211">
        <v>18.04</v>
      </c>
      <c r="E211" t="s">
        <v>825</v>
      </c>
      <c r="F211" t="s">
        <v>826</v>
      </c>
      <c r="G211" s="1">
        <v>29.1</v>
      </c>
      <c r="H211">
        <v>1</v>
      </c>
      <c r="I211">
        <v>0</v>
      </c>
      <c r="J211">
        <v>0</v>
      </c>
    </row>
    <row r="212" spans="1:10">
      <c r="A212" s="12" t="s">
        <v>422</v>
      </c>
      <c r="B212" t="s">
        <v>423</v>
      </c>
      <c r="C212" t="s">
        <v>824</v>
      </c>
      <c r="D212">
        <v>19.75</v>
      </c>
      <c r="E212" t="s">
        <v>825</v>
      </c>
      <c r="F212" t="s">
        <v>826</v>
      </c>
      <c r="G212" s="1">
        <v>31.86</v>
      </c>
      <c r="H212">
        <v>1</v>
      </c>
      <c r="I212">
        <v>0</v>
      </c>
      <c r="J212">
        <v>0</v>
      </c>
    </row>
    <row r="213" spans="1:10">
      <c r="A213" s="12" t="s">
        <v>424</v>
      </c>
      <c r="B213" t="s">
        <v>425</v>
      </c>
      <c r="C213" t="s">
        <v>824</v>
      </c>
      <c r="D213">
        <v>22.31</v>
      </c>
      <c r="E213" t="s">
        <v>825</v>
      </c>
      <c r="F213" t="s">
        <v>826</v>
      </c>
      <c r="G213" s="1">
        <v>35.99</v>
      </c>
      <c r="H213">
        <v>1</v>
      </c>
      <c r="I213">
        <v>0</v>
      </c>
      <c r="J213">
        <v>0</v>
      </c>
    </row>
    <row r="214" spans="1:10">
      <c r="A214" s="12" t="s">
        <v>426</v>
      </c>
      <c r="B214" t="s">
        <v>427</v>
      </c>
      <c r="C214" t="s">
        <v>824</v>
      </c>
      <c r="D214">
        <v>11.22</v>
      </c>
      <c r="E214" t="s">
        <v>825</v>
      </c>
      <c r="F214" t="s">
        <v>826</v>
      </c>
      <c r="G214" s="1">
        <v>18.1</v>
      </c>
      <c r="H214">
        <v>1</v>
      </c>
      <c r="I214">
        <v>0</v>
      </c>
      <c r="J214">
        <v>0</v>
      </c>
    </row>
    <row r="215" spans="1:10">
      <c r="A215" s="12" t="s">
        <v>428</v>
      </c>
      <c r="B215" t="s">
        <v>429</v>
      </c>
      <c r="C215" t="s">
        <v>824</v>
      </c>
      <c r="D215">
        <v>12.36</v>
      </c>
      <c r="E215" t="s">
        <v>825</v>
      </c>
      <c r="F215" t="s">
        <v>826</v>
      </c>
      <c r="G215" s="1">
        <v>19.94</v>
      </c>
      <c r="H215">
        <v>1</v>
      </c>
      <c r="I215">
        <v>0</v>
      </c>
      <c r="J215">
        <v>0</v>
      </c>
    </row>
    <row r="216" spans="1:10">
      <c r="A216" s="12" t="s">
        <v>430</v>
      </c>
      <c r="B216" t="s">
        <v>431</v>
      </c>
      <c r="C216" t="s">
        <v>824</v>
      </c>
      <c r="D216">
        <v>16.34</v>
      </c>
      <c r="E216" t="s">
        <v>825</v>
      </c>
      <c r="F216" t="s">
        <v>826</v>
      </c>
      <c r="G216" s="1">
        <v>26.35</v>
      </c>
      <c r="H216">
        <v>1</v>
      </c>
      <c r="I216">
        <v>0</v>
      </c>
      <c r="J216">
        <v>0</v>
      </c>
    </row>
    <row r="217" spans="1:10">
      <c r="A217" s="12" t="s">
        <v>432</v>
      </c>
      <c r="B217" t="s">
        <v>433</v>
      </c>
      <c r="C217" t="s">
        <v>824</v>
      </c>
      <c r="D217">
        <v>10.79</v>
      </c>
      <c r="E217" t="s">
        <v>825</v>
      </c>
      <c r="F217" t="s">
        <v>826</v>
      </c>
      <c r="G217" s="1">
        <v>17.4</v>
      </c>
      <c r="H217">
        <v>1</v>
      </c>
      <c r="I217">
        <v>0</v>
      </c>
      <c r="J217">
        <v>0</v>
      </c>
    </row>
    <row r="218" spans="1:10">
      <c r="A218" s="12" t="s">
        <v>434</v>
      </c>
      <c r="B218" t="s">
        <v>435</v>
      </c>
      <c r="C218" t="s">
        <v>824</v>
      </c>
      <c r="D218">
        <v>38.93</v>
      </c>
      <c r="E218" t="s">
        <v>825</v>
      </c>
      <c r="F218" t="s">
        <v>826</v>
      </c>
      <c r="G218" s="1">
        <v>62.79</v>
      </c>
      <c r="H218">
        <v>1</v>
      </c>
      <c r="I218">
        <v>0</v>
      </c>
      <c r="J218">
        <v>0</v>
      </c>
    </row>
    <row r="219" spans="1:10">
      <c r="A219" s="12" t="s">
        <v>436</v>
      </c>
      <c r="B219" t="s">
        <v>437</v>
      </c>
      <c r="C219" t="s">
        <v>824</v>
      </c>
      <c r="D219">
        <v>36.94</v>
      </c>
      <c r="E219" t="s">
        <v>825</v>
      </c>
      <c r="F219" t="s">
        <v>826</v>
      </c>
      <c r="G219" s="1">
        <v>59.58</v>
      </c>
      <c r="H219">
        <v>1</v>
      </c>
      <c r="I219">
        <v>0</v>
      </c>
      <c r="J219">
        <v>0</v>
      </c>
    </row>
    <row r="220" spans="1:10">
      <c r="A220" s="12" t="s">
        <v>438</v>
      </c>
      <c r="B220" t="s">
        <v>439</v>
      </c>
      <c r="C220" t="s">
        <v>824</v>
      </c>
      <c r="D220">
        <v>21.02</v>
      </c>
      <c r="E220" t="s">
        <v>825</v>
      </c>
      <c r="F220" t="s">
        <v>826</v>
      </c>
      <c r="G220" s="1">
        <v>33.9</v>
      </c>
      <c r="H220">
        <v>1</v>
      </c>
      <c r="I220">
        <v>0</v>
      </c>
      <c r="J220">
        <v>0</v>
      </c>
    </row>
    <row r="221" spans="1:10">
      <c r="A221" s="12" t="s">
        <v>440</v>
      </c>
      <c r="B221" t="s">
        <v>441</v>
      </c>
      <c r="C221" t="s">
        <v>824</v>
      </c>
      <c r="D221">
        <v>1677.42</v>
      </c>
      <c r="E221" t="s">
        <v>825</v>
      </c>
      <c r="F221" t="s">
        <v>826</v>
      </c>
      <c r="G221" s="1">
        <v>2313.68</v>
      </c>
      <c r="H221">
        <v>1</v>
      </c>
      <c r="I221">
        <v>0</v>
      </c>
      <c r="J221">
        <v>0</v>
      </c>
    </row>
    <row r="222" spans="1:10">
      <c r="A222" s="12" t="s">
        <v>442</v>
      </c>
      <c r="B222" t="s">
        <v>443</v>
      </c>
      <c r="C222" t="s">
        <v>824</v>
      </c>
      <c r="D222">
        <v>1402.88</v>
      </c>
      <c r="E222" t="s">
        <v>825</v>
      </c>
      <c r="F222" t="s">
        <v>826</v>
      </c>
      <c r="G222" s="1">
        <v>1935</v>
      </c>
      <c r="H222">
        <v>1</v>
      </c>
      <c r="I222">
        <v>0</v>
      </c>
      <c r="J222">
        <v>0</v>
      </c>
    </row>
    <row r="223" spans="1:10">
      <c r="A223" s="12" t="s">
        <v>444</v>
      </c>
      <c r="B223" t="s">
        <v>445</v>
      </c>
      <c r="C223" t="s">
        <v>824</v>
      </c>
      <c r="D223">
        <v>2670.22</v>
      </c>
      <c r="E223" t="s">
        <v>825</v>
      </c>
      <c r="F223" t="s">
        <v>826</v>
      </c>
      <c r="G223" s="1">
        <v>3683.06</v>
      </c>
      <c r="H223">
        <v>1</v>
      </c>
      <c r="I223">
        <v>0</v>
      </c>
      <c r="J223">
        <v>0</v>
      </c>
    </row>
    <row r="224" spans="1:10">
      <c r="A224" s="12" t="s">
        <v>446</v>
      </c>
      <c r="B224" t="s">
        <v>447</v>
      </c>
      <c r="C224" t="s">
        <v>824</v>
      </c>
      <c r="D224">
        <v>4701.99</v>
      </c>
      <c r="E224" t="s">
        <v>825</v>
      </c>
      <c r="F224" t="s">
        <v>826</v>
      </c>
      <c r="G224" s="1">
        <v>6485.5</v>
      </c>
      <c r="H224">
        <v>1</v>
      </c>
      <c r="I224">
        <v>0</v>
      </c>
      <c r="J224">
        <v>0</v>
      </c>
    </row>
    <row r="225" spans="1:10">
      <c r="A225" s="12" t="s">
        <v>448</v>
      </c>
      <c r="B225" t="s">
        <v>449</v>
      </c>
      <c r="C225" t="s">
        <v>824</v>
      </c>
      <c r="D225">
        <v>1473.03</v>
      </c>
      <c r="E225" t="s">
        <v>825</v>
      </c>
      <c r="F225" t="s">
        <v>826</v>
      </c>
      <c r="G225" s="1">
        <v>2031.76</v>
      </c>
      <c r="H225">
        <v>1</v>
      </c>
      <c r="I225">
        <v>0</v>
      </c>
      <c r="J225">
        <v>0</v>
      </c>
    </row>
    <row r="226" spans="1:10">
      <c r="A226" s="12" t="s">
        <v>450</v>
      </c>
      <c r="B226" t="s">
        <v>451</v>
      </c>
      <c r="C226" t="s">
        <v>824</v>
      </c>
      <c r="D226">
        <v>4701.99</v>
      </c>
      <c r="E226" t="s">
        <v>825</v>
      </c>
      <c r="F226" t="s">
        <v>826</v>
      </c>
      <c r="G226" s="1">
        <v>6485.5</v>
      </c>
      <c r="H226">
        <v>1</v>
      </c>
      <c r="I226">
        <v>0</v>
      </c>
      <c r="J226">
        <v>0</v>
      </c>
    </row>
    <row r="227" spans="1:10">
      <c r="A227" s="12" t="s">
        <v>452</v>
      </c>
      <c r="B227" t="s">
        <v>453</v>
      </c>
      <c r="C227" t="s">
        <v>824</v>
      </c>
      <c r="D227">
        <v>246.88</v>
      </c>
      <c r="E227" t="s">
        <v>825</v>
      </c>
      <c r="F227" t="s">
        <v>826</v>
      </c>
      <c r="G227" s="1">
        <v>340.53</v>
      </c>
      <c r="H227">
        <v>6</v>
      </c>
      <c r="I227">
        <v>0</v>
      </c>
      <c r="J227">
        <v>0</v>
      </c>
    </row>
    <row r="228" spans="1:10">
      <c r="A228" s="12" t="s">
        <v>454</v>
      </c>
      <c r="B228" t="s">
        <v>455</v>
      </c>
      <c r="C228" t="s">
        <v>824</v>
      </c>
      <c r="D228">
        <v>289.5</v>
      </c>
      <c r="E228" t="s">
        <v>825</v>
      </c>
      <c r="F228" t="s">
        <v>826</v>
      </c>
      <c r="G228" s="1">
        <v>399.33</v>
      </c>
      <c r="H228">
        <v>6</v>
      </c>
      <c r="I228">
        <v>0</v>
      </c>
      <c r="J228">
        <v>0</v>
      </c>
    </row>
    <row r="229" spans="1:10">
      <c r="A229" s="12" t="s">
        <v>456</v>
      </c>
      <c r="B229" t="s">
        <v>457</v>
      </c>
      <c r="C229" t="s">
        <v>824</v>
      </c>
      <c r="D229">
        <v>357.2</v>
      </c>
      <c r="E229" t="s">
        <v>825</v>
      </c>
      <c r="F229" t="s">
        <v>826</v>
      </c>
      <c r="G229" s="1">
        <v>492.68</v>
      </c>
      <c r="H229">
        <v>6</v>
      </c>
      <c r="I229">
        <v>0</v>
      </c>
      <c r="J229">
        <v>0</v>
      </c>
    </row>
    <row r="230" spans="1:10">
      <c r="A230" s="12" t="s">
        <v>458</v>
      </c>
      <c r="B230" t="s">
        <v>459</v>
      </c>
      <c r="C230" t="s">
        <v>824</v>
      </c>
      <c r="D230">
        <v>386.32</v>
      </c>
      <c r="E230" t="s">
        <v>825</v>
      </c>
      <c r="F230" t="s">
        <v>826</v>
      </c>
      <c r="G230" s="1">
        <v>532.87</v>
      </c>
      <c r="H230">
        <v>6</v>
      </c>
      <c r="I230">
        <v>0</v>
      </c>
      <c r="J230">
        <v>0</v>
      </c>
    </row>
    <row r="231" spans="1:10">
      <c r="A231" s="12" t="s">
        <v>460</v>
      </c>
      <c r="B231" t="s">
        <v>461</v>
      </c>
      <c r="C231" t="s">
        <v>824</v>
      </c>
      <c r="D231">
        <v>473.75</v>
      </c>
      <c r="E231" t="s">
        <v>825</v>
      </c>
      <c r="F231" t="s">
        <v>826</v>
      </c>
      <c r="G231" s="1">
        <v>653.45</v>
      </c>
      <c r="H231">
        <v>6</v>
      </c>
      <c r="I231">
        <v>0</v>
      </c>
      <c r="J231">
        <v>0</v>
      </c>
    </row>
    <row r="232" spans="1:10">
      <c r="A232" s="12" t="s">
        <v>462</v>
      </c>
      <c r="B232" t="s">
        <v>463</v>
      </c>
      <c r="C232" t="s">
        <v>824</v>
      </c>
      <c r="D232">
        <v>609.11</v>
      </c>
      <c r="E232" t="s">
        <v>825</v>
      </c>
      <c r="F232" t="s">
        <v>826</v>
      </c>
      <c r="G232" s="1">
        <v>840.14</v>
      </c>
      <c r="H232">
        <v>6</v>
      </c>
      <c r="I232">
        <v>0</v>
      </c>
      <c r="J232">
        <v>0</v>
      </c>
    </row>
    <row r="233" spans="1:10">
      <c r="A233" s="12" t="s">
        <v>464</v>
      </c>
      <c r="B233" t="s">
        <v>465</v>
      </c>
      <c r="C233" t="s">
        <v>824</v>
      </c>
      <c r="D233">
        <v>724.72</v>
      </c>
      <c r="E233" t="s">
        <v>825</v>
      </c>
      <c r="F233" t="s">
        <v>826</v>
      </c>
      <c r="G233" s="1">
        <v>999.61</v>
      </c>
      <c r="H233">
        <v>6</v>
      </c>
      <c r="I233">
        <v>0</v>
      </c>
      <c r="J233">
        <v>0</v>
      </c>
    </row>
    <row r="234" spans="1:10">
      <c r="A234" s="12" t="s">
        <v>466</v>
      </c>
      <c r="B234" t="s">
        <v>467</v>
      </c>
      <c r="C234" t="s">
        <v>824</v>
      </c>
      <c r="D234">
        <v>829.99</v>
      </c>
      <c r="E234" t="s">
        <v>825</v>
      </c>
      <c r="F234" t="s">
        <v>826</v>
      </c>
      <c r="G234" s="1">
        <v>1144.82</v>
      </c>
      <c r="H234">
        <v>6</v>
      </c>
      <c r="I234">
        <v>0</v>
      </c>
      <c r="J234">
        <v>0</v>
      </c>
    </row>
    <row r="235" spans="1:10">
      <c r="A235" s="12" t="s">
        <v>468</v>
      </c>
      <c r="B235" t="s">
        <v>469</v>
      </c>
      <c r="C235" t="s">
        <v>824</v>
      </c>
      <c r="D235">
        <v>1007.7</v>
      </c>
      <c r="E235" t="s">
        <v>825</v>
      </c>
      <c r="F235" t="s">
        <v>826</v>
      </c>
      <c r="G235" s="1">
        <v>1389.92</v>
      </c>
      <c r="H235">
        <v>6</v>
      </c>
      <c r="I235">
        <v>0</v>
      </c>
      <c r="J235">
        <v>0</v>
      </c>
    </row>
    <row r="236" spans="1:10">
      <c r="A236" s="12" t="s">
        <v>470</v>
      </c>
      <c r="B236" t="s">
        <v>471</v>
      </c>
      <c r="C236" t="s">
        <v>824</v>
      </c>
      <c r="D236">
        <v>1317.83</v>
      </c>
      <c r="E236" t="s">
        <v>825</v>
      </c>
      <c r="F236" t="s">
        <v>826</v>
      </c>
      <c r="G236" s="1">
        <v>1817.71</v>
      </c>
      <c r="H236">
        <v>6</v>
      </c>
      <c r="I236">
        <v>0</v>
      </c>
      <c r="J236">
        <v>0</v>
      </c>
    </row>
    <row r="237" spans="1:10">
      <c r="A237" s="12" t="s">
        <v>472</v>
      </c>
      <c r="B237" t="s">
        <v>473</v>
      </c>
      <c r="C237" t="s">
        <v>824</v>
      </c>
      <c r="D237">
        <v>1749.55</v>
      </c>
      <c r="E237" t="s">
        <v>825</v>
      </c>
      <c r="F237" t="s">
        <v>826</v>
      </c>
      <c r="G237" s="1">
        <v>2413.16</v>
      </c>
      <c r="H237">
        <v>6</v>
      </c>
      <c r="I237">
        <v>0</v>
      </c>
      <c r="J237">
        <v>0</v>
      </c>
    </row>
    <row r="238" spans="1:10">
      <c r="A238" s="12" t="s">
        <v>474</v>
      </c>
      <c r="B238" t="s">
        <v>475</v>
      </c>
      <c r="C238" t="s">
        <v>824</v>
      </c>
      <c r="D238">
        <v>5.55</v>
      </c>
      <c r="E238" t="s">
        <v>829</v>
      </c>
      <c r="F238" t="s">
        <v>826</v>
      </c>
      <c r="G238" s="1">
        <v>8.88</v>
      </c>
      <c r="H238">
        <v>1</v>
      </c>
      <c r="I238">
        <v>0</v>
      </c>
      <c r="J238">
        <v>0</v>
      </c>
    </row>
    <row r="239" spans="1:10">
      <c r="A239" s="12" t="s">
        <v>476</v>
      </c>
      <c r="B239" t="s">
        <v>477</v>
      </c>
      <c r="C239" t="s">
        <v>824</v>
      </c>
      <c r="D239">
        <v>6.49</v>
      </c>
      <c r="E239" t="s">
        <v>825</v>
      </c>
      <c r="F239" t="s">
        <v>826</v>
      </c>
      <c r="G239" s="1">
        <v>10.4</v>
      </c>
      <c r="H239">
        <v>10</v>
      </c>
      <c r="I239">
        <v>0</v>
      </c>
      <c r="J239">
        <v>0</v>
      </c>
    </row>
    <row r="240" spans="1:10">
      <c r="A240" s="12" t="s">
        <v>478</v>
      </c>
      <c r="B240" t="s">
        <v>479</v>
      </c>
      <c r="C240" t="s">
        <v>824</v>
      </c>
      <c r="D240">
        <v>6.49</v>
      </c>
      <c r="E240" t="s">
        <v>825</v>
      </c>
      <c r="F240" t="s">
        <v>826</v>
      </c>
      <c r="G240" s="1">
        <v>10.4</v>
      </c>
      <c r="H240">
        <v>10</v>
      </c>
      <c r="I240">
        <v>0</v>
      </c>
      <c r="J240">
        <v>0</v>
      </c>
    </row>
    <row r="241" spans="1:10">
      <c r="A241" s="12" t="s">
        <v>480</v>
      </c>
      <c r="B241" t="s">
        <v>481</v>
      </c>
      <c r="C241" t="s">
        <v>824</v>
      </c>
      <c r="D241">
        <v>3.22</v>
      </c>
      <c r="E241" t="s">
        <v>825</v>
      </c>
      <c r="F241" t="s">
        <v>826</v>
      </c>
      <c r="G241" s="1">
        <v>5.16</v>
      </c>
      <c r="H241">
        <v>10</v>
      </c>
      <c r="I241">
        <v>0</v>
      </c>
      <c r="J241">
        <v>0</v>
      </c>
    </row>
    <row r="242" spans="1:10">
      <c r="A242" s="12" t="s">
        <v>482</v>
      </c>
      <c r="B242" t="s">
        <v>483</v>
      </c>
      <c r="C242" t="s">
        <v>824</v>
      </c>
      <c r="D242">
        <v>3.22</v>
      </c>
      <c r="E242" t="s">
        <v>825</v>
      </c>
      <c r="F242" t="s">
        <v>826</v>
      </c>
      <c r="G242" s="1">
        <v>5.16</v>
      </c>
      <c r="H242">
        <v>10</v>
      </c>
      <c r="I242">
        <v>0</v>
      </c>
      <c r="J242">
        <v>0</v>
      </c>
    </row>
    <row r="243" spans="1:10">
      <c r="A243" s="12" t="s">
        <v>484</v>
      </c>
      <c r="B243" t="s">
        <v>485</v>
      </c>
      <c r="C243" t="s">
        <v>824</v>
      </c>
      <c r="D243">
        <v>2.08</v>
      </c>
      <c r="E243" t="s">
        <v>825</v>
      </c>
      <c r="F243" t="s">
        <v>826</v>
      </c>
      <c r="G243" s="1">
        <v>3.33</v>
      </c>
      <c r="H243">
        <v>10</v>
      </c>
      <c r="I243">
        <v>0</v>
      </c>
      <c r="J243">
        <v>0</v>
      </c>
    </row>
    <row r="244" spans="1:10">
      <c r="A244" s="12" t="s">
        <v>486</v>
      </c>
      <c r="B244" t="s">
        <v>487</v>
      </c>
      <c r="C244" t="s">
        <v>824</v>
      </c>
      <c r="D244">
        <v>2.08</v>
      </c>
      <c r="E244" t="s">
        <v>825</v>
      </c>
      <c r="F244" t="s">
        <v>826</v>
      </c>
      <c r="G244" s="1">
        <v>3.33</v>
      </c>
      <c r="H244">
        <v>10</v>
      </c>
      <c r="I244">
        <v>0</v>
      </c>
      <c r="J244">
        <v>0</v>
      </c>
    </row>
    <row r="245" spans="1:10">
      <c r="A245" s="12" t="s">
        <v>488</v>
      </c>
      <c r="B245" t="s">
        <v>489</v>
      </c>
      <c r="C245" t="s">
        <v>824</v>
      </c>
      <c r="D245">
        <v>347.85</v>
      </c>
      <c r="E245" t="s">
        <v>825</v>
      </c>
      <c r="F245" t="s">
        <v>826</v>
      </c>
      <c r="G245" s="1">
        <v>556.56</v>
      </c>
      <c r="H245">
        <v>1</v>
      </c>
      <c r="I245">
        <v>0</v>
      </c>
      <c r="J245">
        <v>0</v>
      </c>
    </row>
    <row r="246" spans="1:10">
      <c r="A246" s="12" t="s">
        <v>490</v>
      </c>
      <c r="B246" t="s">
        <v>491</v>
      </c>
      <c r="C246" t="s">
        <v>824</v>
      </c>
      <c r="D246">
        <v>108.51</v>
      </c>
      <c r="E246" t="s">
        <v>825</v>
      </c>
      <c r="F246" t="s">
        <v>826</v>
      </c>
      <c r="G246" s="1">
        <v>173.6</v>
      </c>
      <c r="H246" t="s">
        <v>828</v>
      </c>
      <c r="I246">
        <v>0</v>
      </c>
      <c r="J246">
        <v>0</v>
      </c>
    </row>
    <row r="247" spans="1:10">
      <c r="A247" s="12" t="s">
        <v>492</v>
      </c>
      <c r="B247" t="s">
        <v>493</v>
      </c>
      <c r="C247" t="s">
        <v>824</v>
      </c>
      <c r="D247">
        <v>435.54</v>
      </c>
      <c r="E247" t="s">
        <v>825</v>
      </c>
      <c r="F247" t="s">
        <v>826</v>
      </c>
      <c r="G247" s="1">
        <v>696.87</v>
      </c>
      <c r="H247">
        <v>1</v>
      </c>
      <c r="I247">
        <v>0</v>
      </c>
      <c r="J247">
        <v>0</v>
      </c>
    </row>
    <row r="248" spans="1:10">
      <c r="A248" s="12" t="s">
        <v>494</v>
      </c>
      <c r="B248" t="s">
        <v>495</v>
      </c>
      <c r="C248" t="s">
        <v>824</v>
      </c>
      <c r="D248">
        <v>290.45</v>
      </c>
      <c r="E248" t="s">
        <v>825</v>
      </c>
      <c r="F248" t="s">
        <v>826</v>
      </c>
      <c r="G248" s="1">
        <v>464.71</v>
      </c>
      <c r="H248">
        <v>1</v>
      </c>
      <c r="I248">
        <v>0</v>
      </c>
      <c r="J248">
        <v>0</v>
      </c>
    </row>
    <row r="249" spans="1:10">
      <c r="A249" s="12" t="s">
        <v>496</v>
      </c>
      <c r="B249" t="s">
        <v>497</v>
      </c>
      <c r="C249" t="s">
        <v>824</v>
      </c>
      <c r="D249">
        <v>70.99</v>
      </c>
      <c r="E249" t="s">
        <v>825</v>
      </c>
      <c r="F249" t="s">
        <v>826</v>
      </c>
      <c r="G249" s="1">
        <v>113.59</v>
      </c>
      <c r="H249">
        <v>1</v>
      </c>
      <c r="I249">
        <v>0</v>
      </c>
      <c r="J249">
        <v>0</v>
      </c>
    </row>
    <row r="250" spans="1:10">
      <c r="A250" s="12" t="s">
        <v>498</v>
      </c>
      <c r="B250" t="s">
        <v>499</v>
      </c>
      <c r="C250" t="s">
        <v>824</v>
      </c>
      <c r="D250">
        <v>89.01</v>
      </c>
      <c r="E250" t="s">
        <v>825</v>
      </c>
      <c r="F250" t="s">
        <v>826</v>
      </c>
      <c r="G250" s="1">
        <v>143.57</v>
      </c>
      <c r="H250">
        <v>1</v>
      </c>
      <c r="I250">
        <v>0</v>
      </c>
      <c r="J250">
        <v>0</v>
      </c>
    </row>
    <row r="251" spans="1:10">
      <c r="A251" s="12" t="s">
        <v>500</v>
      </c>
      <c r="B251" t="s">
        <v>501</v>
      </c>
      <c r="C251" t="s">
        <v>824</v>
      </c>
      <c r="D251">
        <v>134.25</v>
      </c>
      <c r="E251" t="s">
        <v>825</v>
      </c>
      <c r="F251" t="s">
        <v>826</v>
      </c>
      <c r="G251" s="1">
        <v>214.8</v>
      </c>
      <c r="H251">
        <v>1</v>
      </c>
      <c r="I251">
        <v>0</v>
      </c>
      <c r="J251">
        <v>0</v>
      </c>
    </row>
    <row r="252" spans="1:10">
      <c r="A252" s="12" t="s">
        <v>502</v>
      </c>
      <c r="B252" t="s">
        <v>503</v>
      </c>
      <c r="C252" t="s">
        <v>824</v>
      </c>
      <c r="D252">
        <v>168.09</v>
      </c>
      <c r="E252" t="s">
        <v>825</v>
      </c>
      <c r="F252" t="s">
        <v>826</v>
      </c>
      <c r="G252" s="1">
        <v>268.95</v>
      </c>
      <c r="H252">
        <v>1</v>
      </c>
      <c r="I252">
        <v>0</v>
      </c>
      <c r="J252">
        <v>0</v>
      </c>
    </row>
    <row r="253" spans="1:10">
      <c r="A253" s="12" t="s">
        <v>504</v>
      </c>
      <c r="B253" t="s">
        <v>505</v>
      </c>
      <c r="C253" t="s">
        <v>824</v>
      </c>
      <c r="D253">
        <v>36.85</v>
      </c>
      <c r="E253" t="s">
        <v>825</v>
      </c>
      <c r="F253" t="s">
        <v>826</v>
      </c>
      <c r="G253" s="1">
        <v>58.95</v>
      </c>
      <c r="H253">
        <v>1</v>
      </c>
      <c r="I253">
        <v>0</v>
      </c>
      <c r="J253">
        <v>0</v>
      </c>
    </row>
    <row r="254" spans="1:10">
      <c r="A254" s="12" t="s">
        <v>506</v>
      </c>
      <c r="B254" t="s">
        <v>507</v>
      </c>
      <c r="C254" t="s">
        <v>824</v>
      </c>
      <c r="D254">
        <v>17.5</v>
      </c>
      <c r="E254" t="s">
        <v>825</v>
      </c>
      <c r="F254" t="s">
        <v>826</v>
      </c>
      <c r="G254" s="1">
        <v>28.01</v>
      </c>
      <c r="H254">
        <v>12</v>
      </c>
      <c r="I254">
        <v>0</v>
      </c>
      <c r="J254">
        <v>0</v>
      </c>
    </row>
    <row r="255" spans="1:10">
      <c r="A255" s="12" t="s">
        <v>508</v>
      </c>
      <c r="B255" t="s">
        <v>509</v>
      </c>
      <c r="C255" t="s">
        <v>824</v>
      </c>
      <c r="D255">
        <v>18.48</v>
      </c>
      <c r="E255" t="s">
        <v>825</v>
      </c>
      <c r="F255" t="s">
        <v>826</v>
      </c>
      <c r="G255" s="1">
        <v>29.57</v>
      </c>
      <c r="H255">
        <v>1</v>
      </c>
      <c r="I255">
        <v>0</v>
      </c>
      <c r="J255">
        <v>0</v>
      </c>
    </row>
    <row r="256" spans="1:10">
      <c r="A256" s="12" t="s">
        <v>510</v>
      </c>
      <c r="B256" t="s">
        <v>511</v>
      </c>
      <c r="C256" t="s">
        <v>824</v>
      </c>
      <c r="D256">
        <v>16.63</v>
      </c>
      <c r="E256" t="s">
        <v>825</v>
      </c>
      <c r="F256" t="s">
        <v>826</v>
      </c>
      <c r="G256" s="1">
        <v>26.61</v>
      </c>
      <c r="H256">
        <v>12</v>
      </c>
      <c r="I256">
        <v>0</v>
      </c>
      <c r="J256">
        <v>0</v>
      </c>
    </row>
    <row r="257" spans="1:10">
      <c r="A257" s="12" t="s">
        <v>512</v>
      </c>
      <c r="B257" t="s">
        <v>513</v>
      </c>
      <c r="C257" t="s">
        <v>824</v>
      </c>
      <c r="D257">
        <v>18.48</v>
      </c>
      <c r="E257" t="s">
        <v>825</v>
      </c>
      <c r="F257" t="s">
        <v>826</v>
      </c>
      <c r="G257" s="1">
        <v>29.57</v>
      </c>
      <c r="H257">
        <v>1</v>
      </c>
      <c r="I257">
        <v>0</v>
      </c>
      <c r="J257">
        <v>0</v>
      </c>
    </row>
    <row r="258" spans="1:10">
      <c r="A258" s="12" t="s">
        <v>514</v>
      </c>
      <c r="B258" t="s">
        <v>515</v>
      </c>
      <c r="C258" t="s">
        <v>824</v>
      </c>
      <c r="D258">
        <v>18.48</v>
      </c>
      <c r="E258" t="s">
        <v>825</v>
      </c>
      <c r="F258" t="s">
        <v>826</v>
      </c>
      <c r="G258" s="1">
        <v>29.57</v>
      </c>
      <c r="H258">
        <v>1</v>
      </c>
      <c r="I258">
        <v>0</v>
      </c>
      <c r="J258">
        <v>0</v>
      </c>
    </row>
    <row r="259" spans="1:10">
      <c r="A259" s="12" t="s">
        <v>516</v>
      </c>
      <c r="B259" t="s">
        <v>517</v>
      </c>
      <c r="C259" t="s">
        <v>824</v>
      </c>
      <c r="D259">
        <v>18.48</v>
      </c>
      <c r="E259" t="s">
        <v>825</v>
      </c>
      <c r="F259" t="s">
        <v>826</v>
      </c>
      <c r="G259" s="1">
        <v>29.57</v>
      </c>
      <c r="H259">
        <v>1</v>
      </c>
      <c r="I259">
        <v>0</v>
      </c>
      <c r="J259">
        <v>0</v>
      </c>
    </row>
    <row r="260" spans="1:10">
      <c r="A260" s="12" t="s">
        <v>518</v>
      </c>
      <c r="B260" t="s">
        <v>519</v>
      </c>
      <c r="C260" t="s">
        <v>824</v>
      </c>
      <c r="D260">
        <v>18.48</v>
      </c>
      <c r="E260" t="s">
        <v>825</v>
      </c>
      <c r="F260" t="s">
        <v>826</v>
      </c>
      <c r="G260" s="1">
        <v>29.57</v>
      </c>
      <c r="H260">
        <v>12</v>
      </c>
      <c r="I260">
        <v>0</v>
      </c>
      <c r="J260">
        <v>0</v>
      </c>
    </row>
    <row r="261" spans="1:10">
      <c r="A261" s="12" t="s">
        <v>520</v>
      </c>
      <c r="B261" t="s">
        <v>521</v>
      </c>
      <c r="C261" t="s">
        <v>824</v>
      </c>
      <c r="D261">
        <v>16.63</v>
      </c>
      <c r="E261" t="s">
        <v>825</v>
      </c>
      <c r="F261" t="s">
        <v>826</v>
      </c>
      <c r="G261" s="1">
        <v>26.61</v>
      </c>
      <c r="H261">
        <v>12</v>
      </c>
      <c r="I261">
        <v>0</v>
      </c>
      <c r="J261">
        <v>0</v>
      </c>
    </row>
    <row r="262" spans="1:10">
      <c r="A262" s="12" t="s">
        <v>522</v>
      </c>
      <c r="B262" t="s">
        <v>523</v>
      </c>
      <c r="C262" t="s">
        <v>824</v>
      </c>
      <c r="D262">
        <v>16.63</v>
      </c>
      <c r="E262" t="s">
        <v>825</v>
      </c>
      <c r="F262" t="s">
        <v>826</v>
      </c>
      <c r="G262" s="1">
        <v>26.61</v>
      </c>
      <c r="H262">
        <v>12</v>
      </c>
      <c r="I262">
        <v>0</v>
      </c>
      <c r="J262">
        <v>0</v>
      </c>
    </row>
    <row r="263" spans="1:10">
      <c r="A263" s="12" t="s">
        <v>524</v>
      </c>
      <c r="B263" t="s">
        <v>525</v>
      </c>
      <c r="C263" t="s">
        <v>824</v>
      </c>
      <c r="D263">
        <v>3.16</v>
      </c>
      <c r="E263" t="s">
        <v>825</v>
      </c>
      <c r="F263" t="s">
        <v>826</v>
      </c>
      <c r="G263" s="1">
        <v>5.1</v>
      </c>
      <c r="H263">
        <v>1</v>
      </c>
      <c r="I263">
        <v>0</v>
      </c>
      <c r="J263">
        <v>0</v>
      </c>
    </row>
    <row r="264" spans="1:10">
      <c r="A264" s="12" t="s">
        <v>526</v>
      </c>
      <c r="B264" t="s">
        <v>527</v>
      </c>
      <c r="C264" t="s">
        <v>824</v>
      </c>
      <c r="D264">
        <v>3.16</v>
      </c>
      <c r="E264" t="s">
        <v>825</v>
      </c>
      <c r="F264" t="s">
        <v>826</v>
      </c>
      <c r="G264" s="1">
        <v>5.1</v>
      </c>
      <c r="H264">
        <v>1</v>
      </c>
      <c r="I264">
        <v>0</v>
      </c>
      <c r="J264">
        <v>0</v>
      </c>
    </row>
    <row r="265" spans="1:10">
      <c r="A265" s="12" t="s">
        <v>528</v>
      </c>
      <c r="B265" t="s">
        <v>529</v>
      </c>
      <c r="C265" t="s">
        <v>824</v>
      </c>
      <c r="D265">
        <v>3.16</v>
      </c>
      <c r="E265" t="s">
        <v>825</v>
      </c>
      <c r="F265" t="s">
        <v>826</v>
      </c>
      <c r="G265" s="1">
        <v>5.1</v>
      </c>
      <c r="H265">
        <v>1</v>
      </c>
      <c r="I265">
        <v>0</v>
      </c>
      <c r="J265">
        <v>0</v>
      </c>
    </row>
    <row r="266" spans="1:10">
      <c r="A266" s="12" t="s">
        <v>530</v>
      </c>
      <c r="B266" t="s">
        <v>531</v>
      </c>
      <c r="C266" t="s">
        <v>824</v>
      </c>
      <c r="D266">
        <v>15.33</v>
      </c>
      <c r="E266" t="s">
        <v>825</v>
      </c>
      <c r="F266" t="s">
        <v>826</v>
      </c>
      <c r="G266" s="1">
        <v>24.52</v>
      </c>
      <c r="H266">
        <v>1</v>
      </c>
      <c r="I266">
        <v>0</v>
      </c>
      <c r="J266">
        <v>0</v>
      </c>
    </row>
    <row r="267" spans="1:10">
      <c r="A267" s="12" t="s">
        <v>532</v>
      </c>
      <c r="B267" t="s">
        <v>533</v>
      </c>
      <c r="C267" t="s">
        <v>824</v>
      </c>
      <c r="D267">
        <v>2.32</v>
      </c>
      <c r="E267" t="s">
        <v>825</v>
      </c>
      <c r="F267" t="s">
        <v>826</v>
      </c>
      <c r="G267" s="1">
        <v>3.75</v>
      </c>
      <c r="H267">
        <v>1</v>
      </c>
      <c r="I267">
        <v>0</v>
      </c>
      <c r="J267">
        <v>0</v>
      </c>
    </row>
    <row r="268" spans="1:10">
      <c r="A268" s="12" t="s">
        <v>534</v>
      </c>
      <c r="B268" t="s">
        <v>535</v>
      </c>
      <c r="C268" t="s">
        <v>824</v>
      </c>
      <c r="D268">
        <v>10.47</v>
      </c>
      <c r="E268" t="s">
        <v>825</v>
      </c>
      <c r="F268" t="s">
        <v>826</v>
      </c>
      <c r="G268" s="1">
        <v>16.76</v>
      </c>
      <c r="H268">
        <v>1</v>
      </c>
      <c r="I268">
        <v>0</v>
      </c>
      <c r="J268">
        <v>0</v>
      </c>
    </row>
    <row r="269" spans="1:10">
      <c r="A269" s="12" t="s">
        <v>536</v>
      </c>
      <c r="B269" t="s">
        <v>537</v>
      </c>
      <c r="C269" t="s">
        <v>824</v>
      </c>
      <c r="D269">
        <v>10.47</v>
      </c>
      <c r="E269" t="s">
        <v>825</v>
      </c>
      <c r="F269" t="s">
        <v>826</v>
      </c>
      <c r="G269" s="1">
        <v>16.76</v>
      </c>
      <c r="H269">
        <v>1</v>
      </c>
      <c r="I269">
        <v>0</v>
      </c>
      <c r="J269">
        <v>0</v>
      </c>
    </row>
    <row r="270" spans="1:10">
      <c r="A270" s="12" t="s">
        <v>538</v>
      </c>
      <c r="B270" t="s">
        <v>539</v>
      </c>
      <c r="C270" t="s">
        <v>824</v>
      </c>
      <c r="D270">
        <v>12.41</v>
      </c>
      <c r="E270" t="s">
        <v>825</v>
      </c>
      <c r="F270" t="s">
        <v>826</v>
      </c>
      <c r="G270" s="1">
        <v>19.86</v>
      </c>
      <c r="H270">
        <v>1</v>
      </c>
      <c r="I270">
        <v>0</v>
      </c>
      <c r="J270">
        <v>0</v>
      </c>
    </row>
    <row r="271" spans="1:10">
      <c r="A271" s="12" t="s">
        <v>540</v>
      </c>
      <c r="B271" t="s">
        <v>541</v>
      </c>
      <c r="C271" t="s">
        <v>824</v>
      </c>
      <c r="D271">
        <v>10.47</v>
      </c>
      <c r="E271" t="s">
        <v>825</v>
      </c>
      <c r="F271" t="s">
        <v>826</v>
      </c>
      <c r="G271" s="1">
        <v>16.76</v>
      </c>
      <c r="H271">
        <v>1</v>
      </c>
      <c r="I271">
        <v>0</v>
      </c>
      <c r="J271">
        <v>0</v>
      </c>
    </row>
    <row r="272" spans="1:10">
      <c r="A272" s="12" t="s">
        <v>542</v>
      </c>
      <c r="B272" t="s">
        <v>543</v>
      </c>
      <c r="C272" t="s">
        <v>824</v>
      </c>
      <c r="D272">
        <v>10.47</v>
      </c>
      <c r="E272" t="s">
        <v>825</v>
      </c>
      <c r="F272" t="s">
        <v>826</v>
      </c>
      <c r="G272" s="1">
        <v>16.76</v>
      </c>
      <c r="H272">
        <v>1</v>
      </c>
      <c r="I272">
        <v>0</v>
      </c>
      <c r="J272">
        <v>0</v>
      </c>
    </row>
    <row r="273" spans="1:10">
      <c r="A273" s="12" t="s">
        <v>544</v>
      </c>
      <c r="B273" t="s">
        <v>545</v>
      </c>
      <c r="C273" t="s">
        <v>824</v>
      </c>
      <c r="D273">
        <v>10.47</v>
      </c>
      <c r="E273" t="s">
        <v>825</v>
      </c>
      <c r="F273" t="s">
        <v>826</v>
      </c>
      <c r="G273" s="1">
        <v>16.76</v>
      </c>
      <c r="H273">
        <v>1</v>
      </c>
      <c r="I273">
        <v>0</v>
      </c>
      <c r="J273">
        <v>0</v>
      </c>
    </row>
    <row r="274" spans="1:10">
      <c r="A274" s="12" t="s">
        <v>546</v>
      </c>
      <c r="B274" t="s">
        <v>547</v>
      </c>
      <c r="C274" t="s">
        <v>824</v>
      </c>
      <c r="D274">
        <v>10.47</v>
      </c>
      <c r="E274" t="s">
        <v>825</v>
      </c>
      <c r="F274" t="s">
        <v>826</v>
      </c>
      <c r="G274" s="1">
        <v>16.76</v>
      </c>
      <c r="H274">
        <v>1</v>
      </c>
      <c r="I274">
        <v>0</v>
      </c>
      <c r="J274">
        <v>0</v>
      </c>
    </row>
    <row r="275" spans="1:10">
      <c r="A275" s="12" t="s">
        <v>548</v>
      </c>
      <c r="B275" t="s">
        <v>549</v>
      </c>
      <c r="C275" t="s">
        <v>824</v>
      </c>
      <c r="D275">
        <v>3.08</v>
      </c>
      <c r="E275" t="s">
        <v>825</v>
      </c>
      <c r="F275" t="s">
        <v>826</v>
      </c>
      <c r="G275" s="1">
        <v>4.92</v>
      </c>
      <c r="H275">
        <v>1</v>
      </c>
      <c r="I275">
        <v>0</v>
      </c>
      <c r="J275">
        <v>0</v>
      </c>
    </row>
    <row r="276" spans="1:10">
      <c r="A276" s="12" t="s">
        <v>550</v>
      </c>
      <c r="B276" t="s">
        <v>551</v>
      </c>
      <c r="C276" t="s">
        <v>824</v>
      </c>
      <c r="D276">
        <v>3.08</v>
      </c>
      <c r="E276" t="s">
        <v>825</v>
      </c>
      <c r="F276" t="s">
        <v>826</v>
      </c>
      <c r="G276" s="1">
        <v>4.92</v>
      </c>
      <c r="H276">
        <v>1</v>
      </c>
      <c r="I276">
        <v>0</v>
      </c>
      <c r="J276">
        <v>0</v>
      </c>
    </row>
    <row r="277" spans="1:10">
      <c r="A277" s="12" t="s">
        <v>552</v>
      </c>
      <c r="B277" t="s">
        <v>553</v>
      </c>
      <c r="C277" t="s">
        <v>824</v>
      </c>
      <c r="D277">
        <v>3.08</v>
      </c>
      <c r="E277" t="s">
        <v>825</v>
      </c>
      <c r="F277" t="s">
        <v>826</v>
      </c>
      <c r="G277" s="1">
        <v>4.92</v>
      </c>
      <c r="H277">
        <v>1</v>
      </c>
      <c r="I277">
        <v>0</v>
      </c>
      <c r="J277">
        <v>0</v>
      </c>
    </row>
    <row r="278" spans="1:10">
      <c r="A278" s="12" t="s">
        <v>554</v>
      </c>
      <c r="B278" t="s">
        <v>555</v>
      </c>
      <c r="C278" t="s">
        <v>824</v>
      </c>
      <c r="D278">
        <v>3.08</v>
      </c>
      <c r="E278" t="s">
        <v>825</v>
      </c>
      <c r="F278" t="s">
        <v>826</v>
      </c>
      <c r="G278" s="1">
        <v>4.92</v>
      </c>
      <c r="H278">
        <v>1</v>
      </c>
      <c r="I278">
        <v>0</v>
      </c>
      <c r="J278">
        <v>0</v>
      </c>
    </row>
    <row r="279" spans="1:10">
      <c r="A279" s="12" t="s">
        <v>556</v>
      </c>
      <c r="B279" t="s">
        <v>557</v>
      </c>
      <c r="C279" t="s">
        <v>824</v>
      </c>
      <c r="D279">
        <v>3.08</v>
      </c>
      <c r="E279" t="s">
        <v>825</v>
      </c>
      <c r="F279" t="s">
        <v>826</v>
      </c>
      <c r="G279" s="1">
        <v>4.92</v>
      </c>
      <c r="H279">
        <v>1</v>
      </c>
      <c r="I279">
        <v>0</v>
      </c>
      <c r="J279">
        <v>0</v>
      </c>
    </row>
    <row r="280" spans="1:10">
      <c r="A280" s="12" t="s">
        <v>558</v>
      </c>
      <c r="B280" t="s">
        <v>559</v>
      </c>
      <c r="C280" t="s">
        <v>824</v>
      </c>
      <c r="D280">
        <v>3.08</v>
      </c>
      <c r="E280" t="s">
        <v>825</v>
      </c>
      <c r="F280" t="s">
        <v>826</v>
      </c>
      <c r="G280" s="1">
        <v>4.92</v>
      </c>
      <c r="H280">
        <v>1</v>
      </c>
      <c r="I280">
        <v>0</v>
      </c>
      <c r="J280">
        <v>0</v>
      </c>
    </row>
    <row r="281" spans="1:10">
      <c r="A281" s="12" t="s">
        <v>560</v>
      </c>
      <c r="B281" t="s">
        <v>561</v>
      </c>
      <c r="C281" t="s">
        <v>824</v>
      </c>
      <c r="D281">
        <v>3.08</v>
      </c>
      <c r="E281" t="s">
        <v>825</v>
      </c>
      <c r="F281" t="s">
        <v>826</v>
      </c>
      <c r="G281" s="1">
        <v>4.92</v>
      </c>
      <c r="H281">
        <v>1</v>
      </c>
      <c r="I281">
        <v>0</v>
      </c>
      <c r="J281">
        <v>0</v>
      </c>
    </row>
    <row r="282" spans="1:10">
      <c r="A282" s="12" t="s">
        <v>562</v>
      </c>
      <c r="B282" t="s">
        <v>563</v>
      </c>
      <c r="C282" t="s">
        <v>824</v>
      </c>
      <c r="D282">
        <v>3.08</v>
      </c>
      <c r="E282" t="s">
        <v>825</v>
      </c>
      <c r="F282" t="s">
        <v>826</v>
      </c>
      <c r="G282" s="1">
        <v>4.92</v>
      </c>
      <c r="H282">
        <v>1</v>
      </c>
      <c r="I282">
        <v>0</v>
      </c>
      <c r="J282">
        <v>0</v>
      </c>
    </row>
    <row r="283" spans="1:10">
      <c r="A283" s="12" t="s">
        <v>564</v>
      </c>
      <c r="B283" t="s">
        <v>565</v>
      </c>
      <c r="C283" t="s">
        <v>824</v>
      </c>
      <c r="D283">
        <v>3.08</v>
      </c>
      <c r="E283" t="s">
        <v>825</v>
      </c>
      <c r="F283" t="s">
        <v>826</v>
      </c>
      <c r="G283" s="1">
        <v>4.92</v>
      </c>
      <c r="H283">
        <v>1</v>
      </c>
      <c r="I283">
        <v>0</v>
      </c>
      <c r="J283">
        <v>0</v>
      </c>
    </row>
    <row r="284" spans="1:10">
      <c r="A284" s="12" t="s">
        <v>566</v>
      </c>
      <c r="B284" t="s">
        <v>567</v>
      </c>
      <c r="C284" t="s">
        <v>824</v>
      </c>
      <c r="D284">
        <v>3.08</v>
      </c>
      <c r="E284" t="s">
        <v>825</v>
      </c>
      <c r="F284" t="s">
        <v>826</v>
      </c>
      <c r="G284" s="1">
        <v>4.92</v>
      </c>
      <c r="H284">
        <v>1</v>
      </c>
      <c r="I284">
        <v>0</v>
      </c>
      <c r="J284">
        <v>0</v>
      </c>
    </row>
    <row r="285" spans="1:10">
      <c r="A285" s="12" t="s">
        <v>568</v>
      </c>
      <c r="B285" t="s">
        <v>569</v>
      </c>
      <c r="C285" t="s">
        <v>824</v>
      </c>
      <c r="D285">
        <v>3.08</v>
      </c>
      <c r="E285" t="s">
        <v>825</v>
      </c>
      <c r="F285" t="s">
        <v>826</v>
      </c>
      <c r="G285" s="1">
        <v>4.92</v>
      </c>
      <c r="H285">
        <v>1</v>
      </c>
      <c r="I285">
        <v>0</v>
      </c>
      <c r="J285">
        <v>0</v>
      </c>
    </row>
    <row r="286" spans="1:10">
      <c r="A286" s="12" t="s">
        <v>570</v>
      </c>
      <c r="B286" t="s">
        <v>571</v>
      </c>
      <c r="C286" t="s">
        <v>824</v>
      </c>
      <c r="D286">
        <v>3.08</v>
      </c>
      <c r="E286" t="s">
        <v>825</v>
      </c>
      <c r="F286" t="s">
        <v>826</v>
      </c>
      <c r="G286" s="1">
        <v>4.92</v>
      </c>
      <c r="H286">
        <v>1</v>
      </c>
      <c r="I286">
        <v>0</v>
      </c>
      <c r="J286">
        <v>0</v>
      </c>
    </row>
    <row r="287" spans="1:10">
      <c r="A287" s="12" t="s">
        <v>572</v>
      </c>
      <c r="B287" t="s">
        <v>573</v>
      </c>
      <c r="C287" t="s">
        <v>824</v>
      </c>
      <c r="D287">
        <v>3.08</v>
      </c>
      <c r="E287" t="s">
        <v>825</v>
      </c>
      <c r="F287" t="s">
        <v>826</v>
      </c>
      <c r="G287" s="1">
        <v>4.92</v>
      </c>
      <c r="H287">
        <v>1</v>
      </c>
      <c r="I287">
        <v>0</v>
      </c>
      <c r="J287">
        <v>0</v>
      </c>
    </row>
    <row r="288" spans="1:10">
      <c r="A288" s="12" t="s">
        <v>574</v>
      </c>
      <c r="B288" t="s">
        <v>575</v>
      </c>
      <c r="C288" t="s">
        <v>824</v>
      </c>
      <c r="D288">
        <v>3.08</v>
      </c>
      <c r="E288" t="s">
        <v>825</v>
      </c>
      <c r="F288" t="s">
        <v>826</v>
      </c>
      <c r="G288" s="1">
        <v>4.92</v>
      </c>
      <c r="H288">
        <v>1</v>
      </c>
      <c r="I288">
        <v>0</v>
      </c>
      <c r="J288">
        <v>0</v>
      </c>
    </row>
    <row r="289" spans="1:10">
      <c r="A289" s="12" t="s">
        <v>576</v>
      </c>
      <c r="B289" t="s">
        <v>577</v>
      </c>
      <c r="C289" t="s">
        <v>824</v>
      </c>
      <c r="D289">
        <v>3.08</v>
      </c>
      <c r="E289" t="s">
        <v>825</v>
      </c>
      <c r="F289" t="s">
        <v>826</v>
      </c>
      <c r="G289" s="1">
        <v>4.92</v>
      </c>
      <c r="H289">
        <v>1</v>
      </c>
      <c r="I289">
        <v>0</v>
      </c>
      <c r="J289">
        <v>0</v>
      </c>
    </row>
    <row r="290" spans="1:10">
      <c r="A290" s="12" t="s">
        <v>578</v>
      </c>
      <c r="B290" t="s">
        <v>579</v>
      </c>
      <c r="C290" t="s">
        <v>824</v>
      </c>
      <c r="D290">
        <v>3.08</v>
      </c>
      <c r="E290" t="s">
        <v>825</v>
      </c>
      <c r="F290" t="s">
        <v>826</v>
      </c>
      <c r="G290" s="1">
        <v>4.92</v>
      </c>
      <c r="H290">
        <v>1</v>
      </c>
      <c r="I290">
        <v>0</v>
      </c>
      <c r="J290">
        <v>0</v>
      </c>
    </row>
    <row r="291" spans="1:10">
      <c r="A291" s="12" t="s">
        <v>580</v>
      </c>
      <c r="B291" t="s">
        <v>581</v>
      </c>
      <c r="C291" t="s">
        <v>824</v>
      </c>
      <c r="D291">
        <v>121.2</v>
      </c>
      <c r="E291" t="s">
        <v>825</v>
      </c>
      <c r="F291" t="s">
        <v>826</v>
      </c>
      <c r="G291" s="1">
        <v>193.91</v>
      </c>
      <c r="H291">
        <v>1</v>
      </c>
      <c r="I291">
        <v>0</v>
      </c>
      <c r="J291">
        <v>0</v>
      </c>
    </row>
    <row r="292" spans="1:10">
      <c r="A292" s="12" t="s">
        <v>582</v>
      </c>
      <c r="B292" t="s">
        <v>583</v>
      </c>
      <c r="C292" t="s">
        <v>824</v>
      </c>
      <c r="D292">
        <v>252.73</v>
      </c>
      <c r="E292" t="s">
        <v>825</v>
      </c>
      <c r="F292" t="s">
        <v>826</v>
      </c>
      <c r="G292" s="1">
        <v>404.36</v>
      </c>
      <c r="H292">
        <v>1</v>
      </c>
      <c r="I292">
        <v>0</v>
      </c>
      <c r="J292">
        <v>0</v>
      </c>
    </row>
    <row r="293" spans="1:10">
      <c r="A293" s="12" t="s">
        <v>584</v>
      </c>
      <c r="B293" t="s">
        <v>585</v>
      </c>
      <c r="C293" t="s">
        <v>824</v>
      </c>
      <c r="D293">
        <v>83.58</v>
      </c>
      <c r="E293" t="s">
        <v>825</v>
      </c>
      <c r="F293" t="s">
        <v>826</v>
      </c>
      <c r="G293" s="1">
        <v>133.71</v>
      </c>
      <c r="H293">
        <v>10</v>
      </c>
      <c r="I293">
        <v>0</v>
      </c>
      <c r="J293">
        <v>0</v>
      </c>
    </row>
    <row r="294" spans="1:10">
      <c r="A294" s="12" t="s">
        <v>586</v>
      </c>
      <c r="B294" t="s">
        <v>587</v>
      </c>
      <c r="C294" t="s">
        <v>824</v>
      </c>
      <c r="D294">
        <v>100.44</v>
      </c>
      <c r="E294" t="s">
        <v>825</v>
      </c>
      <c r="F294" t="s">
        <v>826</v>
      </c>
      <c r="G294" s="1">
        <v>160.7</v>
      </c>
      <c r="H294">
        <v>1</v>
      </c>
      <c r="I294">
        <v>0</v>
      </c>
      <c r="J294">
        <v>0</v>
      </c>
    </row>
    <row r="295" spans="1:10">
      <c r="A295" s="12" t="s">
        <v>588</v>
      </c>
      <c r="B295" t="s">
        <v>589</v>
      </c>
      <c r="C295" t="s">
        <v>824</v>
      </c>
      <c r="D295">
        <v>105.41</v>
      </c>
      <c r="E295" t="s">
        <v>825</v>
      </c>
      <c r="F295" t="s">
        <v>826</v>
      </c>
      <c r="G295" s="1">
        <v>183.32</v>
      </c>
      <c r="H295">
        <v>1</v>
      </c>
      <c r="I295">
        <v>0</v>
      </c>
      <c r="J295">
        <v>0</v>
      </c>
    </row>
    <row r="296" spans="1:10">
      <c r="A296" s="12" t="s">
        <v>590</v>
      </c>
      <c r="B296" t="s">
        <v>591</v>
      </c>
      <c r="C296" t="s">
        <v>824</v>
      </c>
      <c r="D296">
        <v>227.07</v>
      </c>
      <c r="E296" t="s">
        <v>825</v>
      </c>
      <c r="F296" t="s">
        <v>826</v>
      </c>
      <c r="G296" s="1">
        <v>363.29</v>
      </c>
      <c r="H296">
        <v>1</v>
      </c>
      <c r="I296">
        <v>0</v>
      </c>
      <c r="J296">
        <v>0</v>
      </c>
    </row>
    <row r="297" spans="1:10">
      <c r="A297" s="12" t="s">
        <v>592</v>
      </c>
      <c r="B297" t="s">
        <v>593</v>
      </c>
      <c r="C297" t="s">
        <v>824</v>
      </c>
      <c r="D297">
        <v>249.35</v>
      </c>
      <c r="E297" t="s">
        <v>825</v>
      </c>
      <c r="F297" t="s">
        <v>826</v>
      </c>
      <c r="G297" s="1">
        <v>398.95</v>
      </c>
      <c r="H297">
        <v>1</v>
      </c>
      <c r="I297">
        <v>0</v>
      </c>
      <c r="J297">
        <v>0</v>
      </c>
    </row>
    <row r="298" spans="1:10">
      <c r="A298" s="12" t="s">
        <v>594</v>
      </c>
      <c r="B298" t="s">
        <v>595</v>
      </c>
      <c r="C298" t="s">
        <v>824</v>
      </c>
      <c r="D298">
        <v>122.57</v>
      </c>
      <c r="E298" t="s">
        <v>825</v>
      </c>
      <c r="F298" t="s">
        <v>826</v>
      </c>
      <c r="G298" s="1">
        <v>196.1</v>
      </c>
      <c r="H298">
        <v>1</v>
      </c>
      <c r="I298">
        <v>0</v>
      </c>
      <c r="J298">
        <v>0</v>
      </c>
    </row>
    <row r="299" spans="1:10">
      <c r="A299" s="12" t="s">
        <v>596</v>
      </c>
      <c r="B299" t="s">
        <v>597</v>
      </c>
      <c r="C299" t="s">
        <v>824</v>
      </c>
      <c r="D299">
        <v>134.54</v>
      </c>
      <c r="E299" t="s">
        <v>825</v>
      </c>
      <c r="F299" t="s">
        <v>826</v>
      </c>
      <c r="G299" s="1">
        <v>215.28</v>
      </c>
      <c r="H299">
        <v>1</v>
      </c>
      <c r="I299">
        <v>0</v>
      </c>
      <c r="J299">
        <v>0</v>
      </c>
    </row>
    <row r="300" spans="1:10">
      <c r="A300" s="12" t="s">
        <v>598</v>
      </c>
      <c r="B300" t="s">
        <v>599</v>
      </c>
      <c r="C300" t="s">
        <v>824</v>
      </c>
      <c r="D300">
        <v>128.69</v>
      </c>
      <c r="E300" t="s">
        <v>825</v>
      </c>
      <c r="F300" t="s">
        <v>826</v>
      </c>
      <c r="G300" s="1">
        <v>205.91</v>
      </c>
      <c r="H300">
        <v>1</v>
      </c>
      <c r="I300">
        <v>0</v>
      </c>
      <c r="J300">
        <v>0</v>
      </c>
    </row>
    <row r="301" spans="1:10">
      <c r="A301" s="12" t="s">
        <v>600</v>
      </c>
      <c r="B301" t="s">
        <v>601</v>
      </c>
      <c r="C301" t="s">
        <v>824</v>
      </c>
      <c r="D301">
        <v>109.15</v>
      </c>
      <c r="E301" t="s">
        <v>825</v>
      </c>
      <c r="F301" t="s">
        <v>826</v>
      </c>
      <c r="G301" s="1">
        <v>174.64</v>
      </c>
      <c r="H301">
        <v>1</v>
      </c>
      <c r="I301">
        <v>0</v>
      </c>
      <c r="J301">
        <v>0</v>
      </c>
    </row>
    <row r="302" spans="1:10">
      <c r="A302" s="12" t="s">
        <v>602</v>
      </c>
      <c r="B302" t="s">
        <v>603</v>
      </c>
      <c r="C302" t="s">
        <v>824</v>
      </c>
      <c r="D302">
        <v>122.57</v>
      </c>
      <c r="E302" t="s">
        <v>825</v>
      </c>
      <c r="F302" t="s">
        <v>826</v>
      </c>
      <c r="G302" s="1">
        <v>196.1</v>
      </c>
      <c r="H302">
        <v>1</v>
      </c>
      <c r="I302">
        <v>0</v>
      </c>
      <c r="J302">
        <v>0</v>
      </c>
    </row>
    <row r="303" spans="1:10">
      <c r="A303" s="12" t="s">
        <v>604</v>
      </c>
      <c r="B303" t="s">
        <v>605</v>
      </c>
      <c r="C303" t="s">
        <v>824</v>
      </c>
      <c r="D303">
        <v>339.24</v>
      </c>
      <c r="E303" t="s">
        <v>825</v>
      </c>
      <c r="F303" t="s">
        <v>826</v>
      </c>
      <c r="G303" s="1">
        <v>542.78</v>
      </c>
      <c r="H303">
        <v>1</v>
      </c>
      <c r="I303">
        <v>0</v>
      </c>
      <c r="J303">
        <v>0</v>
      </c>
    </row>
    <row r="304" spans="1:10">
      <c r="A304" s="12" t="s">
        <v>606</v>
      </c>
      <c r="B304" t="s">
        <v>607</v>
      </c>
      <c r="C304" t="s">
        <v>824</v>
      </c>
      <c r="D304">
        <v>120.8</v>
      </c>
      <c r="E304" t="s">
        <v>825</v>
      </c>
      <c r="F304" t="s">
        <v>826</v>
      </c>
      <c r="G304" s="1">
        <v>193.27</v>
      </c>
      <c r="H304">
        <v>1</v>
      </c>
      <c r="I304">
        <v>0</v>
      </c>
      <c r="J304">
        <v>0</v>
      </c>
    </row>
    <row r="305" spans="1:10">
      <c r="A305" s="12" t="s">
        <v>608</v>
      </c>
      <c r="B305" t="s">
        <v>609</v>
      </c>
      <c r="C305" t="s">
        <v>824</v>
      </c>
      <c r="D305">
        <v>259.65</v>
      </c>
      <c r="E305" t="s">
        <v>825</v>
      </c>
      <c r="F305" t="s">
        <v>826</v>
      </c>
      <c r="G305" s="1">
        <v>415.44</v>
      </c>
      <c r="H305">
        <v>1</v>
      </c>
      <c r="I305">
        <v>0</v>
      </c>
      <c r="J305">
        <v>0</v>
      </c>
    </row>
    <row r="306" spans="1:10">
      <c r="A306" s="12" t="s">
        <v>610</v>
      </c>
      <c r="B306" t="s">
        <v>611</v>
      </c>
      <c r="C306" t="s">
        <v>824</v>
      </c>
      <c r="D306">
        <v>351.22</v>
      </c>
      <c r="E306" t="s">
        <v>825</v>
      </c>
      <c r="F306" t="s">
        <v>826</v>
      </c>
      <c r="G306" s="1">
        <v>561.97</v>
      </c>
      <c r="H306">
        <v>1</v>
      </c>
      <c r="I306">
        <v>0</v>
      </c>
      <c r="J306">
        <v>0</v>
      </c>
    </row>
    <row r="307" spans="1:10">
      <c r="A307" s="12" t="s">
        <v>612</v>
      </c>
      <c r="B307" t="s">
        <v>613</v>
      </c>
      <c r="C307" t="s">
        <v>824</v>
      </c>
      <c r="D307">
        <v>77.02</v>
      </c>
      <c r="E307" t="s">
        <v>825</v>
      </c>
      <c r="F307" t="s">
        <v>826</v>
      </c>
      <c r="G307" s="1">
        <v>123.23</v>
      </c>
      <c r="H307">
        <v>1</v>
      </c>
      <c r="I307">
        <v>0</v>
      </c>
      <c r="J307">
        <v>0</v>
      </c>
    </row>
    <row r="308" spans="1:10">
      <c r="A308" s="12" t="s">
        <v>614</v>
      </c>
      <c r="B308" t="s">
        <v>615</v>
      </c>
      <c r="C308" t="s">
        <v>824</v>
      </c>
      <c r="D308">
        <v>95.13</v>
      </c>
      <c r="E308" t="s">
        <v>825</v>
      </c>
      <c r="F308" t="s">
        <v>826</v>
      </c>
      <c r="G308" s="1">
        <v>152.2</v>
      </c>
      <c r="H308">
        <v>1</v>
      </c>
      <c r="I308">
        <v>0</v>
      </c>
      <c r="J308">
        <v>0</v>
      </c>
    </row>
    <row r="309" spans="1:10">
      <c r="A309" s="12" t="s">
        <v>616</v>
      </c>
      <c r="B309" t="s">
        <v>617</v>
      </c>
      <c r="C309" t="s">
        <v>824</v>
      </c>
      <c r="D309">
        <v>120.8</v>
      </c>
      <c r="E309" t="s">
        <v>825</v>
      </c>
      <c r="F309" t="s">
        <v>826</v>
      </c>
      <c r="G309" s="1">
        <v>193.27</v>
      </c>
      <c r="H309">
        <v>1</v>
      </c>
      <c r="I309">
        <v>0</v>
      </c>
      <c r="J309">
        <v>0</v>
      </c>
    </row>
    <row r="310" spans="1:10">
      <c r="A310" s="12" t="s">
        <v>618</v>
      </c>
      <c r="B310" t="s">
        <v>619</v>
      </c>
      <c r="C310" t="s">
        <v>824</v>
      </c>
      <c r="D310">
        <v>151.68</v>
      </c>
      <c r="E310" t="s">
        <v>825</v>
      </c>
      <c r="F310" t="s">
        <v>826</v>
      </c>
      <c r="G310" s="1">
        <v>242.69</v>
      </c>
      <c r="H310">
        <v>1</v>
      </c>
      <c r="I310">
        <v>0</v>
      </c>
      <c r="J310">
        <v>0</v>
      </c>
    </row>
    <row r="311" spans="1:10">
      <c r="A311" s="12" t="s">
        <v>620</v>
      </c>
      <c r="B311" t="s">
        <v>621</v>
      </c>
      <c r="C311" t="s">
        <v>824</v>
      </c>
      <c r="D311">
        <v>339.24</v>
      </c>
      <c r="E311" t="s">
        <v>825</v>
      </c>
      <c r="F311" t="s">
        <v>826</v>
      </c>
      <c r="G311" s="1">
        <v>542.78</v>
      </c>
      <c r="H311">
        <v>1</v>
      </c>
      <c r="I311">
        <v>0</v>
      </c>
      <c r="J311">
        <v>0</v>
      </c>
    </row>
    <row r="312" spans="1:10">
      <c r="A312" s="12" t="s">
        <v>622</v>
      </c>
      <c r="B312" t="s">
        <v>623</v>
      </c>
      <c r="C312" t="s">
        <v>824</v>
      </c>
      <c r="D312">
        <v>272.41</v>
      </c>
      <c r="E312" t="s">
        <v>825</v>
      </c>
      <c r="F312" t="s">
        <v>826</v>
      </c>
      <c r="G312" s="1">
        <v>439.37</v>
      </c>
      <c r="H312">
        <v>1</v>
      </c>
      <c r="I312">
        <v>0</v>
      </c>
      <c r="J312">
        <v>0</v>
      </c>
    </row>
    <row r="313" spans="1:10">
      <c r="A313" s="12" t="s">
        <v>624</v>
      </c>
      <c r="B313" t="s">
        <v>625</v>
      </c>
      <c r="C313" t="s">
        <v>824</v>
      </c>
      <c r="D313">
        <v>19.7</v>
      </c>
      <c r="E313" t="s">
        <v>825</v>
      </c>
      <c r="F313" t="s">
        <v>826</v>
      </c>
      <c r="G313" s="1">
        <v>31.76</v>
      </c>
      <c r="H313">
        <v>1</v>
      </c>
      <c r="I313">
        <v>0</v>
      </c>
      <c r="J313">
        <v>0</v>
      </c>
    </row>
    <row r="314" spans="1:10">
      <c r="A314" s="12" t="s">
        <v>626</v>
      </c>
      <c r="B314" t="s">
        <v>627</v>
      </c>
      <c r="C314" t="s">
        <v>824</v>
      </c>
      <c r="D314">
        <v>272.41</v>
      </c>
      <c r="E314" t="s">
        <v>825</v>
      </c>
      <c r="F314" t="s">
        <v>826</v>
      </c>
      <c r="G314" s="1">
        <v>439.37</v>
      </c>
      <c r="H314">
        <v>1</v>
      </c>
      <c r="I314">
        <v>0</v>
      </c>
      <c r="J314">
        <v>0</v>
      </c>
    </row>
    <row r="315" spans="1:10">
      <c r="A315" s="12" t="s">
        <v>628</v>
      </c>
      <c r="B315" t="s">
        <v>629</v>
      </c>
      <c r="C315" t="s">
        <v>824</v>
      </c>
      <c r="D315">
        <v>257.97</v>
      </c>
      <c r="E315" t="s">
        <v>825</v>
      </c>
      <c r="F315" t="s">
        <v>826</v>
      </c>
      <c r="G315" s="1">
        <v>412.74</v>
      </c>
      <c r="H315">
        <v>1</v>
      </c>
      <c r="I315">
        <v>0</v>
      </c>
      <c r="J315">
        <v>0</v>
      </c>
    </row>
    <row r="316" spans="1:10">
      <c r="A316" s="12" t="s">
        <v>630</v>
      </c>
      <c r="B316" t="s">
        <v>631</v>
      </c>
      <c r="C316" t="s">
        <v>824</v>
      </c>
      <c r="D316">
        <v>119.1</v>
      </c>
      <c r="E316" t="s">
        <v>825</v>
      </c>
      <c r="F316" t="s">
        <v>826</v>
      </c>
      <c r="G316" s="1">
        <v>190.56</v>
      </c>
      <c r="H316">
        <v>1</v>
      </c>
      <c r="I316">
        <v>0</v>
      </c>
      <c r="J316">
        <v>0</v>
      </c>
    </row>
    <row r="317" spans="1:10">
      <c r="A317" s="12" t="s">
        <v>632</v>
      </c>
      <c r="B317" t="s">
        <v>633</v>
      </c>
      <c r="C317" t="s">
        <v>824</v>
      </c>
      <c r="D317">
        <v>86.4</v>
      </c>
      <c r="E317" t="s">
        <v>825</v>
      </c>
      <c r="F317" t="s">
        <v>826</v>
      </c>
      <c r="G317" s="1">
        <v>139.35</v>
      </c>
      <c r="H317">
        <v>1</v>
      </c>
      <c r="I317">
        <v>0</v>
      </c>
      <c r="J317">
        <v>0</v>
      </c>
    </row>
    <row r="318" spans="1:10">
      <c r="A318" s="12" t="s">
        <v>634</v>
      </c>
      <c r="B318" t="s">
        <v>635</v>
      </c>
      <c r="C318" t="s">
        <v>824</v>
      </c>
      <c r="D318">
        <v>119.81</v>
      </c>
      <c r="E318" t="s">
        <v>825</v>
      </c>
      <c r="F318" t="s">
        <v>826</v>
      </c>
      <c r="G318" s="1">
        <v>208.35</v>
      </c>
      <c r="H318">
        <v>1</v>
      </c>
      <c r="I318">
        <v>0</v>
      </c>
      <c r="J318">
        <v>0</v>
      </c>
    </row>
    <row r="319" spans="1:10">
      <c r="A319" s="12" t="s">
        <v>636</v>
      </c>
      <c r="B319" t="s">
        <v>637</v>
      </c>
      <c r="C319" t="s">
        <v>824</v>
      </c>
      <c r="D319">
        <v>2.75</v>
      </c>
      <c r="E319" t="s">
        <v>825</v>
      </c>
      <c r="F319" t="s">
        <v>826</v>
      </c>
      <c r="G319" s="1">
        <v>4.39</v>
      </c>
      <c r="H319">
        <v>1</v>
      </c>
      <c r="I319">
        <v>0</v>
      </c>
      <c r="J319">
        <v>0</v>
      </c>
    </row>
    <row r="320" spans="1:10">
      <c r="A320" s="12" t="s">
        <v>638</v>
      </c>
      <c r="B320" t="s">
        <v>639</v>
      </c>
      <c r="C320" t="s">
        <v>824</v>
      </c>
      <c r="D320">
        <v>12.61</v>
      </c>
      <c r="E320" t="s">
        <v>825</v>
      </c>
      <c r="F320" t="s">
        <v>826</v>
      </c>
      <c r="G320" s="1">
        <v>20.17</v>
      </c>
      <c r="H320">
        <v>1</v>
      </c>
      <c r="I320">
        <v>0</v>
      </c>
      <c r="J320">
        <v>0</v>
      </c>
    </row>
    <row r="321" spans="1:10">
      <c r="A321" s="12" t="s">
        <v>640</v>
      </c>
      <c r="B321" t="s">
        <v>641</v>
      </c>
      <c r="C321" t="s">
        <v>824</v>
      </c>
      <c r="D321">
        <v>9.08</v>
      </c>
      <c r="E321" t="s">
        <v>825</v>
      </c>
      <c r="F321" t="s">
        <v>826</v>
      </c>
      <c r="G321" s="1">
        <v>14.53</v>
      </c>
      <c r="H321">
        <v>1</v>
      </c>
      <c r="I321">
        <v>0</v>
      </c>
      <c r="J321">
        <v>0</v>
      </c>
    </row>
    <row r="322" spans="1:10">
      <c r="A322" s="12" t="s">
        <v>642</v>
      </c>
      <c r="B322" t="s">
        <v>643</v>
      </c>
      <c r="C322" t="s">
        <v>824</v>
      </c>
      <c r="D322">
        <v>5.91</v>
      </c>
      <c r="E322" t="s">
        <v>825</v>
      </c>
      <c r="F322" t="s">
        <v>826</v>
      </c>
      <c r="G322" s="1">
        <v>9.46</v>
      </c>
      <c r="H322">
        <v>1</v>
      </c>
      <c r="I322">
        <v>0</v>
      </c>
      <c r="J322">
        <v>0</v>
      </c>
    </row>
    <row r="323" spans="1:10">
      <c r="A323" s="12" t="s">
        <v>644</v>
      </c>
      <c r="B323" t="s">
        <v>645</v>
      </c>
      <c r="C323" t="s">
        <v>824</v>
      </c>
      <c r="D323">
        <v>6.85</v>
      </c>
      <c r="E323" t="s">
        <v>825</v>
      </c>
      <c r="F323" t="s">
        <v>826</v>
      </c>
      <c r="G323" s="1">
        <v>10.95</v>
      </c>
      <c r="H323">
        <v>1</v>
      </c>
      <c r="I323">
        <v>0</v>
      </c>
      <c r="J323">
        <v>0</v>
      </c>
    </row>
    <row r="324" spans="1:10">
      <c r="A324" s="12" t="s">
        <v>646</v>
      </c>
      <c r="B324" t="s">
        <v>647</v>
      </c>
      <c r="C324" t="s">
        <v>824</v>
      </c>
      <c r="D324">
        <v>8.65</v>
      </c>
      <c r="E324" t="s">
        <v>825</v>
      </c>
      <c r="F324" t="s">
        <v>826</v>
      </c>
      <c r="G324" s="1">
        <v>13.84</v>
      </c>
      <c r="H324">
        <v>1</v>
      </c>
      <c r="I324">
        <v>0</v>
      </c>
      <c r="J324">
        <v>0</v>
      </c>
    </row>
    <row r="325" spans="1:10">
      <c r="A325" s="12" t="s">
        <v>648</v>
      </c>
      <c r="B325" t="s">
        <v>649</v>
      </c>
      <c r="C325" t="s">
        <v>824</v>
      </c>
      <c r="D325">
        <v>9.67</v>
      </c>
      <c r="E325" t="s">
        <v>825</v>
      </c>
      <c r="F325" t="s">
        <v>826</v>
      </c>
      <c r="G325" s="1">
        <v>15.46</v>
      </c>
      <c r="H325">
        <v>1</v>
      </c>
      <c r="I325">
        <v>0</v>
      </c>
      <c r="J325">
        <v>0</v>
      </c>
    </row>
    <row r="326" spans="1:10">
      <c r="A326" s="12" t="s">
        <v>650</v>
      </c>
      <c r="B326" t="s">
        <v>651</v>
      </c>
      <c r="C326" t="s">
        <v>824</v>
      </c>
      <c r="D326">
        <v>10.64</v>
      </c>
      <c r="E326" t="s">
        <v>825</v>
      </c>
      <c r="F326" t="s">
        <v>826</v>
      </c>
      <c r="G326" s="1">
        <v>17.03</v>
      </c>
      <c r="H326">
        <v>1</v>
      </c>
      <c r="I326">
        <v>0</v>
      </c>
      <c r="J326">
        <v>0</v>
      </c>
    </row>
    <row r="327" spans="1:10">
      <c r="A327" s="12" t="s">
        <v>652</v>
      </c>
      <c r="B327" t="s">
        <v>653</v>
      </c>
      <c r="C327" t="s">
        <v>824</v>
      </c>
      <c r="D327">
        <v>13.2</v>
      </c>
      <c r="E327" t="s">
        <v>825</v>
      </c>
      <c r="F327" t="s">
        <v>826</v>
      </c>
      <c r="G327" s="1">
        <v>21.12</v>
      </c>
      <c r="H327">
        <v>1</v>
      </c>
      <c r="I327">
        <v>0</v>
      </c>
      <c r="J327">
        <v>0</v>
      </c>
    </row>
    <row r="328" spans="1:10">
      <c r="A328" s="12" t="s">
        <v>654</v>
      </c>
      <c r="B328" t="s">
        <v>655</v>
      </c>
      <c r="C328" t="s">
        <v>824</v>
      </c>
      <c r="D328">
        <v>18.04</v>
      </c>
      <c r="E328" t="s">
        <v>825</v>
      </c>
      <c r="F328" t="s">
        <v>826</v>
      </c>
      <c r="G328" s="1">
        <v>28.87</v>
      </c>
      <c r="H328">
        <v>1</v>
      </c>
      <c r="I328">
        <v>0</v>
      </c>
      <c r="J328">
        <v>0</v>
      </c>
    </row>
    <row r="329" spans="1:10">
      <c r="A329" s="12" t="s">
        <v>656</v>
      </c>
      <c r="B329" t="s">
        <v>657</v>
      </c>
      <c r="C329" t="s">
        <v>824</v>
      </c>
      <c r="D329">
        <v>30.13</v>
      </c>
      <c r="E329" t="s">
        <v>825</v>
      </c>
      <c r="F329" t="s">
        <v>826</v>
      </c>
      <c r="G329" s="1">
        <v>48.21</v>
      </c>
      <c r="H329">
        <v>1</v>
      </c>
      <c r="I329">
        <v>0</v>
      </c>
      <c r="J329">
        <v>0</v>
      </c>
    </row>
    <row r="330" spans="1:10">
      <c r="A330" s="12" t="s">
        <v>658</v>
      </c>
      <c r="B330" t="s">
        <v>659</v>
      </c>
      <c r="C330" t="s">
        <v>824</v>
      </c>
      <c r="D330">
        <v>105.31</v>
      </c>
      <c r="E330" t="s">
        <v>825</v>
      </c>
      <c r="F330" t="s">
        <v>826</v>
      </c>
      <c r="G330" s="1">
        <v>168.5</v>
      </c>
      <c r="H330">
        <v>1</v>
      </c>
      <c r="I330">
        <v>0</v>
      </c>
      <c r="J330">
        <v>0</v>
      </c>
    </row>
    <row r="331" spans="1:10">
      <c r="A331" s="12" t="s">
        <v>660</v>
      </c>
      <c r="B331" t="s">
        <v>661</v>
      </c>
      <c r="C331" t="s">
        <v>824</v>
      </c>
      <c r="D331">
        <v>7.72</v>
      </c>
      <c r="E331" t="s">
        <v>825</v>
      </c>
      <c r="F331" t="s">
        <v>826</v>
      </c>
      <c r="G331" s="1">
        <v>12.36</v>
      </c>
      <c r="H331">
        <v>20</v>
      </c>
      <c r="I331">
        <v>0</v>
      </c>
      <c r="J331">
        <v>0</v>
      </c>
    </row>
    <row r="332" spans="1:10">
      <c r="A332" s="12" t="s">
        <v>662</v>
      </c>
      <c r="B332" t="s">
        <v>663</v>
      </c>
      <c r="C332" t="s">
        <v>824</v>
      </c>
      <c r="D332">
        <v>7.72</v>
      </c>
      <c r="E332" t="s">
        <v>825</v>
      </c>
      <c r="F332" t="s">
        <v>826</v>
      </c>
      <c r="G332" s="1">
        <v>12.36</v>
      </c>
      <c r="H332">
        <v>20</v>
      </c>
      <c r="I332">
        <v>0</v>
      </c>
      <c r="J332">
        <v>0</v>
      </c>
    </row>
    <row r="333" spans="1:10">
      <c r="A333" s="12" t="s">
        <v>664</v>
      </c>
      <c r="B333" t="s">
        <v>665</v>
      </c>
      <c r="C333" t="s">
        <v>824</v>
      </c>
      <c r="D333">
        <v>7.72</v>
      </c>
      <c r="E333" t="s">
        <v>825</v>
      </c>
      <c r="F333" t="s">
        <v>826</v>
      </c>
      <c r="G333" s="1">
        <v>12.36</v>
      </c>
      <c r="H333">
        <v>20</v>
      </c>
      <c r="I333">
        <v>0</v>
      </c>
      <c r="J333">
        <v>0</v>
      </c>
    </row>
    <row r="334" spans="1:10">
      <c r="A334" s="12" t="s">
        <v>666</v>
      </c>
      <c r="B334" t="s">
        <v>667</v>
      </c>
      <c r="C334" t="s">
        <v>824</v>
      </c>
      <c r="D334">
        <v>7.72</v>
      </c>
      <c r="E334" t="s">
        <v>825</v>
      </c>
      <c r="F334" t="s">
        <v>826</v>
      </c>
      <c r="G334" s="1">
        <v>12.36</v>
      </c>
      <c r="H334">
        <v>20</v>
      </c>
      <c r="I334">
        <v>0</v>
      </c>
      <c r="J334">
        <v>0</v>
      </c>
    </row>
    <row r="335" spans="1:10">
      <c r="A335" s="12" t="s">
        <v>668</v>
      </c>
      <c r="B335" t="s">
        <v>669</v>
      </c>
      <c r="C335" t="s">
        <v>824</v>
      </c>
      <c r="D335">
        <v>7.72</v>
      </c>
      <c r="E335" t="s">
        <v>825</v>
      </c>
      <c r="F335" t="s">
        <v>826</v>
      </c>
      <c r="G335" s="1">
        <v>12.36</v>
      </c>
      <c r="H335">
        <v>20</v>
      </c>
      <c r="I335">
        <v>0</v>
      </c>
      <c r="J335">
        <v>0</v>
      </c>
    </row>
    <row r="336" spans="1:10">
      <c r="A336" s="12" t="s">
        <v>670</v>
      </c>
      <c r="B336" t="s">
        <v>671</v>
      </c>
      <c r="C336" t="s">
        <v>824</v>
      </c>
      <c r="D336">
        <v>7.72</v>
      </c>
      <c r="E336" t="s">
        <v>825</v>
      </c>
      <c r="F336" t="s">
        <v>826</v>
      </c>
      <c r="G336" s="1">
        <v>12.36</v>
      </c>
      <c r="H336">
        <v>20</v>
      </c>
      <c r="I336">
        <v>0</v>
      </c>
      <c r="J336">
        <v>0</v>
      </c>
    </row>
    <row r="337" spans="1:10">
      <c r="A337" s="12" t="s">
        <v>672</v>
      </c>
      <c r="B337" t="s">
        <v>673</v>
      </c>
      <c r="C337" t="s">
        <v>824</v>
      </c>
      <c r="D337">
        <v>7.72</v>
      </c>
      <c r="E337" t="s">
        <v>825</v>
      </c>
      <c r="F337" t="s">
        <v>826</v>
      </c>
      <c r="G337" s="1">
        <v>12.36</v>
      </c>
      <c r="H337">
        <v>20</v>
      </c>
      <c r="I337">
        <v>0</v>
      </c>
      <c r="J337">
        <v>0</v>
      </c>
    </row>
    <row r="338" spans="1:10">
      <c r="A338" s="12" t="s">
        <v>674</v>
      </c>
      <c r="B338" t="s">
        <v>675</v>
      </c>
      <c r="C338" t="s">
        <v>824</v>
      </c>
      <c r="D338">
        <v>7.72</v>
      </c>
      <c r="E338" t="s">
        <v>825</v>
      </c>
      <c r="F338" t="s">
        <v>826</v>
      </c>
      <c r="G338" s="1">
        <v>12.36</v>
      </c>
      <c r="H338">
        <v>20</v>
      </c>
      <c r="I338">
        <v>0</v>
      </c>
      <c r="J338">
        <v>0</v>
      </c>
    </row>
    <row r="339" spans="1:10">
      <c r="A339" s="12" t="s">
        <v>676</v>
      </c>
      <c r="B339" t="s">
        <v>677</v>
      </c>
      <c r="C339" t="s">
        <v>824</v>
      </c>
      <c r="D339">
        <v>7.72</v>
      </c>
      <c r="E339" t="s">
        <v>825</v>
      </c>
      <c r="F339" t="s">
        <v>826</v>
      </c>
      <c r="G339" s="1">
        <v>12.36</v>
      </c>
      <c r="H339">
        <v>20</v>
      </c>
      <c r="I339">
        <v>0</v>
      </c>
      <c r="J339">
        <v>0</v>
      </c>
    </row>
    <row r="340" spans="1:10">
      <c r="A340" s="12" t="s">
        <v>678</v>
      </c>
      <c r="B340" t="s">
        <v>679</v>
      </c>
      <c r="C340" t="s">
        <v>824</v>
      </c>
      <c r="D340">
        <v>7.72</v>
      </c>
      <c r="E340" t="s">
        <v>825</v>
      </c>
      <c r="F340" t="s">
        <v>826</v>
      </c>
      <c r="G340" s="1">
        <v>12.36</v>
      </c>
      <c r="H340">
        <v>20</v>
      </c>
      <c r="I340">
        <v>0</v>
      </c>
      <c r="J340">
        <v>0</v>
      </c>
    </row>
    <row r="341" spans="1:10">
      <c r="A341" s="12" t="s">
        <v>680</v>
      </c>
      <c r="B341" t="s">
        <v>681</v>
      </c>
      <c r="C341" t="s">
        <v>824</v>
      </c>
      <c r="D341">
        <v>7.72</v>
      </c>
      <c r="E341" t="s">
        <v>825</v>
      </c>
      <c r="F341" t="s">
        <v>826</v>
      </c>
      <c r="G341" s="1">
        <v>12.36</v>
      </c>
      <c r="H341">
        <v>20</v>
      </c>
      <c r="I341">
        <v>0</v>
      </c>
      <c r="J341">
        <v>0</v>
      </c>
    </row>
    <row r="342" spans="1:10">
      <c r="A342" s="12" t="s">
        <v>682</v>
      </c>
      <c r="B342" t="s">
        <v>683</v>
      </c>
      <c r="C342" t="s">
        <v>824</v>
      </c>
      <c r="D342">
        <v>147.24</v>
      </c>
      <c r="E342" t="s">
        <v>825</v>
      </c>
      <c r="F342" t="s">
        <v>826</v>
      </c>
      <c r="G342" s="1">
        <v>235.59</v>
      </c>
      <c r="H342">
        <v>1</v>
      </c>
      <c r="I342">
        <v>0</v>
      </c>
      <c r="J342">
        <v>0</v>
      </c>
    </row>
    <row r="343" spans="1:10">
      <c r="A343" s="12" t="s">
        <v>684</v>
      </c>
      <c r="B343" t="s">
        <v>685</v>
      </c>
      <c r="C343" t="s">
        <v>824</v>
      </c>
      <c r="D343">
        <v>17.39</v>
      </c>
      <c r="E343" t="s">
        <v>825</v>
      </c>
      <c r="F343" t="s">
        <v>826</v>
      </c>
      <c r="G343" s="1">
        <v>27.82</v>
      </c>
      <c r="H343">
        <v>1</v>
      </c>
      <c r="I343">
        <v>0</v>
      </c>
      <c r="J343">
        <v>0</v>
      </c>
    </row>
    <row r="344" spans="1:10">
      <c r="A344" s="12" t="s">
        <v>686</v>
      </c>
      <c r="B344" t="s">
        <v>687</v>
      </c>
      <c r="C344" t="s">
        <v>824</v>
      </c>
      <c r="D344">
        <v>18.4</v>
      </c>
      <c r="E344" t="s">
        <v>825</v>
      </c>
      <c r="F344" t="s">
        <v>826</v>
      </c>
      <c r="G344" s="1">
        <v>29.43</v>
      </c>
      <c r="H344">
        <v>1</v>
      </c>
      <c r="I344">
        <v>0</v>
      </c>
      <c r="J344">
        <v>0</v>
      </c>
    </row>
    <row r="345" spans="1:10">
      <c r="A345" s="12" t="s">
        <v>688</v>
      </c>
      <c r="B345" t="s">
        <v>689</v>
      </c>
      <c r="C345" t="s">
        <v>824</v>
      </c>
      <c r="D345">
        <v>20.18</v>
      </c>
      <c r="E345" t="s">
        <v>825</v>
      </c>
      <c r="F345" t="s">
        <v>826</v>
      </c>
      <c r="G345" s="1">
        <v>32.28</v>
      </c>
      <c r="H345">
        <v>1</v>
      </c>
      <c r="I345">
        <v>0</v>
      </c>
      <c r="J345">
        <v>0</v>
      </c>
    </row>
    <row r="346" spans="1:10">
      <c r="A346" s="12" t="s">
        <v>690</v>
      </c>
      <c r="B346" t="s">
        <v>691</v>
      </c>
      <c r="C346" t="s">
        <v>824</v>
      </c>
      <c r="D346">
        <v>26.71</v>
      </c>
      <c r="E346" t="s">
        <v>825</v>
      </c>
      <c r="F346" t="s">
        <v>826</v>
      </c>
      <c r="G346" s="1">
        <v>42.74</v>
      </c>
      <c r="H346">
        <v>1</v>
      </c>
      <c r="I346">
        <v>0</v>
      </c>
      <c r="J346">
        <v>0</v>
      </c>
    </row>
    <row r="347" spans="1:10">
      <c r="A347" s="12" t="s">
        <v>692</v>
      </c>
      <c r="B347" t="s">
        <v>693</v>
      </c>
      <c r="C347" t="s">
        <v>824</v>
      </c>
      <c r="D347">
        <v>27.54</v>
      </c>
      <c r="E347" t="s">
        <v>825</v>
      </c>
      <c r="F347" t="s">
        <v>826</v>
      </c>
      <c r="G347" s="1">
        <v>44.42</v>
      </c>
      <c r="H347">
        <v>1</v>
      </c>
      <c r="I347">
        <v>0</v>
      </c>
      <c r="J347">
        <v>0</v>
      </c>
    </row>
    <row r="348" spans="1:10">
      <c r="A348" s="12" t="s">
        <v>694</v>
      </c>
      <c r="B348" t="s">
        <v>695</v>
      </c>
      <c r="C348" t="s">
        <v>824</v>
      </c>
      <c r="D348">
        <v>25.87</v>
      </c>
      <c r="E348" t="s">
        <v>825</v>
      </c>
      <c r="F348" t="s">
        <v>826</v>
      </c>
      <c r="G348" s="1">
        <v>41.73</v>
      </c>
      <c r="H348">
        <v>1</v>
      </c>
      <c r="I348">
        <v>0</v>
      </c>
      <c r="J348">
        <v>0</v>
      </c>
    </row>
    <row r="349" spans="1:10">
      <c r="A349" s="12" t="s">
        <v>696</v>
      </c>
      <c r="B349" t="s">
        <v>697</v>
      </c>
      <c r="C349" t="s">
        <v>824</v>
      </c>
      <c r="D349">
        <v>29.98</v>
      </c>
      <c r="E349" t="s">
        <v>825</v>
      </c>
      <c r="F349" t="s">
        <v>826</v>
      </c>
      <c r="G349" s="1">
        <v>48.35</v>
      </c>
      <c r="H349">
        <v>1</v>
      </c>
      <c r="I349">
        <v>0</v>
      </c>
      <c r="J349">
        <v>0</v>
      </c>
    </row>
    <row r="350" spans="1:10">
      <c r="A350" s="12" t="s">
        <v>698</v>
      </c>
      <c r="B350" t="s">
        <v>699</v>
      </c>
      <c r="C350" t="s">
        <v>824</v>
      </c>
      <c r="D350">
        <v>34.62</v>
      </c>
      <c r="E350" t="s">
        <v>825</v>
      </c>
      <c r="F350" t="s">
        <v>826</v>
      </c>
      <c r="G350" s="1">
        <v>55.85</v>
      </c>
      <c r="H350">
        <v>1</v>
      </c>
      <c r="I350">
        <v>0</v>
      </c>
      <c r="J350">
        <v>0</v>
      </c>
    </row>
    <row r="351" spans="1:10">
      <c r="A351" s="12" t="s">
        <v>700</v>
      </c>
      <c r="B351" t="s">
        <v>701</v>
      </c>
      <c r="C351" t="s">
        <v>824</v>
      </c>
      <c r="D351">
        <v>256.18</v>
      </c>
      <c r="E351" t="s">
        <v>825</v>
      </c>
      <c r="F351" t="s">
        <v>826</v>
      </c>
      <c r="G351" s="1">
        <v>409.88</v>
      </c>
      <c r="H351">
        <v>1</v>
      </c>
      <c r="I351">
        <v>0</v>
      </c>
      <c r="J351">
        <v>0</v>
      </c>
    </row>
    <row r="352" spans="1:10">
      <c r="A352" s="12" t="s">
        <v>702</v>
      </c>
      <c r="B352" t="s">
        <v>703</v>
      </c>
      <c r="C352" t="s">
        <v>824</v>
      </c>
      <c r="D352">
        <v>256.18</v>
      </c>
      <c r="E352" t="s">
        <v>825</v>
      </c>
      <c r="F352" t="s">
        <v>826</v>
      </c>
      <c r="G352" s="1">
        <v>409.88</v>
      </c>
      <c r="H352">
        <v>1</v>
      </c>
      <c r="I352">
        <v>0</v>
      </c>
      <c r="J352">
        <v>0</v>
      </c>
    </row>
    <row r="353" spans="1:10">
      <c r="A353" s="12" t="s">
        <v>704</v>
      </c>
      <c r="B353" t="s">
        <v>705</v>
      </c>
      <c r="C353" t="s">
        <v>824</v>
      </c>
      <c r="D353">
        <v>384.74</v>
      </c>
      <c r="E353" t="s">
        <v>825</v>
      </c>
      <c r="F353" t="s">
        <v>826</v>
      </c>
      <c r="G353" s="1">
        <v>674.98</v>
      </c>
      <c r="H353">
        <v>1</v>
      </c>
      <c r="I353">
        <v>0</v>
      </c>
      <c r="J353">
        <v>0</v>
      </c>
    </row>
    <row r="354" spans="1:10">
      <c r="A354" s="12" t="s">
        <v>706</v>
      </c>
      <c r="B354" t="s">
        <v>707</v>
      </c>
      <c r="C354" t="s">
        <v>824</v>
      </c>
      <c r="D354">
        <v>384.74</v>
      </c>
      <c r="E354" t="s">
        <v>825</v>
      </c>
      <c r="F354" t="s">
        <v>826</v>
      </c>
      <c r="G354" s="1">
        <v>674.98</v>
      </c>
      <c r="H354">
        <v>1</v>
      </c>
      <c r="I354">
        <v>0</v>
      </c>
      <c r="J354">
        <v>0</v>
      </c>
    </row>
    <row r="355" spans="1:10">
      <c r="A355" s="12" t="s">
        <v>708</v>
      </c>
      <c r="B355" t="s">
        <v>709</v>
      </c>
      <c r="C355" t="s">
        <v>824</v>
      </c>
      <c r="D355">
        <v>384.74</v>
      </c>
      <c r="E355" t="s">
        <v>825</v>
      </c>
      <c r="F355" t="s">
        <v>826</v>
      </c>
      <c r="G355" s="1">
        <v>674.98</v>
      </c>
      <c r="H355">
        <v>1</v>
      </c>
      <c r="I355">
        <v>0</v>
      </c>
      <c r="J355">
        <v>0</v>
      </c>
    </row>
    <row r="356" spans="1:10">
      <c r="A356" s="12" t="s">
        <v>710</v>
      </c>
      <c r="B356" t="s">
        <v>711</v>
      </c>
      <c r="C356" t="s">
        <v>824</v>
      </c>
      <c r="D356">
        <v>384.74</v>
      </c>
      <c r="E356" t="s">
        <v>825</v>
      </c>
      <c r="F356" t="s">
        <v>826</v>
      </c>
      <c r="G356" s="1">
        <v>674.98</v>
      </c>
      <c r="H356">
        <v>1</v>
      </c>
      <c r="I356">
        <v>0</v>
      </c>
      <c r="J356">
        <v>0</v>
      </c>
    </row>
    <row r="357" spans="1:10">
      <c r="A357" s="12" t="s">
        <v>712</v>
      </c>
      <c r="B357" t="s">
        <v>713</v>
      </c>
      <c r="C357" t="s">
        <v>824</v>
      </c>
      <c r="D357">
        <v>356.24</v>
      </c>
      <c r="E357" t="s">
        <v>825</v>
      </c>
      <c r="F357" t="s">
        <v>826</v>
      </c>
      <c r="G357" s="1">
        <v>624.98</v>
      </c>
      <c r="H357">
        <v>1</v>
      </c>
      <c r="I357">
        <v>0</v>
      </c>
      <c r="J357">
        <v>0</v>
      </c>
    </row>
    <row r="358" spans="1:10">
      <c r="A358" s="12" t="s">
        <v>714</v>
      </c>
      <c r="B358" t="s">
        <v>715</v>
      </c>
      <c r="C358" t="s">
        <v>824</v>
      </c>
      <c r="D358">
        <v>356.24</v>
      </c>
      <c r="E358" t="s">
        <v>825</v>
      </c>
      <c r="F358" t="s">
        <v>826</v>
      </c>
      <c r="G358" s="1">
        <v>624.98</v>
      </c>
      <c r="H358">
        <v>1</v>
      </c>
      <c r="I358">
        <v>0</v>
      </c>
      <c r="J358">
        <v>0</v>
      </c>
    </row>
    <row r="359" spans="1:10">
      <c r="A359" s="12" t="s">
        <v>716</v>
      </c>
      <c r="B359" t="s">
        <v>717</v>
      </c>
      <c r="C359" t="s">
        <v>824</v>
      </c>
      <c r="D359">
        <v>374.38</v>
      </c>
      <c r="E359" t="s">
        <v>825</v>
      </c>
      <c r="F359" t="s">
        <v>826</v>
      </c>
      <c r="G359" s="1">
        <v>651.1</v>
      </c>
      <c r="H359">
        <v>1</v>
      </c>
      <c r="I359">
        <v>0</v>
      </c>
      <c r="J359">
        <v>0</v>
      </c>
    </row>
    <row r="360" spans="1:10">
      <c r="A360" s="12" t="s">
        <v>718</v>
      </c>
      <c r="B360" t="s">
        <v>719</v>
      </c>
      <c r="C360" t="s">
        <v>824</v>
      </c>
      <c r="D360">
        <v>356.24</v>
      </c>
      <c r="E360" t="s">
        <v>825</v>
      </c>
      <c r="F360" t="s">
        <v>826</v>
      </c>
      <c r="G360" s="1">
        <v>624.98</v>
      </c>
      <c r="H360">
        <v>1</v>
      </c>
      <c r="I360">
        <v>0</v>
      </c>
      <c r="J360">
        <v>0</v>
      </c>
    </row>
    <row r="361" spans="1:10">
      <c r="A361" s="12" t="s">
        <v>720</v>
      </c>
      <c r="B361" t="s">
        <v>721</v>
      </c>
      <c r="C361" t="s">
        <v>824</v>
      </c>
      <c r="D361">
        <v>374.38</v>
      </c>
      <c r="E361" t="s">
        <v>825</v>
      </c>
      <c r="F361" t="s">
        <v>826</v>
      </c>
      <c r="G361" s="1">
        <v>651.1</v>
      </c>
      <c r="H361">
        <v>1</v>
      </c>
      <c r="I361">
        <v>0</v>
      </c>
      <c r="J361">
        <v>0</v>
      </c>
    </row>
    <row r="362" spans="1:10">
      <c r="A362" s="12" t="s">
        <v>722</v>
      </c>
      <c r="B362" t="s">
        <v>723</v>
      </c>
      <c r="C362" t="s">
        <v>824</v>
      </c>
      <c r="D362">
        <v>356.24</v>
      </c>
      <c r="E362" t="s">
        <v>825</v>
      </c>
      <c r="F362" t="s">
        <v>826</v>
      </c>
      <c r="G362" s="1">
        <v>624.98</v>
      </c>
      <c r="H362">
        <v>1</v>
      </c>
      <c r="I362">
        <v>0</v>
      </c>
      <c r="J362">
        <v>0</v>
      </c>
    </row>
    <row r="363" spans="1:10">
      <c r="A363" s="12" t="s">
        <v>724</v>
      </c>
      <c r="B363" t="s">
        <v>725</v>
      </c>
      <c r="C363" t="s">
        <v>824</v>
      </c>
      <c r="D363">
        <v>356.24</v>
      </c>
      <c r="E363" t="s">
        <v>825</v>
      </c>
      <c r="F363" t="s">
        <v>826</v>
      </c>
      <c r="G363" s="1">
        <v>624.98</v>
      </c>
      <c r="H363">
        <v>1</v>
      </c>
      <c r="I363">
        <v>0</v>
      </c>
      <c r="J363">
        <v>0</v>
      </c>
    </row>
    <row r="364" spans="1:10">
      <c r="A364" s="12" t="s">
        <v>726</v>
      </c>
      <c r="B364" t="s">
        <v>727</v>
      </c>
      <c r="C364" t="s">
        <v>824</v>
      </c>
      <c r="D364">
        <v>238.02</v>
      </c>
      <c r="E364" t="s">
        <v>825</v>
      </c>
      <c r="F364" t="s">
        <v>826</v>
      </c>
      <c r="G364" s="1">
        <v>413.94</v>
      </c>
      <c r="H364">
        <v>1</v>
      </c>
      <c r="I364">
        <v>0</v>
      </c>
      <c r="J364">
        <v>0</v>
      </c>
    </row>
    <row r="365" spans="1:10">
      <c r="A365" s="12" t="s">
        <v>728</v>
      </c>
      <c r="B365" t="s">
        <v>729</v>
      </c>
      <c r="C365" t="s">
        <v>824</v>
      </c>
      <c r="D365">
        <v>238.02</v>
      </c>
      <c r="E365" t="s">
        <v>825</v>
      </c>
      <c r="F365" t="s">
        <v>826</v>
      </c>
      <c r="G365" s="1">
        <v>413.94</v>
      </c>
      <c r="H365">
        <v>1</v>
      </c>
      <c r="I365">
        <v>0</v>
      </c>
      <c r="J365">
        <v>0</v>
      </c>
    </row>
    <row r="366" spans="1:10">
      <c r="A366" s="12" t="s">
        <v>730</v>
      </c>
      <c r="B366" t="s">
        <v>731</v>
      </c>
      <c r="C366" t="s">
        <v>824</v>
      </c>
      <c r="D366">
        <v>238.02</v>
      </c>
      <c r="E366" t="s">
        <v>825</v>
      </c>
      <c r="F366" t="s">
        <v>826</v>
      </c>
      <c r="G366" s="1">
        <v>413.94</v>
      </c>
      <c r="H366">
        <v>1</v>
      </c>
      <c r="I366">
        <v>0</v>
      </c>
      <c r="J366">
        <v>0</v>
      </c>
    </row>
    <row r="367" spans="1:10">
      <c r="A367" s="12" t="s">
        <v>732</v>
      </c>
      <c r="B367" t="s">
        <v>733</v>
      </c>
      <c r="C367" t="s">
        <v>824</v>
      </c>
      <c r="D367">
        <v>238.02</v>
      </c>
      <c r="E367" t="s">
        <v>825</v>
      </c>
      <c r="F367" t="s">
        <v>826</v>
      </c>
      <c r="G367" s="1">
        <v>413.94</v>
      </c>
      <c r="H367">
        <v>1</v>
      </c>
      <c r="I367">
        <v>0</v>
      </c>
      <c r="J367">
        <v>0</v>
      </c>
    </row>
    <row r="368" spans="1:10">
      <c r="A368" s="12" t="s">
        <v>734</v>
      </c>
      <c r="B368" t="s">
        <v>735</v>
      </c>
      <c r="C368" t="s">
        <v>824</v>
      </c>
      <c r="D368">
        <v>31.69</v>
      </c>
      <c r="E368" t="s">
        <v>825</v>
      </c>
      <c r="F368" t="s">
        <v>826</v>
      </c>
      <c r="G368" s="1">
        <v>55.1</v>
      </c>
      <c r="H368">
        <v>1</v>
      </c>
      <c r="I368">
        <v>0</v>
      </c>
      <c r="J368">
        <v>0</v>
      </c>
    </row>
    <row r="369" spans="1:10">
      <c r="A369" s="12" t="s">
        <v>736</v>
      </c>
      <c r="B369" t="s">
        <v>737</v>
      </c>
      <c r="C369" t="s">
        <v>824</v>
      </c>
      <c r="D369">
        <v>44.69</v>
      </c>
      <c r="E369" t="s">
        <v>825</v>
      </c>
      <c r="F369" t="s">
        <v>826</v>
      </c>
      <c r="G369" s="1">
        <v>77.72</v>
      </c>
      <c r="H369">
        <v>1</v>
      </c>
      <c r="I369">
        <v>0</v>
      </c>
      <c r="J369">
        <v>0</v>
      </c>
    </row>
    <row r="370" spans="1:10">
      <c r="A370" s="12" t="s">
        <v>738</v>
      </c>
      <c r="B370" t="s">
        <v>739</v>
      </c>
      <c r="C370" t="s">
        <v>824</v>
      </c>
      <c r="D370">
        <v>64.15</v>
      </c>
      <c r="E370" t="s">
        <v>825</v>
      </c>
      <c r="F370" t="s">
        <v>826</v>
      </c>
      <c r="G370" s="1">
        <v>111.57</v>
      </c>
      <c r="H370">
        <v>1</v>
      </c>
      <c r="I370">
        <v>0</v>
      </c>
      <c r="J370">
        <v>0</v>
      </c>
    </row>
    <row r="371" spans="1:10">
      <c r="A371" s="12" t="s">
        <v>740</v>
      </c>
      <c r="B371" t="s">
        <v>741</v>
      </c>
      <c r="C371" t="s">
        <v>824</v>
      </c>
      <c r="D371">
        <v>153.67</v>
      </c>
      <c r="E371" t="s">
        <v>825</v>
      </c>
      <c r="F371" t="s">
        <v>826</v>
      </c>
      <c r="G371" s="1">
        <v>267.27</v>
      </c>
      <c r="H371">
        <v>1</v>
      </c>
      <c r="I371">
        <v>0</v>
      </c>
      <c r="J371">
        <v>0</v>
      </c>
    </row>
    <row r="372" spans="1:10">
      <c r="A372" s="12" t="s">
        <v>742</v>
      </c>
      <c r="B372" t="s">
        <v>743</v>
      </c>
      <c r="C372" t="s">
        <v>824</v>
      </c>
      <c r="D372">
        <v>437.98</v>
      </c>
      <c r="E372" t="s">
        <v>825</v>
      </c>
      <c r="F372" t="s">
        <v>826</v>
      </c>
      <c r="G372" s="1">
        <v>761.71</v>
      </c>
      <c r="H372">
        <v>1</v>
      </c>
      <c r="I372">
        <v>0</v>
      </c>
      <c r="J372">
        <v>0</v>
      </c>
    </row>
    <row r="373" spans="1:10">
      <c r="A373" s="12" t="s">
        <v>744</v>
      </c>
      <c r="B373" t="s">
        <v>745</v>
      </c>
      <c r="C373" t="s">
        <v>824</v>
      </c>
      <c r="D373">
        <v>118.28</v>
      </c>
      <c r="E373" t="s">
        <v>825</v>
      </c>
      <c r="F373" t="s">
        <v>826</v>
      </c>
      <c r="G373" s="1">
        <v>205.69</v>
      </c>
      <c r="H373">
        <v>1</v>
      </c>
      <c r="I373">
        <v>0</v>
      </c>
      <c r="J373">
        <v>0</v>
      </c>
    </row>
    <row r="374" spans="1:10">
      <c r="A374" s="12" t="s">
        <v>746</v>
      </c>
      <c r="B374" t="s">
        <v>747</v>
      </c>
      <c r="C374" t="s">
        <v>824</v>
      </c>
      <c r="D374">
        <v>145.06</v>
      </c>
      <c r="E374" t="s">
        <v>825</v>
      </c>
      <c r="F374" t="s">
        <v>826</v>
      </c>
      <c r="G374" s="1">
        <v>252.27</v>
      </c>
      <c r="H374">
        <v>1</v>
      </c>
      <c r="I374">
        <v>0</v>
      </c>
      <c r="J374">
        <v>0</v>
      </c>
    </row>
    <row r="375" spans="1:10">
      <c r="A375" s="12" t="s">
        <v>748</v>
      </c>
      <c r="B375" t="s">
        <v>749</v>
      </c>
      <c r="C375" t="s">
        <v>824</v>
      </c>
      <c r="D375">
        <v>145.84</v>
      </c>
      <c r="E375" t="s">
        <v>825</v>
      </c>
      <c r="F375" t="s">
        <v>826</v>
      </c>
      <c r="G375" s="1">
        <v>253.64</v>
      </c>
      <c r="H375">
        <v>1</v>
      </c>
      <c r="I375">
        <v>0</v>
      </c>
      <c r="J375">
        <v>0</v>
      </c>
    </row>
    <row r="376" spans="1:10">
      <c r="A376" s="12" t="s">
        <v>750</v>
      </c>
      <c r="B376" t="s">
        <v>751</v>
      </c>
      <c r="C376" t="s">
        <v>824</v>
      </c>
      <c r="D376">
        <v>145.06</v>
      </c>
      <c r="E376" t="s">
        <v>825</v>
      </c>
      <c r="F376" t="s">
        <v>826</v>
      </c>
      <c r="G376" s="1">
        <v>252.27</v>
      </c>
      <c r="H376">
        <v>1</v>
      </c>
      <c r="I376">
        <v>0</v>
      </c>
      <c r="J376">
        <v>0</v>
      </c>
    </row>
    <row r="377" spans="1:10">
      <c r="A377" s="12" t="s">
        <v>752</v>
      </c>
      <c r="B377" t="s">
        <v>753</v>
      </c>
      <c r="C377" t="s">
        <v>824</v>
      </c>
      <c r="D377">
        <v>239.64</v>
      </c>
      <c r="E377" t="s">
        <v>825</v>
      </c>
      <c r="F377" t="s">
        <v>826</v>
      </c>
      <c r="G377" s="1">
        <v>416.76</v>
      </c>
      <c r="H377">
        <v>1</v>
      </c>
      <c r="I377">
        <v>0</v>
      </c>
      <c r="J377">
        <v>0</v>
      </c>
    </row>
    <row r="378" spans="1:10">
      <c r="A378" s="12" t="s">
        <v>754</v>
      </c>
      <c r="B378" t="s">
        <v>755</v>
      </c>
      <c r="C378" t="s">
        <v>824</v>
      </c>
      <c r="D378">
        <v>61.24</v>
      </c>
      <c r="E378" t="s">
        <v>825</v>
      </c>
      <c r="F378" t="s">
        <v>826</v>
      </c>
      <c r="G378" s="1">
        <v>106.48</v>
      </c>
      <c r="H378">
        <v>1</v>
      </c>
      <c r="I378">
        <v>0</v>
      </c>
      <c r="J378">
        <v>0</v>
      </c>
    </row>
    <row r="379" spans="1:10">
      <c r="A379" s="12" t="s">
        <v>756</v>
      </c>
      <c r="B379" t="s">
        <v>757</v>
      </c>
      <c r="C379" t="s">
        <v>824</v>
      </c>
      <c r="D379">
        <v>80.85</v>
      </c>
      <c r="E379" t="s">
        <v>825</v>
      </c>
      <c r="F379" t="s">
        <v>826</v>
      </c>
      <c r="G379" s="1">
        <v>140.61</v>
      </c>
      <c r="H379">
        <v>1</v>
      </c>
      <c r="I379">
        <v>0</v>
      </c>
      <c r="J379">
        <v>0</v>
      </c>
    </row>
    <row r="380" spans="1:10">
      <c r="A380" s="12" t="s">
        <v>758</v>
      </c>
      <c r="B380" t="s">
        <v>759</v>
      </c>
      <c r="C380" t="s">
        <v>824</v>
      </c>
      <c r="D380">
        <v>117.88</v>
      </c>
      <c r="E380" t="s">
        <v>825</v>
      </c>
      <c r="F380" t="s">
        <v>826</v>
      </c>
      <c r="G380" s="1">
        <v>205.01</v>
      </c>
      <c r="H380">
        <v>1</v>
      </c>
      <c r="I380">
        <v>0</v>
      </c>
      <c r="J380">
        <v>0</v>
      </c>
    </row>
    <row r="381" spans="1:10">
      <c r="A381" s="12" t="s">
        <v>760</v>
      </c>
      <c r="B381" t="s">
        <v>761</v>
      </c>
      <c r="C381" t="s">
        <v>824</v>
      </c>
      <c r="D381">
        <v>258.27</v>
      </c>
      <c r="E381" t="s">
        <v>825</v>
      </c>
      <c r="F381" t="s">
        <v>826</v>
      </c>
      <c r="G381" s="1">
        <v>449.15</v>
      </c>
      <c r="H381">
        <v>1</v>
      </c>
      <c r="I381">
        <v>0</v>
      </c>
      <c r="J381">
        <v>0</v>
      </c>
    </row>
    <row r="382" spans="1:10">
      <c r="A382" s="12" t="s">
        <v>762</v>
      </c>
      <c r="B382" t="s">
        <v>763</v>
      </c>
      <c r="C382" t="s">
        <v>824</v>
      </c>
      <c r="D382">
        <v>109.56</v>
      </c>
      <c r="E382" t="s">
        <v>825</v>
      </c>
      <c r="F382" t="s">
        <v>826</v>
      </c>
      <c r="G382" s="1">
        <v>190.55</v>
      </c>
      <c r="H382">
        <v>1</v>
      </c>
      <c r="I382">
        <v>0</v>
      </c>
      <c r="J382">
        <v>0</v>
      </c>
    </row>
    <row r="383" spans="1:10">
      <c r="A383" s="12" t="s">
        <v>764</v>
      </c>
      <c r="B383" t="s">
        <v>765</v>
      </c>
      <c r="C383" t="s">
        <v>824</v>
      </c>
      <c r="D383">
        <v>239.64</v>
      </c>
      <c r="E383" t="s">
        <v>825</v>
      </c>
      <c r="F383" t="s">
        <v>826</v>
      </c>
      <c r="G383" s="1">
        <v>416.76</v>
      </c>
      <c r="H383">
        <v>1</v>
      </c>
      <c r="I383">
        <v>0</v>
      </c>
      <c r="J383">
        <v>0</v>
      </c>
    </row>
    <row r="384" spans="1:10">
      <c r="A384" s="12" t="s">
        <v>766</v>
      </c>
      <c r="B384" t="s">
        <v>767</v>
      </c>
      <c r="C384" t="s">
        <v>824</v>
      </c>
      <c r="D384">
        <v>72.3</v>
      </c>
      <c r="E384" t="s">
        <v>825</v>
      </c>
      <c r="F384" t="s">
        <v>826</v>
      </c>
      <c r="G384" s="1">
        <v>125.74</v>
      </c>
      <c r="H384">
        <v>1</v>
      </c>
      <c r="I384">
        <v>0</v>
      </c>
      <c r="J384">
        <v>0</v>
      </c>
    </row>
    <row r="385" spans="1:10">
      <c r="A385" s="12" t="s">
        <v>768</v>
      </c>
      <c r="B385" t="s">
        <v>769</v>
      </c>
      <c r="C385" t="s">
        <v>824</v>
      </c>
      <c r="D385">
        <v>134.04</v>
      </c>
      <c r="E385" t="s">
        <v>825</v>
      </c>
      <c r="F385" t="s">
        <v>826</v>
      </c>
      <c r="G385" s="1">
        <v>233.12</v>
      </c>
      <c r="H385">
        <v>1</v>
      </c>
      <c r="I385">
        <v>0</v>
      </c>
      <c r="J385">
        <v>0</v>
      </c>
    </row>
    <row r="386" spans="1:10">
      <c r="A386" s="12" t="s">
        <v>770</v>
      </c>
      <c r="B386" t="s">
        <v>771</v>
      </c>
      <c r="C386" t="s">
        <v>824</v>
      </c>
      <c r="D386">
        <v>51.61</v>
      </c>
      <c r="E386" t="s">
        <v>825</v>
      </c>
      <c r="F386" t="s">
        <v>826</v>
      </c>
      <c r="G386" s="1">
        <v>89.75</v>
      </c>
      <c r="H386">
        <v>1</v>
      </c>
      <c r="I386">
        <v>0</v>
      </c>
      <c r="J386">
        <v>0</v>
      </c>
    </row>
    <row r="387" spans="1:10">
      <c r="A387" s="12" t="s">
        <v>772</v>
      </c>
      <c r="B387" t="s">
        <v>773</v>
      </c>
      <c r="C387" t="s">
        <v>824</v>
      </c>
      <c r="D387">
        <v>75.38</v>
      </c>
      <c r="E387" t="s">
        <v>825</v>
      </c>
      <c r="F387" t="s">
        <v>826</v>
      </c>
      <c r="G387" s="1">
        <v>131.08</v>
      </c>
      <c r="H387">
        <v>1</v>
      </c>
      <c r="I387">
        <v>0</v>
      </c>
      <c r="J387">
        <v>0</v>
      </c>
    </row>
    <row r="388" spans="1:10">
      <c r="A388" s="12" t="s">
        <v>774</v>
      </c>
      <c r="B388" t="s">
        <v>775</v>
      </c>
      <c r="C388" t="s">
        <v>824</v>
      </c>
      <c r="D388">
        <v>89.3</v>
      </c>
      <c r="E388" t="s">
        <v>825</v>
      </c>
      <c r="F388" t="s">
        <v>826</v>
      </c>
      <c r="G388" s="1">
        <v>155.32</v>
      </c>
      <c r="H388">
        <v>1</v>
      </c>
      <c r="I388">
        <v>0</v>
      </c>
      <c r="J388">
        <v>0</v>
      </c>
    </row>
    <row r="389" spans="1:10">
      <c r="A389" s="12" t="s">
        <v>776</v>
      </c>
      <c r="B389" t="s">
        <v>777</v>
      </c>
      <c r="C389" t="s">
        <v>824</v>
      </c>
      <c r="D389">
        <v>121.44</v>
      </c>
      <c r="E389" t="s">
        <v>825</v>
      </c>
      <c r="F389" t="s">
        <v>826</v>
      </c>
      <c r="G389" s="1">
        <v>211.22</v>
      </c>
      <c r="H389">
        <v>1</v>
      </c>
      <c r="I389">
        <v>0</v>
      </c>
      <c r="J389">
        <v>0</v>
      </c>
    </row>
    <row r="390" spans="1:10">
      <c r="A390" s="12" t="s">
        <v>778</v>
      </c>
      <c r="B390" t="s">
        <v>779</v>
      </c>
      <c r="C390" t="s">
        <v>824</v>
      </c>
      <c r="D390">
        <v>139.94</v>
      </c>
      <c r="E390" t="s">
        <v>825</v>
      </c>
      <c r="F390" t="s">
        <v>826</v>
      </c>
      <c r="G390" s="1">
        <v>243.37</v>
      </c>
      <c r="H390">
        <v>1</v>
      </c>
      <c r="I390">
        <v>0</v>
      </c>
      <c r="J390">
        <v>0</v>
      </c>
    </row>
    <row r="391" spans="1:10">
      <c r="A391" s="12" t="s">
        <v>780</v>
      </c>
      <c r="B391" t="s">
        <v>781</v>
      </c>
      <c r="C391" t="s">
        <v>824</v>
      </c>
      <c r="D391">
        <v>156.8</v>
      </c>
      <c r="E391" t="s">
        <v>825</v>
      </c>
      <c r="F391" t="s">
        <v>826</v>
      </c>
      <c r="G391" s="1">
        <v>272.68</v>
      </c>
      <c r="H391">
        <v>1</v>
      </c>
      <c r="I391">
        <v>0</v>
      </c>
      <c r="J391">
        <v>0</v>
      </c>
    </row>
    <row r="392" spans="1:10">
      <c r="A392" s="12" t="s">
        <v>782</v>
      </c>
      <c r="B392" t="s">
        <v>783</v>
      </c>
      <c r="C392" t="s">
        <v>824</v>
      </c>
      <c r="D392">
        <v>186.6</v>
      </c>
      <c r="E392" t="s">
        <v>825</v>
      </c>
      <c r="F392" t="s">
        <v>826</v>
      </c>
      <c r="G392" s="1">
        <v>324.53</v>
      </c>
      <c r="H392">
        <v>1</v>
      </c>
      <c r="I392">
        <v>0</v>
      </c>
      <c r="J392">
        <v>0</v>
      </c>
    </row>
    <row r="393" spans="1:10">
      <c r="A393" s="12" t="s">
        <v>784</v>
      </c>
      <c r="B393" t="s">
        <v>785</v>
      </c>
      <c r="C393" t="s">
        <v>824</v>
      </c>
      <c r="D393">
        <v>60.17</v>
      </c>
      <c r="E393" t="s">
        <v>825</v>
      </c>
      <c r="F393" t="s">
        <v>826</v>
      </c>
      <c r="G393" s="1">
        <v>104.65</v>
      </c>
      <c r="H393">
        <v>1</v>
      </c>
      <c r="I393">
        <v>0</v>
      </c>
      <c r="J393">
        <v>0</v>
      </c>
    </row>
    <row r="394" spans="1:10">
      <c r="A394" s="12" t="s">
        <v>786</v>
      </c>
      <c r="B394" t="s">
        <v>787</v>
      </c>
      <c r="C394" t="s">
        <v>824</v>
      </c>
      <c r="D394">
        <v>160.05</v>
      </c>
      <c r="E394" t="s">
        <v>825</v>
      </c>
      <c r="F394" t="s">
        <v>826</v>
      </c>
      <c r="G394" s="1">
        <v>278.35</v>
      </c>
      <c r="H394">
        <v>1</v>
      </c>
      <c r="I394">
        <v>0</v>
      </c>
      <c r="J394">
        <v>0</v>
      </c>
    </row>
    <row r="395" spans="1:10">
      <c r="A395" s="12" t="s">
        <v>788</v>
      </c>
      <c r="B395" t="s">
        <v>789</v>
      </c>
      <c r="C395" t="s">
        <v>824</v>
      </c>
      <c r="D395">
        <v>162.39</v>
      </c>
      <c r="E395" t="s">
        <v>825</v>
      </c>
      <c r="F395" t="s">
        <v>826</v>
      </c>
      <c r="G395" s="1">
        <v>282.39</v>
      </c>
      <c r="H395">
        <v>1</v>
      </c>
      <c r="I395">
        <v>0</v>
      </c>
      <c r="J395">
        <v>0</v>
      </c>
    </row>
    <row r="396" spans="1:10">
      <c r="A396" s="12" t="s">
        <v>790</v>
      </c>
      <c r="B396" t="s">
        <v>791</v>
      </c>
      <c r="C396" t="s">
        <v>824</v>
      </c>
      <c r="D396">
        <v>170.44</v>
      </c>
      <c r="E396" t="s">
        <v>825</v>
      </c>
      <c r="F396" t="s">
        <v>826</v>
      </c>
      <c r="G396" s="1">
        <v>293.87</v>
      </c>
      <c r="H396">
        <v>1</v>
      </c>
      <c r="I396">
        <v>0</v>
      </c>
      <c r="J396">
        <v>0</v>
      </c>
    </row>
    <row r="397" spans="1:10">
      <c r="A397" s="12" t="s">
        <v>792</v>
      </c>
      <c r="B397" t="s">
        <v>793</v>
      </c>
      <c r="C397" t="s">
        <v>824</v>
      </c>
      <c r="D397">
        <v>197.1</v>
      </c>
      <c r="E397" t="s">
        <v>825</v>
      </c>
      <c r="F397" t="s">
        <v>826</v>
      </c>
      <c r="G397" s="1">
        <v>342.77</v>
      </c>
      <c r="H397">
        <v>1</v>
      </c>
      <c r="I397">
        <v>0</v>
      </c>
      <c r="J397">
        <v>0</v>
      </c>
    </row>
    <row r="398" spans="1:10">
      <c r="A398" s="12" t="s">
        <v>794</v>
      </c>
      <c r="B398" t="s">
        <v>795</v>
      </c>
      <c r="C398" t="s">
        <v>824</v>
      </c>
      <c r="D398">
        <v>205.22</v>
      </c>
      <c r="E398" t="s">
        <v>825</v>
      </c>
      <c r="F398" t="s">
        <v>826</v>
      </c>
      <c r="G398" s="1">
        <v>353.84</v>
      </c>
      <c r="H398">
        <v>1</v>
      </c>
      <c r="I398">
        <v>0</v>
      </c>
      <c r="J398">
        <v>0</v>
      </c>
    </row>
    <row r="399" spans="1:10">
      <c r="A399" s="12" t="s">
        <v>796</v>
      </c>
      <c r="B399" t="s">
        <v>797</v>
      </c>
      <c r="C399" t="s">
        <v>824</v>
      </c>
      <c r="D399">
        <v>696.73</v>
      </c>
      <c r="E399" t="s">
        <v>825</v>
      </c>
      <c r="F399" t="s">
        <v>826</v>
      </c>
      <c r="G399" s="1">
        <v>1211.7</v>
      </c>
      <c r="H399">
        <v>1</v>
      </c>
      <c r="I399">
        <v>0</v>
      </c>
      <c r="J399">
        <v>0</v>
      </c>
    </row>
    <row r="400" spans="1:10">
      <c r="A400" s="12" t="s">
        <v>798</v>
      </c>
      <c r="B400" t="s">
        <v>799</v>
      </c>
      <c r="C400" t="s">
        <v>824</v>
      </c>
      <c r="D400">
        <v>1051.21</v>
      </c>
      <c r="E400" t="s">
        <v>825</v>
      </c>
      <c r="F400" t="s">
        <v>826</v>
      </c>
      <c r="G400" s="1">
        <v>1828.19</v>
      </c>
      <c r="H400">
        <v>1</v>
      </c>
      <c r="I400">
        <v>0</v>
      </c>
      <c r="J400">
        <v>0</v>
      </c>
    </row>
    <row r="401" spans="1:10">
      <c r="A401" s="12" t="s">
        <v>800</v>
      </c>
      <c r="B401" t="s">
        <v>801</v>
      </c>
      <c r="C401" t="s">
        <v>824</v>
      </c>
      <c r="D401">
        <v>1219.99</v>
      </c>
      <c r="E401" t="s">
        <v>825</v>
      </c>
      <c r="F401" t="s">
        <v>826</v>
      </c>
      <c r="G401" s="1">
        <v>2121.72</v>
      </c>
      <c r="H401">
        <v>1</v>
      </c>
      <c r="I401">
        <v>0</v>
      </c>
      <c r="J401">
        <v>0</v>
      </c>
    </row>
    <row r="402" spans="1:10">
      <c r="A402" s="12" t="s">
        <v>802</v>
      </c>
      <c r="B402" t="s">
        <v>803</v>
      </c>
      <c r="C402" t="s">
        <v>824</v>
      </c>
      <c r="D402">
        <v>1767.75</v>
      </c>
      <c r="E402" t="s">
        <v>825</v>
      </c>
      <c r="F402" t="s">
        <v>826</v>
      </c>
      <c r="G402" s="1">
        <v>3074.35</v>
      </c>
      <c r="H402">
        <v>1</v>
      </c>
      <c r="I402">
        <v>0</v>
      </c>
      <c r="J402">
        <v>0</v>
      </c>
    </row>
    <row r="403" spans="1:10">
      <c r="A403" s="12" t="s">
        <v>804</v>
      </c>
      <c r="B403" t="s">
        <v>805</v>
      </c>
      <c r="C403" t="s">
        <v>824</v>
      </c>
      <c r="D403">
        <v>1830.22</v>
      </c>
      <c r="E403" t="s">
        <v>825</v>
      </c>
      <c r="F403" t="s">
        <v>826</v>
      </c>
      <c r="G403" s="1">
        <v>3182.99</v>
      </c>
      <c r="H403">
        <v>1</v>
      </c>
      <c r="I403">
        <v>0</v>
      </c>
      <c r="J403">
        <v>0</v>
      </c>
    </row>
    <row r="404" spans="1:10">
      <c r="A404" s="12" t="s">
        <v>806</v>
      </c>
      <c r="B404" t="s">
        <v>807</v>
      </c>
      <c r="C404" t="s">
        <v>824</v>
      </c>
      <c r="D404">
        <v>2229.36</v>
      </c>
      <c r="E404" t="s">
        <v>825</v>
      </c>
      <c r="F404" t="s">
        <v>826</v>
      </c>
      <c r="G404" s="1">
        <v>3877.13</v>
      </c>
      <c r="H404">
        <v>1</v>
      </c>
      <c r="I404">
        <v>0</v>
      </c>
      <c r="J404">
        <v>0</v>
      </c>
    </row>
    <row r="405" spans="1:10">
      <c r="A405" s="12" t="s">
        <v>808</v>
      </c>
      <c r="B405" t="s">
        <v>809</v>
      </c>
      <c r="C405" t="s">
        <v>824</v>
      </c>
      <c r="D405">
        <v>2725.3</v>
      </c>
      <c r="E405" t="s">
        <v>825</v>
      </c>
      <c r="F405" t="s">
        <v>826</v>
      </c>
      <c r="G405" s="1">
        <v>4698.79</v>
      </c>
      <c r="H405">
        <v>1</v>
      </c>
      <c r="I405">
        <v>0</v>
      </c>
      <c r="J405">
        <v>0</v>
      </c>
    </row>
    <row r="406" spans="1:10">
      <c r="A406" s="12" t="s">
        <v>810</v>
      </c>
      <c r="B406" t="s">
        <v>811</v>
      </c>
      <c r="C406" t="s">
        <v>824</v>
      </c>
      <c r="D406">
        <v>750.92</v>
      </c>
      <c r="E406" t="s">
        <v>825</v>
      </c>
      <c r="F406" t="s">
        <v>826</v>
      </c>
      <c r="G406" s="1">
        <v>1305.96</v>
      </c>
      <c r="H406">
        <v>1</v>
      </c>
      <c r="I406">
        <v>0</v>
      </c>
      <c r="J406">
        <v>0</v>
      </c>
    </row>
    <row r="407" spans="1:10">
      <c r="A407" s="12" t="s">
        <v>812</v>
      </c>
      <c r="B407" t="s">
        <v>813</v>
      </c>
      <c r="C407" t="s">
        <v>824</v>
      </c>
      <c r="D407">
        <v>1347.32</v>
      </c>
      <c r="E407" t="s">
        <v>825</v>
      </c>
      <c r="F407" t="s">
        <v>826</v>
      </c>
      <c r="G407" s="1">
        <v>2343.18</v>
      </c>
      <c r="H407">
        <v>1</v>
      </c>
      <c r="I407">
        <v>0</v>
      </c>
      <c r="J407">
        <v>0</v>
      </c>
    </row>
  </sheetData>
  <autoFilter xmlns:etc="http://www.wps.cn/officeDocument/2017/etCustomData" ref="A3:J407" etc:filterBottomFollowUsedRange="0">
    <extLst/>
  </autoFilter>
  <pageMargins left="0.7" right="0.7" top="0.75" bottom="0.75" header="0.3" footer="0.3"/>
  <pageSetup paperSize="9" orientation="portrait"/>
  <headerFooter>
    <oddFooter>&amp;C
&amp;1#&amp;"Calibri"&amp;10&amp;K0000FF This data is internal to Brunswick.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D6A9393-7E79-4DD0-A554-B4BEF026AA6A}">
  <ds:schemaRefs/>
</ds:datastoreItem>
</file>

<file path=customXml/itemProps2.xml><?xml version="1.0" encoding="utf-8"?>
<ds:datastoreItem xmlns:ds="http://schemas.openxmlformats.org/officeDocument/2006/customXml" ds:itemID="{1FB8C724-45C7-4248-9B22-B5A985AFF7D1}">
  <ds:schemaRefs/>
</ds:datastoreItem>
</file>

<file path=customXml/itemProps3.xml><?xml version="1.0" encoding="utf-8"?>
<ds:datastoreItem xmlns:ds="http://schemas.openxmlformats.org/officeDocument/2006/customXml" ds:itemID="{7D93C15D-A7B3-4E9B-A8B4-A98F99C143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MASTERVOLT USD Ver 5.5 March25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Christison</dc:creator>
  <cp:lastModifiedBy>WPS_1735901862</cp:lastModifiedBy>
  <dcterms:created xsi:type="dcterms:W3CDTF">2025-02-17T19:01:00Z</dcterms:created>
  <dcterms:modified xsi:type="dcterms:W3CDTF">2025-09-29T02:39:50Z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2025-02-17T19:02:36Z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a6b74e46-bbc4-4fbe-a5dc-e583215e1dd6</vt:lpwstr>
  </property>
  <property fmtid="{D5CDD505-2E9C-101B-9397-08002B2CF9AE}" pid="8" name="MSIP_Label_b0f8046d-f487-4fe0-b483-792de298965a_ContentBits">
    <vt:lpwstr>2</vt:lpwstr>
  </property>
  <property fmtid="{D5CDD505-2E9C-101B-9397-08002B2CF9AE}" pid="9" name="ContentTypeId">
    <vt:lpwstr>0x010100C6DA0DB84BE8924BAB8742985DF004B2</vt:lpwstr>
  </property>
  <property fmtid="{D5CDD505-2E9C-101B-9397-08002B2CF9AE}" pid="10" name="ICV">
    <vt:lpwstr>1EAB6C921A194FB5BB2CD1F5B1BC37D9_12</vt:lpwstr>
  </property>
  <property fmtid="{D5CDD505-2E9C-101B-9397-08002B2CF9AE}" pid="11" name="KSOProductBuildVer">
    <vt:lpwstr>2052-12.1.0.22529</vt:lpwstr>
  </property>
</Properties>
</file>