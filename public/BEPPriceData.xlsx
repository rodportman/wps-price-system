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8" r:id="rId1"/>
    <sheet name="BEP USD Ver 5.5 - March 2025" sheetId="7" r:id="rId2"/>
  </sheets>
  <definedNames>
    <definedName name="_xlnm._FilterDatabase" localSheetId="1" hidden="1">'BEP USD Ver 5.5 - March 2025'!$A$3:$L$1314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只是取名为rrp，实际为成本价Price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实际为RRP，由于代码代码冲</t>
        </r>
      </text>
    </comment>
  </commentList>
</comments>
</file>

<file path=xl/comments2.xml><?xml version="1.0" encoding="utf-8"?>
<comments xmlns="http://schemas.openxmlformats.org/spreadsheetml/2006/main">
  <authors>
    <author>tc={F64DAD67-8A82-43FB-AE35-9D03AEA28BE8}</author>
    <author>tc={1BBF1481-CBC0-4486-8DA5-7E25AB6DD356}</author>
  </authors>
  <commentList>
    <comment ref="I3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BEP Forced Multiples</t>
        </r>
      </text>
    </comment>
    <comment ref="J3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</commentList>
</comments>
</file>

<file path=xl/sharedStrings.xml><?xml version="1.0" encoding="utf-8"?>
<sst xmlns="http://schemas.openxmlformats.org/spreadsheetml/2006/main" count="16457" uniqueCount="2651">
  <si>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</si>
  <si>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</si>
  <si>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</si>
  <si>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</si>
  <si>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</si>
  <si>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</si>
  <si>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</si>
  <si>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RRP113</t>
  </si>
  <si>
    <t>Wholesaler</t>
  </si>
  <si>
    <t>Distributor</t>
  </si>
  <si>
    <t>OEM</t>
  </si>
  <si>
    <t>Dealer</t>
  </si>
  <si>
    <t>Retail</t>
  </si>
  <si>
    <t>BEP</t>
  </si>
  <si>
    <t>01500322H</t>
  </si>
  <si>
    <t>IN-LINE GLASS FUSE HOLDER 500VAC125VDC 15A POWR-GARD</t>
  </si>
  <si>
    <t>01A</t>
  </si>
  <si>
    <t>FUSE GLASS 1A 1 1/4 X 1/4</t>
  </si>
  <si>
    <t>02A</t>
  </si>
  <si>
    <t>FUSE GLASS 2AMP 1 1/4 X 1/4</t>
  </si>
  <si>
    <t>0462-201-16141</t>
  </si>
  <si>
    <t>DEUTSCH SOCKET CONTACT #16AWG SIZE 16 (0.5 -1.0mm)</t>
  </si>
  <si>
    <t>06MM</t>
  </si>
  <si>
    <t>TUBING PVC 6MM DIA PER METRE</t>
  </si>
  <si>
    <t>1000-6W</t>
  </si>
  <si>
    <t>PAN 1000 6W SW &amp; FUSE GREY MC6</t>
  </si>
  <si>
    <t>1000-6W/BULK</t>
  </si>
  <si>
    <t>PAN 1000 6W SW &amp; FUSE GREY BULK MC10</t>
  </si>
  <si>
    <t>1000-6W-24V</t>
  </si>
  <si>
    <t>PAN 1000 6W SW &amp; FUSE GREY 24V MC6</t>
  </si>
  <si>
    <t>1000-ACSM</t>
  </si>
  <si>
    <t>PAN 1000 SERIES AC DIG MONITOR</t>
  </si>
  <si>
    <t>1000-AFR</t>
  </si>
  <si>
    <t>FRAME 1000 SERIES ANALOGUE</t>
  </si>
  <si>
    <t>1000-AM10</t>
  </si>
  <si>
    <t>PAN 1000 SERIES AMMETER 0-10AMP INTSHUNT</t>
  </si>
  <si>
    <t>1000-AM20</t>
  </si>
  <si>
    <t>PAN 1000 SERIES AMMETER  0-20A INT SHUNT</t>
  </si>
  <si>
    <t>1000-AM50</t>
  </si>
  <si>
    <t>PAN 1000 SERIES AMMETER  0-50A EXT SHUNT</t>
  </si>
  <si>
    <t>1000-DCSM</t>
  </si>
  <si>
    <t>PAN 1000 SERIES DC DIG MONITOR</t>
  </si>
  <si>
    <t>1000-DFR</t>
  </si>
  <si>
    <t>FRAME 1000 SERIES DIGITAL</t>
  </si>
  <si>
    <t>1000-VM/BULK</t>
  </si>
  <si>
    <t>PAN 1000 SERIES VOLTMETER 8-16 BULK MC6</t>
  </si>
  <si>
    <t>1000-VM-12V</t>
  </si>
  <si>
    <t>PAN 1000 SERIES VOLTMETER 8-16V 12V MC4</t>
  </si>
  <si>
    <t>1000-VM-24V</t>
  </si>
  <si>
    <t>PAN 1000 SERIES VOLTMETER 16-32V 24V MC4</t>
  </si>
  <si>
    <t>1001001</t>
  </si>
  <si>
    <t>Battery Switch, Lever Operated - On/Off</t>
  </si>
  <si>
    <t>1001002</t>
  </si>
  <si>
    <t>Battery Switch, Master Disconnect - On/Off</t>
  </si>
  <si>
    <t>1001101</t>
  </si>
  <si>
    <t>12V LED Pilot Indicator Light - Amber</t>
  </si>
  <si>
    <t>1001102</t>
  </si>
  <si>
    <t>12V LED Pilot Indicator Light - Blue</t>
  </si>
  <si>
    <t>1001103</t>
  </si>
  <si>
    <t>12V LED Pilot Indicator Light - Green</t>
  </si>
  <si>
    <t>1001104</t>
  </si>
  <si>
    <t>12V LED Pilot Indicator Light - Red</t>
  </si>
  <si>
    <t>1001301</t>
  </si>
  <si>
    <t>SPDT Push-Pull Switch, 3 Position  - Off/On 1/On 1 and 2</t>
  </si>
  <si>
    <t>1001302</t>
  </si>
  <si>
    <t>SPST Push-Pull Switch, 2 Position - Off/On</t>
  </si>
  <si>
    <t>1001303</t>
  </si>
  <si>
    <t>SPST Push-Pull Switch, 2 Position - Off/On (Two Circuit)</t>
  </si>
  <si>
    <t>1001304</t>
  </si>
  <si>
    <t>SPST Push-Pull Switch, 3 Position - Off/On 1/On 2</t>
  </si>
  <si>
    <t>1001305</t>
  </si>
  <si>
    <t>SPDT Push-Pull Switch, 3 Position - Off/On 1 and 2/On 1 and 3</t>
  </si>
  <si>
    <t>1001306</t>
  </si>
  <si>
    <t>SPST PVC Coated Push-Pull Switch With Wire Leads, 2 Position - Off/On</t>
  </si>
  <si>
    <t>1001307</t>
  </si>
  <si>
    <t>1001308</t>
  </si>
  <si>
    <t>SPST Pull-Type Momentary Switch - Off/(On)</t>
  </si>
  <si>
    <t>1001401</t>
  </si>
  <si>
    <t>SPST Momentary Contact Switch, Red - Off/(On)</t>
  </si>
  <si>
    <t>1001402</t>
  </si>
  <si>
    <t>SPST Momentary Contact Switch, Black - Off/(On)</t>
  </si>
  <si>
    <t>1001501</t>
  </si>
  <si>
    <t>Black Snap On Rubber Push Button Cover</t>
  </si>
  <si>
    <t>1001502</t>
  </si>
  <si>
    <t>Black Screw on Rubber Push Button Cover</t>
  </si>
  <si>
    <t>1001503</t>
  </si>
  <si>
    <t>SPST Moisture Sealed Push Button Switch With Wire Leads, 2 Position - Off/(On)</t>
  </si>
  <si>
    <t>1001504</t>
  </si>
  <si>
    <t>SPST Heavy-Duty Push Button Switch, 2 Position - Off/(On)</t>
  </si>
  <si>
    <t>1001505</t>
  </si>
  <si>
    <t>SPST Push Button Switch, 2 Position - Off/(On)</t>
  </si>
  <si>
    <t>1001506</t>
  </si>
  <si>
    <t>SPST PVC Coated Push Button Switch, 2 Position - Off/(On)</t>
  </si>
  <si>
    <t>1001507</t>
  </si>
  <si>
    <t>1001508</t>
  </si>
  <si>
    <t>1001509</t>
  </si>
  <si>
    <t>Red Screw On Rubber Push Button Cover</t>
  </si>
  <si>
    <t>1001601</t>
  </si>
  <si>
    <t>Kill Switch With Lanyard</t>
  </si>
  <si>
    <t>1001602</t>
  </si>
  <si>
    <t>Kill Switch Lanyard</t>
  </si>
  <si>
    <t>1001603</t>
  </si>
  <si>
    <t>Sealed Ignition Switch, 4 Position - Accessory/Off/Ignition and Accessory/Start</t>
  </si>
  <si>
    <t>1001604</t>
  </si>
  <si>
    <t>Sealed Ignition Switch, 3 Position - Off/Ignition and Accessory/Ignition and Start</t>
  </si>
  <si>
    <t>1001605</t>
  </si>
  <si>
    <t>Ignition Switch, 2 Position - Off/On</t>
  </si>
  <si>
    <t>1001606</t>
  </si>
  <si>
    <t>Ignition Switch, 3 Position - Off/Ignition/Start</t>
  </si>
  <si>
    <t>1001607</t>
  </si>
  <si>
    <t>Ignition Switch, 3 Position - Off/Ignition and Accessory/Start</t>
  </si>
  <si>
    <t>1001609</t>
  </si>
  <si>
    <t>Ignition Switch, 4 Position  - Accessory/Off/Ignition and Accessory/Start</t>
  </si>
  <si>
    <t>1001610</t>
  </si>
  <si>
    <t>1001701</t>
  </si>
  <si>
    <t>Triple Switch Bracket</t>
  </si>
  <si>
    <t>1001702</t>
  </si>
  <si>
    <t>Double Switch Bracket</t>
  </si>
  <si>
    <t>1001703</t>
  </si>
  <si>
    <t>Single Switch Bracket - End (L or R)</t>
  </si>
  <si>
    <t>1001704</t>
  </si>
  <si>
    <t>SPST Rocker Switch, 2 Position - Off/On</t>
  </si>
  <si>
    <t>1001705</t>
  </si>
  <si>
    <t>SPST Rocker Switch - Off/On, Illuminated</t>
  </si>
  <si>
    <t>1001706</t>
  </si>
  <si>
    <t>SPDT Rocker Switch - On/On, Curved</t>
  </si>
  <si>
    <t>1001707</t>
  </si>
  <si>
    <t>SPST Rocker Switch - Off/On</t>
  </si>
  <si>
    <t>1001708</t>
  </si>
  <si>
    <t>SPST Rocker Switch - Off/On, One LED</t>
  </si>
  <si>
    <t>1001709</t>
  </si>
  <si>
    <t>SPST Rocker Switch - Off/(On)</t>
  </si>
  <si>
    <t>1001710</t>
  </si>
  <si>
    <t>SPDT Rocker Switch - On/Off/On</t>
  </si>
  <si>
    <t>1001711</t>
  </si>
  <si>
    <t>SPDT Rocker Switch - (On)/Off/(On)</t>
  </si>
  <si>
    <t>1001712</t>
  </si>
  <si>
    <t>DPDT Rocker Switch - On/Off/On</t>
  </si>
  <si>
    <t>1001713</t>
  </si>
  <si>
    <t>DPDT Rocker Switch - (On)/Off/(On)</t>
  </si>
  <si>
    <t>1001714</t>
  </si>
  <si>
    <t>1001715</t>
  </si>
  <si>
    <t>SPDT Rocker Switch - On/Off/On, Two LEDs</t>
  </si>
  <si>
    <t>1001716</t>
  </si>
  <si>
    <t>SPST Rocker Switch - Off/On, Interchangeable Lens</t>
  </si>
  <si>
    <t>1001717</t>
  </si>
  <si>
    <t>Single Switch Bracket</t>
  </si>
  <si>
    <t>1001718</t>
  </si>
  <si>
    <t>Switch Bracket Plug</t>
  </si>
  <si>
    <t>1001801</t>
  </si>
  <si>
    <t>SPST Contura Switch - Off/On, One LED</t>
  </si>
  <si>
    <t>1001802</t>
  </si>
  <si>
    <t>SPST Contura Switch - Off/(On)</t>
  </si>
  <si>
    <t>1001803</t>
  </si>
  <si>
    <t>SPDT Contura Switch - On/Off/On, Two LEDs</t>
  </si>
  <si>
    <t>1001804</t>
  </si>
  <si>
    <t>SPDT Contura Switch - (On)/Off/(On)</t>
  </si>
  <si>
    <t>1001805</t>
  </si>
  <si>
    <t>SPDT Contura Switch - On/Off/(On), One LED</t>
  </si>
  <si>
    <t>1001806</t>
  </si>
  <si>
    <t>SPDT Contura Dimmer Switch - (On)/Off/(On), Bright/Off/Dim</t>
  </si>
  <si>
    <t>1001807</t>
  </si>
  <si>
    <t>DPDT Contura Switch - On/Off/(On), One LED</t>
  </si>
  <si>
    <t>1001808</t>
  </si>
  <si>
    <t>DPDT Contura Switch - On/Off/On, Two LEDs</t>
  </si>
  <si>
    <t>1001809</t>
  </si>
  <si>
    <t>DPDT Contura Switch - (On)/Off/(On)</t>
  </si>
  <si>
    <t>1001810</t>
  </si>
  <si>
    <t>DPST Contura Switch - Off/(On)</t>
  </si>
  <si>
    <t>1001811</t>
  </si>
  <si>
    <t>DPST Contura Switch - Off/On, One LED</t>
  </si>
  <si>
    <t>1001812</t>
  </si>
  <si>
    <t>DPDT Contura Switch - On/On, Two LEDs</t>
  </si>
  <si>
    <t>1001901</t>
  </si>
  <si>
    <t>SPST Toggle Switch - Off/On</t>
  </si>
  <si>
    <t>1001902</t>
  </si>
  <si>
    <t>1001903</t>
  </si>
  <si>
    <t>SPDT Toggle Switch - On/Off/On</t>
  </si>
  <si>
    <t>1001904</t>
  </si>
  <si>
    <t>SPDT Toggle Switch - (On)/Off/(On)</t>
  </si>
  <si>
    <t>1001905</t>
  </si>
  <si>
    <t>DPDT Toggle Switch - On/Off/On</t>
  </si>
  <si>
    <t>1001906</t>
  </si>
  <si>
    <t>SPST Lighted Toggle Switch - Off/On</t>
  </si>
  <si>
    <t>1001907</t>
  </si>
  <si>
    <t>SPDT Lighted Toggle Switch - On/Off/On</t>
  </si>
  <si>
    <t>1001908</t>
  </si>
  <si>
    <t>1002001</t>
  </si>
  <si>
    <t>SPDT Chrome Plated Toggle Switch - On/Off/On</t>
  </si>
  <si>
    <t>1002002</t>
  </si>
  <si>
    <t>SPST Chrome Plated Toggle Switch -Off/(On)</t>
  </si>
  <si>
    <t>1002003</t>
  </si>
  <si>
    <t>SPST PVC Coated Toggle Switch With Wire Leads - Off/(On)</t>
  </si>
  <si>
    <t>1002004</t>
  </si>
  <si>
    <t>SPDT Chrome Plated Toggle Switch -(On)/Off/(On)</t>
  </si>
  <si>
    <t>1002005</t>
  </si>
  <si>
    <t>SPDT PVC Coated Toggle Switch With Wire Leads -(On)/Off/(On)</t>
  </si>
  <si>
    <t>1002006</t>
  </si>
  <si>
    <t>SPST Sealed Toggle Switch With Wire Leads - Off/(On)</t>
  </si>
  <si>
    <t>1002007</t>
  </si>
  <si>
    <t>SPDT Sealed Toggle Switch - On/Off/On</t>
  </si>
  <si>
    <t>1002008</t>
  </si>
  <si>
    <t>SPDT Sealed Toggle Switch - On/On</t>
  </si>
  <si>
    <t>1002009</t>
  </si>
  <si>
    <t>SPDT Sealed Toggle Switch - (On)/Off/(On)</t>
  </si>
  <si>
    <t>1002010</t>
  </si>
  <si>
    <t>SPST Sealed Toggle Switch With Wire Leads - Off/On</t>
  </si>
  <si>
    <t>1002011</t>
  </si>
  <si>
    <t>SPDT PVC Coated Toggle Switch With Wire Leads - On/Off/On</t>
  </si>
  <si>
    <t>1002012</t>
  </si>
  <si>
    <t>DPDT Chrome Plated Toggle Switch - (On)/Off/(On)</t>
  </si>
  <si>
    <t>1002013</t>
  </si>
  <si>
    <t>SPST Chrome Plated Toggle Switch - Off/On</t>
  </si>
  <si>
    <t>1002014</t>
  </si>
  <si>
    <t>DPDT Chrome Plated Toggle Switch - On/Off/(On)</t>
  </si>
  <si>
    <t>1002015</t>
  </si>
  <si>
    <t>SPDT Chrome Plated Toggle Switch - On/Off/(On)</t>
  </si>
  <si>
    <t>1002016</t>
  </si>
  <si>
    <t>SPST PVC Coated Toggle Switch With Wire Leads - Off/On</t>
  </si>
  <si>
    <t>1002017</t>
  </si>
  <si>
    <t>DPST Chrome Plated Toggle Switch - Off/On</t>
  </si>
  <si>
    <t>1002018</t>
  </si>
  <si>
    <t>DPDT Chrome Plated Toggle Switch - On/Off/On</t>
  </si>
  <si>
    <t>1002019</t>
  </si>
  <si>
    <t>Toggle Switch Tipless Boot</t>
  </si>
  <si>
    <t>1002020</t>
  </si>
  <si>
    <t>Toggle Switch Full Boot</t>
  </si>
  <si>
    <t>1002021</t>
  </si>
  <si>
    <t>1002022</t>
  </si>
  <si>
    <t>SPST Chrome Plated 3/8" Ball Toggle Switch - Off/On</t>
  </si>
  <si>
    <t>1002023</t>
  </si>
  <si>
    <t>SPST Chrome Plated Toggle Switch With Wire Leads - Off/On</t>
  </si>
  <si>
    <t>1002024</t>
  </si>
  <si>
    <t>SPST Heavy-Duty Toggle Switch, On/Off</t>
  </si>
  <si>
    <t>1002025</t>
  </si>
  <si>
    <t>SPST Heavy-Duty Toggle Switch, Off/On</t>
  </si>
  <si>
    <t>1002027</t>
  </si>
  <si>
    <t>SPDT Chrome Plated Toggle Switch - On/Off/On Screw Term.</t>
  </si>
  <si>
    <t>1002101</t>
  </si>
  <si>
    <t>Electronic Dimmer Switch - 4A @ 12V DC</t>
  </si>
  <si>
    <t>1002102</t>
  </si>
  <si>
    <t>Electronic Dimmer Switch - 7A @ 12V DC</t>
  </si>
  <si>
    <t>1002201</t>
  </si>
  <si>
    <t>75A Motor Reversing Solenoid</t>
  </si>
  <si>
    <t>1002202</t>
  </si>
  <si>
    <t>85A Ultra-Reliable Electronic Solenoid</t>
  </si>
  <si>
    <t>1002203</t>
  </si>
  <si>
    <t>65A Continuous Duty Solenoid</t>
  </si>
  <si>
    <t>1002204</t>
  </si>
  <si>
    <t>85A Continuous Duty Solenoid</t>
  </si>
  <si>
    <t>1002205</t>
  </si>
  <si>
    <t>1002206</t>
  </si>
  <si>
    <t>100A Intermittent Duty Solenoid</t>
  </si>
  <si>
    <t>1002301</t>
  </si>
  <si>
    <t>12V Dual Warning Light and Buzzer</t>
  </si>
  <si>
    <t>100A-50MV</t>
  </si>
  <si>
    <t>SHUNT AMMETER 100AMP 50MV SCALE</t>
  </si>
  <si>
    <t>10A</t>
  </si>
  <si>
    <t>FUSE GLASS 10AMP 1-1/4 X 1/4</t>
  </si>
  <si>
    <t>10MMHSB</t>
  </si>
  <si>
    <t>H/SHRINK 10MM BLK PER 1200mm</t>
  </si>
  <si>
    <t>10MMHSR</t>
  </si>
  <si>
    <t>H/SHRINK 10MM RED PER 1200mm</t>
  </si>
  <si>
    <t>10MMHSW</t>
  </si>
  <si>
    <t>H/SHRINK 10MM WHT PER 1200mm</t>
  </si>
  <si>
    <t>1100-BK</t>
  </si>
  <si>
    <t>SGL INT LT SW 1XO/F or ON/ON BLK MC15</t>
  </si>
  <si>
    <t>1100-BK-TS</t>
  </si>
  <si>
    <t>SGL INT LT SW ON/OFF BLK MC10</t>
  </si>
  <si>
    <t>1101-BK</t>
  </si>
  <si>
    <t>DBL INT LT SW 2XO/F or O/O BLK MC15</t>
  </si>
  <si>
    <t>1101-BK-TS</t>
  </si>
  <si>
    <t>DBL INT LT SW ON/OFF BLK MC10</t>
  </si>
  <si>
    <t>121-710-1101/1</t>
  </si>
  <si>
    <t>CB TOGGLE LOCK BLACK</t>
  </si>
  <si>
    <t>12MMHSB</t>
  </si>
  <si>
    <t>H/SHRINK 12MM BLK PER 1200mm</t>
  </si>
  <si>
    <t>12MMHSR</t>
  </si>
  <si>
    <t>H/SHRINK 12MM RED PER 1200mm</t>
  </si>
  <si>
    <t>12MMHSW</t>
  </si>
  <si>
    <t>H/SHRINK 12MM WHT PER 1200mm</t>
  </si>
  <si>
    <t>150A-50MV</t>
  </si>
  <si>
    <t>SHUNT AMMETER 150AMP 50MV SCALE</t>
  </si>
  <si>
    <t>184040F-01-1</t>
  </si>
  <si>
    <t>HD CB 40A MAN RESET SURFACE MNT</t>
  </si>
  <si>
    <t>184050P-01-1</t>
  </si>
  <si>
    <t>HD CB 50A MAN RESET PAN MNT</t>
  </si>
  <si>
    <t>184080P-01-1</t>
  </si>
  <si>
    <t>HD CB 80A MAN RESET PAN MNT</t>
  </si>
  <si>
    <t>184100F-01-1</t>
  </si>
  <si>
    <t>HD CB 100A MAN RESET SURFACE MNT</t>
  </si>
  <si>
    <t>184100P-01-1</t>
  </si>
  <si>
    <t>HD CB 100A MAN RESET PAN MNT</t>
  </si>
  <si>
    <t>184150F-01-1</t>
  </si>
  <si>
    <t>HD CB 150A MAN RESET SURFACE MNT</t>
  </si>
  <si>
    <t>184150P-01-1</t>
  </si>
  <si>
    <t>HD CB 150A MAN RESET PAN MNT</t>
  </si>
  <si>
    <t>184COVER</t>
  </si>
  <si>
    <t>HD CB MOUNTING COVER</t>
  </si>
  <si>
    <t>185030F/DSP</t>
  </si>
  <si>
    <t>HD CB 30A SW RESET S/MNT DSP MC10</t>
  </si>
  <si>
    <t>185030F-01-1</t>
  </si>
  <si>
    <t>HD CB 30A SW RESET SURFACE MNT</t>
  </si>
  <si>
    <t>185030P/DSP</t>
  </si>
  <si>
    <t>HD CB 30A SW RESET PAN/MNT DSP MC10</t>
  </si>
  <si>
    <t>185030P-01-1</t>
  </si>
  <si>
    <t>HD CB 30A SW RESET PAN MNT</t>
  </si>
  <si>
    <t>185040F/DSP</t>
  </si>
  <si>
    <t>HD CB 40A SW RESET S/MNT DSP MC10</t>
  </si>
  <si>
    <t>185040F-01-1</t>
  </si>
  <si>
    <t>HD CB 40A SW RESET SURFACE MNT</t>
  </si>
  <si>
    <t>185040P/DSP</t>
  </si>
  <si>
    <t>HD CB 40A SW RESET PAN/MNT DSP MC10</t>
  </si>
  <si>
    <t>185040P-01-1</t>
  </si>
  <si>
    <t>HD CB 40A SW RESET PAN MNT</t>
  </si>
  <si>
    <t>185050F/DSP</t>
  </si>
  <si>
    <t>HD CB 50A SW RESET S/MNT DSP MC10</t>
  </si>
  <si>
    <t>185050F-01-1</t>
  </si>
  <si>
    <t>HD CB 50A SW RESET SURFACE MNT</t>
  </si>
  <si>
    <t>185050P/DSP</t>
  </si>
  <si>
    <t>HD CB 50A SW RESET PAN MNT DSP MC10</t>
  </si>
  <si>
    <t>185050P-01-1</t>
  </si>
  <si>
    <t>HD CB 50A SW RESET PAN MNT</t>
  </si>
  <si>
    <t>185060F/DSP</t>
  </si>
  <si>
    <t>HD CB 60A SW RESET S/MNT DSP MC10</t>
  </si>
  <si>
    <t>185060F-01-1</t>
  </si>
  <si>
    <t>HD CB 60A SW RESET SURFACE MNT</t>
  </si>
  <si>
    <t>185060P/DSP</t>
  </si>
  <si>
    <t>HD CB 60A SW RESET PAN MNT DSP MC10</t>
  </si>
  <si>
    <t>185060P-01-1</t>
  </si>
  <si>
    <t>HD CB 60A SW RESET PAN MNT</t>
  </si>
  <si>
    <t>185070F/DSP</t>
  </si>
  <si>
    <t>HD CB 70A SW RESET S/MNT DSP MC10</t>
  </si>
  <si>
    <t>185070F-01-1</t>
  </si>
  <si>
    <t>HD CB 70A SW RESET SURFACE MNT</t>
  </si>
  <si>
    <t>185070P/DSP</t>
  </si>
  <si>
    <t>HD CB 70A SW RESET PAN MNT DSP MC10</t>
  </si>
  <si>
    <t>185070P-01-1</t>
  </si>
  <si>
    <t>HD CB 70A SW RESET PAN MNT</t>
  </si>
  <si>
    <t>185080F/DSP</t>
  </si>
  <si>
    <t>HD CB 80A SW RESET S/MNT DSP MC10</t>
  </si>
  <si>
    <t>185080F-01-1</t>
  </si>
  <si>
    <t>HD CB 80A SW RESET SURFACE MNT</t>
  </si>
  <si>
    <t>185080P/DSP</t>
  </si>
  <si>
    <t>HD CB 80A SW RESET PAN MNT DSP MC10</t>
  </si>
  <si>
    <t>185080P-01-1</t>
  </si>
  <si>
    <t>HD CB 80A SW RESET PAN MNT</t>
  </si>
  <si>
    <t>185090P-01-1</t>
  </si>
  <si>
    <t>HD CB 90A SW RESET PAN MNT</t>
  </si>
  <si>
    <t>185100F/DSP</t>
  </si>
  <si>
    <t>HD CB 100A SW RESET S/MNT DSP MC10</t>
  </si>
  <si>
    <t>185100F-01-1</t>
  </si>
  <si>
    <t>HD CB 100A SW RESET SURFACE MNT</t>
  </si>
  <si>
    <t>185100P/DSP</t>
  </si>
  <si>
    <t>HD CB 100A SW RESET PAN MNT DSP MC10</t>
  </si>
  <si>
    <t>185100P-01-1</t>
  </si>
  <si>
    <t>HD CB 100A SW RESET PAN MNT</t>
  </si>
  <si>
    <t>185120F-01-1</t>
  </si>
  <si>
    <t>HD CB 120A SW RESET SURFACE MNT</t>
  </si>
  <si>
    <t>185120P/DSP</t>
  </si>
  <si>
    <t>HD CB 120A SW RESET PAN/MNT DSP MC10</t>
  </si>
  <si>
    <t>185120P-01-1</t>
  </si>
  <si>
    <t>HD CB 120A SW RESET PAN MNT</t>
  </si>
  <si>
    <t>185135F-01-1</t>
  </si>
  <si>
    <t>HD CB 135A SW RESET SURFACE MNT</t>
  </si>
  <si>
    <t>185135P/DSP</t>
  </si>
  <si>
    <t>HD CB 135A SW RESET PAN MNT DSP MC10</t>
  </si>
  <si>
    <t>185135P-01-1</t>
  </si>
  <si>
    <t>HD CB 135A SW RESET PAN MNT</t>
  </si>
  <si>
    <t>185150F/DSP</t>
  </si>
  <si>
    <t>HD CB 150A SW RESET S/MNT DSP MC10</t>
  </si>
  <si>
    <t>185150F-01-1</t>
  </si>
  <si>
    <t>HD CB 150A SW RESET SURFACE MNT</t>
  </si>
  <si>
    <t>185150P/DSP</t>
  </si>
  <si>
    <t>HD CB 150A SW RESET PAN/MNT DSP MC10</t>
  </si>
  <si>
    <t>185150P-01-1</t>
  </si>
  <si>
    <t>HD CB 150A SW RESET PAN MNT</t>
  </si>
  <si>
    <t>19MMHSB</t>
  </si>
  <si>
    <t>H/SHRINK 19MM BLK PER 1200mm</t>
  </si>
  <si>
    <t>19MMHSR</t>
  </si>
  <si>
    <t>H/SHRINK 19MM RED PER 1200mm</t>
  </si>
  <si>
    <t>206-1</t>
  </si>
  <si>
    <t>CAB NON-TINNED TRAILER FLEX5CORE 1mm MTR</t>
  </si>
  <si>
    <t>207-1</t>
  </si>
  <si>
    <t>CAB TINNED TRAILER FLEX 7CORE 1.13mm MTR</t>
  </si>
  <si>
    <t>24059</t>
  </si>
  <si>
    <t>COLE 12V CONT.RATING SOLENOID</t>
  </si>
  <si>
    <t>24063</t>
  </si>
  <si>
    <t>CONT RATED SOLENOID 24V C&amp;H</t>
  </si>
  <si>
    <t>25MMHSB</t>
  </si>
  <si>
    <t>H/SHRINK 25MM BLK PER 1200mm</t>
  </si>
  <si>
    <t>25MMHSR</t>
  </si>
  <si>
    <t>H/SHRINK 25MM RED PER 1200mm</t>
  </si>
  <si>
    <t>2700</t>
  </si>
  <si>
    <t>BAT SW AUTO EASYFIT 275A CONT MC10</t>
  </si>
  <si>
    <t>2701</t>
  </si>
  <si>
    <t>BAT SW AUTO 275A CONT BLK MC20</t>
  </si>
  <si>
    <t>2702</t>
  </si>
  <si>
    <t>RV DISTRIBUTION STUD BLK</t>
  </si>
  <si>
    <t>2720</t>
  </si>
  <si>
    <t>BAT SW 500A CONT AUTO MC10</t>
  </si>
  <si>
    <t>2721</t>
  </si>
  <si>
    <t>BAT SW AUTO B1 B2 SELECT 300A CONT MC10</t>
  </si>
  <si>
    <t>2ATC-6W</t>
  </si>
  <si>
    <t>RV FH ATC 6W SCREW TERM &amp; COVER MC12</t>
  </si>
  <si>
    <t>32MMHSR</t>
  </si>
  <si>
    <t>H/SHRINK 32MM RED PER 1200mm</t>
  </si>
  <si>
    <t>3CT2MM-1</t>
  </si>
  <si>
    <t>CAB TINNED 3 CORE 2MM DC RATED</t>
  </si>
  <si>
    <t>3CTAC1.5-1</t>
  </si>
  <si>
    <t>CAB TINNED 3CORE 1.5MM FLX ACRATED LOYDS</t>
  </si>
  <si>
    <t>3CTAC2.5-1</t>
  </si>
  <si>
    <t>CAB TINNED 3CORE 2.5MM FLX ACRATED LOYDS</t>
  </si>
  <si>
    <t>3CTAC4MM-1</t>
  </si>
  <si>
    <t>CAB TINNED 3CORE 4MM FLX ACRATED LOYDS</t>
  </si>
  <si>
    <t>3CTAC6MM-1</t>
  </si>
  <si>
    <t>CAB TINNED 3CORE 6MM FLX AC RATED LOYDS</t>
  </si>
  <si>
    <t>3MMHSB</t>
  </si>
  <si>
    <t>H/SHRINK 3MM BLK PER 1200mm</t>
  </si>
  <si>
    <t>3MMHSR</t>
  </si>
  <si>
    <t>H/SHRINK 3MM RED PER 1200mm</t>
  </si>
  <si>
    <t>50A-50MV</t>
  </si>
  <si>
    <t>SHUNT AMMETER 50AMP 50MV SCALE</t>
  </si>
  <si>
    <t>54-27C4</t>
  </si>
  <si>
    <t>BUZZER PIEZO 30MM 5-30VS 85DB</t>
  </si>
  <si>
    <t>54-27C4/DSP</t>
  </si>
  <si>
    <t>BUZZER PIEZO 30MM 5-30V 85DB DSP</t>
  </si>
  <si>
    <t>54-35C2</t>
  </si>
  <si>
    <t>BUZZER PIEZO 42MM 5-30 VS 97DB</t>
  </si>
  <si>
    <t>54-35C2/DSP</t>
  </si>
  <si>
    <t>BUZZER PIEZO 42MM 5-20V 97DB DSP</t>
  </si>
  <si>
    <t>5MMHSB</t>
  </si>
  <si>
    <t>H/SHRINK 5MM BLK PER 1200mm</t>
  </si>
  <si>
    <t>5MMHSR</t>
  </si>
  <si>
    <t>H/SHRINK 5MM RED PER 1200mm</t>
  </si>
  <si>
    <t>5WPSNF</t>
  </si>
  <si>
    <t>900-5WPS NO FUSES - MC14</t>
  </si>
  <si>
    <t>600-ACSMCOMP</t>
  </si>
  <si>
    <t>ACSM MONITOR PANEL MOUNT</t>
  </si>
  <si>
    <t>600-ACSM-KIT</t>
  </si>
  <si>
    <t>CONVERSION KIT FOR ACM TO ACSM INCL MTR</t>
  </si>
  <si>
    <t>600-DCM-10M</t>
  </si>
  <si>
    <t>CABLE FOR DIG METER SHUNT - 10 MTR</t>
  </si>
  <si>
    <t>600-DCM-5M</t>
  </si>
  <si>
    <t>CABLE FOR DIG METER SHUNT - 5 MTR</t>
  </si>
  <si>
    <t>600-DCSMCOMP</t>
  </si>
  <si>
    <t>DCSM MONITOR PANEL MOUNT</t>
  </si>
  <si>
    <t>600-DCSM-KIT</t>
  </si>
  <si>
    <t>CONVERSION KIT FOR DCM TO DCSM INC MTR</t>
  </si>
  <si>
    <t>600-GD</t>
  </si>
  <si>
    <t>CONTOUR MATRIX GAS DETECTOR MC5</t>
  </si>
  <si>
    <t>600-GDL</t>
  </si>
  <si>
    <t>CONTOUR MATRIX GAS DETECTOR &amp; CTL MC5</t>
  </si>
  <si>
    <t>600-GDLCOMP</t>
  </si>
  <si>
    <t>CONTOUR MATRIX GAS DETECTOR COMP ASSY</t>
  </si>
  <si>
    <t>600-GDRV</t>
  </si>
  <si>
    <t>CONTOUR MATRIX GAS DETECTOR W/ BUILT IN</t>
  </si>
  <si>
    <t>600-LPG</t>
  </si>
  <si>
    <t>PAN LPG SHUTOFF CONTROL MC5</t>
  </si>
  <si>
    <t>600-TG</t>
  </si>
  <si>
    <t>WATER TG LED 2 TANKS 1 SENDER MC5</t>
  </si>
  <si>
    <t>600-TGCOMP</t>
  </si>
  <si>
    <t>CONTOUR MATRIX 600-TG-2T TWO TANK ASSY</t>
  </si>
  <si>
    <t>600-TGSK</t>
  </si>
  <si>
    <t>CONTOUR MATRIX TANK GAUGE SENDER KIT MC5</t>
  </si>
  <si>
    <t>600-TLM-SIF</t>
  </si>
  <si>
    <t>TANK SNDR INTERFACE10-180OHM TO 0-5V MC5</t>
  </si>
  <si>
    <t>604501BL2</t>
  </si>
  <si>
    <t>TERM QC FML RECEPT for1.5-3.00MM</t>
  </si>
  <si>
    <t>604502BL2</t>
  </si>
  <si>
    <t>TERM QC FML RECEPT for 0.8-1.50MM</t>
  </si>
  <si>
    <t>605501BL2</t>
  </si>
  <si>
    <t>TERM QC MALE TAB for 1.5-3.00MM2 CAB</t>
  </si>
  <si>
    <t>605502BL2</t>
  </si>
  <si>
    <t>TERM QC MALE TAB for 0.8-1.50MM2</t>
  </si>
  <si>
    <t>6MMHSB</t>
  </si>
  <si>
    <t>H/SHRINK 6MM BLK PER 1200mm</t>
  </si>
  <si>
    <t>6WPNF</t>
  </si>
  <si>
    <t>900-6WP NO FUSES - MC14</t>
  </si>
  <si>
    <t>700</t>
  </si>
  <si>
    <t>BAT SW EASYFIT 275A CONT MC10</t>
  </si>
  <si>
    <t>700B</t>
  </si>
  <si>
    <t>BAT SW EASYFIT 275A CONT BULKMC24</t>
  </si>
  <si>
    <t>700-KEY</t>
  </si>
  <si>
    <t>BAT SW EASYFIT KNOB</t>
  </si>
  <si>
    <t>701</t>
  </si>
  <si>
    <t>BAT SW 275A CONT MC20</t>
  </si>
  <si>
    <t>701B</t>
  </si>
  <si>
    <t>BAT SW 275A CONT BULK MC24</t>
  </si>
  <si>
    <t>701B-HB</t>
  </si>
  <si>
    <t>BAT SW  275A W/ HOUSE LBL BULK MC24</t>
  </si>
  <si>
    <t>701B-PM</t>
  </si>
  <si>
    <t>BAT SW 275A CONT PAN/MNT BULK MC24</t>
  </si>
  <si>
    <t>701-KEY</t>
  </si>
  <si>
    <t>BAT SW KEY MC10</t>
  </si>
  <si>
    <t>701-KEY-EP</t>
  </si>
  <si>
    <t>BAT SW KNB YL EP MC10</t>
  </si>
  <si>
    <t>701-MD</t>
  </si>
  <si>
    <t>BAT SW MD 275A CONT MC6</t>
  </si>
  <si>
    <t>701-MD-D</t>
  </si>
  <si>
    <t>BAT SW MD 275A CONT DTCH MC6</t>
  </si>
  <si>
    <t>701-MDVS</t>
  </si>
  <si>
    <t>BAT SW MDVS 12V 275A CONT MC6</t>
  </si>
  <si>
    <t>701-MDVS-24V</t>
  </si>
  <si>
    <t>BAT SW MDVS 24V 275A CONT MC6</t>
  </si>
  <si>
    <t>701-MDVS-B</t>
  </si>
  <si>
    <t>BAT SW MDVS 275A BULK MC24</t>
  </si>
  <si>
    <t>701-MDVS-D</t>
  </si>
  <si>
    <t>BAT SW MDVS 12V 275A CONT DTCH MC6</t>
  </si>
  <si>
    <t>701-PM</t>
  </si>
  <si>
    <t>BAT SW PM 275A CONT MC20</t>
  </si>
  <si>
    <t>701S</t>
  </si>
  <si>
    <t>BAT SW B1B2 200A MC20</t>
  </si>
  <si>
    <t>701S-B</t>
  </si>
  <si>
    <t>BAT SW B1B2 200A BULK MC24</t>
  </si>
  <si>
    <t>701S-B-PM</t>
  </si>
  <si>
    <t>BAT SW PM B1B2 200A CONT BULK MC24</t>
  </si>
  <si>
    <t>701S-PM</t>
  </si>
  <si>
    <t>BAT SW PM B1B2 200A CONT MC20</t>
  </si>
  <si>
    <t>702</t>
  </si>
  <si>
    <t>DIST STUD SINGLE 1X10mm MC20</t>
  </si>
  <si>
    <t>702-2S</t>
  </si>
  <si>
    <t>DIST STUD DUAL 2X10mm MC8</t>
  </si>
  <si>
    <t>702-2S/L</t>
  </si>
  <si>
    <t>DIST STUD DUAL 2X10MM &amp; LINK MC8</t>
  </si>
  <si>
    <t>702-2SB</t>
  </si>
  <si>
    <t>DIST STUD DUAL 2X10MM BULK MC24</t>
  </si>
  <si>
    <t>702-2SB/L</t>
  </si>
  <si>
    <t>DIST STUD DUAL 2 X 10MM &amp; LINK BULK MC24</t>
  </si>
  <si>
    <t>702-8-10-B</t>
  </si>
  <si>
    <t>DIST STUD DUAL 8mm-10mm BULK MC24</t>
  </si>
  <si>
    <t>702-8-B</t>
  </si>
  <si>
    <t>DIST STUD SINGLE 1X8MM BULK MC24</t>
  </si>
  <si>
    <t>702B</t>
  </si>
  <si>
    <t>DIST STUD 10MM BULK MC24</t>
  </si>
  <si>
    <t>702-MFH</t>
  </si>
  <si>
    <t>FUSE HOLDER MAXI MC10</t>
  </si>
  <si>
    <t>702-MFH-B</t>
  </si>
  <si>
    <t>FUSE HOLDER MAXI BULK MC10</t>
  </si>
  <si>
    <t>702SB</t>
  </si>
  <si>
    <t>DIST STUD SECONDARY BUSS</t>
  </si>
  <si>
    <t>703-300A</t>
  </si>
  <si>
    <t>DIST BUSS 300A 4X10mm STUDS MC10</t>
  </si>
  <si>
    <t>703-300A/B</t>
  </si>
  <si>
    <t>DIST BUSS 300A 4X10mm STUDS BULK MC12</t>
  </si>
  <si>
    <t>703-500A</t>
  </si>
  <si>
    <t>DIST BUSS 500A 3X10mm STUDS MC10</t>
  </si>
  <si>
    <t>703-500A/B</t>
  </si>
  <si>
    <t>DIST BUSS 500A 3X10mm STUDS BULK MC12</t>
  </si>
  <si>
    <t>704-4S/B</t>
  </si>
  <si>
    <t>DIST STUD 4X10mm BULK MC12</t>
  </si>
  <si>
    <t>704-ANL</t>
  </si>
  <si>
    <t>FHOLDER ANL HD MC10</t>
  </si>
  <si>
    <t>704-ANLB</t>
  </si>
  <si>
    <t>FHOLDER ANL HD BULK MC12</t>
  </si>
  <si>
    <t>705-100A</t>
  </si>
  <si>
    <t>CB HD 100AMP BUSSMAN MC4</t>
  </si>
  <si>
    <t>705-100A/B</t>
  </si>
  <si>
    <t>CB HD 100AMP BUSSMAN BULK MC12</t>
  </si>
  <si>
    <t>705-135A</t>
  </si>
  <si>
    <t>CB HD 135AMP BUSSMAN MC4</t>
  </si>
  <si>
    <t>705-135A/B</t>
  </si>
  <si>
    <t>CB HD 135AMP BUSSMAN BULK MC12</t>
  </si>
  <si>
    <t>705-150A</t>
  </si>
  <si>
    <t>CB HD 150AMP BUSSMAN MC4</t>
  </si>
  <si>
    <t>705-150A/B</t>
  </si>
  <si>
    <t>CB HD 150AMP BUSSMAN BULK MC12</t>
  </si>
  <si>
    <t>705-50A</t>
  </si>
  <si>
    <t>CB HD 50AMP BUSSMAN MC4</t>
  </si>
  <si>
    <t>705-50A/B</t>
  </si>
  <si>
    <t>CB HD 50AMP BUSSMAN BULK MC12</t>
  </si>
  <si>
    <t>705-80A</t>
  </si>
  <si>
    <t>CB HD 80AMP BUSSMAN MC4</t>
  </si>
  <si>
    <t>705-80A/B</t>
  </si>
  <si>
    <t>CB HD 80AMP BUSSMAN BULK MC12</t>
  </si>
  <si>
    <t>706-2W</t>
  </si>
  <si>
    <t>ESS CIR MOD 24HR 2 X 10A CB MC20</t>
  </si>
  <si>
    <t>706-2W/B</t>
  </si>
  <si>
    <t>ESS CIR MOD 24HR 2 X 10A CB BULK MC6</t>
  </si>
  <si>
    <t>706-4W</t>
  </si>
  <si>
    <t>ESS CIR MOD 24HR 4W MC4</t>
  </si>
  <si>
    <t>706-4W/B</t>
  </si>
  <si>
    <t>ESS CIR MOD 24HR 4W BULK MC12</t>
  </si>
  <si>
    <t>707</t>
  </si>
  <si>
    <t>CB MOD 2X25A 1X50A MC4</t>
  </si>
  <si>
    <t>708-102</t>
  </si>
  <si>
    <t>LINKBAR 102MM 720 VERT (M12)</t>
  </si>
  <si>
    <t>708-107-V3</t>
  </si>
  <si>
    <t>LINKBAR 107MM CCLINK VERT (M12)</t>
  </si>
  <si>
    <t>708-42.5</t>
  </si>
  <si>
    <t>LINKBAR 42.5MM CNTR 1MLDG CCLINK (M10)</t>
  </si>
  <si>
    <t>708-54.5</t>
  </si>
  <si>
    <t>LINKBAR 54.5MM CNTR 2MLDG CCLINK H (M10)</t>
  </si>
  <si>
    <t>708-62.0</t>
  </si>
  <si>
    <t>LINKBAR 62MM 720 HORIZ (M12)</t>
  </si>
  <si>
    <t>708-64.5</t>
  </si>
  <si>
    <t>LINKBAR 64.5MM C TO C M10</t>
  </si>
  <si>
    <t>708-68.5</t>
  </si>
  <si>
    <t>LINKBAR 68.5MM 701 VERT (M10)</t>
  </si>
  <si>
    <t>708-70.0</t>
  </si>
  <si>
    <t>LINKBAR 70MM CNTR 2MLDG CCLINK VERT(M12)</t>
  </si>
  <si>
    <t>709-150/BD</t>
  </si>
  <si>
    <t>FLEX TERM LINK 25MM X 150MM 6/10</t>
  </si>
  <si>
    <t>709-250/DD</t>
  </si>
  <si>
    <t>FLEX TERM LINK 25X250 - 2X22-10</t>
  </si>
  <si>
    <t>709-25MM-300</t>
  </si>
  <si>
    <t>FLEX TERM LINK  25MMX300</t>
  </si>
  <si>
    <t>709-25MM-500</t>
  </si>
  <si>
    <t>FLEX TERM LINK  25MMX500MM</t>
  </si>
  <si>
    <t>710-140A</t>
  </si>
  <si>
    <t>VSR DIG 12/24V MC20</t>
  </si>
  <si>
    <t>710-140A-B</t>
  </si>
  <si>
    <t>VSR DIG 12/24V BULK MC24</t>
  </si>
  <si>
    <t>711L</t>
  </si>
  <si>
    <t>AMMETER SHUNT ENCLOSURE LRG MC5</t>
  </si>
  <si>
    <t>713</t>
  </si>
  <si>
    <t>LBL SET BAT SW MC35</t>
  </si>
  <si>
    <t>713-BT</t>
  </si>
  <si>
    <t>LBL OVAL for BAT SW BOW THRUSTER</t>
  </si>
  <si>
    <t>713-EP</t>
  </si>
  <si>
    <t>LBL OVAL for BAT SW EMERG PAR</t>
  </si>
  <si>
    <t>713-GEN</t>
  </si>
  <si>
    <t>LBL OVAL for BAT SW GENSET</t>
  </si>
  <si>
    <t>713-HB</t>
  </si>
  <si>
    <t>LBL OVAL for BAT SW HOUSE BAT</t>
  </si>
  <si>
    <t>713-INV</t>
  </si>
  <si>
    <t>LBL OVAL BAT SW INVERTER</t>
  </si>
  <si>
    <t>713-MS</t>
  </si>
  <si>
    <t>LBL OVAL BAT SW MID START</t>
  </si>
  <si>
    <t>713-PS</t>
  </si>
  <si>
    <t>LBL OVAL for BAT SW PORT START</t>
  </si>
  <si>
    <t>713-SB</t>
  </si>
  <si>
    <t>LBL OVAL for BAT SW START BAT</t>
  </si>
  <si>
    <t>713-SS</t>
  </si>
  <si>
    <t>LBL OVAL for BAT SW STBD START</t>
  </si>
  <si>
    <t>714-140A-DVSR</t>
  </si>
  <si>
    <t>CLSTR SINGLE ENG 701S DVSR MC10</t>
  </si>
  <si>
    <t>714-140A-DVSR-B</t>
  </si>
  <si>
    <t>CLSTR SINGLE ENG 701S DVSR BULK MC12</t>
  </si>
  <si>
    <t>714-RAW</t>
  </si>
  <si>
    <t>LBL SET CONTOUR LOCK MODULE</t>
  </si>
  <si>
    <t>715-H</t>
  </si>
  <si>
    <t>CLSTR BAT SW 3x701 HORZ MC8</t>
  </si>
  <si>
    <t>715-S</t>
  </si>
  <si>
    <t>CLSTR BAT SW  2X701/1X701S HOZ MC8</t>
  </si>
  <si>
    <t>715-V</t>
  </si>
  <si>
    <t>CLSTR BAT SW 275AX3  VERT MC8</t>
  </si>
  <si>
    <t>716-H-140A-DVSR</t>
  </si>
  <si>
    <t>CLSTR SINGLE ENG 3x701-DVSR HORZ MC6</t>
  </si>
  <si>
    <t>716-SQ-140A-DVSR</t>
  </si>
  <si>
    <t>CLSTR SINGLE ENG 3x701-DVSR SQ MC8</t>
  </si>
  <si>
    <t>716-SQ-140A-DVSR-B</t>
  </si>
  <si>
    <t>CLSTR SINGLE ENG 3X701-DVSR SQ BULK MC6</t>
  </si>
  <si>
    <t>716-V-140A-DVSR</t>
  </si>
  <si>
    <t>CLSTR SINGLE ENG 3x701-DVSR VERT MC6</t>
  </si>
  <si>
    <t>717-140A-DVSR</t>
  </si>
  <si>
    <t>CLSTR TWIN ENG 3 BANKS 4x701-2xDVSR MC8</t>
  </si>
  <si>
    <t>718-140A-DVSR</t>
  </si>
  <si>
    <t>CLSTR TWIN ENG 3 BANKS 4x701-DVSR MC4</t>
  </si>
  <si>
    <t>719-140A-DVSR</t>
  </si>
  <si>
    <t>CLSTR TRIPLE ENG 4 BANKS 6x701-3xDVSR</t>
  </si>
  <si>
    <t>720</t>
  </si>
  <si>
    <t>BAT SW 600A CONT MC10</t>
  </si>
  <si>
    <t>720B</t>
  </si>
  <si>
    <t>BAT SW 600A CONT BULK MC12</t>
  </si>
  <si>
    <t>720-DP</t>
  </si>
  <si>
    <t>BAT SW DP 400A CONT MC10</t>
  </si>
  <si>
    <t>720-DP/B</t>
  </si>
  <si>
    <t>BAT SW DP 400A CONT BULK MC12</t>
  </si>
  <si>
    <t>720-EP-B</t>
  </si>
  <si>
    <t>BAT SW 600A CONT EP YEL KNOB BULK MC12</t>
  </si>
  <si>
    <t>720-MDO</t>
  </si>
  <si>
    <t>BAT SW MD HD 12/24V 500A OPTICS MC6</t>
  </si>
  <si>
    <t>720-MDO-EP</t>
  </si>
  <si>
    <t>BAT SW MD HD 12/24V 500A OPTICS EP MC6</t>
  </si>
  <si>
    <t>720-MDVSO</t>
  </si>
  <si>
    <t>BAT SW MDVS HD OPTIC 12/24V 500A MC6</t>
  </si>
  <si>
    <t>720MDVSO-KEY-B</t>
  </si>
  <si>
    <t>BAT SW KNB YLW  LABEL 720-MDVSO BULK MC5</t>
  </si>
  <si>
    <t>721</t>
  </si>
  <si>
    <t>BAT SW B1B2 SELECTOR 350A CONT MC10</t>
  </si>
  <si>
    <t>721B</t>
  </si>
  <si>
    <t>BAT SW B1B2 SELECTOR 350A CONT BULK MC12</t>
  </si>
  <si>
    <t>770</t>
  </si>
  <si>
    <t>BAT SW PI 400A SP MC10</t>
  </si>
  <si>
    <t>770-B</t>
  </si>
  <si>
    <t>BAT SW PI 400A SP BULK MC12</t>
  </si>
  <si>
    <t>770-DP</t>
  </si>
  <si>
    <t>BAT SW PI 400A DP MC10</t>
  </si>
  <si>
    <t>770-DP-B</t>
  </si>
  <si>
    <t>BAT SW PI 400A DP BULK MC12</t>
  </si>
  <si>
    <t>770-DP-EZ</t>
  </si>
  <si>
    <t>BAT SW PI 400A DP-EZ MOUNT MC10</t>
  </si>
  <si>
    <t>770-DP-EZ-B</t>
  </si>
  <si>
    <t>BAT SW PI 400A DP-EZ MOUNT BULK MC12</t>
  </si>
  <si>
    <t>770-EZ</t>
  </si>
  <si>
    <t>BAT SW PI 400A EZ MOUNT SP MC10</t>
  </si>
  <si>
    <t>770-EZ-B</t>
  </si>
  <si>
    <t>BAT SW PI 400A EZ MOUNT SP BULK MC12</t>
  </si>
  <si>
    <t>770-KEY-EP</t>
  </si>
  <si>
    <t>BAT SW KNB 770 YL EP MC10</t>
  </si>
  <si>
    <t>770-KEY-EP-B</t>
  </si>
  <si>
    <t>BAT SW KNB 770 YL EP BULK MC12</t>
  </si>
  <si>
    <t>770-OEM</t>
  </si>
  <si>
    <t>BAT SW PI 400A SP NO BACK/SIDES MC12</t>
  </si>
  <si>
    <t>771-S</t>
  </si>
  <si>
    <t>BAT SW PI 400A SELECTOR MC10</t>
  </si>
  <si>
    <t>771-S-B</t>
  </si>
  <si>
    <t>BAT SW PI 400A SELECTOR BULK MC12</t>
  </si>
  <si>
    <t>771-S-EZ</t>
  </si>
  <si>
    <t>BAT SW SELECTOR 400A EZ MOUNT MC10</t>
  </si>
  <si>
    <t>771-S-EZ-B</t>
  </si>
  <si>
    <t>BAT SW SELECTOR 400A EZ MOUNT BULK MC12</t>
  </si>
  <si>
    <t>771-SFD</t>
  </si>
  <si>
    <t>BAT SW PI 400A SELECTOR SFD MC10</t>
  </si>
  <si>
    <t>771-SFD-B</t>
  </si>
  <si>
    <t>BAT SW PI 400A SELECTOR SFD BULK MC12</t>
  </si>
  <si>
    <t>772-DBC</t>
  </si>
  <si>
    <t>BAT SW PI 400A DUAL BANK CONTROL MC10</t>
  </si>
  <si>
    <t>772-DBC-B</t>
  </si>
  <si>
    <t>BAT SW PI 400A DUAL BANK CNTRL BULK MC12</t>
  </si>
  <si>
    <t>772-DBC-EZ</t>
  </si>
  <si>
    <t>BAT SW PI 400A DBC-EZ MOUNT MC10</t>
  </si>
  <si>
    <t>772-DBC-EZ-B</t>
  </si>
  <si>
    <t>BAT SW PI 400A DBC-EZ MOUNT BULK MC12</t>
  </si>
  <si>
    <t>777-BB3S-650</t>
  </si>
  <si>
    <t>BUSBAR HD 3 STUD 650A MC5</t>
  </si>
  <si>
    <t>777-BB3S-650-B</t>
  </si>
  <si>
    <t>BUSBAR HD 3 STUD 650A BULK MC10</t>
  </si>
  <si>
    <t>777-BB4S-500</t>
  </si>
  <si>
    <t>BUSBAR MD 4 STUD 500A MC5</t>
  </si>
  <si>
    <t>777-BB4S-500-B</t>
  </si>
  <si>
    <t>BUSBAR MD 4 STUD 500A BULK MC10</t>
  </si>
  <si>
    <t>777-BB5S-650</t>
  </si>
  <si>
    <t>BUSBAR HD 5 STUD 650A MC5</t>
  </si>
  <si>
    <t>777-BB5S-650-B</t>
  </si>
  <si>
    <t>BUSBAR HD 5 STUD 650A BULK MC10</t>
  </si>
  <si>
    <t>777-BB8S-650</t>
  </si>
  <si>
    <t>BUSBAR HD 8 STUD 650A</t>
  </si>
  <si>
    <t>777-BB8S-650-B</t>
  </si>
  <si>
    <t>BUSBAR HD 8 STUD 650A BULK</t>
  </si>
  <si>
    <t>777-Z10W-200</t>
  </si>
  <si>
    <t>BUSBAR Z 10 WAY 200A MC5</t>
  </si>
  <si>
    <t>777-Z10W-200-B</t>
  </si>
  <si>
    <t>BUSBAR Z 10 WAY 200A BULK MC10</t>
  </si>
  <si>
    <t>777-Z18W-200</t>
  </si>
  <si>
    <t>BUSBAR Z 18 WAY 200A MC5</t>
  </si>
  <si>
    <t>777-Z18W-200-B</t>
  </si>
  <si>
    <t>BUSBAR Z 18 WAY 200A BULK MC10</t>
  </si>
  <si>
    <t>778-ANL</t>
  </si>
  <si>
    <t>FHOLDER ANL 300A MC5</t>
  </si>
  <si>
    <t>778-ANL2S</t>
  </si>
  <si>
    <t>FHOLDER ANL c/w + 2 STUDS 750A MC5</t>
  </si>
  <si>
    <t>778-ANL2S-B</t>
  </si>
  <si>
    <t>FH ANL c/w ADD 2 STUDS 750A BULK MC10</t>
  </si>
  <si>
    <t>778-ANL-B</t>
  </si>
  <si>
    <t>FHOLDER ANL 300A BULK MC10</t>
  </si>
  <si>
    <t>778-ANLTP</t>
  </si>
  <si>
    <t>FH ANL THROUGH PANEL 500A MC3</t>
  </si>
  <si>
    <t>778-ANLTP-B</t>
  </si>
  <si>
    <t>FH ANL THROUGH PANEL BULK MC10</t>
  </si>
  <si>
    <t>778-T2S-400</t>
  </si>
  <si>
    <t>FH CLASS T /w + 2STUD 225-400A MC5</t>
  </si>
  <si>
    <t>778-T2S-400-B</t>
  </si>
  <si>
    <t>FH CLASS T /w + 2STUD 225-400A BLK MC10</t>
  </si>
  <si>
    <t>778-T2S-600</t>
  </si>
  <si>
    <t>FH CLASS T /w + 2STUD 450-600A MC5</t>
  </si>
  <si>
    <t>778-T2S-600-B</t>
  </si>
  <si>
    <t>FH CLASS T /w  +2STUD 450-600A BLK MC10</t>
  </si>
  <si>
    <t>779-LB-1-B</t>
  </si>
  <si>
    <t>PI LINKBAR 31-34.7mm BULK MC100</t>
  </si>
  <si>
    <t>779-LB-1-B5</t>
  </si>
  <si>
    <t>PI LINKBAR 1 BAG OF 5X779-LB-1-B MC20</t>
  </si>
  <si>
    <t>779-LB-2-B</t>
  </si>
  <si>
    <t>PI LINKBAR 42.5mm BULK MC75</t>
  </si>
  <si>
    <t>779-LB-2-B5</t>
  </si>
  <si>
    <t>PI LINKBAR 1 BAG OF 5X779-LB-2-B MC15</t>
  </si>
  <si>
    <t>779-LBJ-2-B</t>
  </si>
  <si>
    <t>PI LNKJNR 2W 45.8-49.5mm BULK MC50</t>
  </si>
  <si>
    <t>779-LBJ-2-B5</t>
  </si>
  <si>
    <t>PI LINKBAR 1 BAG OF 5X779-LBJ-2-B MC10</t>
  </si>
  <si>
    <t>779-LBJ-3-B</t>
  </si>
  <si>
    <t>PI LINKJOINER 3 WAY BULK MC25</t>
  </si>
  <si>
    <t>779-LBJ-4-B</t>
  </si>
  <si>
    <t>PI LINKJOINER 4 WAY BULK MC25</t>
  </si>
  <si>
    <t>779-LBJ-5-B</t>
  </si>
  <si>
    <t>PI LINKJOINER 5 WAY BULK MC15</t>
  </si>
  <si>
    <t>779-LBJ-6-B</t>
  </si>
  <si>
    <t>PI LINKJOINER 6 WAY BULK MC15</t>
  </si>
  <si>
    <t>779-LBZ-1-B</t>
  </si>
  <si>
    <t>PI LINK ZBAR-ZBAR BULK MC250</t>
  </si>
  <si>
    <t>779-LBZ-1-B5</t>
  </si>
  <si>
    <t>PI LINKBAR 1 BAG OF 5X779-LBZ-1-B MC50</t>
  </si>
  <si>
    <t>779-LBZ-2-B</t>
  </si>
  <si>
    <t>PI LINK ZBAR-BBAR/FH BULK MC150</t>
  </si>
  <si>
    <t>779-LBZ-2-B5</t>
  </si>
  <si>
    <t>800-MS1</t>
  </si>
  <si>
    <t>BAT MGMT PAN SGL ENG 10-12M</t>
  </si>
  <si>
    <t>800-MS2</t>
  </si>
  <si>
    <t>BAT MGMT PAN TWIN ENGINES 10-12M</t>
  </si>
  <si>
    <t>800-MS3</t>
  </si>
  <si>
    <t>BAT MGMT PAN TWIN ENGINES 12-16M</t>
  </si>
  <si>
    <t>800-MS4</t>
  </si>
  <si>
    <t>BAT MGMT PAN SAILBOAT 9-12M</t>
  </si>
  <si>
    <t>8010070</t>
  </si>
  <si>
    <t>DIST STUD HD DBL 1X8mm 1X10mm MC12</t>
  </si>
  <si>
    <t>8010080</t>
  </si>
  <si>
    <t>BAT SW PM YL KNB MC24</t>
  </si>
  <si>
    <t>80-511-0001-00</t>
  </si>
  <si>
    <t>PUSH BUT SW ON/OF 12V RED LED</t>
  </si>
  <si>
    <t>80-511-0001-01</t>
  </si>
  <si>
    <t>PUSH BUT SW ON/OF 12V RED LED BULK</t>
  </si>
  <si>
    <t>80-511-0002-00</t>
  </si>
  <si>
    <t>PUSH BUT SW MOM 12V RED LED</t>
  </si>
  <si>
    <t>80-511-0002-01</t>
  </si>
  <si>
    <t>PUSH BUT SW MOM 12V RED LED BULK</t>
  </si>
  <si>
    <t>80-511-0003-00</t>
  </si>
  <si>
    <t>PUSH BUT SW ON/OF 12V BLUE LED</t>
  </si>
  <si>
    <t>80-511-0003-01</t>
  </si>
  <si>
    <t>PUSH BUT SW ON/OF 12V BLUE LED BULK</t>
  </si>
  <si>
    <t>80-511-0004-00</t>
  </si>
  <si>
    <t>PUSH BUT SW MOM 12V BLUE LED</t>
  </si>
  <si>
    <t>80-511-0004-01</t>
  </si>
  <si>
    <t>PUSH BUT SW MOM 12V BLUE LED BULK</t>
  </si>
  <si>
    <t>80-511-0005-00</t>
  </si>
  <si>
    <t>PUSH BUT SW ON/OF 24V RED LED</t>
  </si>
  <si>
    <t>80-511-0005-01</t>
  </si>
  <si>
    <t>PUSH BUT SW ON/OF 24V RED LED BULK</t>
  </si>
  <si>
    <t>80-511-0006-00</t>
  </si>
  <si>
    <t>PUSH BUT SW MOM 24V RED LED</t>
  </si>
  <si>
    <t>80-511-0006-01</t>
  </si>
  <si>
    <t>PUSH BUT SW MOM 24V RED LED BULK</t>
  </si>
  <si>
    <t>80-511-0007-00</t>
  </si>
  <si>
    <t>PUSH BUT SW ON/OF 24V BLUE LED</t>
  </si>
  <si>
    <t>80-511-0007-01</t>
  </si>
  <si>
    <t>PUSH BUT SW ON/OF 24V BLUE LED BULK</t>
  </si>
  <si>
    <t>80-511-0008-00</t>
  </si>
  <si>
    <t>PUSH BUT SW MOM 24V BLUE LED</t>
  </si>
  <si>
    <t>80-511-0008-01</t>
  </si>
  <si>
    <t>PUSH BUT SW MOM 24V BLUE LED BULK</t>
  </si>
  <si>
    <t>80-511-0009-00</t>
  </si>
  <si>
    <t>BUZZER &amp; WARN LGT RED S/S DC12V</t>
  </si>
  <si>
    <t>80-511-0009-01</t>
  </si>
  <si>
    <t>BUZZER &amp; WARN LGT RED S/S DC12V BULK</t>
  </si>
  <si>
    <t>80-511-0010-00</t>
  </si>
  <si>
    <t>BUZZER &amp; WARN LGT RED S/S DC24V</t>
  </si>
  <si>
    <t>80-511-0010-01</t>
  </si>
  <si>
    <t>BUZZER &amp; WARN LGT RED S/S DC24V BULK</t>
  </si>
  <si>
    <t>80-511-0011-01</t>
  </si>
  <si>
    <t>PUSH BUT SW ON/OF 12V GRN LED BULK MC10</t>
  </si>
  <si>
    <t>80-511-0012-01</t>
  </si>
  <si>
    <t>PUSH BUT SW MOM 12V GRN LED BULK MC10</t>
  </si>
  <si>
    <t>80-511-0031-00</t>
  </si>
  <si>
    <t>CABLE ASSY PB SW BARE END 300mm MC20</t>
  </si>
  <si>
    <t>80-511-0031-01</t>
  </si>
  <si>
    <t>CABLE ASSY FOR PB SW BARE END 300mm</t>
  </si>
  <si>
    <t>80-600-0021-00</t>
  </si>
  <si>
    <t>DCSM C/W SHUNT + CABLE MC4</t>
  </si>
  <si>
    <t>80-600-0022-00</t>
  </si>
  <si>
    <t>DCSM NO SHUNT OR CABLE MC4</t>
  </si>
  <si>
    <t>80-600-0023-00</t>
  </si>
  <si>
    <t>ACSM C/W 2 X CT + VSEN4  MC4</t>
  </si>
  <si>
    <t>80-600-0024-01</t>
  </si>
  <si>
    <t>ACSM C/W INST BULK</t>
  </si>
  <si>
    <t>80-600-0027-00</t>
  </si>
  <si>
    <t>PAN MNT DCSM DIG MTR</t>
  </si>
  <si>
    <t>80-600-0028-00</t>
  </si>
  <si>
    <t>PAN MNT ACSM DIG MTR</t>
  </si>
  <si>
    <t>80-600-0029-00</t>
  </si>
  <si>
    <t>MON SYS DCSM TANK PROBE INTERFACE</t>
  </si>
  <si>
    <t>80-600-0029-01</t>
  </si>
  <si>
    <t>MON SYS DCSM TANK PROBE INTERFACE BULK</t>
  </si>
  <si>
    <t>80-601-0020-00</t>
  </si>
  <si>
    <t>PAN METER ANA VOLT 8-16V</t>
  </si>
  <si>
    <t>80-601-0021-00</t>
  </si>
  <si>
    <t>PAN METER ANA VOLT 16-32V</t>
  </si>
  <si>
    <t>80-601-0022-00</t>
  </si>
  <si>
    <t>PAN METER ANA VOLT 150VAC</t>
  </si>
  <si>
    <t>80-601-0023-00</t>
  </si>
  <si>
    <t>PAN METER ANA VOLT 300VAC</t>
  </si>
  <si>
    <t>80-601-0024-00</t>
  </si>
  <si>
    <t>PAN METER ANA AMMETER 0-50A</t>
  </si>
  <si>
    <t>80-601-0025-00</t>
  </si>
  <si>
    <t>PAN METER ANA AMMETER 0-100A</t>
  </si>
  <si>
    <t>80-601-0026-00</t>
  </si>
  <si>
    <t>PAN METER ANA AMMETER 0-150A</t>
  </si>
  <si>
    <t>80-700-0050-00</t>
  </si>
  <si>
    <t>CC KEY SW &amp; 4 X CB MOD SGL ENG</t>
  </si>
  <si>
    <t>80-700-0051-00</t>
  </si>
  <si>
    <t>CC KEY SW &amp; 4 X CB MOD TWIN ENG</t>
  </si>
  <si>
    <t>80-700-0052-00</t>
  </si>
  <si>
    <t>CC KEY SW &amp; 4 X CB MOD TRPL ENG</t>
  </si>
  <si>
    <t>80-701-0018-00</t>
  </si>
  <si>
    <t>BAT SW MD EP 275A CONT MC6</t>
  </si>
  <si>
    <t>80-707-0004-00</t>
  </si>
  <si>
    <t>SURGE PROTECTION MODULE 12V</t>
  </si>
  <si>
    <t>80-707-0005-00</t>
  </si>
  <si>
    <t>SURGE PROTECTION MODULE 24V</t>
  </si>
  <si>
    <t>80-708-0013-00</t>
  </si>
  <si>
    <t>LINK BAR KIT 720MDO</t>
  </si>
  <si>
    <t>80-708-0013-01</t>
  </si>
  <si>
    <t>LINK BAR KIT 720MDO BULK MC6</t>
  </si>
  <si>
    <t>80-708-0017-00</t>
  </si>
  <si>
    <t>LINK BAR KIT 701MD</t>
  </si>
  <si>
    <t>80-708-0017-01</t>
  </si>
  <si>
    <t>LINK BAR KIT 701MD BULK MC6</t>
  </si>
  <si>
    <t>80-708-0018-00</t>
  </si>
  <si>
    <t>Driveshaft Bonding Brush</t>
  </si>
  <si>
    <t>80-708-0019-00</t>
  </si>
  <si>
    <t>Alloy Drive Shaft Mounting Bracket</t>
  </si>
  <si>
    <t>80-712-0039-00</t>
  </si>
  <si>
    <t>NEG BUS FOR ATC 6W MC12</t>
  </si>
  <si>
    <t>80-712-0039-01</t>
  </si>
  <si>
    <t>NEG BUS FOR ATC 6W BULK MC24</t>
  </si>
  <si>
    <t>80-716-0014-00</t>
  </si>
  <si>
    <t>CLSTR BAT SW MD MDVS SGL ENG</t>
  </si>
  <si>
    <t>80-716-0015-00</t>
  </si>
  <si>
    <t>CLSTR BAT SW MD MDVS TWIN ENG</t>
  </si>
  <si>
    <t>80-716-0016-00</t>
  </si>
  <si>
    <t>CLSTR BAT SW MD MDVS TRIPLE ENG</t>
  </si>
  <si>
    <t>80-716-0017-00</t>
  </si>
  <si>
    <t>CLSTR BAT SW 2X701B MDVS SGL ENG</t>
  </si>
  <si>
    <t>80-716-0018-00</t>
  </si>
  <si>
    <t>80-716-0030-00</t>
  </si>
  <si>
    <t>SMART BATTERY HUB TWIN ENGINE</t>
  </si>
  <si>
    <t>80-716-0031-00</t>
  </si>
  <si>
    <t>SMART BATTERY HUB TRIPLE ENGINE</t>
  </si>
  <si>
    <t>80-716-0032-00</t>
  </si>
  <si>
    <t>SMART BATTERY HUB TEMP SENSOR (15m)</t>
  </si>
  <si>
    <t>80-724-0006-00</t>
  </si>
  <si>
    <t>KEY SW CNTRL FOR MD</t>
  </si>
  <si>
    <t>80-724-0006-01</t>
  </si>
  <si>
    <t>KEY SW CNTRL FOR MD BULK MC6</t>
  </si>
  <si>
    <t>80-724-0007-00</t>
  </si>
  <si>
    <t>SW CNTRL FOR MDVS</t>
  </si>
  <si>
    <t>8312-H</t>
  </si>
  <si>
    <t>TAPE INSULATION BLACK</t>
  </si>
  <si>
    <t>900-2WP</t>
  </si>
  <si>
    <t>PAN MICRO 2W SW 2XON/OFF MC10</t>
  </si>
  <si>
    <t>900-2WPBULK</t>
  </si>
  <si>
    <t>PAN MICRO 2W SW 2XON/OFF BULK MC10</t>
  </si>
  <si>
    <t>900-2WPMOM</t>
  </si>
  <si>
    <t>PAN MICRO 2W SW 1XONOFF 1XDTMOM MC10</t>
  </si>
  <si>
    <t>900-2WPOFO</t>
  </si>
  <si>
    <t>PAN MICRO 2W SW 1XON/OFF 1XDPDT MC10</t>
  </si>
  <si>
    <t>900-2WPW</t>
  </si>
  <si>
    <t>PAN MICRO 2W SW 2XON/OF WH MC10</t>
  </si>
  <si>
    <t>900-3WPS</t>
  </si>
  <si>
    <t>PAN S/PROOF 3W C/W SOCKET MC10</t>
  </si>
  <si>
    <t>900-3WPSW</t>
  </si>
  <si>
    <t>PAN S/PROOF 3W C/W SOCKET WH MC10</t>
  </si>
  <si>
    <t>900-4WP</t>
  </si>
  <si>
    <t>PAN S/PROOF 4W GREY MC10</t>
  </si>
  <si>
    <t>900-4WPW</t>
  </si>
  <si>
    <t>PAN S/PROOF 4W WHT MC10</t>
  </si>
  <si>
    <t>900-5WPS</t>
  </si>
  <si>
    <t>PAN S/PROOF 5W C/W SOCKET MC10</t>
  </si>
  <si>
    <t>900-5WPS/BULK</t>
  </si>
  <si>
    <t>PAN S/PROOF 5W C/W SOCKET BULK MC14</t>
  </si>
  <si>
    <t>900-5WPSW</t>
  </si>
  <si>
    <t>PAN S/PROOF 5W C/W SOCKET WH MC10</t>
  </si>
  <si>
    <t>900-5WPUSB</t>
  </si>
  <si>
    <t>PAN S/PROOF 5W DUAL USB CHARGER</t>
  </si>
  <si>
    <t>900-6WP</t>
  </si>
  <si>
    <t>PAN S/PROOF 6W MC10</t>
  </si>
  <si>
    <t>900-6WPBULK</t>
  </si>
  <si>
    <t>PAN S/PROOF 6W BULK MC14</t>
  </si>
  <si>
    <t>900-6WPW</t>
  </si>
  <si>
    <t>PAN S/PROOF 6W WHT MC10</t>
  </si>
  <si>
    <t>900-AC</t>
  </si>
  <si>
    <t>PAN 4SP AC230V</t>
  </si>
  <si>
    <t>900-AC1</t>
  </si>
  <si>
    <t>PAN 4SP 2DP AC230V S/S</t>
  </si>
  <si>
    <t>900-AC1-110V</t>
  </si>
  <si>
    <t>PAN 4SP 2DP AC120V S/S</t>
  </si>
  <si>
    <t>900-AC1H-ACSM</t>
  </si>
  <si>
    <t>PAN 4SP 2DP AC230V ACSM SS H</t>
  </si>
  <si>
    <t>900-AC1H-AM</t>
  </si>
  <si>
    <t>PAN 4SP 2DP AC230V ANA V SS H</t>
  </si>
  <si>
    <t>900-AC1V</t>
  </si>
  <si>
    <t>PAN 4SP 2DP AC230V S/S VER</t>
  </si>
  <si>
    <t>900-AC1V-110V</t>
  </si>
  <si>
    <t>PAN 4SP 2DP AC120V S/S VER</t>
  </si>
  <si>
    <t>900-AC1V-ACSM</t>
  </si>
  <si>
    <t>PAN 4SP 2DP AC230V ACSM SS VER</t>
  </si>
  <si>
    <t>900-AC1V-AM</t>
  </si>
  <si>
    <t>PAN 4SP 2DP AC230V ANA V SS VER</t>
  </si>
  <si>
    <t>900-AC1V-AM-110</t>
  </si>
  <si>
    <t>PAN 4SP 2DP AC120V ANA V SS VER</t>
  </si>
  <si>
    <t>900-AC2H-ACSM</t>
  </si>
  <si>
    <t>PAN 8SP 2DP AC230V ACSM SS SQ</t>
  </si>
  <si>
    <t>900-AC2H-ACSM-110</t>
  </si>
  <si>
    <t>PAN 8SP 2DP AC120V ACSM SS SQ</t>
  </si>
  <si>
    <t>900-AC2H-AM</t>
  </si>
  <si>
    <t>PAN 8SP 2DP AC230V ANA V SS</t>
  </si>
  <si>
    <t>900-AC2H-AM-110</t>
  </si>
  <si>
    <t>PAN 8SP 2DP AC120V ANA V SS</t>
  </si>
  <si>
    <t>900-AC2NM</t>
  </si>
  <si>
    <t>PAN 8SP 2DP AC230V SS SQ</t>
  </si>
  <si>
    <t>900-AC2NMH</t>
  </si>
  <si>
    <t>PAN 8SP 2DP AC230V SS H</t>
  </si>
  <si>
    <t>900-AC2NMH-110</t>
  </si>
  <si>
    <t>PAN 8SP 2DP AC120V SS H</t>
  </si>
  <si>
    <t>900-AC2NMV</t>
  </si>
  <si>
    <t>PAN 8SP 2DP AC230V SS VER</t>
  </si>
  <si>
    <t>900-AC2V-ACSM</t>
  </si>
  <si>
    <t>PAN 8SP 2DP AC230V ACSM SS VER</t>
  </si>
  <si>
    <t>900-AC2V-ACSM-110</t>
  </si>
  <si>
    <t>PAN 8SP 2DP AC120V ACSM SS VER</t>
  </si>
  <si>
    <t>900-AC2V-AM</t>
  </si>
  <si>
    <t>PAN 8SP 2DP AC230V ANA V SS VER</t>
  </si>
  <si>
    <t>900-AC2V-AM-110</t>
  </si>
  <si>
    <t>PAN 8SP 2DP AC120V ANA V SS VER</t>
  </si>
  <si>
    <t>900-AC3-ACSM</t>
  </si>
  <si>
    <t>PAN 12SP 2DP AC230V ACSM SS H</t>
  </si>
  <si>
    <t>900-AC3-ACSM-110</t>
  </si>
  <si>
    <t>PAN 12SP 2DP AC120V ACSM SS H</t>
  </si>
  <si>
    <t>900-AC3-AM</t>
  </si>
  <si>
    <t>PAN 12SP 2DP AC230V ANA V A SS H</t>
  </si>
  <si>
    <t>900-AC3-AM-110</t>
  </si>
  <si>
    <t>PAN 12SP 2DP AC120V ANA V A SS H</t>
  </si>
  <si>
    <t>900-AC4-ACSM</t>
  </si>
  <si>
    <t>PAN 16SP 2DP AC230V ACSM SS H</t>
  </si>
  <si>
    <t>900-AC4-ACSM-110</t>
  </si>
  <si>
    <t>PAN 16SP 2DP AC120V ACSM SS H</t>
  </si>
  <si>
    <t>900-AC4-AM</t>
  </si>
  <si>
    <t>PAN 16SP 2DP AC230V ANA V SS H</t>
  </si>
  <si>
    <t>900-ACCH</t>
  </si>
  <si>
    <t>PAN 2DP AC230V SS</t>
  </si>
  <si>
    <t>900-ACCH-110V</t>
  </si>
  <si>
    <t>PAN 2DP AC110V SS</t>
  </si>
  <si>
    <t>900-ACM2-AM</t>
  </si>
  <si>
    <t>PAN 2SP 1DP AC230V ANA</t>
  </si>
  <si>
    <t>900-ACM2-AM-110</t>
  </si>
  <si>
    <t>PAN 2SP 1DP AC120V ANA</t>
  </si>
  <si>
    <t>900-ACM2W</t>
  </si>
  <si>
    <t>PAN 2SP 1DP AC230V</t>
  </si>
  <si>
    <t>900-ACM2W-110V</t>
  </si>
  <si>
    <t>PAN 2SP 1DP AC110V</t>
  </si>
  <si>
    <t>900-ACM6V-ACSM</t>
  </si>
  <si>
    <t>PAN 6SP 1DP AC230V ACSM VER</t>
  </si>
  <si>
    <t>900-ACM6V-ACSM-110</t>
  </si>
  <si>
    <t>PAN 6SP 1DP AC120V ACSM VER</t>
  </si>
  <si>
    <t>900-ACM6V-AM</t>
  </si>
  <si>
    <t>PAN 6SP 1DP AC230V ANA V</t>
  </si>
  <si>
    <t>900-ACM6V-AM-110</t>
  </si>
  <si>
    <t>PAN 6SP 1DP AC120V ANA V</t>
  </si>
  <si>
    <t>900-ACM6W</t>
  </si>
  <si>
    <t>PAN 6SP 1DP AC230V VERT.</t>
  </si>
  <si>
    <t>900-ACM6W-110V</t>
  </si>
  <si>
    <t>PAN 6SP 1DP AC110V</t>
  </si>
  <si>
    <t>900-ACM6W-H</t>
  </si>
  <si>
    <t>PAN 6SP 1DP AC230V H</t>
  </si>
  <si>
    <t>900-AM</t>
  </si>
  <si>
    <t>PAN 4SP DC12V ANA V</t>
  </si>
  <si>
    <t>900-AM-24</t>
  </si>
  <si>
    <t>PAN 4SP DC24V ANA V</t>
  </si>
  <si>
    <t>900-BA</t>
  </si>
  <si>
    <t>PAN MICRO BILGE CNTRL ALARM AUTO/MAN</t>
  </si>
  <si>
    <t>900-BA/24V</t>
  </si>
  <si>
    <t>PAN MICRO BILGE CNTRL ALARM AUTO/MAN 24V</t>
  </si>
  <si>
    <t>900-BA-B</t>
  </si>
  <si>
    <t>PAN MICRO BILGE ALRM AUTO/MAN BULK MC20</t>
  </si>
  <si>
    <t>900-DC</t>
  </si>
  <si>
    <t>PAN 4SP DC12V MC9</t>
  </si>
  <si>
    <t>900-DP</t>
  </si>
  <si>
    <t>PAN 2DP DC12V</t>
  </si>
  <si>
    <t>900H-DCSM</t>
  </si>
  <si>
    <t>PAN 4SP DC12V DCSM</t>
  </si>
  <si>
    <t>900-RCD-16A</t>
  </si>
  <si>
    <t>PAN RCD 1X16A</t>
  </si>
  <si>
    <t>900-RCD-1X16-32A</t>
  </si>
  <si>
    <t>PAN RCD 1X16A 1X32A</t>
  </si>
  <si>
    <t>900-RCD-2X16A</t>
  </si>
  <si>
    <t>PAN RCD 2X16A</t>
  </si>
  <si>
    <t>900-RCD-2X32A</t>
  </si>
  <si>
    <t>PAN RCD 2X32A</t>
  </si>
  <si>
    <t>900-RCD-32A</t>
  </si>
  <si>
    <t>PAN RCD 1X32A</t>
  </si>
  <si>
    <t>900-SOP</t>
  </si>
  <si>
    <t>PAN MICRO 2W SYSTEM OPERATION MC5</t>
  </si>
  <si>
    <t>900V-DCSM</t>
  </si>
  <si>
    <t>PAN 4SP DC12V DCSM VER</t>
  </si>
  <si>
    <t>901H</t>
  </si>
  <si>
    <t>PAN 8SP DC12V H MC5</t>
  </si>
  <si>
    <t>901H-AC</t>
  </si>
  <si>
    <t>PAN 8SP AC230V H</t>
  </si>
  <si>
    <t>901H-DCSM</t>
  </si>
  <si>
    <t>PAN 8SP DC12V DCSM HORZ</t>
  </si>
  <si>
    <t>901H-DP</t>
  </si>
  <si>
    <t>PAN 4DP DC12V H</t>
  </si>
  <si>
    <t>901V</t>
  </si>
  <si>
    <t>PANEL 8 WAY 12VDC VERTICAL</t>
  </si>
  <si>
    <t>901V-AC</t>
  </si>
  <si>
    <t>PAN 8SP AC230V VER</t>
  </si>
  <si>
    <t>901V-AM</t>
  </si>
  <si>
    <t>PAN 8SP DC12V ANA V</t>
  </si>
  <si>
    <t>901V-DCSM</t>
  </si>
  <si>
    <t>PAN 8SP DC12V DCSM VERT</t>
  </si>
  <si>
    <t>901V-DP</t>
  </si>
  <si>
    <t>PAN 4DP DC12V VER</t>
  </si>
  <si>
    <t>902-AM</t>
  </si>
  <si>
    <t>PAN 12SP DC12V ANA V</t>
  </si>
  <si>
    <t>902-AM-24</t>
  </si>
  <si>
    <t>PAN 12SP DC24V ANA V SQ</t>
  </si>
  <si>
    <t>902-DCSM</t>
  </si>
  <si>
    <t>PAN 12SP DC12V DCSM</t>
  </si>
  <si>
    <t>902NM</t>
  </si>
  <si>
    <t>PAN 12SP DC12V SQ</t>
  </si>
  <si>
    <t>902NMH</t>
  </si>
  <si>
    <t>PAN 12SP DC12V H</t>
  </si>
  <si>
    <t>902NMV</t>
  </si>
  <si>
    <t>PAN 12SP DC12V VER</t>
  </si>
  <si>
    <t>902V-AM</t>
  </si>
  <si>
    <t>PAN 12SP DC12V ANA V VER</t>
  </si>
  <si>
    <t>902V-AM-24</t>
  </si>
  <si>
    <t>PAN 12SP DC24V ANA V VER</t>
  </si>
  <si>
    <t>902V-DCSM</t>
  </si>
  <si>
    <t>PAN 12SP DC12V DCSM VER</t>
  </si>
  <si>
    <t>903-AM</t>
  </si>
  <si>
    <t>PAN 20SP DC12V ANA V</t>
  </si>
  <si>
    <t>903-AM-24</t>
  </si>
  <si>
    <t>PAN 20SP DC24V ANA V</t>
  </si>
  <si>
    <t>903-DCSM</t>
  </si>
  <si>
    <t>PAN 20SP DC12V DCSM</t>
  </si>
  <si>
    <t>903NM</t>
  </si>
  <si>
    <t>PAN 20SP DC12V</t>
  </si>
  <si>
    <t>903V-DCSM</t>
  </si>
  <si>
    <t>PAN 20SP DC12V DCSM VER</t>
  </si>
  <si>
    <t>904-AM</t>
  </si>
  <si>
    <t>PAN 16SP DC12V ANA V A</t>
  </si>
  <si>
    <t>904-AM-24</t>
  </si>
  <si>
    <t>PAN 16SP DC24V ANA V A</t>
  </si>
  <si>
    <t>904-DCSM</t>
  </si>
  <si>
    <t>PAN 16SP DC12V DCSM</t>
  </si>
  <si>
    <t>904NM</t>
  </si>
  <si>
    <t>PAN 16SP DC12V SQ</t>
  </si>
  <si>
    <t>904NM-AC</t>
  </si>
  <si>
    <t>PAN 16SP AC230V</t>
  </si>
  <si>
    <t>904NM-DP</t>
  </si>
  <si>
    <t>PAN 8DP DC12V</t>
  </si>
  <si>
    <t>904NMH</t>
  </si>
  <si>
    <t>PAN 16SP DC12V H</t>
  </si>
  <si>
    <t>904NMV</t>
  </si>
  <si>
    <t>PAN 16SP DC12V VER</t>
  </si>
  <si>
    <t>905-AM</t>
  </si>
  <si>
    <t>PAN 24SP DC12V ANA V A</t>
  </si>
  <si>
    <t>905-AM-24</t>
  </si>
  <si>
    <t>PAN 24SP DC24V ANA V A</t>
  </si>
  <si>
    <t>905-DCSM</t>
  </si>
  <si>
    <t>PAN 24SP DC12V DCSM</t>
  </si>
  <si>
    <t>905NM</t>
  </si>
  <si>
    <t>PAN 24SP DC12V NO METER</t>
  </si>
  <si>
    <t>905NM-DP</t>
  </si>
  <si>
    <t>PAN 12DP DC12V</t>
  </si>
  <si>
    <t>905NMV</t>
  </si>
  <si>
    <t>PAN 24SP DC12V VER</t>
  </si>
  <si>
    <t>905NMV-DP</t>
  </si>
  <si>
    <t>PAN 12DP DC12V VERT</t>
  </si>
  <si>
    <t>905V-AM</t>
  </si>
  <si>
    <t>PAN 24SP DC12V ANA V A VER</t>
  </si>
  <si>
    <t>905V-AM-24</t>
  </si>
  <si>
    <t>PAN 24SP DC24V ANA V A VER</t>
  </si>
  <si>
    <t>905V-DCSM</t>
  </si>
  <si>
    <t>PAN 24SP DC12V DCSM VER</t>
  </si>
  <si>
    <t>906-AM</t>
  </si>
  <si>
    <t>PAN 32SP DC12V ANA V A</t>
  </si>
  <si>
    <t>906-AM-24</t>
  </si>
  <si>
    <t>PAN 32SP DC24V ANA V A</t>
  </si>
  <si>
    <t>906-DCSM</t>
  </si>
  <si>
    <t>PAN 32SP DC12V DCSM</t>
  </si>
  <si>
    <t>906NMH</t>
  </si>
  <si>
    <t>PAN 32SP DC12V H</t>
  </si>
  <si>
    <t>906NMH-AC-DP</t>
  </si>
  <si>
    <t>PAN 16DP AC230V HORZ</t>
  </si>
  <si>
    <t>906NMV</t>
  </si>
  <si>
    <t>PAN 32SP DC12V VER</t>
  </si>
  <si>
    <t>906NMV-DP</t>
  </si>
  <si>
    <t>PAN 16DP DC12V VER</t>
  </si>
  <si>
    <t>906V-AM</t>
  </si>
  <si>
    <t>PAN 32SP DC12V ANA V A VER</t>
  </si>
  <si>
    <t>906V-AM-24</t>
  </si>
  <si>
    <t>PAN 32SP DC24V ANA V A VER</t>
  </si>
  <si>
    <t>906V-DCSM</t>
  </si>
  <si>
    <t>PAN 32SP DC12V DCSM VER</t>
  </si>
  <si>
    <t>907-AM</t>
  </si>
  <si>
    <t>PAN 48SP DC12V ANA V A</t>
  </si>
  <si>
    <t>907-AM-24</t>
  </si>
  <si>
    <t>PAN 48SP DC24V ANA V A</t>
  </si>
  <si>
    <t>907-DCSM</t>
  </si>
  <si>
    <t>PAN 48SP DC12V DCSM</t>
  </si>
  <si>
    <t>907NMH</t>
  </si>
  <si>
    <t>PAN 48SP DC12V</t>
  </si>
  <si>
    <t>ATC-6W</t>
  </si>
  <si>
    <t>FH 6W SCREW TERM C/W CVR &amp; LINK MC12</t>
  </si>
  <si>
    <t>ATC-6W/B</t>
  </si>
  <si>
    <t>FH 6W SCREW TERM C/W CVR BULK MC12</t>
  </si>
  <si>
    <t>ATC-6WQC</t>
  </si>
  <si>
    <t>FH 6W QUICK CON C/W CVR &amp; LINK MC12</t>
  </si>
  <si>
    <t>ATC-6WQC/B</t>
  </si>
  <si>
    <t>FH 6W QUICK CON &amp; COVER BULK MC24</t>
  </si>
  <si>
    <t>B-14</t>
  </si>
  <si>
    <t>TERM CABLE JOINER 6B&amp;S EA</t>
  </si>
  <si>
    <t>B-22</t>
  </si>
  <si>
    <t>TERM CABLE JOINER 16.7-27MM2 EA</t>
  </si>
  <si>
    <t>BA15D-50WW</t>
  </si>
  <si>
    <t>LED BULB BA15D W/ WHT 232LUM</t>
  </si>
  <si>
    <t>BB-12W-2NC</t>
  </si>
  <si>
    <t>BUSBAR 2X12WAY DBLE STUD NO CVRS MC6</t>
  </si>
  <si>
    <t>BB-12W-2NC/DSP</t>
  </si>
  <si>
    <t>BUSBAR 2X12W DBL STUD + COVERS DSP MC12</t>
  </si>
  <si>
    <t>BB-12W-2S</t>
  </si>
  <si>
    <t>BUSBAR 12W NO COVERS MC12</t>
  </si>
  <si>
    <t>BB-12W-2S/DSP</t>
  </si>
  <si>
    <t>BUSBAR 1X12W + COVERS DSP MC12</t>
  </si>
  <si>
    <t>BB-24W-2S</t>
  </si>
  <si>
    <t>BUSBAR 24W NO COVERS MC6</t>
  </si>
  <si>
    <t>BB-24W-2S/DSP</t>
  </si>
  <si>
    <t>BUSBAR 1X24W + COVERS DSP MC12</t>
  </si>
  <si>
    <t>BB-4S-150A</t>
  </si>
  <si>
    <t>BUSBAR 4X6MM 1/4 STUDS 150A MC10</t>
  </si>
  <si>
    <t>BB-4S-150A/DSP</t>
  </si>
  <si>
    <t>BUSBAR 4X6MM 1/4 STUDS 150A DSP MC15</t>
  </si>
  <si>
    <t>BB-6W-2</t>
  </si>
  <si>
    <t>BUSBAR MULTI 6WX2 AC/DC MC10</t>
  </si>
  <si>
    <t>BB-6W-2NC</t>
  </si>
  <si>
    <t>BUSBAR 2X6WAY DBLE STUD NO CVRS MC4</t>
  </si>
  <si>
    <t>BB-6W-2NC/DSP</t>
  </si>
  <si>
    <t>BUSBAR 2X6W DBL STUD + COVERS DSP MC15</t>
  </si>
  <si>
    <t>BB-6W-2S</t>
  </si>
  <si>
    <t>BUSBAR 6W NO COVERS MC10</t>
  </si>
  <si>
    <t>BB-6W-2S/DSP</t>
  </si>
  <si>
    <t>BUSBAR 1X6W + COVERS DSP MC15</t>
  </si>
  <si>
    <t>BBC-1</t>
  </si>
  <si>
    <t>COVER SNGL FOR INSULATED STUD MC20</t>
  </si>
  <si>
    <t>BBC-12WBK</t>
  </si>
  <si>
    <t>BUSBAR COVER 12W NEG (BLK)</t>
  </si>
  <si>
    <t>BBC-12WR</t>
  </si>
  <si>
    <t>BUSBAR COVER 12W POS (RED)</t>
  </si>
  <si>
    <t>BBC-2</t>
  </si>
  <si>
    <t>COVER DBL FOR BUSS BARS MC6</t>
  </si>
  <si>
    <t>BBC-24WBK</t>
  </si>
  <si>
    <t>BUSBAR COVER 24W NEG (BLK)</t>
  </si>
  <si>
    <t>BBC-24WR</t>
  </si>
  <si>
    <t>BUS BAR COVER ( RED) POSITIVE 24W</t>
  </si>
  <si>
    <t>BBC-6WBK</t>
  </si>
  <si>
    <t>BUSBAR COVER 6W NEG (BLK)</t>
  </si>
  <si>
    <t>BBC-6WR</t>
  </si>
  <si>
    <t>BUSBAR COVER 6W POS (RED)</t>
  </si>
  <si>
    <t>BB-LINK17MM</t>
  </si>
  <si>
    <t>BUSBAR LINK 17MM CENTRES</t>
  </si>
  <si>
    <t>BB-LINK17MM-DSP</t>
  </si>
  <si>
    <t>BUSBAR LINK 17MM CENTRES DSP</t>
  </si>
  <si>
    <t>BC-FM1</t>
  </si>
  <si>
    <t>COVER FLANGE MT 1 COLUMN 8-12 CB + METER</t>
  </si>
  <si>
    <t>BC-FM2</t>
  </si>
  <si>
    <t>COVER FLANGE MT 2 COLUMN 8-12 CB + METER</t>
  </si>
  <si>
    <t>BC-FM3</t>
  </si>
  <si>
    <t>COVER FLANGE MT 1 COLUMN 8-12 CB</t>
  </si>
  <si>
    <t>BC-FM4</t>
  </si>
  <si>
    <t>COVER FLANGE MT 2 COLUMN 8-12 CB</t>
  </si>
  <si>
    <t>BC-PM1</t>
  </si>
  <si>
    <t>COVER PAN MT 1 COLUMN 8-12 CB + METER</t>
  </si>
  <si>
    <t>BC-PM2</t>
  </si>
  <si>
    <t>COVER PAN MT 2 COLUMN 8-12 CB + METER</t>
  </si>
  <si>
    <t>BFHD-30A</t>
  </si>
  <si>
    <t>FUSE BLADE H/DUTY 30 AMP</t>
  </si>
  <si>
    <t>BFHD-30A/DSP</t>
  </si>
  <si>
    <t>BLADE FUSE HD 30AMP DSP MC12</t>
  </si>
  <si>
    <t>BFHD-40A</t>
  </si>
  <si>
    <t>FUSE BLADE H/DUTY 40 AMP</t>
  </si>
  <si>
    <t>BFHD-40A/DSP</t>
  </si>
  <si>
    <t>BLADE FUSE HD 40AMP DSP MC12</t>
  </si>
  <si>
    <t>BFHD-50A</t>
  </si>
  <si>
    <t>FUSE BLADE H/DUTY 50 AMP</t>
  </si>
  <si>
    <t>BFHD-50A/DSP</t>
  </si>
  <si>
    <t>BLADE FUSE HD 50AMP DSP MC12</t>
  </si>
  <si>
    <t>BFHD-60A</t>
  </si>
  <si>
    <t>FUSE BLADE H/DUTY 60 AMP</t>
  </si>
  <si>
    <t>BFHD-60A/DSP</t>
  </si>
  <si>
    <t>BLADE FUSE HD 60AMP DSP MC12</t>
  </si>
  <si>
    <t>BFHD-70A</t>
  </si>
  <si>
    <t>BLADE FUSE HD 70 AMP</t>
  </si>
  <si>
    <t>BFHD-70A/DSP</t>
  </si>
  <si>
    <t>BLADE FUSE HD 70AMP DSP MC12</t>
  </si>
  <si>
    <t>BFHD-80A</t>
  </si>
  <si>
    <t>FUSE BLADE H/DUTY 80 AMP</t>
  </si>
  <si>
    <t>BFHD-80A/DSP</t>
  </si>
  <si>
    <t>BLADE FUSE HD 80AMP DSP MC12</t>
  </si>
  <si>
    <t>BL-CB-10A</t>
  </si>
  <si>
    <t>CB SGL 10AMP DISPLAY</t>
  </si>
  <si>
    <t>BL-CB-20A</t>
  </si>
  <si>
    <t>CB SGL 20AMP DISPLAY</t>
  </si>
  <si>
    <t>BL-CBSLIDE-KIT</t>
  </si>
  <si>
    <t>CB SLIDE SINGLE ASSEMBLY KIT DSP</t>
  </si>
  <si>
    <t>BL-M331</t>
  </si>
  <si>
    <t>TOGGLE PLASTIC BOOT DISPLAY</t>
  </si>
  <si>
    <t>BL-SL-L</t>
  </si>
  <si>
    <t>SENSOR LEAD GAS/LPG 5M DISPLAY MC5</t>
  </si>
  <si>
    <t>BL-SW-32111</t>
  </si>
  <si>
    <t>TOGGLE SW ON/OFF 20AMP DISPLAY</t>
  </si>
  <si>
    <t>BL-SW-32113</t>
  </si>
  <si>
    <t>SW TOG 20A ON/ON DISPLAY</t>
  </si>
  <si>
    <t>BL-SW-32114</t>
  </si>
  <si>
    <t>TOGGLE SW ON/OFF/ON 20AMP DISPLAY</t>
  </si>
  <si>
    <t>BL-SW-32115</t>
  </si>
  <si>
    <t>TOGGLE SW SPST (ON) OFF DISPLAY</t>
  </si>
  <si>
    <t>BL-SW-32120</t>
  </si>
  <si>
    <t>TOGGLE SW (ON)OFF(ON) 20AMP DISPLAY</t>
  </si>
  <si>
    <t>BL-SW-CG1</t>
  </si>
  <si>
    <t>SW ROCKER ON-OFF DISPLAY</t>
  </si>
  <si>
    <t>BL-SW-RVS2</t>
  </si>
  <si>
    <t>SW ROCKER ON-OFF LED 13A DISPLAY</t>
  </si>
  <si>
    <t>BP-66</t>
  </si>
  <si>
    <t>BULB G4 9 LED SIDE PIN 12/24V DC WW 150LUM</t>
  </si>
  <si>
    <t>BP-68</t>
  </si>
  <si>
    <t>BULB G4 8LED SIDE PIN 8-30VDC 100LUM</t>
  </si>
  <si>
    <t>BP-72</t>
  </si>
  <si>
    <t>LED BA15 30LED DBL CNTCT 8-30VDC 232LUM</t>
  </si>
  <si>
    <t>BP-75</t>
  </si>
  <si>
    <t>LED FESTOON 42mm 6LED 8-30VDC 97LUM</t>
  </si>
  <si>
    <t>BP-78</t>
  </si>
  <si>
    <t>LED MR11 DICHROIC W/LENS 8-30VDC 84LUM</t>
  </si>
  <si>
    <t>BP-81</t>
  </si>
  <si>
    <t>2XLED FESTOON 42mm 6LED 8-30VDC 97LUM</t>
  </si>
  <si>
    <t>BPH151</t>
  </si>
  <si>
    <t>PDL CONNECTOR STRIP 10W (UN PACKAGED)</t>
  </si>
  <si>
    <t>BSP-1</t>
  </si>
  <si>
    <t>MOUNTING PLATE FOR 701 SINGLE RECESSED</t>
  </si>
  <si>
    <t>BSP-3</t>
  </si>
  <si>
    <t>MOUNTING PLATE FOR 701 TRIPLE RECESSED</t>
  </si>
  <si>
    <t>BSS-LINK90L</t>
  </si>
  <si>
    <t>LEFT STRAIGHT BAR FOR BLUE SEA CONTACTOR</t>
  </si>
  <si>
    <t>BSS-LINK90R</t>
  </si>
  <si>
    <t>RIGHT STRAIGHT BAR FOR BLUE SEA CONTACTOR</t>
  </si>
  <si>
    <t>BSS-LINKL</t>
  </si>
  <si>
    <t>LEFT KINK BAR FOR BLUE SEA CONTACTOR</t>
  </si>
  <si>
    <t>BSS-LINKR</t>
  </si>
  <si>
    <t>RIGHT KINK BAR FOR BLUE SEA CONTACTOR</t>
  </si>
  <si>
    <t>BT19NEG</t>
  </si>
  <si>
    <t>HD NEG BAT TERM WITH 3/8BOLT</t>
  </si>
  <si>
    <t>BT19POS</t>
  </si>
  <si>
    <t>HD POS BAT TERM WITH 3/8 BOLT</t>
  </si>
  <si>
    <t>C08443</t>
  </si>
  <si>
    <t>BELDEN8443 CAB TINNED UNSCRND 3CORE 0.3MM (SL&amp;TS1)</t>
  </si>
  <si>
    <t>C2534</t>
  </si>
  <si>
    <t>BELDEN8761 CAB SCRNED 2CORE 0.35MM (Shunt)</t>
  </si>
  <si>
    <t>CAB-USB2SERIAL-V2</t>
  </si>
  <si>
    <t>CABLE USB TO SERIAL CONVERTER</t>
  </si>
  <si>
    <t>CARL-ACT-1</t>
  </si>
  <si>
    <t>LASER CARL ACT CUSTOM ETCHED (1 WIN)</t>
  </si>
  <si>
    <t>CARL-ACT-2</t>
  </si>
  <si>
    <t>LASER CARL ACT CUSTOM ETCHED(1WIN 1BAR)</t>
  </si>
  <si>
    <t>CARL-ACT-AL</t>
  </si>
  <si>
    <t>CONTURA ACTUATOR ANCHOR LIGHT 1WIN 1BAR</t>
  </si>
  <si>
    <t>CARL-ACT-AUX</t>
  </si>
  <si>
    <t>LASER CARL ACT 1WIN 1BAR AUX (T)</t>
  </si>
  <si>
    <t>CARL-ACT-BLANK</t>
  </si>
  <si>
    <t>CONTURA ACTUATOR  BLANK 1WIN 1BAR</t>
  </si>
  <si>
    <t>CARL-ACT-BLANK/1</t>
  </si>
  <si>
    <t>CONTURA ACTUATOR BLANK 1WIN</t>
  </si>
  <si>
    <t>CARL-ACT-BLANK/4</t>
  </si>
  <si>
    <t>CONTURA ACTUATOR BLANK NO WIN/BAR</t>
  </si>
  <si>
    <t>CARL-ACT-BP</t>
  </si>
  <si>
    <t>LASER CARL ACT 1WIN 1BAR BILGE PUMP SYM</t>
  </si>
  <si>
    <t>CARL-ACT-DL</t>
  </si>
  <si>
    <t>LASER CARL ACT 1WIN 1BAR DECK LIGHTS</t>
  </si>
  <si>
    <t>CARL-ACT-EL</t>
  </si>
  <si>
    <t>LASER CARL ACT 1WIN 1BAR ENGINE LIGHTS</t>
  </si>
  <si>
    <t>CARL-ACT-EMERG/P</t>
  </si>
  <si>
    <t>LASER CARL ACT 1WIN  BATT (S)</t>
  </si>
  <si>
    <t>CARL-ACT-EP</t>
  </si>
  <si>
    <t>LASER CARL ACT 1WIN BATT PARL</t>
  </si>
  <si>
    <t>CARL-ACT-H</t>
  </si>
  <si>
    <t>LASER CARL ACT 1WIN 1BAR HOUSE (T)</t>
  </si>
  <si>
    <t>CARL-ACT-HL</t>
  </si>
  <si>
    <t>LASER CARL ACT 1WIN 1BAR - HATCH LIFTER</t>
  </si>
  <si>
    <t>CARL-ACT-HS</t>
  </si>
  <si>
    <t>LASER CARL ACT 1WIN HORN (S)</t>
  </si>
  <si>
    <t>CARL-ACT-IGN</t>
  </si>
  <si>
    <t>CONTURA ACTUATOR IGNITION</t>
  </si>
  <si>
    <t>CARL-ACT-LT</t>
  </si>
  <si>
    <t>LASER CARL ACT 1WIN 1BAR LIGHTS SYMBOL</t>
  </si>
  <si>
    <t>CARL-ACT-N/A</t>
  </si>
  <si>
    <t>LASER CARL ACT 1WIN 1BAR NAV/ANCHOR LT</t>
  </si>
  <si>
    <t>CARL-ACT-N/A-T</t>
  </si>
  <si>
    <t>SCP CARL ACT 1WIN 1BAR NAV/ANC LIGHT T</t>
  </si>
  <si>
    <t>CARL-ACT-NL</t>
  </si>
  <si>
    <t>LASER CARL ACT NAV LIGHTS(S) 1WIN1BAR</t>
  </si>
  <si>
    <t>CARL-ACT-OHC</t>
  </si>
  <si>
    <t>LASER CARL ACT 1WIN OPEN HATCH CLOSE</t>
  </si>
  <si>
    <t>CARL-ACT-P/S</t>
  </si>
  <si>
    <t>LASER CARL ACT 1WIN 1BAR PORT START(T)</t>
  </si>
  <si>
    <t>CARL-ACT-S/S</t>
  </si>
  <si>
    <t>LASER CARL ACT 1WIN 1BAR STBD START(T)</t>
  </si>
  <si>
    <t>CARL-ACT-SP</t>
  </si>
  <si>
    <t>CONTURA ACTUATOR STOP (RED)</t>
  </si>
  <si>
    <t>CARL-ACT-ST</t>
  </si>
  <si>
    <t>CONTURA ACTUATOR START (GREEN)</t>
  </si>
  <si>
    <t>CARL-ACT-TL</t>
  </si>
  <si>
    <t>LASER CARL ACT 1WIN 1BAR TARGA LIGHTS</t>
  </si>
  <si>
    <t>CARL-ACT-TTP</t>
  </si>
  <si>
    <t>CONTURA ACTUATOR - TRIM TAB PORT</t>
  </si>
  <si>
    <t>CARL-ACT-TTS</t>
  </si>
  <si>
    <t>CONTURA ACTUATOR - TRIM TAB STARBOARD</t>
  </si>
  <si>
    <t>CARL-ACT-WH</t>
  </si>
  <si>
    <t>LASER CARL  ACT 1WIN 1BAR WASHER</t>
  </si>
  <si>
    <t>CARL-ACT-WP</t>
  </si>
  <si>
    <t>LASER CARL ACT 1WIN 1BAR WIPER</t>
  </si>
  <si>
    <t>CARL-ACT-W-P</t>
  </si>
  <si>
    <t>LASER CARL ACT 1WIN - WATER PUMP (T)</t>
  </si>
  <si>
    <t>CARL-ACT-WS</t>
  </si>
  <si>
    <t>CONTURA ACTUATOR WINCH (S) 1WIN</t>
  </si>
  <si>
    <t>CARL-BLANK</t>
  </si>
  <si>
    <t>CONTURA SW BLANK/PLUG</t>
  </si>
  <si>
    <t>CARL-SW-(OFF)/ON</t>
  </si>
  <si>
    <t>CONTURA SW ONLY- MOM OFF/ON D/P DBL LED</t>
  </si>
  <si>
    <t>CARL-SW-(ON)/OFF</t>
  </si>
  <si>
    <t>CONTURA SW ONLY -  MOM ON/OFF S/P</t>
  </si>
  <si>
    <t>CARL-SW-FN/NDP</t>
  </si>
  <si>
    <t>CONTURA SW ONLY - OFF/ON/MOM ON D/P</t>
  </si>
  <si>
    <t>CARL-SW-N/F/NDP</t>
  </si>
  <si>
    <t>CONTURA SW ONLY - ON/OFF/ON DP DBL LED</t>
  </si>
  <si>
    <t>CARL-SW-N/N/F/DP</t>
  </si>
  <si>
    <t>CONTURA SW ONLY - ON/ON/OFF D/P</t>
  </si>
  <si>
    <t>CARL-SW-NF/DP</t>
  </si>
  <si>
    <t>CONTURA SW ONLY - MOM ON/OFF D/P</t>
  </si>
  <si>
    <t>CARL-SW-NFN</t>
  </si>
  <si>
    <t>CONTURA SW ONLY - MOM ON/OFF/MOM ON S/P</t>
  </si>
  <si>
    <t>CARL-SW-NFNDP</t>
  </si>
  <si>
    <t>CONTURA SW ONLY -  MOM ON/OFF/MOM ON D/P</t>
  </si>
  <si>
    <t>CARL-SW-O/F/(ON)</t>
  </si>
  <si>
    <t>CONTURA SW ONLY - ON/OFF/MOM ON SP</t>
  </si>
  <si>
    <t>CARL-SW-ON/F/N</t>
  </si>
  <si>
    <t>CONTURA SW ONLY - ON/OFF/ON S/P</t>
  </si>
  <si>
    <t>CARL-SW-ON/OF/DP</t>
  </si>
  <si>
    <t>CONTURA SW ONLY - ON/OFF DP</t>
  </si>
  <si>
    <t>CARL-SW-ON/OFF</t>
  </si>
  <si>
    <t>CONTURA SW ONLY - ON/OFF S/P</t>
  </si>
  <si>
    <t>CARL-SW-ON/ON</t>
  </si>
  <si>
    <t>CONTURA SW ONLY - ON/ON S/P</t>
  </si>
  <si>
    <t>CARL-SWR-(O)F(O)</t>
  </si>
  <si>
    <t>RED CONT SW (ON)F(ON) DP 24V RED LED</t>
  </si>
  <si>
    <t>CARL-SWR-(ON)OFD</t>
  </si>
  <si>
    <t>RED CONT SW (ON)OFF D/P 24V RED LED</t>
  </si>
  <si>
    <t>CARL-SWR-O/F/ODP</t>
  </si>
  <si>
    <t>RED CONT SW ON/OFF/ON D/P 24V RED LED</t>
  </si>
  <si>
    <t>CARL-SWR-ONOFFDP</t>
  </si>
  <si>
    <t>RED CONT SW ON/OFF DP 24V RED LED</t>
  </si>
  <si>
    <t>CBL-100A-DP</t>
  </si>
  <si>
    <t>CB LRG 100A DP</t>
  </si>
  <si>
    <t>CBL-100A-SP-IGP</t>
  </si>
  <si>
    <t>C/BREAKER LARGE 100A S/POLE INGITION PRO</t>
  </si>
  <si>
    <t>CBL-100A-TP</t>
  </si>
  <si>
    <t>CB LRG 100A TP</t>
  </si>
  <si>
    <t>CBL-50A-SP</t>
  </si>
  <si>
    <t>CB LRG 50A SP</t>
  </si>
  <si>
    <t>CBL-60A-DP</t>
  </si>
  <si>
    <t>CB LRG 60A DP</t>
  </si>
  <si>
    <t>CBL-60A-SP</t>
  </si>
  <si>
    <t>CB LRG 60A SP</t>
  </si>
  <si>
    <t>CBL-75A-SP</t>
  </si>
  <si>
    <t>CB LRG 75AMP SP</t>
  </si>
  <si>
    <t>CBL-80A-DP</t>
  </si>
  <si>
    <t>CB LRG 80AMP DP</t>
  </si>
  <si>
    <t>CBL-80A-TP</t>
  </si>
  <si>
    <t>CB LRG 80AMP TP</t>
  </si>
  <si>
    <t>CBS-10A-DP</t>
  </si>
  <si>
    <t>CB SML 10AMP DP</t>
  </si>
  <si>
    <t>CBS-10A-SP</t>
  </si>
  <si>
    <t>CB SML 10AMP SP</t>
  </si>
  <si>
    <t>CBS-12.5A-SP</t>
  </si>
  <si>
    <t>C/BREAKER SMALL 12.5A SINGLE POLE</t>
  </si>
  <si>
    <t>CBS-15A-DP</t>
  </si>
  <si>
    <t>CB SML 15AMP DP</t>
  </si>
  <si>
    <t>CBS-15A-DP-TC230</t>
  </si>
  <si>
    <t>C/B 230VAC TRIP COIL 15A DOUBLE</t>
  </si>
  <si>
    <t>CBS-15A-SP</t>
  </si>
  <si>
    <t>CB SML 15AMP SP</t>
  </si>
  <si>
    <t>CBS-2.5A-SP</t>
  </si>
  <si>
    <t>CB SML 2.5AMP SP</t>
  </si>
  <si>
    <t>CBS-20A-DP</t>
  </si>
  <si>
    <t>CB SML 20AMP DP</t>
  </si>
  <si>
    <t>CBS-20A-DP-TC230</t>
  </si>
  <si>
    <t>C/B 230VAC TRIP COIL 20A DOUBLE</t>
  </si>
  <si>
    <t>CBS-20A-SP</t>
  </si>
  <si>
    <t>CB SML 20AMP SP</t>
  </si>
  <si>
    <t>CBS-25A-DP</t>
  </si>
  <si>
    <t>CB SML 25AMP DP</t>
  </si>
  <si>
    <t>CBS-25A-SP</t>
  </si>
  <si>
    <t>CB SML 25AMP SP</t>
  </si>
  <si>
    <t>CBS-30A-DP</t>
  </si>
  <si>
    <t>CB SML 30AMP DP</t>
  </si>
  <si>
    <t>CBS-30A-DP-TC230</t>
  </si>
  <si>
    <t>C/B 230VAC TRIP COIL 30A DOUBLE</t>
  </si>
  <si>
    <t>CBS-30A-SP</t>
  </si>
  <si>
    <t>CB SML 30AMP SP</t>
  </si>
  <si>
    <t>CBS-30A-TP</t>
  </si>
  <si>
    <t>CB SML 30AMP TP</t>
  </si>
  <si>
    <t>CBS-40A-DP</t>
  </si>
  <si>
    <t>CB SML 40AMP DP</t>
  </si>
  <si>
    <t>CBS-40A-SP</t>
  </si>
  <si>
    <t>CB SML 40AMP SP</t>
  </si>
  <si>
    <t>CBS-50A-DP</t>
  </si>
  <si>
    <t>CB SML 50AMP DP</t>
  </si>
  <si>
    <t>CBS-50A-DP-TC230</t>
  </si>
  <si>
    <t>C/B 230VAC TRIP 50A DOUBLE PO</t>
  </si>
  <si>
    <t>CBS-50A-SP</t>
  </si>
  <si>
    <t>CBS SML 50AMP - IEG6-32060-50-V</t>
  </si>
  <si>
    <t>CBS-50A-SP-IGP</t>
  </si>
  <si>
    <t>C/BREAKER 50A S/POLE IGNITION PROTECTION</t>
  </si>
  <si>
    <t>CBS-50A-TP</t>
  </si>
  <si>
    <t>CB SML 50AMP TP</t>
  </si>
  <si>
    <t>CBS-5A-DP</t>
  </si>
  <si>
    <t>CB SML 5AMP DP</t>
  </si>
  <si>
    <t>CBS-5A-SP</t>
  </si>
  <si>
    <t>CB SML 5AMP SP</t>
  </si>
  <si>
    <t>CB-SLIDE</t>
  </si>
  <si>
    <t>ALLOY BASE &amp; SINGLE POD FITTED</t>
  </si>
  <si>
    <t>CC-1</t>
  </si>
  <si>
    <t>CC 2 HOLE MODULE BODY CHAR</t>
  </si>
  <si>
    <t>CC-2</t>
  </si>
  <si>
    <t>CC 1 HOLE 4CB MODULE BODY CHAR MC8</t>
  </si>
  <si>
    <t>CC-5</t>
  </si>
  <si>
    <t>CC 3 HOLE MODULE BODY CHAR</t>
  </si>
  <si>
    <t>CC-801</t>
  </si>
  <si>
    <t>CC SINGLE ENG BAT SELECTOR VSR MOD</t>
  </si>
  <si>
    <t>CC-802</t>
  </si>
  <si>
    <t>CC SGL ENG BAT SW VSR COMBO</t>
  </si>
  <si>
    <t>CC-803N</t>
  </si>
  <si>
    <t>CC TWIN ENG BAT SW DVSR COMBO 2X3 MOD</t>
  </si>
  <si>
    <t>CC-804</t>
  </si>
  <si>
    <t>CC H/DUTY CB 4CB MODULE MC4</t>
  </si>
  <si>
    <t>CC-810</t>
  </si>
  <si>
    <t>CC S/ ENG 3 x BATTERY SW COMBO MC3</t>
  </si>
  <si>
    <t>CC-BLANK</t>
  </si>
  <si>
    <t>CC SINGLE CIRCULAR MODULE BLANK</t>
  </si>
  <si>
    <t>CC-HDBM</t>
  </si>
  <si>
    <t>CC MOUNTING HARDWARE FOR CB BUSMAN</t>
  </si>
  <si>
    <t>CG2-2W</t>
  </si>
  <si>
    <t>PAN CG2 2W SW S/PROOF NO FUSE MC12</t>
  </si>
  <si>
    <t>CG2-2W/B</t>
  </si>
  <si>
    <t>PAN CG2 2W SW S/PROOF NO FUSE BULK MC15</t>
  </si>
  <si>
    <t>CG2-2W-F</t>
  </si>
  <si>
    <t>PAN CG2 2W SW S/PROOF C/W FUSE MC12</t>
  </si>
  <si>
    <t>CG2-2W-F-W</t>
  </si>
  <si>
    <t>PAN CG2 2W SW S/PROOF C/W FUSE WHT</t>
  </si>
  <si>
    <t>CG2-2W-W</t>
  </si>
  <si>
    <t>PAN CG2 2W SW S/PROOF NO FUSE WHT MC12</t>
  </si>
  <si>
    <t>CG2-4W</t>
  </si>
  <si>
    <t>PAN CG2 4W SW S/PROOF NO FUSE MC10</t>
  </si>
  <si>
    <t>CG2-4W/B</t>
  </si>
  <si>
    <t>PAN CG2 4W SW S/PROOF NO FUSE BULK MC15</t>
  </si>
  <si>
    <t>CG2-4W-F</t>
  </si>
  <si>
    <t>PAN CG2 4W SW S/PROOF C/W FUSES MC10</t>
  </si>
  <si>
    <t>CG2-4W-F-W</t>
  </si>
  <si>
    <t>PAN CG2 4W SW S/PROOF C/W FUSES WHT MC10</t>
  </si>
  <si>
    <t>CG2-4W-W</t>
  </si>
  <si>
    <t>PAN CG2 4W SW S/PROOF NO FUSE WHT MC10</t>
  </si>
  <si>
    <t>CG2-6W</t>
  </si>
  <si>
    <t>PAN CG2 6W SW S/PROOF NO FUSE MC10</t>
  </si>
  <si>
    <t>CG2-6W/B</t>
  </si>
  <si>
    <t>PAN CG2 6W NO FUSE BULK MC10</t>
  </si>
  <si>
    <t>CG2-6W/B-W</t>
  </si>
  <si>
    <t>PAN CG2 6W S/PROOF NO FUSE WHT BULK MC10</t>
  </si>
  <si>
    <t>CG2-6W-F</t>
  </si>
  <si>
    <t>PAN CG2 6W SW S/PROOF C/W FUSE MC10</t>
  </si>
  <si>
    <t>CG2-6W-F-W</t>
  </si>
  <si>
    <t>PAN CG2 6W SW S/PROOF C/W FUSE WHT MC10</t>
  </si>
  <si>
    <t>CG2-6W-W</t>
  </si>
  <si>
    <t>PAN CG2 6W SW S/PROOF NO FUSE WHT MC10</t>
  </si>
  <si>
    <t>CLB-05</t>
  </si>
  <si>
    <t>CB CARLING 5A THERMAL PUSH RESET</t>
  </si>
  <si>
    <t>CLB-05/DSP</t>
  </si>
  <si>
    <t>CB CARL THERMAL PUSH RESET 5A DSP</t>
  </si>
  <si>
    <t>CLB-07</t>
  </si>
  <si>
    <t>CB CARLING 7A THERMAL PUSH RESET</t>
  </si>
  <si>
    <t>CLB-07/DSP</t>
  </si>
  <si>
    <t>CB CARL THERMAL PUSH RESET 7A DSP</t>
  </si>
  <si>
    <t>CLB-10</t>
  </si>
  <si>
    <t>CB CARLING 10A THERMAL PUSH RESET</t>
  </si>
  <si>
    <t>CLB-10/DSP</t>
  </si>
  <si>
    <t>CB CARL THERMAL PUSH RESET 10A DSP</t>
  </si>
  <si>
    <t>CLB-15</t>
  </si>
  <si>
    <t>CB CARLING 15A THERMAL PUSH RESET</t>
  </si>
  <si>
    <t>CLB-15/DSP</t>
  </si>
  <si>
    <t>CB CARL THERMAL PUSH RESET 15A DSP</t>
  </si>
  <si>
    <t>CLB-20</t>
  </si>
  <si>
    <t>CB CARLING 20A THERMAL PUSH RESET</t>
  </si>
  <si>
    <t>CLB-20/DSP</t>
  </si>
  <si>
    <t>CB CARL THERMAL PUSH RESET 20A DSP</t>
  </si>
  <si>
    <t>CLB-25</t>
  </si>
  <si>
    <t>CB CARLING THERMAL PUSH RESET 25A</t>
  </si>
  <si>
    <t>CLB-25/DSP</t>
  </si>
  <si>
    <t>CB CARL THERMAL PUSH RESET 25A DSP</t>
  </si>
  <si>
    <t>CLB-30</t>
  </si>
  <si>
    <t>CB CARLING 30A THERMAL PUSH RESET</t>
  </si>
  <si>
    <t>CLB-30/DSP</t>
  </si>
  <si>
    <t>CB CARL THERMAL PUSH RESET 30A DSP</t>
  </si>
  <si>
    <t>CLB-40</t>
  </si>
  <si>
    <t>CB CARLING 40A THERMAL PUSH RESET</t>
  </si>
  <si>
    <t>CLB-40/DSP</t>
  </si>
  <si>
    <t>CB CARL THERMAL PUSH RESET 40A DSP</t>
  </si>
  <si>
    <t>CLB-BOOT</t>
  </si>
  <si>
    <t>BOOT for CLB FULL PUSH BUTTON</t>
  </si>
  <si>
    <t>CSP6</t>
  </si>
  <si>
    <t>PAN CSP6 S/PROOF GREY MC8</t>
  </si>
  <si>
    <t>CSP6-BULK</t>
  </si>
  <si>
    <t>PAN CSP6 S/PROOF  BULK MC12</t>
  </si>
  <si>
    <t>CSP6-F</t>
  </si>
  <si>
    <t>PAN CSP6 S/PROOF C/W FUSE GREY MC8</t>
  </si>
  <si>
    <t>CSP6-FW</t>
  </si>
  <si>
    <t>PAN CSP6 S/PROOF C/W FUSE WHT MC8</t>
  </si>
  <si>
    <t>CSP6-PTC</t>
  </si>
  <si>
    <t>PAN CSP6 S/PROOF C/W PTC FUSE MC8</t>
  </si>
  <si>
    <t>CT-10-3</t>
  </si>
  <si>
    <t>CURRENT TRANSFORMER AC DIGITAL METER</t>
  </si>
  <si>
    <t>CT-10-AN</t>
  </si>
  <si>
    <t>CURRENT TRANSFORMER AC ANA ONLY</t>
  </si>
  <si>
    <t>CTHD</t>
  </si>
  <si>
    <t>SADDLE TYPE MOUNT 9MM TIE PER 100</t>
  </si>
  <si>
    <t>CT-HD</t>
  </si>
  <si>
    <t>CURRENT TRANSFORMER HEAVY DUTY</t>
  </si>
  <si>
    <t>CTS</t>
  </si>
  <si>
    <t>SADDLE TYPE MOUNT 5MM TIE PER 100</t>
  </si>
  <si>
    <t>CV094W</t>
  </si>
  <si>
    <t>CABLE TIE 94X2.5UV 3.75  100/BAG</t>
  </si>
  <si>
    <t>CV150W</t>
  </si>
  <si>
    <t>CABLE TIE 150X3.7mm UV6 100/BAG</t>
  </si>
  <si>
    <t>CV200W</t>
  </si>
  <si>
    <t>CABLE TIE 203X4.6mm UV8 PER 100/BAG</t>
  </si>
  <si>
    <t>CV205W</t>
  </si>
  <si>
    <t>CABLETIE MOUNTABLE 205X4.2 UV 100/BAG</t>
  </si>
  <si>
    <t>CV280W</t>
  </si>
  <si>
    <t>CABLETIE 280X5mm UV11 PER 100/BAG</t>
  </si>
  <si>
    <t>CV368W</t>
  </si>
  <si>
    <t>CABLE TIE 380X4.8mm UV PER 100/BAG</t>
  </si>
  <si>
    <t>DT0462-209</t>
  </si>
  <si>
    <t>DEUTSCH SOCKET CONTACT 14-16 AWG</t>
  </si>
  <si>
    <t>DT06-2S</t>
  </si>
  <si>
    <t>DEUTSCH MALE PLUG SOCKET 2 POS</t>
  </si>
  <si>
    <t>EL5152006-TFT4</t>
  </si>
  <si>
    <t>CAB TINNED COPPER 6CORE 20 AWG STRANDED</t>
  </si>
  <si>
    <t>FANL-600-B</t>
  </si>
  <si>
    <t>FUSE ANL HD 600A BULK MC5</t>
  </si>
  <si>
    <t>FANL-675-B</t>
  </si>
  <si>
    <t>FUSE ANL HD 675A BULK MC5</t>
  </si>
  <si>
    <t>FANL-750-B</t>
  </si>
  <si>
    <t>FUSE ANL HD 750A BULK MC5</t>
  </si>
  <si>
    <t>FD-2</t>
  </si>
  <si>
    <t>CONTOUR MATRIX FUME DETEC C/W 5M LD MC5</t>
  </si>
  <si>
    <t>FH10</t>
  </si>
  <si>
    <t>FUSE HOLDER CRIMP 10/BAG</t>
  </si>
  <si>
    <t>FL-1B</t>
  </si>
  <si>
    <t>FUSE HOLDER LEAD ASSY BLADE TYPE</t>
  </si>
  <si>
    <t>FP-4-RCD-2</t>
  </si>
  <si>
    <t>PLATE TEXT CH. 4W FOR RCD X 2</t>
  </si>
  <si>
    <t>FP-8H</t>
  </si>
  <si>
    <t>PLATE TEXT CH. 8W CB 2X4 HORZ NO MTR</t>
  </si>
  <si>
    <t>FP-8V</t>
  </si>
  <si>
    <t>PLATE TEXT CH. 8W CB NO MTR HOLE</t>
  </si>
  <si>
    <t>FP-911-0135-01</t>
  </si>
  <si>
    <t>PLATE MATT BLK.TEXT 5" TOUCH SCREEN V2</t>
  </si>
  <si>
    <t>FP-HDAM-V2</t>
  </si>
  <si>
    <t>PLATE TEXT CH. DIG &amp; ANA METER</t>
  </si>
  <si>
    <t>FT-225-B</t>
  </si>
  <si>
    <t>FUSE CLASS T 225A</t>
  </si>
  <si>
    <t>FT-250-B</t>
  </si>
  <si>
    <t>FUSE CLASS T 250A</t>
  </si>
  <si>
    <t>FT-300-B</t>
  </si>
  <si>
    <t>FUSE CLASS T 300A</t>
  </si>
  <si>
    <t>FT-350-B</t>
  </si>
  <si>
    <t>FUSE CLASS T 350A</t>
  </si>
  <si>
    <t>FT-400-B</t>
  </si>
  <si>
    <t>FUSE CLASS T 400A</t>
  </si>
  <si>
    <t>FT-450-B</t>
  </si>
  <si>
    <t>FUSE CLASS T 450A</t>
  </si>
  <si>
    <t>FT-500-B</t>
  </si>
  <si>
    <t>FUSE CLASS T 500A</t>
  </si>
  <si>
    <t>FT-600-B</t>
  </si>
  <si>
    <t>FUSE CLASS T 600A</t>
  </si>
  <si>
    <t>G4-10SPWW</t>
  </si>
  <si>
    <t>LED BULB G4 12LED W/WHT SIDE PINS 140LUM</t>
  </si>
  <si>
    <t>G4-8SPWW</t>
  </si>
  <si>
    <t>LED BULB G4 9LED W/WHT SIDE PINS 100LUM</t>
  </si>
  <si>
    <t>HDBFH</t>
  </si>
  <si>
    <t>FH BLADE HD (WIRES 8AWG X 12")</t>
  </si>
  <si>
    <t>HDBFH/DSP</t>
  </si>
  <si>
    <t>FHOLDER BLADE HD DSP</t>
  </si>
  <si>
    <t>IP100</t>
  </si>
  <si>
    <t>FUSE ANL 100A IP CERT</t>
  </si>
  <si>
    <t>IP100P/DSP</t>
  </si>
  <si>
    <t>FUSE ANL 100A IP CERT MC15 DSP</t>
  </si>
  <si>
    <t>IP125</t>
  </si>
  <si>
    <t>FUSE ANL 125 IP CERT</t>
  </si>
  <si>
    <t>IP150</t>
  </si>
  <si>
    <t>FUSE ANL 150A IP CERT</t>
  </si>
  <si>
    <t>IP150P/DSP</t>
  </si>
  <si>
    <t>FUSE ANL 150A IP CERT MC15 DSP</t>
  </si>
  <si>
    <t>IP175</t>
  </si>
  <si>
    <t>FUSE ANL 175 IP CERT</t>
  </si>
  <si>
    <t>IP200</t>
  </si>
  <si>
    <t>FUSE ANL 200A IP CERT</t>
  </si>
  <si>
    <t>IP200P/DSP</t>
  </si>
  <si>
    <t>FUSE ANL 200A IP CERT MC15 DSP</t>
  </si>
  <si>
    <t>IP250</t>
  </si>
  <si>
    <t>FUSE ANL 250A IP CERT</t>
  </si>
  <si>
    <t>IP250P/DSP</t>
  </si>
  <si>
    <t>FUSE ANL 250A IP CERT MC15 DSP</t>
  </si>
  <si>
    <t>IP300</t>
  </si>
  <si>
    <t>FUSE ANL 300A IP CERT</t>
  </si>
  <si>
    <t>IP300P/DSP</t>
  </si>
  <si>
    <t>FUSE ANL 300A IP CERT MC15 DSP</t>
  </si>
  <si>
    <t>IP355</t>
  </si>
  <si>
    <t>FUSE ANL 355A IP CERT</t>
  </si>
  <si>
    <t>IP355P/DSP</t>
  </si>
  <si>
    <t>FUSE ANL 355A IP CERT DSP</t>
  </si>
  <si>
    <t>IP40</t>
  </si>
  <si>
    <t>FUSE ANL 40 IP CERT</t>
  </si>
  <si>
    <t>IP425</t>
  </si>
  <si>
    <t>FUSE ANL 425A IP CERT</t>
  </si>
  <si>
    <t>IP425P/DSP</t>
  </si>
  <si>
    <t>FUSE ANL 425A IP CERT MC15 DSP</t>
  </si>
  <si>
    <t>IP50</t>
  </si>
  <si>
    <t>FUSE ANL 50 IP CERT</t>
  </si>
  <si>
    <t>IP500</t>
  </si>
  <si>
    <t>FUSE ANL 500A IP CERT</t>
  </si>
  <si>
    <t>IP500P/DSP</t>
  </si>
  <si>
    <t>FUSE ANL 500A IP CERT MC15 DSP</t>
  </si>
  <si>
    <t>IP50P/DSP</t>
  </si>
  <si>
    <t>FUSE ANL 50A IP CERT MC15 DSP</t>
  </si>
  <si>
    <t>IP63</t>
  </si>
  <si>
    <t>FUSE ANL 63 IP CERT</t>
  </si>
  <si>
    <t>IP63P/DSP</t>
  </si>
  <si>
    <t>FUSE ANL 63A IP CERT MC15 DSP</t>
  </si>
  <si>
    <t>IP80</t>
  </si>
  <si>
    <t>FUSE ANL 80A IP CERT</t>
  </si>
  <si>
    <t>IP80P/DSP</t>
  </si>
  <si>
    <t>FUSE ANL 80A IP CERT MC15 DSP</t>
  </si>
  <si>
    <t>IS-10MM-1</t>
  </si>
  <si>
    <t>INSULATED STUDS 10MM X 1 NEG  MC20</t>
  </si>
  <si>
    <t>IS-10MM-1/DSP</t>
  </si>
  <si>
    <t>INSULATED STUD 1X10MM BOLT NEG MC20 DSP</t>
  </si>
  <si>
    <t>IS-10MM-1R</t>
  </si>
  <si>
    <t>INSULATED STUDS 10MM X 1 POS MC20</t>
  </si>
  <si>
    <t>IS-10MM-2</t>
  </si>
  <si>
    <t>INSULATED STUDS 10MM X 2  MC10</t>
  </si>
  <si>
    <t>IS-10MM-2/L</t>
  </si>
  <si>
    <t>INSULATED STUDS 10MM X 2 &amp; LINK MC36</t>
  </si>
  <si>
    <t>IS-10MM-8MM</t>
  </si>
  <si>
    <t>INSULATED STUDS 1x10mm 1x8mm MC20</t>
  </si>
  <si>
    <t>IS-6MM-1</t>
  </si>
  <si>
    <t>INSULATED STUDS 6MM X 1 NEG MC20</t>
  </si>
  <si>
    <t>IS-6MM-1/DSP</t>
  </si>
  <si>
    <t>INSULATED STUD 1X6MM BOLT NEG MC20 DSP</t>
  </si>
  <si>
    <t>IS-6MM-1R</t>
  </si>
  <si>
    <t>INSULATED STUDS 6MM X 1 POS MC20</t>
  </si>
  <si>
    <t>IS-6MM-1R/DSP</t>
  </si>
  <si>
    <t>INSULATED STUD 1X6MM BOLT POS MC20 DSP</t>
  </si>
  <si>
    <t>IS-6MM-2</t>
  </si>
  <si>
    <t>INSULATED STUDS 6MM X 2 MC20</t>
  </si>
  <si>
    <t>IS-6MM-2/DSP</t>
  </si>
  <si>
    <t>INSULATED STUDS 2X6MM BOLT MC20 DSP</t>
  </si>
  <si>
    <t>IS-8MM-1</t>
  </si>
  <si>
    <t>INSULATED STUDS 8MM X 1 NEG MC20</t>
  </si>
  <si>
    <t>IS-8MM-1R</t>
  </si>
  <si>
    <t>INSULATED STUDS 8MM X 1 (MC20)</t>
  </si>
  <si>
    <t>ISC-10BK</t>
  </si>
  <si>
    <t>INSULATED STUD COVER NEG BLK</t>
  </si>
  <si>
    <t>ISC-10BK-S</t>
  </si>
  <si>
    <t>INSULATED STUD COVER 8MM SLEEVE BLK</t>
  </si>
  <si>
    <t>ISC-10R</t>
  </si>
  <si>
    <t>INSULATED STUD COVER POS RED</t>
  </si>
  <si>
    <t>ISC-6-2</t>
  </si>
  <si>
    <t>INSULATED STUD COVER DUAL NEG BLK</t>
  </si>
  <si>
    <t>ISC-6-2R</t>
  </si>
  <si>
    <t>INSULATED STUD COVER DUAL (RED) POS</t>
  </si>
  <si>
    <t>IST-10MM-1S</t>
  </si>
  <si>
    <t>INSUL STUD SGL 10mm MC5</t>
  </si>
  <si>
    <t>IST-10MM-1S-B</t>
  </si>
  <si>
    <t>INSUL STUD SGL 10mm BULK MC10</t>
  </si>
  <si>
    <t>IST-10MM-1SPT</t>
  </si>
  <si>
    <t>INSUL STUD SGL c/wADD PWR T/OFF 10mm MC5</t>
  </si>
  <si>
    <t>IST-10MM-1SPT-B</t>
  </si>
  <si>
    <t>INSUL STUD SGL PWR TAKE-OFF 10mm BULK MC10</t>
  </si>
  <si>
    <t>IST-10MM-2S</t>
  </si>
  <si>
    <t>INSUL STUD DBL 10mm MC5</t>
  </si>
  <si>
    <t>IST-10MM-2S-B</t>
  </si>
  <si>
    <t>INSUL STUD DBL 10mm BULK MC10</t>
  </si>
  <si>
    <t>IST-10MM-8MM</t>
  </si>
  <si>
    <t>INSUL STUD DBL  1X10mm-1X8mm MC5</t>
  </si>
  <si>
    <t>IST-10MM-8MM-B</t>
  </si>
  <si>
    <t>INSUL STUD DBL  1X10mm-1X8mm BULK MC10</t>
  </si>
  <si>
    <t>IST-8MM-1S</t>
  </si>
  <si>
    <t>INSUL STUD SGL 8mm MC5</t>
  </si>
  <si>
    <t>IST-8MM-1S-B</t>
  </si>
  <si>
    <t>INSUL STUD SGL 8mm BULK MC10</t>
  </si>
  <si>
    <t>IST-8MM-1SPT</t>
  </si>
  <si>
    <t>INSUL STUD SGL c/w ADD PWR T/OFF 8mm MC5</t>
  </si>
  <si>
    <t>IST-8MM-1SPT-B</t>
  </si>
  <si>
    <t>INSUL STUD SGL PWR TAKE-OFF 8mm BULK MC10</t>
  </si>
  <si>
    <t>IST-8MM-2S</t>
  </si>
  <si>
    <t>INSUL STUD DBL 8mm MC5</t>
  </si>
  <si>
    <t>IST-8MM-2S-B</t>
  </si>
  <si>
    <t>INSUL STUD DBL 8mm BULK MC10</t>
  </si>
  <si>
    <t>J01A</t>
  </si>
  <si>
    <t>FUSE 1A JAP BLADE TYPE</t>
  </si>
  <si>
    <t>J02A</t>
  </si>
  <si>
    <t>FUSE 2A JAP BLADE TYPE</t>
  </si>
  <si>
    <t>J03A</t>
  </si>
  <si>
    <t>FUSE 3A JAP BLADE TYPE</t>
  </si>
  <si>
    <t>J05A</t>
  </si>
  <si>
    <t>FUSE 5A JAP BLADE TYPE</t>
  </si>
  <si>
    <t>J10A</t>
  </si>
  <si>
    <t>FUSE 10A JAP BLADE TYPE</t>
  </si>
  <si>
    <t>J15A</t>
  </si>
  <si>
    <t>FUSE 15A JAP BLADE TYPE</t>
  </si>
  <si>
    <t>J20A</t>
  </si>
  <si>
    <t>FUSE 20A JAP BLADE TYPE</t>
  </si>
  <si>
    <t>J25A</t>
  </si>
  <si>
    <t>FUSE 25A JAP BLADE TYPE</t>
  </si>
  <si>
    <t>J30A</t>
  </si>
  <si>
    <t>FUSE 30A JAP BLADE TYPE</t>
  </si>
  <si>
    <t>J40A</t>
  </si>
  <si>
    <t>FUSE 40A JAP BLADE TYPE</t>
  </si>
  <si>
    <t>J7.5A</t>
  </si>
  <si>
    <t>FUSE 7.5A JAP BLADE TYPE</t>
  </si>
  <si>
    <t>JA7538</t>
  </si>
  <si>
    <t>PROBES FOR RV-TSPK( WELL NUTS &amp; GROMETS)</t>
  </si>
  <si>
    <t>L-14-10</t>
  </si>
  <si>
    <t>LUG FORMED COP 20.3mm2- 10mm HOLE</t>
  </si>
  <si>
    <t>L-14-12</t>
  </si>
  <si>
    <t>LUG FORMED COP 20.3mm2- 12mm HOLE</t>
  </si>
  <si>
    <t>L-14-5</t>
  </si>
  <si>
    <t>LUG FORMED COP 20.3mm- 2-5mm HOLE</t>
  </si>
  <si>
    <t>L-14-6</t>
  </si>
  <si>
    <t>LUG FORMED COP 20.3mm2 - 6mm HOLE</t>
  </si>
  <si>
    <t>L-14-8</t>
  </si>
  <si>
    <t>LUG FORMED COP 20.3mm2 - 8mm HOLE</t>
  </si>
  <si>
    <t>L-22-10</t>
  </si>
  <si>
    <t>LUG FORMED COP 25mm2 - 10mm HOLE</t>
  </si>
  <si>
    <t>L-22-12</t>
  </si>
  <si>
    <t>LUG FORMED COP 25mm2 - 12mm HOLE</t>
  </si>
  <si>
    <t>L-22-6</t>
  </si>
  <si>
    <t>LUG FORMED COP 25mm2 - 6mm HOLE</t>
  </si>
  <si>
    <t>L-22-8</t>
  </si>
  <si>
    <t>LUG FORMED COP 25mm2 - 8mm HOLE</t>
  </si>
  <si>
    <t>L-38-10</t>
  </si>
  <si>
    <t>LUG FORMED COP 40.6mm2- 10mm HOLE</t>
  </si>
  <si>
    <t>L-38-12</t>
  </si>
  <si>
    <t>LUG FORMED COP 40.6mm2- 12mm HOLE</t>
  </si>
  <si>
    <t>L-38-6</t>
  </si>
  <si>
    <t>LUG FORMED COP 40.6mm2- 6mm HOLE</t>
  </si>
  <si>
    <t>L-38-8</t>
  </si>
  <si>
    <t>LUG FORMED COP 40.6mm2- 8mm HOLE</t>
  </si>
  <si>
    <t>L-60-10</t>
  </si>
  <si>
    <t>LUG FORMED COP 70mm2- 10mm HOLE</t>
  </si>
  <si>
    <t>L-60-12</t>
  </si>
  <si>
    <t>LUG FORMED COP 70mm2- 12mm HOLE</t>
  </si>
  <si>
    <t>L-8-10</t>
  </si>
  <si>
    <t>LUG FORMED COP 10mm2- 10mm HOLE</t>
  </si>
  <si>
    <t>L-8-5</t>
  </si>
  <si>
    <t>LUG FORMED COP 10mm2- 5mm HOLE</t>
  </si>
  <si>
    <t>L-8-6</t>
  </si>
  <si>
    <t>LUG FORMED COP 10mm2- 6mm HOLE</t>
  </si>
  <si>
    <t>L-8-8</t>
  </si>
  <si>
    <t>LUG FORMED COP 10mm2- 8mm HOLE</t>
  </si>
  <si>
    <t>LB-1000-50</t>
  </si>
  <si>
    <t>SHUNT AMMETER 1000AMP 50MV SCALE</t>
  </si>
  <si>
    <t>LB-450-50</t>
  </si>
  <si>
    <t>SHUNT AMMETER 450AMP 50MV SCALE</t>
  </si>
  <si>
    <t>LBL-24VBL</t>
  </si>
  <si>
    <t>LBL FOR 24V BACKLIGHTING 50X9MM</t>
  </si>
  <si>
    <t>LBL-MIC1</t>
  </si>
  <si>
    <t>LBL PACK MICRO SET 1 POWER BOAT</t>
  </si>
  <si>
    <t>LBL-MIC2</t>
  </si>
  <si>
    <t>LBL PACK MICRO SET 2 DASH</t>
  </si>
  <si>
    <t>LBL-MICSYM</t>
  </si>
  <si>
    <t>LBL PACK MICRO SYMBOLS</t>
  </si>
  <si>
    <t>LBL-VCUT</t>
  </si>
  <si>
    <t>LBL VCUT CB VINYL</t>
  </si>
  <si>
    <t>LBL-VCUT/CC</t>
  </si>
  <si>
    <t>LBL SPEC VINYL CUT CONTOUR CONNECT</t>
  </si>
  <si>
    <t>LBL-VCUT/CG2</t>
  </si>
  <si>
    <t>LBL SPEC VINYL CUT CG2 PANEL</t>
  </si>
  <si>
    <t>LBL-VCUT/CSP6</t>
  </si>
  <si>
    <t>LBL SPEC VINYL CUT CSP6</t>
  </si>
  <si>
    <t>LBL-VCUT/RVT</t>
  </si>
  <si>
    <t>LBL VINYL FOR RV AND 1000 SERIES PANEL</t>
  </si>
  <si>
    <t>LBL-WP</t>
  </si>
  <si>
    <t>LBL WATERPROOF 4 &amp; 6W LABEL SET</t>
  </si>
  <si>
    <t>LD150R&amp;B/PL</t>
  </si>
  <si>
    <t>LD RED &amp; BLK 150MM INC 1 PLUG &amp; WAFER</t>
  </si>
  <si>
    <t>LD-6B-90-BB</t>
  </si>
  <si>
    <t>LEAD 6mmBLK X 90mm  2 X QKC39</t>
  </si>
  <si>
    <t>LD-6R-90-BB</t>
  </si>
  <si>
    <t>LEAD 6mmRED X 90mm 2 X QKC39</t>
  </si>
  <si>
    <t>LT-07/1</t>
  </si>
  <si>
    <t>LOOM TUBE 7MM SPLIT (200m ROLL)</t>
  </si>
  <si>
    <t>LT-10/1</t>
  </si>
  <si>
    <t>LOOM TUBE 10MM SPLIT (125m ROLL)</t>
  </si>
  <si>
    <t>LT-13/1</t>
  </si>
  <si>
    <t>LOOM TUBE 13MM SPLIT (75m ROLL)</t>
  </si>
  <si>
    <t>LT-15/1</t>
  </si>
  <si>
    <t>LOOM TUBE 16MM SPLIT (50m ROLL)</t>
  </si>
  <si>
    <t>LT-19/1</t>
  </si>
  <si>
    <t>LOOM TUBE 20MM SPLIT (50m ROLL)</t>
  </si>
  <si>
    <t>LT-27/1</t>
  </si>
  <si>
    <t>LOOM TUBE 27MM SPLIT (40m ROLL)</t>
  </si>
  <si>
    <t>M051A-SS</t>
  </si>
  <si>
    <t>Flush Mount Docking Lights - Flat Lens With Stainless Steel frame</t>
  </si>
  <si>
    <t>M28-AM</t>
  </si>
  <si>
    <t>PAN 28SP DC12V ANA V</t>
  </si>
  <si>
    <t>M28-DCSM</t>
  </si>
  <si>
    <t>PAN 28SP DC12V DCSM</t>
  </si>
  <si>
    <t>M32-DCSM</t>
  </si>
  <si>
    <t>M44-DCSM</t>
  </si>
  <si>
    <t>PAN 44SP DC12V DCSM</t>
  </si>
  <si>
    <t>M44H-DCSM</t>
  </si>
  <si>
    <t>PAN 44SP DC12V DCSM HORZ</t>
  </si>
  <si>
    <t>M56-DCSM</t>
  </si>
  <si>
    <t>PAN 56SP DC12V DCSM</t>
  </si>
  <si>
    <t>MCB-3WENC</t>
  </si>
  <si>
    <t>ENCL MINI CB 3W C/W AUST NEG BAR</t>
  </si>
  <si>
    <t>MCB-4WENC</t>
  </si>
  <si>
    <t>ENCL MINI CB 4W C/W AUST NEG BAR</t>
  </si>
  <si>
    <t>ML-005WW/DSP</t>
  </si>
  <si>
    <t>Universal Halogen Deck Lamp, 12V 55W, White</t>
  </si>
  <si>
    <t>MRBF</t>
  </si>
  <si>
    <t>TERMINAL FUSE BLOCK 30-300AMP + COVER</t>
  </si>
  <si>
    <t>MRBF-100A</t>
  </si>
  <si>
    <t>TERMINAL FUSE 100AMP</t>
  </si>
  <si>
    <t>MRBF-100A-B</t>
  </si>
  <si>
    <t>TERMINAL FUSE 100A BULK</t>
  </si>
  <si>
    <t>MRBF-125A</t>
  </si>
  <si>
    <t>TERMINAL FUSE 125AMP</t>
  </si>
  <si>
    <t>MRBF-125A-B</t>
  </si>
  <si>
    <t>TERMINAL FUSE 125A BULK</t>
  </si>
  <si>
    <t>MRBF-150A</t>
  </si>
  <si>
    <t>TERMINAL FUSE 150AMP</t>
  </si>
  <si>
    <t>MRBF-150A-B</t>
  </si>
  <si>
    <t>TERMINAL FUSE 150A BULK</t>
  </si>
  <si>
    <t>MRBF-200A</t>
  </si>
  <si>
    <t>TERMINAL FUSE 200AMP</t>
  </si>
  <si>
    <t>MRBF-200A-B</t>
  </si>
  <si>
    <t>TERMINAL FUSE 200A BULK</t>
  </si>
  <si>
    <t>MRBF-250A-B</t>
  </si>
  <si>
    <t>TERMINAL FUSE 250A BULK</t>
  </si>
  <si>
    <t>MRBF-300A</t>
  </si>
  <si>
    <t>TERMINAL FUSE 300AMP</t>
  </si>
  <si>
    <t>MRBF-300A-B</t>
  </si>
  <si>
    <t>TERMINAL FUSE 300A BULK</t>
  </si>
  <si>
    <t>MRBF-50A</t>
  </si>
  <si>
    <t>TERMINAL FUSE 50AMP</t>
  </si>
  <si>
    <t>MRBF-50A-B</t>
  </si>
  <si>
    <t>TERMINAL FUSE 50A BULK</t>
  </si>
  <si>
    <t>MRBF-80A</t>
  </si>
  <si>
    <t>TERMINAL FUSE 80AMP</t>
  </si>
  <si>
    <t>MRBF-80A-B</t>
  </si>
  <si>
    <t>TERMINAL FUSE 80A BULK</t>
  </si>
  <si>
    <t>MRBF-B</t>
  </si>
  <si>
    <t>TERM FUSE BLOCK 30-300A+COVER BULK MC10</t>
  </si>
  <si>
    <t>MRCBF-200A</t>
  </si>
  <si>
    <t>HD CB BUSSMAN 187 SERIES 200A FLSH MNT</t>
  </si>
  <si>
    <t>MRCBF-200A-B</t>
  </si>
  <si>
    <t>HD CB BUSSMAN 187  200A FLSH MNT BULK</t>
  </si>
  <si>
    <t>MRCBP-200A</t>
  </si>
  <si>
    <t>HD CB BUSSMAN 187 SERIES 200A P/MNT</t>
  </si>
  <si>
    <t>MRCBP-200A-B</t>
  </si>
  <si>
    <t>HD CB BUSSMAN 187 200A PAN MNT BULK</t>
  </si>
  <si>
    <t>MSC-07</t>
  </si>
  <si>
    <t>LBL OVAL BAT SYM WITH BEP LOGO</t>
  </si>
  <si>
    <t>MSPC-702</t>
  </si>
  <si>
    <t>PC FACE LBL FOR 702 DIST STUD</t>
  </si>
  <si>
    <t>MSPM-6</t>
  </si>
  <si>
    <t>MLDG DBL BOX BODY GREY</t>
  </si>
  <si>
    <t>MSPM-7</t>
  </si>
  <si>
    <t>MLDG SNGL SIDE WITH CUT OUT GREY</t>
  </si>
  <si>
    <t>MSPML-4</t>
  </si>
  <si>
    <t>MLDG MSW SNGL SIDE PLATE LRG GREY</t>
  </si>
  <si>
    <t>N0100A</t>
  </si>
  <si>
    <t>AMMETER DC 0-100A 50MV</t>
  </si>
  <si>
    <t>N0100ACT</t>
  </si>
  <si>
    <t>AMMETER AC 0-100A</t>
  </si>
  <si>
    <t>N010A</t>
  </si>
  <si>
    <t>AMMETER DC 0-10A INT/SHUNT</t>
  </si>
  <si>
    <t>N0150A</t>
  </si>
  <si>
    <t>AMMETER DC 0-150A 50MV</t>
  </si>
  <si>
    <t>N0150ACV</t>
  </si>
  <si>
    <t>VOLTMETER AC 0-150V CONTOUR SERIES</t>
  </si>
  <si>
    <t>N020A</t>
  </si>
  <si>
    <t>AMMETER DC 0-20A INT/SHUNT</t>
  </si>
  <si>
    <t>N0300ACV</t>
  </si>
  <si>
    <t>VOLMETER AC 0-300V CONTOUR SERIES</t>
  </si>
  <si>
    <t>N050A</t>
  </si>
  <si>
    <t>AMMETER DC 0-50A 50MV</t>
  </si>
  <si>
    <t>N060ACT</t>
  </si>
  <si>
    <t>AMMETER AC 0-60A</t>
  </si>
  <si>
    <t>N1632DCV</t>
  </si>
  <si>
    <t>VOLTMETER DC 16-32V CONTOUR SERIES</t>
  </si>
  <si>
    <t>N816DCV</t>
  </si>
  <si>
    <t>VOLTMETER 8-16V CONTOUR SERIES</t>
  </si>
  <si>
    <t>NC32Y-AM</t>
  </si>
  <si>
    <t>PAN 32SP DC12V ANA V A YMIM</t>
  </si>
  <si>
    <t>NC32Y-DCSM</t>
  </si>
  <si>
    <t>PAN 32SP DC12V DCSM YMIM</t>
  </si>
  <si>
    <t>NC32YNM</t>
  </si>
  <si>
    <t>PAN 32SP DC12V YMIM NO METER</t>
  </si>
  <si>
    <t>NC36L-DCSM</t>
  </si>
  <si>
    <t>PAN 36SP DC12V DCSM LM</t>
  </si>
  <si>
    <t>NC36NM</t>
  </si>
  <si>
    <t>PAN 36SP DC12V NO METER</t>
  </si>
  <si>
    <t>NCB12W-COP</t>
  </si>
  <si>
    <t>LINKBAR COPPER 12W SLOTTED</t>
  </si>
  <si>
    <t>NCB8W-COP</t>
  </si>
  <si>
    <t>LINKBAR COPPER 8W SLOTTED</t>
  </si>
  <si>
    <t>NCB-CC</t>
  </si>
  <si>
    <t>LINKBAR COPPER 4W SLOTTED for CC</t>
  </si>
  <si>
    <t>PC-600-GD/SO-MK2</t>
  </si>
  <si>
    <t>PC FACE LBL 600 SERIES GAS SHUT OFF PAN</t>
  </si>
  <si>
    <t>PCA-12W-AC110</t>
  </si>
  <si>
    <t>PCBA - 12W, 110VAC</t>
  </si>
  <si>
    <t>PCA-12W-DC</t>
  </si>
  <si>
    <t>PCBA - 12W, 12VDC</t>
  </si>
  <si>
    <t>PCA-4W-DC</t>
  </si>
  <si>
    <t>PCBA - 4W, 12VDC</t>
  </si>
  <si>
    <t>PCA-8W-AC230</t>
  </si>
  <si>
    <t>PCBA - 8W, 230VAC</t>
  </si>
  <si>
    <t>PCB-12W-AC230-SP</t>
  </si>
  <si>
    <t>PCB ASSY 12W AC230</t>
  </si>
  <si>
    <t>PCB-12W-DC-SP</t>
  </si>
  <si>
    <t>PCB ASSY 12W DC</t>
  </si>
  <si>
    <t>PCB-4W-AC110-SP</t>
  </si>
  <si>
    <t>PCB ASSY 4W AC110</t>
  </si>
  <si>
    <t>PCB-4W-AC230-SP</t>
  </si>
  <si>
    <t>PCB ASSY 4W AC230</t>
  </si>
  <si>
    <t>PCB-4W-DC-SP</t>
  </si>
  <si>
    <t>PCB ASSY 4W DC</t>
  </si>
  <si>
    <t>PCB-8W-AC110-SP</t>
  </si>
  <si>
    <t>PCB ASSY 8W AC110</t>
  </si>
  <si>
    <t>PCB-8W-AC230-SP</t>
  </si>
  <si>
    <t>PCB ASSY 8W AC230</t>
  </si>
  <si>
    <t>PCB-8W-DC-SP</t>
  </si>
  <si>
    <t>PCB ASSY 8W DC</t>
  </si>
  <si>
    <t>PCB-ACS/S-230V-B-SP</t>
  </si>
  <si>
    <t>PCB ASSY AC S/S 230V REV POL BOTTOM</t>
  </si>
  <si>
    <t>PCB-ACS/S-230V-T-SP</t>
  </si>
  <si>
    <t>PCB ASSY AC S/S 230V REV POL TOP</t>
  </si>
  <si>
    <t>PC-DISK20MM</t>
  </si>
  <si>
    <t>PC DISK BLANK 20MM GREY</t>
  </si>
  <si>
    <t>PM-1C</t>
  </si>
  <si>
    <t>MLDG PAN CB FACE CVR 4W CLIP ON GREY</t>
  </si>
  <si>
    <t>PM-600-SC</t>
  </si>
  <si>
    <t>MLDG COVER DIG SM SCREW GREY</t>
  </si>
  <si>
    <t>PM-CBSS-V2</t>
  </si>
  <si>
    <t>MLDG SLIDE SINGLE for CB</t>
  </si>
  <si>
    <t>PMCC-10</t>
  </si>
  <si>
    <t>MLDG CC PTR SPACER  RESET CAP</t>
  </si>
  <si>
    <t>PMCG-4-1BL</t>
  </si>
  <si>
    <t>MLDG CG2 4W TRIM BLUE</t>
  </si>
  <si>
    <t>PMCG-6-1BL</t>
  </si>
  <si>
    <t>MLDG CG2 6W TRIM BLUE</t>
  </si>
  <si>
    <t>PM-KNOB-B</t>
  </si>
  <si>
    <t>KNOB ANALOGUE BLK</t>
  </si>
  <si>
    <t>PMRVB-600</t>
  </si>
  <si>
    <t>MLDG RV DCSM MAIN BODY COVER  BLK</t>
  </si>
  <si>
    <t>PMRVG-4</t>
  </si>
  <si>
    <t>MLDG RV ANA METER GREY</t>
  </si>
  <si>
    <t>QK-2</t>
  </si>
  <si>
    <t>CONN &amp; TERM 2 CIR MALE/FEMALE PLUG COMP</t>
  </si>
  <si>
    <t>QK2A-2</t>
  </si>
  <si>
    <t>CONN 2 CIR MALE PLUG 10/BAG</t>
  </si>
  <si>
    <t>QK2ASL-2</t>
  </si>
  <si>
    <t>CONN 2 CIR MALE PLUG TAB 10/BAG</t>
  </si>
  <si>
    <t>QK2B-2</t>
  </si>
  <si>
    <t>CONN 2 CIR FEMALE PLUG 10/BAG</t>
  </si>
  <si>
    <t>QK2BSL-2</t>
  </si>
  <si>
    <t>CONN 2 CIR FEMALE PLUG TAB 10/BAG</t>
  </si>
  <si>
    <t>QK3AL-2</t>
  </si>
  <si>
    <t>CONN 3 CIR MALE PLUG 10/BAG</t>
  </si>
  <si>
    <t>QK3BL-2</t>
  </si>
  <si>
    <t>CONN 3 CIR FEMALE PLUG 10/BAG</t>
  </si>
  <si>
    <t>QK4AL-2</t>
  </si>
  <si>
    <t>CONN 4 CIR MALE PLUG 10/BAG</t>
  </si>
  <si>
    <t>QK4BL-2</t>
  </si>
  <si>
    <t>CONN 4 CIR FEMALE PLUG 10/BAG</t>
  </si>
  <si>
    <t>QK6BLT-2</t>
  </si>
  <si>
    <t>CONN 6 CIR FEMALE PLUG 10/BAG</t>
  </si>
  <si>
    <t>QK8AL-2</t>
  </si>
  <si>
    <t>CONN 8 CIR MALE PLUG 10/BAG</t>
  </si>
  <si>
    <t>QK8BLT-2</t>
  </si>
  <si>
    <t>CONN 8 CIR FEMALE PLUG 10/BAG</t>
  </si>
  <si>
    <t>QKC02</t>
  </si>
  <si>
    <t>TERM RING 4mm RW1-4 RED 100/BAG</t>
  </si>
  <si>
    <t>QKC03</t>
  </si>
  <si>
    <t>TERM RING 5mm RW1-5 RED 100/BAG</t>
  </si>
  <si>
    <t>QKC04</t>
  </si>
  <si>
    <t>TERM RING 6mm RW1-6 RED 100/BAG</t>
  </si>
  <si>
    <t>QKC05</t>
  </si>
  <si>
    <t>TERM RING 8mm RED 100/BAG</t>
  </si>
  <si>
    <t>QKC06</t>
  </si>
  <si>
    <t>TERM RING 10mm RED 100/BAG</t>
  </si>
  <si>
    <t>QKC10</t>
  </si>
  <si>
    <t>TERM. BUTT PIN RED 100/BAG</t>
  </si>
  <si>
    <t>QKC11</t>
  </si>
  <si>
    <t>TERM. JOINER BUTT STD RED 100/BAG</t>
  </si>
  <si>
    <t>QKC12</t>
  </si>
  <si>
    <t>TERM 6mm FEMALE UNINSUL RED 100/BAG</t>
  </si>
  <si>
    <t>QKC13</t>
  </si>
  <si>
    <t>TERM LUCR 5mm FEMALE UNINSUL RED 100/BAG</t>
  </si>
  <si>
    <t>QKC14</t>
  </si>
  <si>
    <t>TERM SPADE 6mm MALE UNINSUL RED 100/BAG</t>
  </si>
  <si>
    <t>QKC15</t>
  </si>
  <si>
    <t>TERM PIGGY/BACK MALE/FEMALE RED 100/BAG</t>
  </si>
  <si>
    <t>QKC16</t>
  </si>
  <si>
    <t>TERM LUCR 6mm FEM FULLY INSUL RED100/BAG</t>
  </si>
  <si>
    <t>QKC17</t>
  </si>
  <si>
    <t>TERM BULLET 4mm MALE RED 100/BAG</t>
  </si>
  <si>
    <t>QKC18</t>
  </si>
  <si>
    <t>TERM BULLET 4mm FEMALE RED 100/BAG</t>
  </si>
  <si>
    <t>QKC21</t>
  </si>
  <si>
    <t>TERM RING 4mm RW2-4 BLUE 100/BAG</t>
  </si>
  <si>
    <t>QKC22</t>
  </si>
  <si>
    <t>TERM RING 5mm RW2-5 BLUE 100/BAG</t>
  </si>
  <si>
    <t>QKC23</t>
  </si>
  <si>
    <t>TERM RING 6mm RW2-6 BLUE 100/BAG</t>
  </si>
  <si>
    <t>QKC24</t>
  </si>
  <si>
    <t>TERM RING 8mm RW2-8 BLUE 100/BAG</t>
  </si>
  <si>
    <t>QKC25</t>
  </si>
  <si>
    <t>TERM RING 10mm RW2-10 BLUE 100/BAG</t>
  </si>
  <si>
    <t>QKC26</t>
  </si>
  <si>
    <t>TERM RING 12mm BLUE 100/BAG</t>
  </si>
  <si>
    <t>QKC28</t>
  </si>
  <si>
    <t>TERM FORK 4mm SW2-4 BLUE 100/BAG</t>
  </si>
  <si>
    <t>QKC30</t>
  </si>
  <si>
    <t>TERM PIN MALE BLUE 100/BAG</t>
  </si>
  <si>
    <t>QKC31</t>
  </si>
  <si>
    <t>TERM JOINER BUTT STD BLUE 100/BAG</t>
  </si>
  <si>
    <t>QKC33</t>
  </si>
  <si>
    <t>TERM SPADE 6mm MALE BLUE 100/BAG</t>
  </si>
  <si>
    <t>QKC34</t>
  </si>
  <si>
    <t>TERM PIGGY/BACK MALE/FEMALE BLUE 100/BAG</t>
  </si>
  <si>
    <t>QKC35</t>
  </si>
  <si>
    <t>TERM LUCR 6mm FEM FULLY INSUL BLU100/BAG</t>
  </si>
  <si>
    <t>QKC36</t>
  </si>
  <si>
    <t>BLUE MALE BULLET BAG- 100</t>
  </si>
  <si>
    <t>QKC37</t>
  </si>
  <si>
    <t>TERM. BULLET 5MM FEMALE BLUE 100/BAG</t>
  </si>
  <si>
    <t>QKC38</t>
  </si>
  <si>
    <t>TERM RING 4mm RW5-4 YL 100/BAG</t>
  </si>
  <si>
    <t>QKC39</t>
  </si>
  <si>
    <t>TERM RING 5mm RW5-5 YL 100/BAG</t>
  </si>
  <si>
    <t>QKC40</t>
  </si>
  <si>
    <t>TERM RING 6mm RW5-6 YL 100/BAG</t>
  </si>
  <si>
    <t>QKC41</t>
  </si>
  <si>
    <t>TERM RING 8mm RW6-8 YL 50/BAG</t>
  </si>
  <si>
    <t>QKC42</t>
  </si>
  <si>
    <t>TERM RING 10mm RW6-10 YL 50/PACK</t>
  </si>
  <si>
    <t>QKC43</t>
  </si>
  <si>
    <t>TERM RING 12mm RW5-12 YL 50/BAG</t>
  </si>
  <si>
    <t>QKC49</t>
  </si>
  <si>
    <t>TERM JOINER BUTT STD YL 100/BAG</t>
  </si>
  <si>
    <t>QKC50</t>
  </si>
  <si>
    <t>TERM LUCR 6MM FEMALE UNINSUL YL 100/BAG</t>
  </si>
  <si>
    <t>QKC52</t>
  </si>
  <si>
    <t>TERM LUCR 3mm FEMALE UNINSUL RED100/BAG</t>
  </si>
  <si>
    <t>QKC54</t>
  </si>
  <si>
    <t>TERM LUCR 6mm PIGGYBACK BRASS 100/BAG</t>
  </si>
  <si>
    <t>QKC55</t>
  </si>
  <si>
    <t>TERM LUCR FEMALE FULLY INSUL YL 100/BAG</t>
  </si>
  <si>
    <t>QKC87</t>
  </si>
  <si>
    <t>TERM.SPADE 6MM MALE UNINSUL YLW 100/BAG</t>
  </si>
  <si>
    <t>RES-12WAY</t>
  </si>
  <si>
    <t>B/LIGHT UPGRADE KIT 24V 12W</t>
  </si>
  <si>
    <t>RES-16WAY</t>
  </si>
  <si>
    <t>B/LIGHT UPGRADE KIT 24V 16W</t>
  </si>
  <si>
    <t>RES-20WAY</t>
  </si>
  <si>
    <t>B/LIGHT UPGRADE KIT 24V 20W</t>
  </si>
  <si>
    <t>RES-24WAY</t>
  </si>
  <si>
    <t>B/LIGHT UPGRADE KIT 24V 24W</t>
  </si>
  <si>
    <t>RES-28WAY</t>
  </si>
  <si>
    <t>B/LIGHT UPGRADE KIT 24V 28W</t>
  </si>
  <si>
    <t>RES-32WAY</t>
  </si>
  <si>
    <t>B/LIGHT UPGRADE KIT 24V 32W</t>
  </si>
  <si>
    <t>RES-36WAY</t>
  </si>
  <si>
    <t>B/LIGHT UPGRADE KIT 24V 36W</t>
  </si>
  <si>
    <t>RES-44WAY</t>
  </si>
  <si>
    <t>B/LIGHT UPGRADE KIT 24V 44W</t>
  </si>
  <si>
    <t>RES-4WAY</t>
  </si>
  <si>
    <t>B/LIGHT UPGRADE KIT 24V 4W</t>
  </si>
  <si>
    <t>RES-8WAY</t>
  </si>
  <si>
    <t>B/LIGHT UPGRADE KIT 24V 8W</t>
  </si>
  <si>
    <t>RG58  A/U</t>
  </si>
  <si>
    <t>CAB TINNED COAX VHF OVER 15MTR</t>
  </si>
  <si>
    <t>RIV-34-4000-D</t>
  </si>
  <si>
    <t>DIESEL SNDR 34/40 A63 B710 C114 DEG</t>
  </si>
  <si>
    <t>RIV-58D</t>
  </si>
  <si>
    <t>DIESEL SNDR RIV58-1450. T/M 10/180</t>
  </si>
  <si>
    <t>RSW-V-A</t>
  </si>
  <si>
    <t>ROTARY SW ASSY FOR VOLTS &amp; AMPS</t>
  </si>
  <si>
    <t>RSW-V-V2</t>
  </si>
  <si>
    <t>ROTARY SW ASSY FOR VS V2</t>
  </si>
  <si>
    <t>RV-6W-12V</t>
  </si>
  <si>
    <t>RV TRAV PAN 6W &amp; FUSE 12V MC6</t>
  </si>
  <si>
    <t>RV-6W-12V/B</t>
  </si>
  <si>
    <t>RV TRAV PAN 6W &amp; FUSE 12V BULK MC12</t>
  </si>
  <si>
    <t>RV-TG-2T</t>
  </si>
  <si>
    <t>RV TRAV TG 1-2 TANK MC4</t>
  </si>
  <si>
    <t>RV-TG2-W/W</t>
  </si>
  <si>
    <t>RV TRAV TG 2 TANK WASTE/WATER MC4</t>
  </si>
  <si>
    <t>RV-TG-3T</t>
  </si>
  <si>
    <t>RV TRAV TG 1-3 TANK</t>
  </si>
  <si>
    <t>RV-TS-5M</t>
  </si>
  <si>
    <t>RV TANK SENDER CAB ARM 5M</t>
  </si>
  <si>
    <t>RV-TSPK</t>
  </si>
  <si>
    <t>RV TANK SENDER PROBE KIT MC10</t>
  </si>
  <si>
    <t>RV-VM-12V</t>
  </si>
  <si>
    <t>RV TRAV PAN VMETER 8-16V MC5</t>
  </si>
  <si>
    <t>RV-VM-12V/B</t>
  </si>
  <si>
    <t>TRAVELLER VMETER PAN 8-16V BULK MC6</t>
  </si>
  <si>
    <t>RV-VM-24V</t>
  </si>
  <si>
    <t>RV TRAV PAN VMETER 16-32V</t>
  </si>
  <si>
    <t>S/S6/32X1/4PANPO</t>
  </si>
  <si>
    <t>SCREW S/S 6/32 X1/4 PAN MACH</t>
  </si>
  <si>
    <t>S/SM4X20</t>
  </si>
  <si>
    <t>SCREW S/S M4X20 CSK POZI MACH 304</t>
  </si>
  <si>
    <t>S10-10</t>
  </si>
  <si>
    <t>LUG TUBE COP CRMP 10mm2- M10 HOLE</t>
  </si>
  <si>
    <t>S10-6</t>
  </si>
  <si>
    <t>LUG TUBE COP CRMP 10mm2- M6 HOLE</t>
  </si>
  <si>
    <t>S10-8</t>
  </si>
  <si>
    <t>LUG TUBE COP CRMP 10mm2- M8 HOLE</t>
  </si>
  <si>
    <t>S120-10</t>
  </si>
  <si>
    <t>LUG TUBE COP CRMP 120mm2- M10 HOLE EA</t>
  </si>
  <si>
    <t>S16-10</t>
  </si>
  <si>
    <t>LUG TUBE COP CRMP 16mm2- M10 HOLE</t>
  </si>
  <si>
    <t>S16-12</t>
  </si>
  <si>
    <t>LUG TUBE COP CRMP 16mm2- M12 HOLE</t>
  </si>
  <si>
    <t>S16-6</t>
  </si>
  <si>
    <t>LUG TUBE COP CRMP 16mm2- M6 HOLE</t>
  </si>
  <si>
    <t>S16-8</t>
  </si>
  <si>
    <t>LUG TUBE COP CRMP 16mm2- M8 HOLE</t>
  </si>
  <si>
    <t>S25-10</t>
  </si>
  <si>
    <t>LUG TUBE COP CRMP 25mm2- M10 HOLE</t>
  </si>
  <si>
    <t>S25-12</t>
  </si>
  <si>
    <t>LUG TUBE COP CRMP 25mm2- M12 HOLE</t>
  </si>
  <si>
    <t>S25-6</t>
  </si>
  <si>
    <t>LUG TUBE COP CRMP 25mm2- M6 HOLE</t>
  </si>
  <si>
    <t>S25-8</t>
  </si>
  <si>
    <t>LUG TUBE COP CRMP 25mm2- M8 HOLE</t>
  </si>
  <si>
    <t>S35-10</t>
  </si>
  <si>
    <t>LUG TUBE COP CRMP 35mm2- M10 HOLE</t>
  </si>
  <si>
    <t>S35-12</t>
  </si>
  <si>
    <t>LUG TUBE COP CRMP 35mm2- M12 HOLE</t>
  </si>
  <si>
    <t>S35-6</t>
  </si>
  <si>
    <t>LUG TUBE COP CRMP 35mm2- M6 HOLE</t>
  </si>
  <si>
    <t>S35-8</t>
  </si>
  <si>
    <t>LUG TUBE COP CRMP 35mm2- M8 HOLE</t>
  </si>
  <si>
    <t>S50-10</t>
  </si>
  <si>
    <t>LUG TUBE COP CRMP 50mm2- M10 HOLE</t>
  </si>
  <si>
    <t>S50-12</t>
  </si>
  <si>
    <t>LUG TUBE COP CRMP 50mm2- M12 HOLE</t>
  </si>
  <si>
    <t>S50-6</t>
  </si>
  <si>
    <t>LUG TUBE COP CRMP 50mm2- M6 HOLE</t>
  </si>
  <si>
    <t>S50-8</t>
  </si>
  <si>
    <t>LUG TUBE COP CRMP 50mm2- M8 HOLE</t>
  </si>
  <si>
    <t>S70-10</t>
  </si>
  <si>
    <t>LUG TUBE COP CRMP 70mm2- M10 HOLE</t>
  </si>
  <si>
    <t>S70-12</t>
  </si>
  <si>
    <t>LUG TUBE COP CRMP 70mm2- M12 HOLE</t>
  </si>
  <si>
    <t>S70-8</t>
  </si>
  <si>
    <t>LUG TUBE COP CRMP 70mm2- M8 HOLE</t>
  </si>
  <si>
    <t>S95-10</t>
  </si>
  <si>
    <t>LUG TUBE COP CRMP 95mm2 - M10 HOLE EA</t>
  </si>
  <si>
    <t>S95-12</t>
  </si>
  <si>
    <t>LUG TUBE COP CRMP 95mm2 - M12 HOLE EA</t>
  </si>
  <si>
    <t>S95-8</t>
  </si>
  <si>
    <t>LUG TUBE COP CRMP 95mm2 - M8 HOLE EA</t>
  </si>
  <si>
    <t>SA296COMP-12V</t>
  </si>
  <si>
    <t>SOLENOID LPG SHUT OFF 12V Nickle Plated</t>
  </si>
  <si>
    <t>SA296COMP-24V</t>
  </si>
  <si>
    <t>SOLENOID LPG SHUT OFF 24V Nickle Plated</t>
  </si>
  <si>
    <t>SET-1000</t>
  </si>
  <si>
    <t>LBL SET 1000 SERIES</t>
  </si>
  <si>
    <t>SET-1002</t>
  </si>
  <si>
    <t>LBL SET 1000 SYMBOL</t>
  </si>
  <si>
    <t>SET-10N</t>
  </si>
  <si>
    <t>LBL SHEET-SET-10N</t>
  </si>
  <si>
    <t>SET-12N</t>
  </si>
  <si>
    <t>LBL SHEET SET-12N</t>
  </si>
  <si>
    <t>SET-13N</t>
  </si>
  <si>
    <t>LBL SHEET SET-13N</t>
  </si>
  <si>
    <t>SET-14N</t>
  </si>
  <si>
    <t>LBL SHEET SET-14N</t>
  </si>
  <si>
    <t>SET-15N</t>
  </si>
  <si>
    <t>LBL SHEET SET-15N</t>
  </si>
  <si>
    <t>SET-16N</t>
  </si>
  <si>
    <t>LBL SHEET SET-16N</t>
  </si>
  <si>
    <t>SET-17N</t>
  </si>
  <si>
    <t>LBL SHEET SET-17N</t>
  </si>
  <si>
    <t>SET-18N</t>
  </si>
  <si>
    <t>LBL SHEET SET-18N</t>
  </si>
  <si>
    <t>SET-19N</t>
  </si>
  <si>
    <t>LBL SHEET SET-19N</t>
  </si>
  <si>
    <t>SET-1N</t>
  </si>
  <si>
    <t>LBL SHEET SET-1N</t>
  </si>
  <si>
    <t>SET-1SP</t>
  </si>
  <si>
    <t>LBL SET CSP6</t>
  </si>
  <si>
    <t>SET-20N</t>
  </si>
  <si>
    <t>LBL SHEET SET-20N</t>
  </si>
  <si>
    <t>SET-22N</t>
  </si>
  <si>
    <t>LBL SHEET SET-22N</t>
  </si>
  <si>
    <t>SET-23N</t>
  </si>
  <si>
    <t>LBL SHEET SET-23N</t>
  </si>
  <si>
    <t>SET-24N</t>
  </si>
  <si>
    <t>LBL SHEET SET-24N</t>
  </si>
  <si>
    <t>SET-25N</t>
  </si>
  <si>
    <t>LBL SHEET SET-25N</t>
  </si>
  <si>
    <t>SET-26N</t>
  </si>
  <si>
    <t>LBL SHEET SET-26N</t>
  </si>
  <si>
    <t>SET-2N</t>
  </si>
  <si>
    <t>LBL SHEET SET-2N</t>
  </si>
  <si>
    <t>SET-2SP</t>
  </si>
  <si>
    <t>LBL SET CSP6 PAN SAILBOAT 28/SET</t>
  </si>
  <si>
    <t>SET-3N</t>
  </si>
  <si>
    <t>LBL SHEET SET-3N</t>
  </si>
  <si>
    <t>SET-4N</t>
  </si>
  <si>
    <t>LBL SHEET SET-4N</t>
  </si>
  <si>
    <t>SET-5N</t>
  </si>
  <si>
    <t>LBL SHEET SET-5N</t>
  </si>
  <si>
    <t>SET-6N</t>
  </si>
  <si>
    <t>LBL SHEET SET-6N</t>
  </si>
  <si>
    <t>SET-715</t>
  </si>
  <si>
    <t>LBL BAT SW SET incl HOUSE, EP, START</t>
  </si>
  <si>
    <t>SET-770</t>
  </si>
  <si>
    <t>LBL SET FOR 770 BAT SW</t>
  </si>
  <si>
    <t>SET-770-B</t>
  </si>
  <si>
    <t>LBL SET FOR 770 BAT SW BULK</t>
  </si>
  <si>
    <t>SET-770-EP</t>
  </si>
  <si>
    <t>LBL SET FOR 770 EP ONLY 18/sheet</t>
  </si>
  <si>
    <t>SET-7N</t>
  </si>
  <si>
    <t>LBL SHEET SET-7N</t>
  </si>
  <si>
    <t>SET-8N</t>
  </si>
  <si>
    <t>LBL SHEET SET-8N</t>
  </si>
  <si>
    <t>SET-9N</t>
  </si>
  <si>
    <t>LBL SHEET SET-9N</t>
  </si>
  <si>
    <t>SET-A</t>
  </si>
  <si>
    <t>LBL SHEET A</t>
  </si>
  <si>
    <t>SET-B</t>
  </si>
  <si>
    <t>LBL SHEET B</t>
  </si>
  <si>
    <t>SET-BLANK</t>
  </si>
  <si>
    <t>LBL SHEET RECTANGLE ALL BLANK BLK</t>
  </si>
  <si>
    <t>SET-CC-1</t>
  </si>
  <si>
    <t>LBL SHEET CC 1</t>
  </si>
  <si>
    <t>SET-CC-A</t>
  </si>
  <si>
    <t>LBL SHEET CC A</t>
  </si>
  <si>
    <t>SET-CC-BCC-1</t>
  </si>
  <si>
    <t>LBL SHEET CC BCC 1</t>
  </si>
  <si>
    <t>SET-FRENCH</t>
  </si>
  <si>
    <t>LBL SPEC FRENCH SHEET V1</t>
  </si>
  <si>
    <t>SET-FRENCH2</t>
  </si>
  <si>
    <t>LBL SPEC FRENCH SHEET V2</t>
  </si>
  <si>
    <t>SET-G2-1</t>
  </si>
  <si>
    <t>LBL SHEET 1 FOR CG2 PAN</t>
  </si>
  <si>
    <t>SET-G2-2</t>
  </si>
  <si>
    <t>LBL SHEET 2 FOR CG2 PAN</t>
  </si>
  <si>
    <t>SET-G2-3</t>
  </si>
  <si>
    <t>LBL SHEET 3 FOR CG2 PAN</t>
  </si>
  <si>
    <t>SET-MIC1</t>
  </si>
  <si>
    <t>LBL MICRO SET 1</t>
  </si>
  <si>
    <t>SET-MIC2</t>
  </si>
  <si>
    <t>LBL MICRO SET 2</t>
  </si>
  <si>
    <t>SET-MSP</t>
  </si>
  <si>
    <t>LBL SHEET 1 MSP 30/SHT</t>
  </si>
  <si>
    <t>SET-MSP4</t>
  </si>
  <si>
    <t>LBL SHEET 4 MSP 30/SHT</t>
  </si>
  <si>
    <t>SET-RV</t>
  </si>
  <si>
    <t>LBL RV TRAVELLER</t>
  </si>
  <si>
    <t>SET-RVDC</t>
  </si>
  <si>
    <t>LBL SHEET RV DC</t>
  </si>
  <si>
    <t>SET-SP2</t>
  </si>
  <si>
    <t>LBL SHEET SPARE</t>
  </si>
  <si>
    <t>SL67G</t>
  </si>
  <si>
    <t>WARNING LIGHT GREEN NO BULB</t>
  </si>
  <si>
    <t>SMF6-97</t>
  </si>
  <si>
    <t>ALLOY SPACER 97MM L. M4 F/M 6/32 MALE</t>
  </si>
  <si>
    <t>SMF6-DOME NUT</t>
  </si>
  <si>
    <t>NUT CAP NYLON NU09-PNN632C 6/32</t>
  </si>
  <si>
    <t>SOP1</t>
  </si>
  <si>
    <t>PAN SOP 1 4W DC12V</t>
  </si>
  <si>
    <t>SOP1-AL</t>
  </si>
  <si>
    <t>PAN SOP 1 4W DC12V c/w ALARM</t>
  </si>
  <si>
    <t>SOP2</t>
  </si>
  <si>
    <t>PAN SOP 2 8W DC12V</t>
  </si>
  <si>
    <t>SW-32111</t>
  </si>
  <si>
    <t>SW TOG 10A ON/OFF C/W N&amp;P</t>
  </si>
  <si>
    <t>SW-32113</t>
  </si>
  <si>
    <t>SW TOG 20A ON/ON C/W N&amp;P</t>
  </si>
  <si>
    <t>SW-32114</t>
  </si>
  <si>
    <t>SW TOG 10A SPDT ON/OFF/ON C/W N&amp;P</t>
  </si>
  <si>
    <t>SW-32115</t>
  </si>
  <si>
    <t>SW TOG 10A (ON)OFF C/W N&amp;P</t>
  </si>
  <si>
    <t>SW-32120</t>
  </si>
  <si>
    <t>SW TOG 10A SP (ON)OFF(ON) C/W N&amp;P</t>
  </si>
  <si>
    <t>SW-32123</t>
  </si>
  <si>
    <t>SW TOG 10A DPDT ON/OFF/ON C/W N&amp;P</t>
  </si>
  <si>
    <t>SW-32124</t>
  </si>
  <si>
    <t>10 AMP TOGGLE SW 0N 0FF DOUBLE POLE</t>
  </si>
  <si>
    <t>SW-6064B3P</t>
  </si>
  <si>
    <t>SW CONTOUR ON/ON</t>
  </si>
  <si>
    <t>SW-6064C3P</t>
  </si>
  <si>
    <t>SW CONTOUR ON/OFF/ON</t>
  </si>
  <si>
    <t>SW-6064D3P</t>
  </si>
  <si>
    <t>SW CONTOUR ON/OFF/(ON)</t>
  </si>
  <si>
    <t>SW-CG1</t>
  </si>
  <si>
    <t>SW ROCKER ON-OFF FOR CG2</t>
  </si>
  <si>
    <t>SW-CG2</t>
  </si>
  <si>
    <t>SW ROCKER (ON)-OFF FOR CG2</t>
  </si>
  <si>
    <t>SW-CG3</t>
  </si>
  <si>
    <t>SW ROCKER ON-OFF-ON FOR CG2</t>
  </si>
  <si>
    <t>SW-CG4</t>
  </si>
  <si>
    <t>SW ROCKER (ON)-OFF-(ON) FOR CG2</t>
  </si>
  <si>
    <t>SW-M331</t>
  </si>
  <si>
    <t>SW TOG COVER &amp; WASHER</t>
  </si>
  <si>
    <t>SW-RVS2</t>
  </si>
  <si>
    <t>SW ROCKER ON-OFF LED 13A RV PAN</t>
  </si>
  <si>
    <t>T0.75MMC-100</t>
  </si>
  <si>
    <t>CAB UNTINNED 0.75MM SPKR CLEAR 100 M</t>
  </si>
  <si>
    <t>T1.5MMB-1</t>
  </si>
  <si>
    <t>CAB TINNED 1.5MM BLK PER MTR</t>
  </si>
  <si>
    <t>T1.5MMBL-1</t>
  </si>
  <si>
    <t>CAB TINNED 1.5MM BLU PER MTR</t>
  </si>
  <si>
    <t>T1.5MMBR-1</t>
  </si>
  <si>
    <t>CAB TINNED 1.5MM BROWN PER MTR</t>
  </si>
  <si>
    <t>T1.5MMG-1</t>
  </si>
  <si>
    <t>CAB TINNED 1.5MM GREEN PER MTR</t>
  </si>
  <si>
    <t>T1.5MMR-1</t>
  </si>
  <si>
    <t>CAB TINNED 1.5MM RED PER MTR</t>
  </si>
  <si>
    <t>T1.5MMW-1</t>
  </si>
  <si>
    <t>CAB TINNED 1.5MM WHT PER MTR</t>
  </si>
  <si>
    <t>T1.5MMY-1</t>
  </si>
  <si>
    <t>CAB TINNED 1.5MM YLW PER MTR</t>
  </si>
  <si>
    <t>T1MMB-1</t>
  </si>
  <si>
    <t>CAB TINNED 1MM BLK PER MTR</t>
  </si>
  <si>
    <t>T1MMBL-1</t>
  </si>
  <si>
    <t>CAB TINNED 1MM BLUE PER MTR</t>
  </si>
  <si>
    <t>T1MMBR-1</t>
  </si>
  <si>
    <t>CAB TINNED 1MM BROWN PER MTR</t>
  </si>
  <si>
    <t>T1MMG-1</t>
  </si>
  <si>
    <t>CAB TINNED 1MM GREEN PER  MTR</t>
  </si>
  <si>
    <t>T1MMGY-1</t>
  </si>
  <si>
    <t>CAB TINNED 1MM GREY PER MTR</t>
  </si>
  <si>
    <t>T1MMO-1</t>
  </si>
  <si>
    <t>CAB TINNED 1MM ORANGE PER MTR</t>
  </si>
  <si>
    <t>T1MMR-1</t>
  </si>
  <si>
    <t>CAB TINNED 1MM RED PER MTR</t>
  </si>
  <si>
    <t>T1MMW-1</t>
  </si>
  <si>
    <t>CAB TINNED 1MM WHITE PER MTR</t>
  </si>
  <si>
    <t>T1MMY-1</t>
  </si>
  <si>
    <t>CAB TINNED 1MM YLW PER MTR</t>
  </si>
  <si>
    <t>T2.5MMB-1</t>
  </si>
  <si>
    <t>CAB TINNED 2.5MM BLK PER MTR</t>
  </si>
  <si>
    <t>T2.5MMBL-1</t>
  </si>
  <si>
    <t>CAB TINNED 2.5MM BLU PER MTR</t>
  </si>
  <si>
    <t>T2.5MMBR-1</t>
  </si>
  <si>
    <t>CAB TINNED 2.5MM BROWN PER MTR</t>
  </si>
  <si>
    <t>T2.5MMG-1</t>
  </si>
  <si>
    <t>CAB TINNED 2.5MM GRN/YLW PER MTR</t>
  </si>
  <si>
    <t>T2.5MMR-1</t>
  </si>
  <si>
    <t>CAB TINNED 2.5MM RED PER MTR</t>
  </si>
  <si>
    <t>T2.5MMV-1</t>
  </si>
  <si>
    <t>CAB TINNED 2.5MM VIOLET PER METRE</t>
  </si>
  <si>
    <t>T2.5MMW-1</t>
  </si>
  <si>
    <t>CAB TINNED 2.5MM WHT PER MTR</t>
  </si>
  <si>
    <t>T2.5MMY-1</t>
  </si>
  <si>
    <t>CAB TINNED 2.5MM YLW  PER MTR</t>
  </si>
  <si>
    <t>T4MMB-1</t>
  </si>
  <si>
    <t>CAB TINNED 4MM BLK PER MTR</t>
  </si>
  <si>
    <t>T4MMBL-1</t>
  </si>
  <si>
    <t>CAB TINNED 4MM BLUE PER MTR</t>
  </si>
  <si>
    <t>T4MMBR-1</t>
  </si>
  <si>
    <t>CAB TINNED 4MM BROWN PER MTR</t>
  </si>
  <si>
    <t>T4MMG-1</t>
  </si>
  <si>
    <t>CAB TINNED 4MM GRN PER MTR</t>
  </si>
  <si>
    <t>T4MMR-1</t>
  </si>
  <si>
    <t>CAB TINNED 4MM RED PER MTR</t>
  </si>
  <si>
    <t>T4MMW-1</t>
  </si>
  <si>
    <t>CAB TINNED 4MM WHT PER MTR</t>
  </si>
  <si>
    <t>T6MMAC-1/B</t>
  </si>
  <si>
    <t>CAB TINNED 6MM SNGL BLK PER MTR</t>
  </si>
  <si>
    <t>T6MMAC-1/G</t>
  </si>
  <si>
    <t>CAB TINNED 6MM SGL 6/1KV GRN/YLW PER MTR</t>
  </si>
  <si>
    <t>T6MMAC-1/R</t>
  </si>
  <si>
    <t>CAB TINNED 6MM SNGL RED PER MTR</t>
  </si>
  <si>
    <t>T6MMAC-1/W</t>
  </si>
  <si>
    <t>CAB TINNED 6MM 6/1KV SNGL WHT PER MTR</t>
  </si>
  <si>
    <t>T8MMB-1</t>
  </si>
  <si>
    <t>CAB TINNED 8MM BLK PER MTR</t>
  </si>
  <si>
    <t>T8MMR-1</t>
  </si>
  <si>
    <t>CAB TINNED 8MM RED PER MTR</t>
  </si>
  <si>
    <t>T8MMW-1</t>
  </si>
  <si>
    <t>CAB TINNED 8MM WHT PER MTR</t>
  </si>
  <si>
    <t>TB-118-10P</t>
  </si>
  <si>
    <t>TERMINAL STRIP 30A 10W</t>
  </si>
  <si>
    <t>TB-118-6P</t>
  </si>
  <si>
    <t>TERMINAL STRIP 30A 6W</t>
  </si>
  <si>
    <t>TB-118-6P/DSP</t>
  </si>
  <si>
    <t>TERM STRIP 6W 30AMP MC15 DSP</t>
  </si>
  <si>
    <t>TFC10MM-1</t>
  </si>
  <si>
    <t>CAB FLEXI COMMERCIAL 10mm 0.6/1kV BLK</t>
  </si>
  <si>
    <t>TFC10MM-1R</t>
  </si>
  <si>
    <t>CAB FLEXI COMMERCIAL 10mm 0.6/1kV RED</t>
  </si>
  <si>
    <t>TFC120MM-1</t>
  </si>
  <si>
    <t>CAB FLEXI COMMERCIAL 120mm 0.6/1kV BLK</t>
  </si>
  <si>
    <t>TFC16MM-1</t>
  </si>
  <si>
    <t>CAB FLEXI COMMERCIAL 16mm 0.6/1kV BLK</t>
  </si>
  <si>
    <t>TFC16MM-1R</t>
  </si>
  <si>
    <t>CAB FLEXI COMMERCIAL 16mm 0.6/1kV RED</t>
  </si>
  <si>
    <t>TFC25MM-1</t>
  </si>
  <si>
    <t>CAB FLEXI COMMERCIAL 25mm 0.6/1kV BLK</t>
  </si>
  <si>
    <t>TFC25MM-1R</t>
  </si>
  <si>
    <t>CAB FLEXI COMMERCIAL 25mm 0.6/1kV RED</t>
  </si>
  <si>
    <t>TFC35MM-1</t>
  </si>
  <si>
    <t>CAB FLEXI COMMERCIAL 35mm 0.6/1kV BLK</t>
  </si>
  <si>
    <t>TFC35MM-1R</t>
  </si>
  <si>
    <t>CAB FLEXI COMMERCIAL 35mm 0.6/1kV RED</t>
  </si>
  <si>
    <t>TFC50MM-1</t>
  </si>
  <si>
    <t>CAB FLEXI COMMERCIAL 50mm 0.6/1kV BLK</t>
  </si>
  <si>
    <t>TFC50MM-1R</t>
  </si>
  <si>
    <t>CAB FLEXI COMMERCIAL 50mm 0.6/1kV RED</t>
  </si>
  <si>
    <t>TFC70MM-1</t>
  </si>
  <si>
    <t>CAB FLEXI COMMERCIAL 70mm 0.6/1kV BLK</t>
  </si>
  <si>
    <t>TFC70MM-1R</t>
  </si>
  <si>
    <t>CAB FLEXI COMMERCIAL 70mm 0.6/1kV RED</t>
  </si>
  <si>
    <t>TFC95MM-1</t>
  </si>
  <si>
    <t>CAB FLEXI COMMERCIAL 95mm 0.6/1kV BLK</t>
  </si>
  <si>
    <t>TS1</t>
  </si>
  <si>
    <t>ULTRASONIC TANK SENDER MC6</t>
  </si>
  <si>
    <t>TS1-B</t>
  </si>
  <si>
    <t>ULTRASONIC TANK SENDER BULK MC10</t>
  </si>
  <si>
    <t>TS1-PK</t>
  </si>
  <si>
    <t>USTS PROGRAMMING KIT</t>
  </si>
  <si>
    <t>TS1-PRGC</t>
  </si>
  <si>
    <t>USTS PROGRAMMING CHARGE</t>
  </si>
  <si>
    <t>TS1-PROMO</t>
  </si>
  <si>
    <t>USTS PROMO KIT 12XTS1 &amp; PROG KIT</t>
  </si>
  <si>
    <t>TSSMF-60-100</t>
  </si>
  <si>
    <t>TANK SENDER/SIDE MOUNT/FUEL/830MM/10-180OHM</t>
  </si>
  <si>
    <t>TSSMF-60-100N</t>
  </si>
  <si>
    <t>TANK SENDER/SIDE MOUNT/FUEL/830MM/0-5VOLT</t>
  </si>
  <si>
    <t>TSSMW-60-100</t>
  </si>
  <si>
    <t>TANK SENDER/SIDE MOUNT/WATER/830MM/10-180OHM</t>
  </si>
  <si>
    <t>TSSMW-60-100N</t>
  </si>
  <si>
    <t>TANK SENDER/SIDE MOUNT/WATER/830MM/0-5VOLT</t>
  </si>
  <si>
    <t>TSTMF-60-100</t>
  </si>
  <si>
    <t>TANK SENDER/TOP MOUNT/FUEL/910MM/10-180OHM</t>
  </si>
  <si>
    <t>TSTMF-60-100N</t>
  </si>
  <si>
    <t>TANK SENDER/TOP MOUNT/FUEL/910MM/0-5VOLT</t>
  </si>
  <si>
    <t>TSTMW-60-100</t>
  </si>
  <si>
    <t>TANK SENDER/TOP MOUNT/WATER/910MM/10-180OHM</t>
  </si>
  <si>
    <t>TSTMW-60-100N</t>
  </si>
  <si>
    <t>TANK SENDER/TOP MOUNT/WATER/910MM/0-5VOLT</t>
  </si>
  <si>
    <t>TT1MMR/B -1</t>
  </si>
  <si>
    <t>CAB TWIN TINNED 1MM FIGURE 8 RD/BLK PERM</t>
  </si>
  <si>
    <t>TT2MMR/B-1</t>
  </si>
  <si>
    <t>CAB TWIN TINNED 2MM FIGURE 8 RD/BLK PERM</t>
  </si>
  <si>
    <t>TTC1.5MM-1</t>
  </si>
  <si>
    <t>CAB TWIN COMMERCIAL 1.5mm  0.6/1kV  WH</t>
  </si>
  <si>
    <t>TTC1MM-1</t>
  </si>
  <si>
    <t>CAB TWIN COMMERCIAL 1mm  0.6/1kV  WH</t>
  </si>
  <si>
    <t>TTC2.5MM-1</t>
  </si>
  <si>
    <t>CAB TWIN COMMERCIAL 2.5mm  0.6/1kV  WH</t>
  </si>
  <si>
    <t>TTC4MM-1</t>
  </si>
  <si>
    <t>CAB TWIN COMMERCIAL 4mm  0.6/1kV  WH</t>
  </si>
  <si>
    <t>TTC6MM-1</t>
  </si>
  <si>
    <t>CAB TWIN COMMERCIAL 6mm  0.6/1kV  WH</t>
  </si>
  <si>
    <t>TTS1MM-1</t>
  </si>
  <si>
    <t>CAB TWIN TINNED 1MM WHT/SHEATH PER MTR</t>
  </si>
  <si>
    <t>TTS2.5MM-1</t>
  </si>
  <si>
    <t>CAB TWIN TINNED 2.5MM WHT/SHEATH PER MTR</t>
  </si>
  <si>
    <t>TTS2MM-1</t>
  </si>
  <si>
    <t>CAB TWIN TINNED 2MM WH/SHEATH PER MTR</t>
  </si>
  <si>
    <t>TTS5MM-1</t>
  </si>
  <si>
    <t>CAB TWIN TINNED 5MM WHT/SHEATH PER MTR</t>
  </si>
  <si>
    <t>TVS-36V-1500W</t>
  </si>
  <si>
    <t>TRANSZORB 36VOLT 1500W</t>
  </si>
  <si>
    <t>UC-0.5</t>
  </si>
  <si>
    <t>CABLE CLAMP 4.8MM 3/16 PER 100</t>
  </si>
  <si>
    <t>UC-1</t>
  </si>
  <si>
    <t>CABLE CLAMP 6.7MM 1/4 PER 100</t>
  </si>
  <si>
    <t>UC-1.5</t>
  </si>
  <si>
    <t>CABLE CLAMP 7.9MM 5/16 PER 100</t>
  </si>
  <si>
    <t>UC-2</t>
  </si>
  <si>
    <t>CABLE CLAMP 9.5MM 3/8  100/BAG</t>
  </si>
  <si>
    <t>UC-2.5</t>
  </si>
  <si>
    <t>CABLE CLAMP 11MM 7/16 PER 100</t>
  </si>
  <si>
    <t>UC-3</t>
  </si>
  <si>
    <t>CABLE CLAMP 12.7MM 1/2 100/BAG</t>
  </si>
  <si>
    <t>UC-4</t>
  </si>
  <si>
    <t>CABLE CLAMP 15.8MM 5/8 100/BAG</t>
  </si>
  <si>
    <t>UC-5</t>
  </si>
  <si>
    <t>CABLE CLAMP 19.4MM 3/4 PER 100</t>
  </si>
  <si>
    <t>UC-6</t>
  </si>
  <si>
    <t>CABLE CLAMP 25.4MM 1 PER 100</t>
  </si>
  <si>
    <t>VCH</t>
  </si>
  <si>
    <t>CARLING VCH TERMINAL CONNECTOR</t>
  </si>
  <si>
    <t>VME</t>
  </si>
  <si>
    <t>CONTURA ESCUTCHEON END</t>
  </si>
  <si>
    <t>VMM</t>
  </si>
  <si>
    <t>CONTURA ESCUTCHEON MID</t>
  </si>
  <si>
    <t>VMS</t>
  </si>
  <si>
    <t>CONTURA ESCUTCHEON SNGL</t>
  </si>
  <si>
    <t>VR3-12V</t>
  </si>
  <si>
    <t>QCC LPG REGULATOR &amp; 12V SOLENOID</t>
  </si>
  <si>
    <t>WAFH-14#</t>
  </si>
  <si>
    <t>FH BLADE ATQ INLINE 14</t>
  </si>
  <si>
    <t>WSBFH-2</t>
  </si>
  <si>
    <t>FUSE HOLDER INLINE W/P BLADE (PACK OF 5)</t>
  </si>
  <si>
    <t>Z6552</t>
  </si>
  <si>
    <t>VOLTAGE REGULATOR 12V TO 220</t>
  </si>
  <si>
    <t>EXW, Auckland, NZ</t>
  </si>
  <si>
    <t>BEP USD Ver 5.5 - March 2025</t>
  </si>
  <si>
    <t>Item</t>
  </si>
  <si>
    <t>Item Description</t>
  </si>
  <si>
    <t>Price</t>
  </si>
  <si>
    <t>UOM</t>
  </si>
  <si>
    <t>Currency Code</t>
  </si>
  <si>
    <t xml:space="preserve">BULK </t>
  </si>
  <si>
    <t>BULK ITEM - MOQ QTY</t>
  </si>
  <si>
    <t>Standard Pack Qty</t>
  </si>
  <si>
    <t>MOQ From</t>
  </si>
  <si>
    <t>MOQ To</t>
  </si>
  <si>
    <t>EA</t>
  </si>
  <si>
    <t>USD</t>
  </si>
  <si>
    <t>N/A</t>
  </si>
  <si>
    <t>Y</t>
  </si>
  <si>
    <t>10</t>
  </si>
  <si>
    <t>6</t>
  </si>
  <si>
    <t>20</t>
  </si>
  <si>
    <t>40</t>
  </si>
  <si>
    <t>14</t>
  </si>
  <si>
    <t>24</t>
  </si>
  <si>
    <t>12</t>
  </si>
  <si>
    <t>5</t>
  </si>
  <si>
    <t>BG</t>
  </si>
  <si>
    <t>8</t>
  </si>
  <si>
    <t>4</t>
  </si>
  <si>
    <t>15</t>
  </si>
  <si>
    <t>MT</t>
  </si>
  <si>
    <t>RL</t>
  </si>
  <si>
    <t>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</si>
</sst>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0"/>
      <color theme="2" tint="-0.249977111117893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49" applyFont="1"/>
    <xf numFmtId="3" fontId="1" fillId="0" borderId="1" xfId="0" applyNumberFormat="1" applyFont="1" applyBorder="1"/>
    <xf numFmtId="3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49" fontId="0" fillId="0" borderId="0" xfId="0" applyNumberFormat="1"/>
    <xf numFmtId="0" fontId="5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2"/>
  <sheetViews>
    <sheetView tabSelected="1" zoomScale="85" zoomScaleNormal="85" workbookViewId="0">
      <selection activeCell="H8" sqref="H8"/>
    </sheetView>
  </sheetViews>
  <sheetFormatPr defaultColWidth="9" defaultRowHeight="14.25"/>
  <cols>
    <col min="2" max="2" width="30" customWidth="1"/>
    <col min="3" max="6" width="40.1833333333333" style="20" customWidth="1"/>
    <col min="8" max="8" width="11" style="1" customWidth="1"/>
    <col min="9" max="9" width="10.375"/>
    <col min="10" max="12" width="9.375"/>
  </cols>
  <sheetData>
    <row r="1" s="19" customFormat="1" ht="33" customHeight="1" spans="1:1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19" t="s">
        <v>10</v>
      </c>
      <c r="L1" s="22" t="s">
        <v>11</v>
      </c>
      <c r="M1" s="19" t="s">
        <v>12</v>
      </c>
    </row>
    <row r="2" ht="28.5" spans="1:12">
      <c r="A2" t="s">
        <v>13</v>
      </c>
      <c r="B2" s="14" t="s">
        <v>14</v>
      </c>
      <c r="C2" s="20" t="s">
        <v>15</v>
      </c>
      <c r="D2" s="20" t="s">
        <v>15</v>
      </c>
      <c r="E2" s="20" t="s">
        <v>15</v>
      </c>
      <c r="F2" s="20" t="s">
        <v>15</v>
      </c>
      <c r="G2">
        <v>15.5</v>
      </c>
      <c r="H2" s="1">
        <v>29.81</v>
      </c>
      <c r="I2">
        <f t="shared" ref="I2:I65" si="0">G2*1.15</f>
        <v>17.825</v>
      </c>
      <c r="J2">
        <f t="shared" ref="J2:J65" si="1">G2*1.2</f>
        <v>18.6</v>
      </c>
      <c r="K2">
        <f t="shared" ref="K2:K65" si="2">G2*1.3</f>
        <v>20.15</v>
      </c>
      <c r="L2">
        <f t="shared" ref="L2:L65" si="3">G2*1.4</f>
        <v>21.7</v>
      </c>
    </row>
    <row r="3" spans="1:12">
      <c r="A3" t="s">
        <v>13</v>
      </c>
      <c r="B3" s="14" t="s">
        <v>16</v>
      </c>
      <c r="C3" s="20" t="s">
        <v>17</v>
      </c>
      <c r="D3" s="20" t="s">
        <v>17</v>
      </c>
      <c r="E3" s="20" t="s">
        <v>17</v>
      </c>
      <c r="F3" s="20" t="s">
        <v>17</v>
      </c>
      <c r="G3">
        <v>0.26</v>
      </c>
      <c r="H3" s="1">
        <v>0.49</v>
      </c>
      <c r="I3">
        <f t="shared" si="0"/>
        <v>0.299</v>
      </c>
      <c r="J3">
        <f t="shared" si="1"/>
        <v>0.312</v>
      </c>
      <c r="K3">
        <f t="shared" si="2"/>
        <v>0.338</v>
      </c>
      <c r="L3">
        <f t="shared" si="3"/>
        <v>0.364</v>
      </c>
    </row>
    <row r="4" spans="1:12">
      <c r="A4" t="s">
        <v>13</v>
      </c>
      <c r="B4" s="14" t="s">
        <v>18</v>
      </c>
      <c r="C4" s="20" t="s">
        <v>19</v>
      </c>
      <c r="D4" s="20" t="s">
        <v>19</v>
      </c>
      <c r="E4" s="20" t="s">
        <v>19</v>
      </c>
      <c r="F4" s="20" t="s">
        <v>19</v>
      </c>
      <c r="G4">
        <v>0.26</v>
      </c>
      <c r="H4" s="1">
        <v>0.49</v>
      </c>
      <c r="I4">
        <f t="shared" si="0"/>
        <v>0.299</v>
      </c>
      <c r="J4">
        <f t="shared" si="1"/>
        <v>0.312</v>
      </c>
      <c r="K4">
        <f t="shared" si="2"/>
        <v>0.338</v>
      </c>
      <c r="L4">
        <f t="shared" si="3"/>
        <v>0.364</v>
      </c>
    </row>
    <row r="5" ht="28.5" spans="1:12">
      <c r="A5" t="s">
        <v>13</v>
      </c>
      <c r="B5" s="14" t="s">
        <v>20</v>
      </c>
      <c r="C5" s="20" t="s">
        <v>21</v>
      </c>
      <c r="D5" s="20" t="s">
        <v>21</v>
      </c>
      <c r="E5" s="20" t="s">
        <v>21</v>
      </c>
      <c r="F5" s="20" t="s">
        <v>21</v>
      </c>
      <c r="G5">
        <v>0.75</v>
      </c>
      <c r="H5" s="1">
        <v>1.67</v>
      </c>
      <c r="I5">
        <f t="shared" si="0"/>
        <v>0.8625</v>
      </c>
      <c r="J5">
        <f t="shared" si="1"/>
        <v>0.9</v>
      </c>
      <c r="K5">
        <f t="shared" si="2"/>
        <v>0.975</v>
      </c>
      <c r="L5">
        <f t="shared" si="3"/>
        <v>1.05</v>
      </c>
    </row>
    <row r="6" spans="1:12">
      <c r="A6" t="s">
        <v>13</v>
      </c>
      <c r="B6" s="14" t="s">
        <v>22</v>
      </c>
      <c r="C6" s="20" t="s">
        <v>23</v>
      </c>
      <c r="D6" s="20" t="s">
        <v>23</v>
      </c>
      <c r="E6" s="20" t="s">
        <v>23</v>
      </c>
      <c r="F6" s="20" t="s">
        <v>23</v>
      </c>
      <c r="G6">
        <v>0.57</v>
      </c>
      <c r="H6" s="1">
        <v>1.44</v>
      </c>
      <c r="I6">
        <f t="shared" si="0"/>
        <v>0.6555</v>
      </c>
      <c r="J6">
        <f t="shared" si="1"/>
        <v>0.684</v>
      </c>
      <c r="K6">
        <f t="shared" si="2"/>
        <v>0.741</v>
      </c>
      <c r="L6">
        <f t="shared" si="3"/>
        <v>0.798</v>
      </c>
    </row>
    <row r="7" spans="1:12">
      <c r="A7" t="s">
        <v>13</v>
      </c>
      <c r="B7" s="14" t="s">
        <v>24</v>
      </c>
      <c r="C7" s="20" t="s">
        <v>25</v>
      </c>
      <c r="D7" s="20" t="s">
        <v>25</v>
      </c>
      <c r="E7" s="20" t="s">
        <v>25</v>
      </c>
      <c r="F7" s="20" t="s">
        <v>25</v>
      </c>
      <c r="G7">
        <v>71.96</v>
      </c>
      <c r="H7" s="1">
        <v>159.92</v>
      </c>
      <c r="I7">
        <f t="shared" si="0"/>
        <v>82.754</v>
      </c>
      <c r="J7">
        <f t="shared" si="1"/>
        <v>86.352</v>
      </c>
      <c r="K7">
        <f t="shared" si="2"/>
        <v>93.548</v>
      </c>
      <c r="L7">
        <f t="shared" si="3"/>
        <v>100.744</v>
      </c>
    </row>
    <row r="8" spans="1:12">
      <c r="A8" t="s">
        <v>13</v>
      </c>
      <c r="B8" s="14" t="s">
        <v>26</v>
      </c>
      <c r="C8" s="20" t="s">
        <v>27</v>
      </c>
      <c r="D8" s="20" t="s">
        <v>27</v>
      </c>
      <c r="E8" s="20" t="s">
        <v>27</v>
      </c>
      <c r="F8" s="20" t="s">
        <v>27</v>
      </c>
      <c r="G8">
        <v>68.99</v>
      </c>
      <c r="H8" s="1">
        <v>153.31</v>
      </c>
      <c r="I8">
        <f t="shared" si="0"/>
        <v>79.3385</v>
      </c>
      <c r="J8">
        <f t="shared" si="1"/>
        <v>82.788</v>
      </c>
      <c r="K8">
        <f t="shared" si="2"/>
        <v>89.687</v>
      </c>
      <c r="L8">
        <f t="shared" si="3"/>
        <v>96.586</v>
      </c>
    </row>
    <row r="9" spans="1:12">
      <c r="A9" t="s">
        <v>13</v>
      </c>
      <c r="B9" s="14" t="s">
        <v>28</v>
      </c>
      <c r="C9" s="20" t="s">
        <v>29</v>
      </c>
      <c r="D9" s="20" t="s">
        <v>29</v>
      </c>
      <c r="E9" s="20" t="s">
        <v>29</v>
      </c>
      <c r="F9" s="20" t="s">
        <v>29</v>
      </c>
      <c r="G9">
        <v>71.81</v>
      </c>
      <c r="H9" s="1">
        <v>159.57</v>
      </c>
      <c r="I9">
        <f t="shared" si="0"/>
        <v>82.5815</v>
      </c>
      <c r="J9">
        <f t="shared" si="1"/>
        <v>86.172</v>
      </c>
      <c r="K9">
        <f t="shared" si="2"/>
        <v>93.353</v>
      </c>
      <c r="L9">
        <f t="shared" si="3"/>
        <v>100.534</v>
      </c>
    </row>
    <row r="10" spans="1:12">
      <c r="A10" t="s">
        <v>13</v>
      </c>
      <c r="B10" s="14" t="s">
        <v>30</v>
      </c>
      <c r="C10" s="20" t="s">
        <v>31</v>
      </c>
      <c r="D10" s="20" t="s">
        <v>31</v>
      </c>
      <c r="E10" s="20" t="s">
        <v>31</v>
      </c>
      <c r="F10" s="20" t="s">
        <v>31</v>
      </c>
      <c r="G10">
        <v>381.84</v>
      </c>
      <c r="H10" s="1">
        <v>848.53</v>
      </c>
      <c r="I10">
        <f t="shared" si="0"/>
        <v>439.116</v>
      </c>
      <c r="J10">
        <f t="shared" si="1"/>
        <v>458.208</v>
      </c>
      <c r="K10">
        <f t="shared" si="2"/>
        <v>496.392</v>
      </c>
      <c r="L10">
        <f t="shared" si="3"/>
        <v>534.576</v>
      </c>
    </row>
    <row r="11" spans="1:12">
      <c r="A11" t="s">
        <v>13</v>
      </c>
      <c r="B11" s="14" t="s">
        <v>32</v>
      </c>
      <c r="C11" s="20" t="s">
        <v>33</v>
      </c>
      <c r="D11" s="20" t="s">
        <v>33</v>
      </c>
      <c r="E11" s="20" t="s">
        <v>33</v>
      </c>
      <c r="F11" s="20" t="s">
        <v>33</v>
      </c>
      <c r="G11">
        <v>9.93</v>
      </c>
      <c r="H11" s="1">
        <v>22.03</v>
      </c>
      <c r="I11">
        <f t="shared" si="0"/>
        <v>11.4195</v>
      </c>
      <c r="J11">
        <f t="shared" si="1"/>
        <v>11.916</v>
      </c>
      <c r="K11">
        <f t="shared" si="2"/>
        <v>12.909</v>
      </c>
      <c r="L11">
        <f t="shared" si="3"/>
        <v>13.902</v>
      </c>
    </row>
    <row r="12" ht="28.5" spans="1:12">
      <c r="A12" t="s">
        <v>13</v>
      </c>
      <c r="B12" s="14" t="s">
        <v>34</v>
      </c>
      <c r="C12" s="20" t="s">
        <v>35</v>
      </c>
      <c r="D12" s="20" t="s">
        <v>35</v>
      </c>
      <c r="E12" s="20" t="s">
        <v>35</v>
      </c>
      <c r="F12" s="20" t="s">
        <v>35</v>
      </c>
      <c r="G12">
        <v>35.29</v>
      </c>
      <c r="H12" s="1">
        <v>78.43</v>
      </c>
      <c r="I12">
        <f t="shared" si="0"/>
        <v>40.5835</v>
      </c>
      <c r="J12">
        <f t="shared" si="1"/>
        <v>42.348</v>
      </c>
      <c r="K12">
        <f t="shared" si="2"/>
        <v>45.877</v>
      </c>
      <c r="L12">
        <f t="shared" si="3"/>
        <v>49.406</v>
      </c>
    </row>
    <row r="13" spans="1:12">
      <c r="A13" t="s">
        <v>13</v>
      </c>
      <c r="B13" s="14" t="s">
        <v>36</v>
      </c>
      <c r="C13" s="20" t="s">
        <v>37</v>
      </c>
      <c r="D13" s="20" t="s">
        <v>37</v>
      </c>
      <c r="E13" s="20" t="s">
        <v>37</v>
      </c>
      <c r="F13" s="20" t="s">
        <v>37</v>
      </c>
      <c r="G13">
        <v>36.86</v>
      </c>
      <c r="H13" s="1">
        <v>81.91</v>
      </c>
      <c r="I13">
        <f t="shared" si="0"/>
        <v>42.389</v>
      </c>
      <c r="J13">
        <f t="shared" si="1"/>
        <v>44.232</v>
      </c>
      <c r="K13">
        <f t="shared" si="2"/>
        <v>47.918</v>
      </c>
      <c r="L13">
        <f t="shared" si="3"/>
        <v>51.604</v>
      </c>
    </row>
    <row r="14" ht="28.5" spans="1:12">
      <c r="A14" t="s">
        <v>13</v>
      </c>
      <c r="B14" s="14" t="s">
        <v>38</v>
      </c>
      <c r="C14" s="20" t="s">
        <v>39</v>
      </c>
      <c r="D14" s="20" t="s">
        <v>39</v>
      </c>
      <c r="E14" s="20" t="s">
        <v>39</v>
      </c>
      <c r="F14" s="20" t="s">
        <v>39</v>
      </c>
      <c r="G14">
        <v>64.33</v>
      </c>
      <c r="H14" s="1">
        <v>142.98</v>
      </c>
      <c r="I14">
        <f t="shared" si="0"/>
        <v>73.9795</v>
      </c>
      <c r="J14">
        <f t="shared" si="1"/>
        <v>77.196</v>
      </c>
      <c r="K14">
        <f t="shared" si="2"/>
        <v>83.629</v>
      </c>
      <c r="L14">
        <f t="shared" si="3"/>
        <v>90.062</v>
      </c>
    </row>
    <row r="15" spans="1:12">
      <c r="A15" t="s">
        <v>13</v>
      </c>
      <c r="B15" s="14" t="s">
        <v>40</v>
      </c>
      <c r="C15" s="20" t="s">
        <v>41</v>
      </c>
      <c r="D15" s="20" t="s">
        <v>41</v>
      </c>
      <c r="E15" s="20" t="s">
        <v>41</v>
      </c>
      <c r="F15" s="20" t="s">
        <v>41</v>
      </c>
      <c r="G15">
        <v>366.59</v>
      </c>
      <c r="H15" s="1">
        <v>814.65</v>
      </c>
      <c r="I15">
        <f t="shared" si="0"/>
        <v>421.5785</v>
      </c>
      <c r="J15">
        <f t="shared" si="1"/>
        <v>439.908</v>
      </c>
      <c r="K15">
        <f t="shared" si="2"/>
        <v>476.567</v>
      </c>
      <c r="L15">
        <f t="shared" si="3"/>
        <v>513.226</v>
      </c>
    </row>
    <row r="16" spans="1:12">
      <c r="A16" t="s">
        <v>13</v>
      </c>
      <c r="B16" s="14" t="s">
        <v>42</v>
      </c>
      <c r="C16" s="20" t="s">
        <v>43</v>
      </c>
      <c r="D16" s="20" t="s">
        <v>43</v>
      </c>
      <c r="E16" s="20" t="s">
        <v>43</v>
      </c>
      <c r="F16" s="20" t="s">
        <v>43</v>
      </c>
      <c r="G16">
        <v>10.98</v>
      </c>
      <c r="H16" s="1">
        <v>24.42</v>
      </c>
      <c r="I16">
        <f t="shared" si="0"/>
        <v>12.627</v>
      </c>
      <c r="J16">
        <f t="shared" si="1"/>
        <v>13.176</v>
      </c>
      <c r="K16">
        <f t="shared" si="2"/>
        <v>14.274</v>
      </c>
      <c r="L16">
        <f t="shared" si="3"/>
        <v>15.372</v>
      </c>
    </row>
    <row r="17" spans="1:12">
      <c r="A17" t="s">
        <v>13</v>
      </c>
      <c r="B17" s="14" t="s">
        <v>44</v>
      </c>
      <c r="C17" s="20" t="s">
        <v>45</v>
      </c>
      <c r="D17" s="20" t="s">
        <v>45</v>
      </c>
      <c r="E17" s="20" t="s">
        <v>45</v>
      </c>
      <c r="F17" s="20" t="s">
        <v>45</v>
      </c>
      <c r="G17">
        <v>32.86</v>
      </c>
      <c r="H17" s="1">
        <v>73.03</v>
      </c>
      <c r="I17">
        <f t="shared" si="0"/>
        <v>37.789</v>
      </c>
      <c r="J17">
        <f t="shared" si="1"/>
        <v>39.432</v>
      </c>
      <c r="K17">
        <f t="shared" si="2"/>
        <v>42.718</v>
      </c>
      <c r="L17">
        <f t="shared" si="3"/>
        <v>46.004</v>
      </c>
    </row>
    <row r="18" spans="1:12">
      <c r="A18" t="s">
        <v>13</v>
      </c>
      <c r="B18" s="14" t="s">
        <v>46</v>
      </c>
      <c r="C18" s="20" t="s">
        <v>47</v>
      </c>
      <c r="D18" s="20" t="s">
        <v>47</v>
      </c>
      <c r="E18" s="20" t="s">
        <v>47</v>
      </c>
      <c r="F18" s="20" t="s">
        <v>47</v>
      </c>
      <c r="G18">
        <v>33.97</v>
      </c>
      <c r="H18" s="1">
        <v>75.47</v>
      </c>
      <c r="I18">
        <f t="shared" si="0"/>
        <v>39.0655</v>
      </c>
      <c r="J18">
        <f t="shared" si="1"/>
        <v>40.764</v>
      </c>
      <c r="K18">
        <f t="shared" si="2"/>
        <v>44.161</v>
      </c>
      <c r="L18">
        <f t="shared" si="3"/>
        <v>47.558</v>
      </c>
    </row>
    <row r="19" spans="1:12">
      <c r="A19" t="s">
        <v>13</v>
      </c>
      <c r="B19" s="14" t="s">
        <v>48</v>
      </c>
      <c r="C19" s="20" t="s">
        <v>49</v>
      </c>
      <c r="D19" s="20" t="s">
        <v>49</v>
      </c>
      <c r="E19" s="20" t="s">
        <v>49</v>
      </c>
      <c r="F19" s="20" t="s">
        <v>49</v>
      </c>
      <c r="G19">
        <v>33.89</v>
      </c>
      <c r="H19" s="1">
        <v>75.29</v>
      </c>
      <c r="I19">
        <f t="shared" si="0"/>
        <v>38.9735</v>
      </c>
      <c r="J19">
        <f t="shared" si="1"/>
        <v>40.668</v>
      </c>
      <c r="K19">
        <f t="shared" si="2"/>
        <v>44.057</v>
      </c>
      <c r="L19">
        <f t="shared" si="3"/>
        <v>47.446</v>
      </c>
    </row>
    <row r="20" spans="1:12">
      <c r="A20" t="s">
        <v>13</v>
      </c>
      <c r="B20" s="14" t="s">
        <v>50</v>
      </c>
      <c r="C20" s="20" t="s">
        <v>51</v>
      </c>
      <c r="D20" s="20" t="s">
        <v>51</v>
      </c>
      <c r="E20" s="20" t="s">
        <v>51</v>
      </c>
      <c r="F20" s="20" t="s">
        <v>51</v>
      </c>
      <c r="G20">
        <v>37.91</v>
      </c>
      <c r="H20" s="1">
        <v>72.21</v>
      </c>
      <c r="I20">
        <f t="shared" si="0"/>
        <v>43.5965</v>
      </c>
      <c r="J20">
        <f t="shared" si="1"/>
        <v>45.492</v>
      </c>
      <c r="K20">
        <f t="shared" si="2"/>
        <v>49.283</v>
      </c>
      <c r="L20">
        <f t="shared" si="3"/>
        <v>53.074</v>
      </c>
    </row>
    <row r="21" spans="1:12">
      <c r="A21" t="s">
        <v>13</v>
      </c>
      <c r="B21" s="14" t="s">
        <v>52</v>
      </c>
      <c r="C21" s="20" t="s">
        <v>53</v>
      </c>
      <c r="D21" s="20" t="s">
        <v>53</v>
      </c>
      <c r="E21" s="20" t="s">
        <v>53</v>
      </c>
      <c r="F21" s="20" t="s">
        <v>53</v>
      </c>
      <c r="G21">
        <v>43.77</v>
      </c>
      <c r="H21" s="1">
        <v>83.36</v>
      </c>
      <c r="I21">
        <f t="shared" si="0"/>
        <v>50.3355</v>
      </c>
      <c r="J21">
        <f t="shared" si="1"/>
        <v>52.524</v>
      </c>
      <c r="K21">
        <f t="shared" si="2"/>
        <v>56.901</v>
      </c>
      <c r="L21">
        <f t="shared" si="3"/>
        <v>61.278</v>
      </c>
    </row>
    <row r="22" spans="1:12">
      <c r="A22" t="s">
        <v>13</v>
      </c>
      <c r="B22" s="14" t="s">
        <v>54</v>
      </c>
      <c r="C22" s="20" t="s">
        <v>55</v>
      </c>
      <c r="D22" s="20" t="s">
        <v>55</v>
      </c>
      <c r="E22" s="20" t="s">
        <v>55</v>
      </c>
      <c r="F22" s="20" t="s">
        <v>55</v>
      </c>
      <c r="G22">
        <v>9.53</v>
      </c>
      <c r="H22" s="1">
        <v>21.19</v>
      </c>
      <c r="I22">
        <f t="shared" si="0"/>
        <v>10.9595</v>
      </c>
      <c r="J22">
        <f t="shared" si="1"/>
        <v>11.436</v>
      </c>
      <c r="K22">
        <f t="shared" si="2"/>
        <v>12.389</v>
      </c>
      <c r="L22">
        <f t="shared" si="3"/>
        <v>13.342</v>
      </c>
    </row>
    <row r="23" spans="1:12">
      <c r="A23" t="s">
        <v>13</v>
      </c>
      <c r="B23" s="14" t="s">
        <v>56</v>
      </c>
      <c r="C23" s="20" t="s">
        <v>57</v>
      </c>
      <c r="D23" s="20" t="s">
        <v>57</v>
      </c>
      <c r="E23" s="20" t="s">
        <v>57</v>
      </c>
      <c r="F23" s="20" t="s">
        <v>57</v>
      </c>
      <c r="G23">
        <v>6.45</v>
      </c>
      <c r="H23" s="1">
        <v>14.33</v>
      </c>
      <c r="I23">
        <f t="shared" si="0"/>
        <v>7.4175</v>
      </c>
      <c r="J23">
        <f t="shared" si="1"/>
        <v>7.74</v>
      </c>
      <c r="K23">
        <f t="shared" si="2"/>
        <v>8.385</v>
      </c>
      <c r="L23">
        <f t="shared" si="3"/>
        <v>9.03</v>
      </c>
    </row>
    <row r="24" spans="1:12">
      <c r="A24" t="s">
        <v>13</v>
      </c>
      <c r="B24" s="14" t="s">
        <v>58</v>
      </c>
      <c r="C24" s="20" t="s">
        <v>59</v>
      </c>
      <c r="D24" s="20" t="s">
        <v>59</v>
      </c>
      <c r="E24" s="20" t="s">
        <v>59</v>
      </c>
      <c r="F24" s="20" t="s">
        <v>59</v>
      </c>
      <c r="G24">
        <v>6.04</v>
      </c>
      <c r="H24" s="1">
        <v>13.41</v>
      </c>
      <c r="I24">
        <f t="shared" si="0"/>
        <v>6.946</v>
      </c>
      <c r="J24">
        <f t="shared" si="1"/>
        <v>7.248</v>
      </c>
      <c r="K24">
        <f t="shared" si="2"/>
        <v>7.852</v>
      </c>
      <c r="L24">
        <f t="shared" si="3"/>
        <v>8.456</v>
      </c>
    </row>
    <row r="25" spans="1:12">
      <c r="A25" t="s">
        <v>13</v>
      </c>
      <c r="B25" s="14" t="s">
        <v>60</v>
      </c>
      <c r="C25" s="20" t="s">
        <v>61</v>
      </c>
      <c r="D25" s="20" t="s">
        <v>61</v>
      </c>
      <c r="E25" s="20" t="s">
        <v>61</v>
      </c>
      <c r="F25" s="20" t="s">
        <v>61</v>
      </c>
      <c r="G25">
        <v>4.67</v>
      </c>
      <c r="H25" s="1">
        <v>10.36</v>
      </c>
      <c r="I25">
        <f t="shared" si="0"/>
        <v>5.3705</v>
      </c>
      <c r="J25">
        <f t="shared" si="1"/>
        <v>5.604</v>
      </c>
      <c r="K25">
        <f t="shared" si="2"/>
        <v>6.071</v>
      </c>
      <c r="L25">
        <f t="shared" si="3"/>
        <v>6.538</v>
      </c>
    </row>
    <row r="26" ht="28.5" spans="1:12">
      <c r="A26" t="s">
        <v>13</v>
      </c>
      <c r="B26" s="14" t="s">
        <v>62</v>
      </c>
      <c r="C26" s="20" t="s">
        <v>63</v>
      </c>
      <c r="D26" s="20" t="s">
        <v>63</v>
      </c>
      <c r="E26" s="20" t="s">
        <v>63</v>
      </c>
      <c r="F26" s="20" t="s">
        <v>63</v>
      </c>
      <c r="G26">
        <v>12.97</v>
      </c>
      <c r="H26" s="1">
        <v>28.8</v>
      </c>
      <c r="I26">
        <f t="shared" si="0"/>
        <v>14.9155</v>
      </c>
      <c r="J26">
        <f t="shared" si="1"/>
        <v>15.564</v>
      </c>
      <c r="K26">
        <f t="shared" si="2"/>
        <v>16.861</v>
      </c>
      <c r="L26">
        <f t="shared" si="3"/>
        <v>18.158</v>
      </c>
    </row>
    <row r="27" spans="1:12">
      <c r="A27" t="s">
        <v>13</v>
      </c>
      <c r="B27" s="14" t="s">
        <v>64</v>
      </c>
      <c r="C27" s="20" t="s">
        <v>65</v>
      </c>
      <c r="D27" s="20" t="s">
        <v>65</v>
      </c>
      <c r="E27" s="20" t="s">
        <v>65</v>
      </c>
      <c r="F27" s="20" t="s">
        <v>65</v>
      </c>
      <c r="G27">
        <v>9.96</v>
      </c>
      <c r="H27" s="1">
        <v>22.11</v>
      </c>
      <c r="I27">
        <f t="shared" si="0"/>
        <v>11.454</v>
      </c>
      <c r="J27">
        <f t="shared" si="1"/>
        <v>11.952</v>
      </c>
      <c r="K27">
        <f t="shared" si="2"/>
        <v>12.948</v>
      </c>
      <c r="L27">
        <f t="shared" si="3"/>
        <v>13.944</v>
      </c>
    </row>
    <row r="28" ht="28.5" spans="1:12">
      <c r="A28" t="s">
        <v>13</v>
      </c>
      <c r="B28" s="14" t="s">
        <v>66</v>
      </c>
      <c r="C28" s="20" t="s">
        <v>67</v>
      </c>
      <c r="D28" s="20" t="s">
        <v>67</v>
      </c>
      <c r="E28" s="20" t="s">
        <v>67</v>
      </c>
      <c r="F28" s="20" t="s">
        <v>67</v>
      </c>
      <c r="G28">
        <v>25.33</v>
      </c>
      <c r="H28" s="1">
        <v>56.29</v>
      </c>
      <c r="I28">
        <f t="shared" si="0"/>
        <v>29.1295</v>
      </c>
      <c r="J28">
        <f t="shared" si="1"/>
        <v>30.396</v>
      </c>
      <c r="K28">
        <f t="shared" si="2"/>
        <v>32.929</v>
      </c>
      <c r="L28">
        <f t="shared" si="3"/>
        <v>35.462</v>
      </c>
    </row>
    <row r="29" ht="28.5" spans="1:12">
      <c r="A29" t="s">
        <v>13</v>
      </c>
      <c r="B29" s="14" t="s">
        <v>68</v>
      </c>
      <c r="C29" s="20" t="s">
        <v>69</v>
      </c>
      <c r="D29" s="20" t="s">
        <v>69</v>
      </c>
      <c r="E29" s="20" t="s">
        <v>69</v>
      </c>
      <c r="F29" s="20" t="s">
        <v>69</v>
      </c>
      <c r="G29">
        <v>41.34</v>
      </c>
      <c r="H29" s="1">
        <v>91.82</v>
      </c>
      <c r="I29">
        <f t="shared" si="0"/>
        <v>47.541</v>
      </c>
      <c r="J29">
        <f t="shared" si="1"/>
        <v>49.608</v>
      </c>
      <c r="K29">
        <f t="shared" si="2"/>
        <v>53.742</v>
      </c>
      <c r="L29">
        <f t="shared" si="3"/>
        <v>57.876</v>
      </c>
    </row>
    <row r="30" ht="28.5" spans="1:12">
      <c r="A30" t="s">
        <v>13</v>
      </c>
      <c r="B30" s="14" t="s">
        <v>70</v>
      </c>
      <c r="C30" s="20" t="s">
        <v>71</v>
      </c>
      <c r="D30" s="20" t="s">
        <v>71</v>
      </c>
      <c r="E30" s="20" t="s">
        <v>71</v>
      </c>
      <c r="F30" s="20" t="s">
        <v>71</v>
      </c>
      <c r="G30">
        <v>12.62</v>
      </c>
      <c r="H30" s="1">
        <v>28.06</v>
      </c>
      <c r="I30">
        <f t="shared" si="0"/>
        <v>14.513</v>
      </c>
      <c r="J30">
        <f t="shared" si="1"/>
        <v>15.144</v>
      </c>
      <c r="K30">
        <f t="shared" si="2"/>
        <v>16.406</v>
      </c>
      <c r="L30">
        <f t="shared" si="3"/>
        <v>17.668</v>
      </c>
    </row>
    <row r="31" ht="28.5" spans="1:12">
      <c r="A31" t="s">
        <v>13</v>
      </c>
      <c r="B31" s="14" t="s">
        <v>72</v>
      </c>
      <c r="C31" s="20" t="s">
        <v>73</v>
      </c>
      <c r="D31" s="20" t="s">
        <v>73</v>
      </c>
      <c r="E31" s="20" t="s">
        <v>73</v>
      </c>
      <c r="F31" s="20" t="s">
        <v>73</v>
      </c>
      <c r="G31">
        <v>25.23</v>
      </c>
      <c r="H31" s="1">
        <v>56.05</v>
      </c>
      <c r="I31">
        <f t="shared" si="0"/>
        <v>29.0145</v>
      </c>
      <c r="J31">
        <f t="shared" si="1"/>
        <v>30.276</v>
      </c>
      <c r="K31">
        <f t="shared" si="2"/>
        <v>32.799</v>
      </c>
      <c r="L31">
        <f t="shared" si="3"/>
        <v>35.322</v>
      </c>
    </row>
    <row r="32" spans="1:12">
      <c r="A32" t="s">
        <v>13</v>
      </c>
      <c r="B32" s="14" t="s">
        <v>74</v>
      </c>
      <c r="C32" s="20" t="s">
        <v>65</v>
      </c>
      <c r="D32" s="20" t="s">
        <v>65</v>
      </c>
      <c r="E32" s="20" t="s">
        <v>65</v>
      </c>
      <c r="F32" s="20" t="s">
        <v>65</v>
      </c>
      <c r="G32">
        <v>8.48</v>
      </c>
      <c r="H32" s="1">
        <v>18.86</v>
      </c>
      <c r="I32">
        <f t="shared" si="0"/>
        <v>9.752</v>
      </c>
      <c r="J32">
        <f t="shared" si="1"/>
        <v>10.176</v>
      </c>
      <c r="K32">
        <f t="shared" si="2"/>
        <v>11.024</v>
      </c>
      <c r="L32">
        <f t="shared" si="3"/>
        <v>11.872</v>
      </c>
    </row>
    <row r="33" spans="1:12">
      <c r="A33" t="s">
        <v>13</v>
      </c>
      <c r="B33" s="14" t="s">
        <v>75</v>
      </c>
      <c r="C33" s="20" t="s">
        <v>76</v>
      </c>
      <c r="D33" s="20" t="s">
        <v>76</v>
      </c>
      <c r="E33" s="20" t="s">
        <v>76</v>
      </c>
      <c r="F33" s="20" t="s">
        <v>76</v>
      </c>
      <c r="G33">
        <v>7.28</v>
      </c>
      <c r="H33" s="1">
        <v>13.83</v>
      </c>
      <c r="I33">
        <f t="shared" si="0"/>
        <v>8.372</v>
      </c>
      <c r="J33">
        <f t="shared" si="1"/>
        <v>8.736</v>
      </c>
      <c r="K33">
        <f t="shared" si="2"/>
        <v>9.464</v>
      </c>
      <c r="L33">
        <f t="shared" si="3"/>
        <v>10.192</v>
      </c>
    </row>
    <row r="34" spans="1:12">
      <c r="A34" t="s">
        <v>13</v>
      </c>
      <c r="B34" s="14" t="s">
        <v>77</v>
      </c>
      <c r="C34" s="20" t="s">
        <v>78</v>
      </c>
      <c r="D34" s="20" t="s">
        <v>78</v>
      </c>
      <c r="E34" s="20" t="s">
        <v>78</v>
      </c>
      <c r="F34" s="20" t="s">
        <v>78</v>
      </c>
      <c r="G34">
        <v>2.99</v>
      </c>
      <c r="H34" s="1">
        <v>5.7</v>
      </c>
      <c r="I34">
        <f t="shared" si="0"/>
        <v>3.4385</v>
      </c>
      <c r="J34">
        <f t="shared" si="1"/>
        <v>3.588</v>
      </c>
      <c r="K34">
        <f t="shared" si="2"/>
        <v>3.887</v>
      </c>
      <c r="L34">
        <f t="shared" si="3"/>
        <v>4.186</v>
      </c>
    </row>
    <row r="35" ht="28.5" spans="1:12">
      <c r="A35" t="s">
        <v>13</v>
      </c>
      <c r="B35" s="14" t="s">
        <v>79</v>
      </c>
      <c r="C35" s="20" t="s">
        <v>80</v>
      </c>
      <c r="D35" s="20" t="s">
        <v>80</v>
      </c>
      <c r="E35" s="20" t="s">
        <v>80</v>
      </c>
      <c r="F35" s="20" t="s">
        <v>80</v>
      </c>
      <c r="G35">
        <v>2.79</v>
      </c>
      <c r="H35" s="1">
        <v>5.34</v>
      </c>
      <c r="I35">
        <f t="shared" si="0"/>
        <v>3.2085</v>
      </c>
      <c r="J35">
        <f t="shared" si="1"/>
        <v>3.348</v>
      </c>
      <c r="K35">
        <f t="shared" si="2"/>
        <v>3.627</v>
      </c>
      <c r="L35">
        <f t="shared" si="3"/>
        <v>3.906</v>
      </c>
    </row>
    <row r="36" spans="1:12">
      <c r="A36" t="s">
        <v>13</v>
      </c>
      <c r="B36" s="14" t="s">
        <v>81</v>
      </c>
      <c r="C36" s="20" t="s">
        <v>82</v>
      </c>
      <c r="D36" s="20" t="s">
        <v>82</v>
      </c>
      <c r="E36" s="20" t="s">
        <v>82</v>
      </c>
      <c r="F36" s="20" t="s">
        <v>82</v>
      </c>
      <c r="G36">
        <v>3.48</v>
      </c>
      <c r="H36" s="1">
        <v>7.79</v>
      </c>
      <c r="I36">
        <f t="shared" si="0"/>
        <v>4.002</v>
      </c>
      <c r="J36">
        <f t="shared" si="1"/>
        <v>4.176</v>
      </c>
      <c r="K36">
        <f t="shared" si="2"/>
        <v>4.524</v>
      </c>
      <c r="L36">
        <f t="shared" si="3"/>
        <v>4.872</v>
      </c>
    </row>
    <row r="37" spans="1:12">
      <c r="A37" t="s">
        <v>13</v>
      </c>
      <c r="B37" s="14" t="s">
        <v>83</v>
      </c>
      <c r="C37" s="20" t="s">
        <v>84</v>
      </c>
      <c r="D37" s="20" t="s">
        <v>84</v>
      </c>
      <c r="E37" s="20" t="s">
        <v>84</v>
      </c>
      <c r="F37" s="20" t="s">
        <v>84</v>
      </c>
      <c r="G37">
        <v>3.81</v>
      </c>
      <c r="H37" s="1">
        <v>8.46</v>
      </c>
      <c r="I37">
        <f t="shared" si="0"/>
        <v>4.3815</v>
      </c>
      <c r="J37">
        <f t="shared" si="1"/>
        <v>4.572</v>
      </c>
      <c r="K37">
        <f t="shared" si="2"/>
        <v>4.953</v>
      </c>
      <c r="L37">
        <f t="shared" si="3"/>
        <v>5.334</v>
      </c>
    </row>
    <row r="38" ht="28.5" spans="1:12">
      <c r="A38" t="s">
        <v>13</v>
      </c>
      <c r="B38" s="14" t="s">
        <v>85</v>
      </c>
      <c r="C38" s="20" t="s">
        <v>86</v>
      </c>
      <c r="D38" s="20" t="s">
        <v>86</v>
      </c>
      <c r="E38" s="20" t="s">
        <v>86</v>
      </c>
      <c r="F38" s="20" t="s">
        <v>86</v>
      </c>
      <c r="G38">
        <v>9.14</v>
      </c>
      <c r="H38" s="1">
        <v>20.32</v>
      </c>
      <c r="I38">
        <f t="shared" si="0"/>
        <v>10.511</v>
      </c>
      <c r="J38">
        <f t="shared" si="1"/>
        <v>10.968</v>
      </c>
      <c r="K38">
        <f t="shared" si="2"/>
        <v>11.882</v>
      </c>
      <c r="L38">
        <f t="shared" si="3"/>
        <v>12.796</v>
      </c>
    </row>
    <row r="39" ht="28.5" spans="1:12">
      <c r="A39" t="s">
        <v>13</v>
      </c>
      <c r="B39" s="14" t="s">
        <v>87</v>
      </c>
      <c r="C39" s="20" t="s">
        <v>88</v>
      </c>
      <c r="D39" s="20" t="s">
        <v>88</v>
      </c>
      <c r="E39" s="20" t="s">
        <v>88</v>
      </c>
      <c r="F39" s="20" t="s">
        <v>88</v>
      </c>
      <c r="G39">
        <v>21.57</v>
      </c>
      <c r="H39" s="1">
        <v>47.91</v>
      </c>
      <c r="I39">
        <f t="shared" si="0"/>
        <v>24.8055</v>
      </c>
      <c r="J39">
        <f t="shared" si="1"/>
        <v>25.884</v>
      </c>
      <c r="K39">
        <f t="shared" si="2"/>
        <v>28.041</v>
      </c>
      <c r="L39">
        <f t="shared" si="3"/>
        <v>30.198</v>
      </c>
    </row>
    <row r="40" spans="1:12">
      <c r="A40" t="s">
        <v>13</v>
      </c>
      <c r="B40" s="14" t="s">
        <v>89</v>
      </c>
      <c r="C40" s="20" t="s">
        <v>90</v>
      </c>
      <c r="D40" s="20" t="s">
        <v>90</v>
      </c>
      <c r="E40" s="20" t="s">
        <v>90</v>
      </c>
      <c r="F40" s="20" t="s">
        <v>90</v>
      </c>
      <c r="G40">
        <v>9.4</v>
      </c>
      <c r="H40" s="1">
        <v>20.9</v>
      </c>
      <c r="I40">
        <f t="shared" si="0"/>
        <v>10.81</v>
      </c>
      <c r="J40">
        <f t="shared" si="1"/>
        <v>11.28</v>
      </c>
      <c r="K40">
        <f t="shared" si="2"/>
        <v>12.22</v>
      </c>
      <c r="L40">
        <f t="shared" si="3"/>
        <v>13.16</v>
      </c>
    </row>
    <row r="41" ht="28.5" spans="1:12">
      <c r="A41" t="s">
        <v>13</v>
      </c>
      <c r="B41" s="14" t="s">
        <v>91</v>
      </c>
      <c r="C41" s="20" t="s">
        <v>92</v>
      </c>
      <c r="D41" s="20" t="s">
        <v>92</v>
      </c>
      <c r="E41" s="20" t="s">
        <v>92</v>
      </c>
      <c r="F41" s="20" t="s">
        <v>92</v>
      </c>
      <c r="G41">
        <v>25.86</v>
      </c>
      <c r="H41" s="1">
        <v>57.48</v>
      </c>
      <c r="I41">
        <f t="shared" si="0"/>
        <v>29.739</v>
      </c>
      <c r="J41">
        <f t="shared" si="1"/>
        <v>31.032</v>
      </c>
      <c r="K41">
        <f t="shared" si="2"/>
        <v>33.618</v>
      </c>
      <c r="L41">
        <f t="shared" si="3"/>
        <v>36.204</v>
      </c>
    </row>
    <row r="42" spans="1:12">
      <c r="A42" t="s">
        <v>13</v>
      </c>
      <c r="B42" s="14" t="s">
        <v>93</v>
      </c>
      <c r="C42" s="20" t="s">
        <v>90</v>
      </c>
      <c r="D42" s="20" t="s">
        <v>90</v>
      </c>
      <c r="E42" s="20" t="s">
        <v>90</v>
      </c>
      <c r="F42" s="20" t="s">
        <v>90</v>
      </c>
      <c r="G42">
        <v>11.96</v>
      </c>
      <c r="H42" s="1">
        <v>26.59</v>
      </c>
      <c r="I42">
        <f t="shared" si="0"/>
        <v>13.754</v>
      </c>
      <c r="J42">
        <f t="shared" si="1"/>
        <v>14.352</v>
      </c>
      <c r="K42">
        <f t="shared" si="2"/>
        <v>15.548</v>
      </c>
      <c r="L42">
        <f t="shared" si="3"/>
        <v>16.744</v>
      </c>
    </row>
    <row r="43" ht="28.5" spans="1:12">
      <c r="A43" t="s">
        <v>13</v>
      </c>
      <c r="B43" s="14" t="s">
        <v>94</v>
      </c>
      <c r="C43" s="20" t="s">
        <v>88</v>
      </c>
      <c r="D43" s="20" t="s">
        <v>88</v>
      </c>
      <c r="E43" s="20" t="s">
        <v>88</v>
      </c>
      <c r="F43" s="20" t="s">
        <v>88</v>
      </c>
      <c r="G43">
        <v>9.44</v>
      </c>
      <c r="H43" s="1">
        <v>17.98</v>
      </c>
      <c r="I43">
        <f t="shared" si="0"/>
        <v>10.856</v>
      </c>
      <c r="J43">
        <f t="shared" si="1"/>
        <v>11.328</v>
      </c>
      <c r="K43">
        <f t="shared" si="2"/>
        <v>12.272</v>
      </c>
      <c r="L43">
        <f t="shared" si="3"/>
        <v>13.216</v>
      </c>
    </row>
    <row r="44" spans="1:12">
      <c r="A44" t="s">
        <v>13</v>
      </c>
      <c r="B44" s="14" t="s">
        <v>95</v>
      </c>
      <c r="C44" s="20" t="s">
        <v>96</v>
      </c>
      <c r="D44" s="20" t="s">
        <v>96</v>
      </c>
      <c r="E44" s="20" t="s">
        <v>96</v>
      </c>
      <c r="F44" s="20" t="s">
        <v>96</v>
      </c>
      <c r="G44">
        <v>4.78</v>
      </c>
      <c r="H44" s="1">
        <v>10.62</v>
      </c>
      <c r="I44">
        <f t="shared" si="0"/>
        <v>5.497</v>
      </c>
      <c r="J44">
        <f t="shared" si="1"/>
        <v>5.736</v>
      </c>
      <c r="K44">
        <f t="shared" si="2"/>
        <v>6.214</v>
      </c>
      <c r="L44">
        <f t="shared" si="3"/>
        <v>6.692</v>
      </c>
    </row>
    <row r="45" spans="1:12">
      <c r="A45" t="s">
        <v>13</v>
      </c>
      <c r="B45" s="14" t="s">
        <v>97</v>
      </c>
      <c r="C45" s="20" t="s">
        <v>98</v>
      </c>
      <c r="D45" s="20" t="s">
        <v>98</v>
      </c>
      <c r="E45" s="20" t="s">
        <v>98</v>
      </c>
      <c r="F45" s="20" t="s">
        <v>98</v>
      </c>
      <c r="G45">
        <v>16.16</v>
      </c>
      <c r="H45" s="1">
        <v>35.9</v>
      </c>
      <c r="I45">
        <f t="shared" si="0"/>
        <v>18.584</v>
      </c>
      <c r="J45">
        <f t="shared" si="1"/>
        <v>19.392</v>
      </c>
      <c r="K45">
        <f t="shared" si="2"/>
        <v>21.008</v>
      </c>
      <c r="L45">
        <f t="shared" si="3"/>
        <v>22.624</v>
      </c>
    </row>
    <row r="46" spans="1:12">
      <c r="A46" t="s">
        <v>13</v>
      </c>
      <c r="B46" s="14" t="s">
        <v>99</v>
      </c>
      <c r="C46" s="20" t="s">
        <v>100</v>
      </c>
      <c r="D46" s="20" t="s">
        <v>100</v>
      </c>
      <c r="E46" s="20" t="s">
        <v>100</v>
      </c>
      <c r="F46" s="20" t="s">
        <v>100</v>
      </c>
      <c r="G46">
        <v>6.6</v>
      </c>
      <c r="H46" s="1">
        <v>14.66</v>
      </c>
      <c r="I46">
        <f t="shared" si="0"/>
        <v>7.59</v>
      </c>
      <c r="J46">
        <f t="shared" si="1"/>
        <v>7.92</v>
      </c>
      <c r="K46">
        <f t="shared" si="2"/>
        <v>8.58</v>
      </c>
      <c r="L46">
        <f t="shared" si="3"/>
        <v>9.24</v>
      </c>
    </row>
    <row r="47" ht="28.5" spans="1:12">
      <c r="A47" t="s">
        <v>13</v>
      </c>
      <c r="B47" s="14" t="s">
        <v>101</v>
      </c>
      <c r="C47" s="20" t="s">
        <v>102</v>
      </c>
      <c r="D47" s="20" t="s">
        <v>102</v>
      </c>
      <c r="E47" s="20" t="s">
        <v>102</v>
      </c>
      <c r="F47" s="20" t="s">
        <v>102</v>
      </c>
      <c r="G47">
        <v>53.76</v>
      </c>
      <c r="H47" s="1">
        <v>102.42</v>
      </c>
      <c r="I47">
        <f t="shared" si="0"/>
        <v>61.824</v>
      </c>
      <c r="J47">
        <f t="shared" si="1"/>
        <v>64.512</v>
      </c>
      <c r="K47">
        <f t="shared" si="2"/>
        <v>69.888</v>
      </c>
      <c r="L47">
        <f t="shared" si="3"/>
        <v>75.264</v>
      </c>
    </row>
    <row r="48" ht="28.5" spans="1:12">
      <c r="A48" t="s">
        <v>13</v>
      </c>
      <c r="B48" s="14" t="s">
        <v>103</v>
      </c>
      <c r="C48" s="20" t="s">
        <v>104</v>
      </c>
      <c r="D48" s="20" t="s">
        <v>104</v>
      </c>
      <c r="E48" s="20" t="s">
        <v>104</v>
      </c>
      <c r="F48" s="20" t="s">
        <v>104</v>
      </c>
      <c r="G48">
        <v>57.7</v>
      </c>
      <c r="H48" s="1">
        <v>128.2</v>
      </c>
      <c r="I48">
        <f t="shared" si="0"/>
        <v>66.355</v>
      </c>
      <c r="J48">
        <f t="shared" si="1"/>
        <v>69.24</v>
      </c>
      <c r="K48">
        <f t="shared" si="2"/>
        <v>75.01</v>
      </c>
      <c r="L48">
        <f t="shared" si="3"/>
        <v>80.78</v>
      </c>
    </row>
    <row r="49" spans="1:12">
      <c r="A49" t="s">
        <v>13</v>
      </c>
      <c r="B49" s="14" t="s">
        <v>105</v>
      </c>
      <c r="C49" s="20" t="s">
        <v>106</v>
      </c>
      <c r="D49" s="20" t="s">
        <v>106</v>
      </c>
      <c r="E49" s="20" t="s">
        <v>106</v>
      </c>
      <c r="F49" s="20" t="s">
        <v>106</v>
      </c>
      <c r="G49">
        <v>44.19</v>
      </c>
      <c r="H49" s="1">
        <v>84.16</v>
      </c>
      <c r="I49">
        <f t="shared" si="0"/>
        <v>50.8185</v>
      </c>
      <c r="J49">
        <f t="shared" si="1"/>
        <v>53.028</v>
      </c>
      <c r="K49">
        <f t="shared" si="2"/>
        <v>57.447</v>
      </c>
      <c r="L49">
        <f t="shared" si="3"/>
        <v>61.866</v>
      </c>
    </row>
    <row r="50" spans="1:12">
      <c r="A50" t="s">
        <v>13</v>
      </c>
      <c r="B50" s="14" t="s">
        <v>107</v>
      </c>
      <c r="C50" s="20" t="s">
        <v>108</v>
      </c>
      <c r="D50" s="20" t="s">
        <v>108</v>
      </c>
      <c r="E50" s="20" t="s">
        <v>108</v>
      </c>
      <c r="F50" s="20" t="s">
        <v>108</v>
      </c>
      <c r="G50">
        <v>22.59</v>
      </c>
      <c r="H50" s="1">
        <v>50.2</v>
      </c>
      <c r="I50">
        <f t="shared" si="0"/>
        <v>25.9785</v>
      </c>
      <c r="J50">
        <f t="shared" si="1"/>
        <v>27.108</v>
      </c>
      <c r="K50">
        <f t="shared" si="2"/>
        <v>29.367</v>
      </c>
      <c r="L50">
        <f t="shared" si="3"/>
        <v>31.626</v>
      </c>
    </row>
    <row r="51" ht="28.5" spans="1:12">
      <c r="A51" t="s">
        <v>13</v>
      </c>
      <c r="B51" s="14" t="s">
        <v>109</v>
      </c>
      <c r="C51" s="20" t="s">
        <v>110</v>
      </c>
      <c r="D51" s="20" t="s">
        <v>110</v>
      </c>
      <c r="E51" s="20" t="s">
        <v>110</v>
      </c>
      <c r="F51" s="20" t="s">
        <v>110</v>
      </c>
      <c r="G51">
        <v>18.9</v>
      </c>
      <c r="H51" s="1">
        <v>41.99</v>
      </c>
      <c r="I51">
        <f t="shared" si="0"/>
        <v>21.735</v>
      </c>
      <c r="J51">
        <f t="shared" si="1"/>
        <v>22.68</v>
      </c>
      <c r="K51">
        <f t="shared" si="2"/>
        <v>24.57</v>
      </c>
      <c r="L51">
        <f t="shared" si="3"/>
        <v>26.46</v>
      </c>
    </row>
    <row r="52" ht="28.5" spans="1:12">
      <c r="A52" t="s">
        <v>13</v>
      </c>
      <c r="B52" s="14" t="s">
        <v>111</v>
      </c>
      <c r="C52" s="20" t="s">
        <v>112</v>
      </c>
      <c r="D52" s="20" t="s">
        <v>112</v>
      </c>
      <c r="E52" s="20" t="s">
        <v>112</v>
      </c>
      <c r="F52" s="20" t="s">
        <v>112</v>
      </c>
      <c r="G52">
        <v>22.59</v>
      </c>
      <c r="H52" s="1">
        <v>50.2</v>
      </c>
      <c r="I52">
        <f t="shared" si="0"/>
        <v>25.9785</v>
      </c>
      <c r="J52">
        <f t="shared" si="1"/>
        <v>27.108</v>
      </c>
      <c r="K52">
        <f t="shared" si="2"/>
        <v>29.367</v>
      </c>
      <c r="L52">
        <f t="shared" si="3"/>
        <v>31.626</v>
      </c>
    </row>
    <row r="53" spans="1:12">
      <c r="A53" t="s">
        <v>13</v>
      </c>
      <c r="B53" s="14" t="s">
        <v>113</v>
      </c>
      <c r="C53" s="20" t="s">
        <v>108</v>
      </c>
      <c r="D53" s="20" t="s">
        <v>108</v>
      </c>
      <c r="E53" s="20" t="s">
        <v>108</v>
      </c>
      <c r="F53" s="20" t="s">
        <v>108</v>
      </c>
      <c r="G53">
        <v>15.59</v>
      </c>
      <c r="H53" s="1">
        <v>34.68</v>
      </c>
      <c r="I53">
        <f t="shared" si="0"/>
        <v>17.9285</v>
      </c>
      <c r="J53">
        <f t="shared" si="1"/>
        <v>18.708</v>
      </c>
      <c r="K53">
        <f t="shared" si="2"/>
        <v>20.267</v>
      </c>
      <c r="L53">
        <f t="shared" si="3"/>
        <v>21.826</v>
      </c>
    </row>
    <row r="54" spans="1:12">
      <c r="A54" t="s">
        <v>13</v>
      </c>
      <c r="B54" s="14" t="s">
        <v>114</v>
      </c>
      <c r="C54" s="20" t="s">
        <v>115</v>
      </c>
      <c r="D54" s="20" t="s">
        <v>115</v>
      </c>
      <c r="E54" s="20" t="s">
        <v>115</v>
      </c>
      <c r="F54" s="20" t="s">
        <v>115</v>
      </c>
      <c r="G54">
        <v>10.81</v>
      </c>
      <c r="H54" s="1">
        <v>24.03</v>
      </c>
      <c r="I54">
        <f t="shared" si="0"/>
        <v>12.4315</v>
      </c>
      <c r="J54">
        <f t="shared" si="1"/>
        <v>12.972</v>
      </c>
      <c r="K54">
        <f t="shared" si="2"/>
        <v>14.053</v>
      </c>
      <c r="L54">
        <f t="shared" si="3"/>
        <v>15.134</v>
      </c>
    </row>
    <row r="55" spans="1:12">
      <c r="A55" t="s">
        <v>13</v>
      </c>
      <c r="B55" s="14" t="s">
        <v>116</v>
      </c>
      <c r="C55" s="20" t="s">
        <v>117</v>
      </c>
      <c r="D55" s="20" t="s">
        <v>117</v>
      </c>
      <c r="E55" s="20" t="s">
        <v>117</v>
      </c>
      <c r="F55" s="20" t="s">
        <v>117</v>
      </c>
      <c r="G55">
        <v>5.79</v>
      </c>
      <c r="H55" s="1">
        <v>11.04</v>
      </c>
      <c r="I55">
        <f t="shared" si="0"/>
        <v>6.6585</v>
      </c>
      <c r="J55">
        <f t="shared" si="1"/>
        <v>6.948</v>
      </c>
      <c r="K55">
        <f t="shared" si="2"/>
        <v>7.527</v>
      </c>
      <c r="L55">
        <f t="shared" si="3"/>
        <v>8.106</v>
      </c>
    </row>
    <row r="56" spans="1:12">
      <c r="A56" t="s">
        <v>13</v>
      </c>
      <c r="B56" s="14" t="s">
        <v>118</v>
      </c>
      <c r="C56" s="20" t="s">
        <v>119</v>
      </c>
      <c r="D56" s="20" t="s">
        <v>119</v>
      </c>
      <c r="E56" s="20" t="s">
        <v>119</v>
      </c>
      <c r="F56" s="20" t="s">
        <v>119</v>
      </c>
      <c r="G56">
        <v>3.67</v>
      </c>
      <c r="H56" s="1">
        <v>8.17</v>
      </c>
      <c r="I56">
        <f t="shared" si="0"/>
        <v>4.2205</v>
      </c>
      <c r="J56">
        <f t="shared" si="1"/>
        <v>4.404</v>
      </c>
      <c r="K56">
        <f t="shared" si="2"/>
        <v>4.771</v>
      </c>
      <c r="L56">
        <f t="shared" si="3"/>
        <v>5.138</v>
      </c>
    </row>
    <row r="57" spans="1:12">
      <c r="A57" t="s">
        <v>13</v>
      </c>
      <c r="B57" s="14" t="s">
        <v>120</v>
      </c>
      <c r="C57" s="20" t="s">
        <v>121</v>
      </c>
      <c r="D57" s="20" t="s">
        <v>121</v>
      </c>
      <c r="E57" s="20" t="s">
        <v>121</v>
      </c>
      <c r="F57" s="20" t="s">
        <v>121</v>
      </c>
      <c r="G57">
        <v>23.2</v>
      </c>
      <c r="H57" s="1">
        <v>51.51</v>
      </c>
      <c r="I57">
        <f t="shared" si="0"/>
        <v>26.68</v>
      </c>
      <c r="J57">
        <f t="shared" si="1"/>
        <v>27.84</v>
      </c>
      <c r="K57">
        <f t="shared" si="2"/>
        <v>30.16</v>
      </c>
      <c r="L57">
        <f t="shared" si="3"/>
        <v>32.48</v>
      </c>
    </row>
    <row r="58" spans="1:12">
      <c r="A58" t="s">
        <v>13</v>
      </c>
      <c r="B58" s="14" t="s">
        <v>122</v>
      </c>
      <c r="C58" s="20" t="s">
        <v>123</v>
      </c>
      <c r="D58" s="20" t="s">
        <v>123</v>
      </c>
      <c r="E58" s="20" t="s">
        <v>123</v>
      </c>
      <c r="F58" s="20" t="s">
        <v>123</v>
      </c>
      <c r="G58">
        <v>9.11</v>
      </c>
      <c r="H58" s="1">
        <v>20.22</v>
      </c>
      <c r="I58">
        <f t="shared" si="0"/>
        <v>10.4765</v>
      </c>
      <c r="J58">
        <f t="shared" si="1"/>
        <v>10.932</v>
      </c>
      <c r="K58">
        <f t="shared" si="2"/>
        <v>11.843</v>
      </c>
      <c r="L58">
        <f t="shared" si="3"/>
        <v>12.754</v>
      </c>
    </row>
    <row r="59" spans="1:12">
      <c r="A59" t="s">
        <v>13</v>
      </c>
      <c r="B59" s="14" t="s">
        <v>124</v>
      </c>
      <c r="C59" s="20" t="s">
        <v>125</v>
      </c>
      <c r="D59" s="20" t="s">
        <v>125</v>
      </c>
      <c r="E59" s="20" t="s">
        <v>125</v>
      </c>
      <c r="F59" s="20" t="s">
        <v>125</v>
      </c>
      <c r="G59">
        <v>5.4</v>
      </c>
      <c r="H59" s="1">
        <v>10.27</v>
      </c>
      <c r="I59">
        <f t="shared" si="0"/>
        <v>6.21</v>
      </c>
      <c r="J59">
        <f t="shared" si="1"/>
        <v>6.48</v>
      </c>
      <c r="K59">
        <f t="shared" si="2"/>
        <v>7.02</v>
      </c>
      <c r="L59">
        <f t="shared" si="3"/>
        <v>7.56</v>
      </c>
    </row>
    <row r="60" spans="1:12">
      <c r="A60" t="s">
        <v>13</v>
      </c>
      <c r="B60" s="14" t="s">
        <v>126</v>
      </c>
      <c r="C60" s="20" t="s">
        <v>127</v>
      </c>
      <c r="D60" s="20" t="s">
        <v>127</v>
      </c>
      <c r="E60" s="20" t="s">
        <v>127</v>
      </c>
      <c r="F60" s="20" t="s">
        <v>127</v>
      </c>
      <c r="G60">
        <v>4.43</v>
      </c>
      <c r="H60" s="1">
        <v>9.86</v>
      </c>
      <c r="I60">
        <f t="shared" si="0"/>
        <v>5.0945</v>
      </c>
      <c r="J60">
        <f t="shared" si="1"/>
        <v>5.316</v>
      </c>
      <c r="K60">
        <f t="shared" si="2"/>
        <v>5.759</v>
      </c>
      <c r="L60">
        <f t="shared" si="3"/>
        <v>6.202</v>
      </c>
    </row>
    <row r="61" spans="1:12">
      <c r="A61" t="s">
        <v>13</v>
      </c>
      <c r="B61" s="14" t="s">
        <v>128</v>
      </c>
      <c r="C61" s="20" t="s">
        <v>129</v>
      </c>
      <c r="D61" s="20" t="s">
        <v>129</v>
      </c>
      <c r="E61" s="20" t="s">
        <v>129</v>
      </c>
      <c r="F61" s="20" t="s">
        <v>129</v>
      </c>
      <c r="G61">
        <v>5.71</v>
      </c>
      <c r="H61" s="1">
        <v>12.7</v>
      </c>
      <c r="I61">
        <f t="shared" si="0"/>
        <v>6.5665</v>
      </c>
      <c r="J61">
        <f t="shared" si="1"/>
        <v>6.852</v>
      </c>
      <c r="K61">
        <f t="shared" si="2"/>
        <v>7.423</v>
      </c>
      <c r="L61">
        <f t="shared" si="3"/>
        <v>7.994</v>
      </c>
    </row>
    <row r="62" spans="1:12">
      <c r="A62" t="s">
        <v>13</v>
      </c>
      <c r="B62" s="14" t="s">
        <v>130</v>
      </c>
      <c r="C62" s="20" t="s">
        <v>131</v>
      </c>
      <c r="D62" s="20" t="s">
        <v>131</v>
      </c>
      <c r="E62" s="20" t="s">
        <v>131</v>
      </c>
      <c r="F62" s="20" t="s">
        <v>131</v>
      </c>
      <c r="G62">
        <v>4.38</v>
      </c>
      <c r="H62" s="1">
        <v>9.75</v>
      </c>
      <c r="I62">
        <f t="shared" si="0"/>
        <v>5.037</v>
      </c>
      <c r="J62">
        <f t="shared" si="1"/>
        <v>5.256</v>
      </c>
      <c r="K62">
        <f t="shared" si="2"/>
        <v>5.694</v>
      </c>
      <c r="L62">
        <f t="shared" si="3"/>
        <v>6.132</v>
      </c>
    </row>
    <row r="63" spans="1:12">
      <c r="A63" t="s">
        <v>13</v>
      </c>
      <c r="B63" s="14" t="s">
        <v>132</v>
      </c>
      <c r="C63" s="20" t="s">
        <v>133</v>
      </c>
      <c r="D63" s="20" t="s">
        <v>133</v>
      </c>
      <c r="E63" s="20" t="s">
        <v>133</v>
      </c>
      <c r="F63" s="20" t="s">
        <v>133</v>
      </c>
      <c r="G63">
        <v>4.95</v>
      </c>
      <c r="H63" s="1">
        <v>11.03</v>
      </c>
      <c r="I63">
        <f t="shared" si="0"/>
        <v>5.6925</v>
      </c>
      <c r="J63">
        <f t="shared" si="1"/>
        <v>5.94</v>
      </c>
      <c r="K63">
        <f t="shared" si="2"/>
        <v>6.435</v>
      </c>
      <c r="L63">
        <f t="shared" si="3"/>
        <v>6.93</v>
      </c>
    </row>
    <row r="64" spans="1:12">
      <c r="A64" t="s">
        <v>13</v>
      </c>
      <c r="B64" s="14" t="s">
        <v>134</v>
      </c>
      <c r="C64" s="20" t="s">
        <v>135</v>
      </c>
      <c r="D64" s="20" t="s">
        <v>135</v>
      </c>
      <c r="E64" s="20" t="s">
        <v>135</v>
      </c>
      <c r="F64" s="20" t="s">
        <v>135</v>
      </c>
      <c r="G64">
        <v>5</v>
      </c>
      <c r="H64" s="1">
        <v>11.1</v>
      </c>
      <c r="I64">
        <f t="shared" si="0"/>
        <v>5.75</v>
      </c>
      <c r="J64">
        <f t="shared" si="1"/>
        <v>6</v>
      </c>
      <c r="K64">
        <f t="shared" si="2"/>
        <v>6.5</v>
      </c>
      <c r="L64">
        <f t="shared" si="3"/>
        <v>7</v>
      </c>
    </row>
    <row r="65" spans="1:12">
      <c r="A65" t="s">
        <v>13</v>
      </c>
      <c r="B65" s="14" t="s">
        <v>136</v>
      </c>
      <c r="C65" s="20" t="s">
        <v>137</v>
      </c>
      <c r="D65" s="20" t="s">
        <v>137</v>
      </c>
      <c r="E65" s="20" t="s">
        <v>137</v>
      </c>
      <c r="F65" s="20" t="s">
        <v>137</v>
      </c>
      <c r="G65">
        <v>6.3</v>
      </c>
      <c r="H65" s="1">
        <v>13.99</v>
      </c>
      <c r="I65">
        <f t="shared" si="0"/>
        <v>7.245</v>
      </c>
      <c r="J65">
        <f t="shared" si="1"/>
        <v>7.56</v>
      </c>
      <c r="K65">
        <f t="shared" si="2"/>
        <v>8.19</v>
      </c>
      <c r="L65">
        <f t="shared" si="3"/>
        <v>8.82</v>
      </c>
    </row>
    <row r="66" spans="1:12">
      <c r="A66" t="s">
        <v>13</v>
      </c>
      <c r="B66" s="14" t="s">
        <v>138</v>
      </c>
      <c r="C66" s="20" t="s">
        <v>139</v>
      </c>
      <c r="D66" s="20" t="s">
        <v>139</v>
      </c>
      <c r="E66" s="20" t="s">
        <v>139</v>
      </c>
      <c r="F66" s="20" t="s">
        <v>139</v>
      </c>
      <c r="G66">
        <v>6.58</v>
      </c>
      <c r="H66" s="1">
        <v>12.51</v>
      </c>
      <c r="I66">
        <f t="shared" ref="I66:I129" si="4">G66*1.15</f>
        <v>7.567</v>
      </c>
      <c r="J66">
        <f t="shared" ref="J66:J129" si="5">G66*1.2</f>
        <v>7.896</v>
      </c>
      <c r="K66">
        <f t="shared" ref="K66:K129" si="6">G66*1.3</f>
        <v>8.554</v>
      </c>
      <c r="L66">
        <f t="shared" ref="L66:L129" si="7">G66*1.4</f>
        <v>9.212</v>
      </c>
    </row>
    <row r="67" spans="1:12">
      <c r="A67" t="s">
        <v>13</v>
      </c>
      <c r="B67" s="14" t="s">
        <v>140</v>
      </c>
      <c r="C67" s="20" t="s">
        <v>129</v>
      </c>
      <c r="D67" s="20" t="s">
        <v>129</v>
      </c>
      <c r="E67" s="20" t="s">
        <v>129</v>
      </c>
      <c r="F67" s="20" t="s">
        <v>129</v>
      </c>
      <c r="G67">
        <v>5.49</v>
      </c>
      <c r="H67" s="1">
        <v>12.2</v>
      </c>
      <c r="I67">
        <f t="shared" si="4"/>
        <v>6.3135</v>
      </c>
      <c r="J67">
        <f t="shared" si="5"/>
        <v>6.588</v>
      </c>
      <c r="K67">
        <f t="shared" si="6"/>
        <v>7.137</v>
      </c>
      <c r="L67">
        <f t="shared" si="7"/>
        <v>7.686</v>
      </c>
    </row>
    <row r="68" spans="1:12">
      <c r="A68" t="s">
        <v>13</v>
      </c>
      <c r="B68" s="14" t="s">
        <v>141</v>
      </c>
      <c r="C68" s="20" t="s">
        <v>142</v>
      </c>
      <c r="D68" s="20" t="s">
        <v>142</v>
      </c>
      <c r="E68" s="20" t="s">
        <v>142</v>
      </c>
      <c r="F68" s="20" t="s">
        <v>142</v>
      </c>
      <c r="G68">
        <v>11.48</v>
      </c>
      <c r="H68" s="1">
        <v>25.51</v>
      </c>
      <c r="I68">
        <f t="shared" si="4"/>
        <v>13.202</v>
      </c>
      <c r="J68">
        <f t="shared" si="5"/>
        <v>13.776</v>
      </c>
      <c r="K68">
        <f t="shared" si="6"/>
        <v>14.924</v>
      </c>
      <c r="L68">
        <f t="shared" si="7"/>
        <v>16.072</v>
      </c>
    </row>
    <row r="69" ht="28.5" spans="1:12">
      <c r="A69" t="s">
        <v>13</v>
      </c>
      <c r="B69" s="14" t="s">
        <v>143</v>
      </c>
      <c r="C69" s="20" t="s">
        <v>144</v>
      </c>
      <c r="D69" s="20" t="s">
        <v>144</v>
      </c>
      <c r="E69" s="20" t="s">
        <v>144</v>
      </c>
      <c r="F69" s="20" t="s">
        <v>144</v>
      </c>
      <c r="G69">
        <v>26.86</v>
      </c>
      <c r="H69" s="1">
        <v>59.68</v>
      </c>
      <c r="I69">
        <f t="shared" si="4"/>
        <v>30.889</v>
      </c>
      <c r="J69">
        <f t="shared" si="5"/>
        <v>32.232</v>
      </c>
      <c r="K69">
        <f t="shared" si="6"/>
        <v>34.918</v>
      </c>
      <c r="L69">
        <f t="shared" si="7"/>
        <v>37.604</v>
      </c>
    </row>
    <row r="70" spans="1:12">
      <c r="A70" t="s">
        <v>13</v>
      </c>
      <c r="B70" s="14" t="s">
        <v>145</v>
      </c>
      <c r="C70" s="20" t="s">
        <v>146</v>
      </c>
      <c r="D70" s="20" t="s">
        <v>146</v>
      </c>
      <c r="E70" s="20" t="s">
        <v>146</v>
      </c>
      <c r="F70" s="20" t="s">
        <v>146</v>
      </c>
      <c r="G70">
        <v>2.35</v>
      </c>
      <c r="H70" s="1">
        <v>5.2</v>
      </c>
      <c r="I70">
        <f t="shared" si="4"/>
        <v>2.7025</v>
      </c>
      <c r="J70">
        <f t="shared" si="5"/>
        <v>2.82</v>
      </c>
      <c r="K70">
        <f t="shared" si="6"/>
        <v>3.055</v>
      </c>
      <c r="L70">
        <f t="shared" si="7"/>
        <v>3.29</v>
      </c>
    </row>
    <row r="71" spans="1:12">
      <c r="A71" t="s">
        <v>13</v>
      </c>
      <c r="B71" s="14" t="s">
        <v>147</v>
      </c>
      <c r="C71" s="20" t="s">
        <v>148</v>
      </c>
      <c r="D71" s="20" t="s">
        <v>148</v>
      </c>
      <c r="E71" s="20" t="s">
        <v>148</v>
      </c>
      <c r="F71" s="20" t="s">
        <v>148</v>
      </c>
      <c r="G71">
        <v>2.75</v>
      </c>
      <c r="H71" s="1">
        <v>6.14</v>
      </c>
      <c r="I71">
        <f t="shared" si="4"/>
        <v>3.1625</v>
      </c>
      <c r="J71">
        <f t="shared" si="5"/>
        <v>3.3</v>
      </c>
      <c r="K71">
        <f t="shared" si="6"/>
        <v>3.575</v>
      </c>
      <c r="L71">
        <f t="shared" si="7"/>
        <v>3.85</v>
      </c>
    </row>
    <row r="72" spans="1:12">
      <c r="A72" t="s">
        <v>13</v>
      </c>
      <c r="B72" s="14" t="s">
        <v>149</v>
      </c>
      <c r="C72" s="20" t="s">
        <v>150</v>
      </c>
      <c r="D72" s="20" t="s">
        <v>150</v>
      </c>
      <c r="E72" s="20" t="s">
        <v>150</v>
      </c>
      <c r="F72" s="20" t="s">
        <v>150</v>
      </c>
      <c r="G72">
        <v>14.29</v>
      </c>
      <c r="H72" s="1">
        <v>31.79</v>
      </c>
      <c r="I72">
        <f t="shared" si="4"/>
        <v>16.4335</v>
      </c>
      <c r="J72">
        <f t="shared" si="5"/>
        <v>17.148</v>
      </c>
      <c r="K72">
        <f t="shared" si="6"/>
        <v>18.577</v>
      </c>
      <c r="L72">
        <f t="shared" si="7"/>
        <v>20.006</v>
      </c>
    </row>
    <row r="73" spans="1:12">
      <c r="A73" t="s">
        <v>13</v>
      </c>
      <c r="B73" s="14" t="s">
        <v>151</v>
      </c>
      <c r="C73" s="20" t="s">
        <v>152</v>
      </c>
      <c r="D73" s="20" t="s">
        <v>152</v>
      </c>
      <c r="E73" s="20" t="s">
        <v>152</v>
      </c>
      <c r="F73" s="20" t="s">
        <v>152</v>
      </c>
      <c r="G73">
        <v>13.43</v>
      </c>
      <c r="H73" s="1">
        <v>29.88</v>
      </c>
      <c r="I73">
        <f t="shared" si="4"/>
        <v>15.4445</v>
      </c>
      <c r="J73">
        <f t="shared" si="5"/>
        <v>16.116</v>
      </c>
      <c r="K73">
        <f t="shared" si="6"/>
        <v>17.459</v>
      </c>
      <c r="L73">
        <f t="shared" si="7"/>
        <v>18.802</v>
      </c>
    </row>
    <row r="74" spans="1:12">
      <c r="A74" t="s">
        <v>13</v>
      </c>
      <c r="B74" s="14" t="s">
        <v>153</v>
      </c>
      <c r="C74" s="20" t="s">
        <v>154</v>
      </c>
      <c r="D74" s="20" t="s">
        <v>154</v>
      </c>
      <c r="E74" s="20" t="s">
        <v>154</v>
      </c>
      <c r="F74" s="20" t="s">
        <v>154</v>
      </c>
      <c r="G74">
        <v>13.43</v>
      </c>
      <c r="H74" s="1">
        <v>29.88</v>
      </c>
      <c r="I74">
        <f t="shared" si="4"/>
        <v>15.4445</v>
      </c>
      <c r="J74">
        <f t="shared" si="5"/>
        <v>16.116</v>
      </c>
      <c r="K74">
        <f t="shared" si="6"/>
        <v>17.459</v>
      </c>
      <c r="L74">
        <f t="shared" si="7"/>
        <v>18.802</v>
      </c>
    </row>
    <row r="75" spans="1:12">
      <c r="A75" t="s">
        <v>13</v>
      </c>
      <c r="B75" s="14" t="s">
        <v>155</v>
      </c>
      <c r="C75" s="20" t="s">
        <v>156</v>
      </c>
      <c r="D75" s="20" t="s">
        <v>156</v>
      </c>
      <c r="E75" s="20" t="s">
        <v>156</v>
      </c>
      <c r="F75" s="20" t="s">
        <v>156</v>
      </c>
      <c r="G75">
        <v>13.43</v>
      </c>
      <c r="H75" s="1">
        <v>29.88</v>
      </c>
      <c r="I75">
        <f t="shared" si="4"/>
        <v>15.4445</v>
      </c>
      <c r="J75">
        <f t="shared" si="5"/>
        <v>16.116</v>
      </c>
      <c r="K75">
        <f t="shared" si="6"/>
        <v>17.459</v>
      </c>
      <c r="L75">
        <f t="shared" si="7"/>
        <v>18.802</v>
      </c>
    </row>
    <row r="76" spans="1:12">
      <c r="A76" t="s">
        <v>13</v>
      </c>
      <c r="B76" s="14" t="s">
        <v>157</v>
      </c>
      <c r="C76" s="20" t="s">
        <v>158</v>
      </c>
      <c r="D76" s="20" t="s">
        <v>158</v>
      </c>
      <c r="E76" s="20" t="s">
        <v>158</v>
      </c>
      <c r="F76" s="20" t="s">
        <v>158</v>
      </c>
      <c r="G76">
        <v>13.43</v>
      </c>
      <c r="H76" s="1">
        <v>29.88</v>
      </c>
      <c r="I76">
        <f t="shared" si="4"/>
        <v>15.4445</v>
      </c>
      <c r="J76">
        <f t="shared" si="5"/>
        <v>16.116</v>
      </c>
      <c r="K76">
        <f t="shared" si="6"/>
        <v>17.459</v>
      </c>
      <c r="L76">
        <f t="shared" si="7"/>
        <v>18.802</v>
      </c>
    </row>
    <row r="77" ht="28.5" spans="1:12">
      <c r="A77" t="s">
        <v>13</v>
      </c>
      <c r="B77" s="14" t="s">
        <v>159</v>
      </c>
      <c r="C77" s="20" t="s">
        <v>160</v>
      </c>
      <c r="D77" s="20" t="s">
        <v>160</v>
      </c>
      <c r="E77" s="20" t="s">
        <v>160</v>
      </c>
      <c r="F77" s="20" t="s">
        <v>160</v>
      </c>
      <c r="G77">
        <v>13.43</v>
      </c>
      <c r="H77" s="1">
        <v>29.88</v>
      </c>
      <c r="I77">
        <f t="shared" si="4"/>
        <v>15.4445</v>
      </c>
      <c r="J77">
        <f t="shared" si="5"/>
        <v>16.116</v>
      </c>
      <c r="K77">
        <f t="shared" si="6"/>
        <v>17.459</v>
      </c>
      <c r="L77">
        <f t="shared" si="7"/>
        <v>18.802</v>
      </c>
    </row>
    <row r="78" spans="1:12">
      <c r="A78" t="s">
        <v>13</v>
      </c>
      <c r="B78" s="14" t="s">
        <v>161</v>
      </c>
      <c r="C78" s="20" t="s">
        <v>162</v>
      </c>
      <c r="D78" s="20" t="s">
        <v>162</v>
      </c>
      <c r="E78" s="20" t="s">
        <v>162</v>
      </c>
      <c r="F78" s="20" t="s">
        <v>162</v>
      </c>
      <c r="G78">
        <v>17.08</v>
      </c>
      <c r="H78" s="1">
        <v>37.94</v>
      </c>
      <c r="I78">
        <f t="shared" si="4"/>
        <v>19.642</v>
      </c>
      <c r="J78">
        <f t="shared" si="5"/>
        <v>20.496</v>
      </c>
      <c r="K78">
        <f t="shared" si="6"/>
        <v>22.204</v>
      </c>
      <c r="L78">
        <f t="shared" si="7"/>
        <v>23.912</v>
      </c>
    </row>
    <row r="79" spans="1:12">
      <c r="A79" t="s">
        <v>13</v>
      </c>
      <c r="B79" s="14" t="s">
        <v>163</v>
      </c>
      <c r="C79" s="20" t="s">
        <v>164</v>
      </c>
      <c r="D79" s="20" t="s">
        <v>164</v>
      </c>
      <c r="E79" s="20" t="s">
        <v>164</v>
      </c>
      <c r="F79" s="20" t="s">
        <v>164</v>
      </c>
      <c r="G79">
        <v>17.93</v>
      </c>
      <c r="H79" s="1">
        <v>39.84</v>
      </c>
      <c r="I79">
        <f t="shared" si="4"/>
        <v>20.6195</v>
      </c>
      <c r="J79">
        <f t="shared" si="5"/>
        <v>21.516</v>
      </c>
      <c r="K79">
        <f t="shared" si="6"/>
        <v>23.309</v>
      </c>
      <c r="L79">
        <f t="shared" si="7"/>
        <v>25.102</v>
      </c>
    </row>
    <row r="80" spans="1:12">
      <c r="A80" t="s">
        <v>13</v>
      </c>
      <c r="B80" s="14" t="s">
        <v>165</v>
      </c>
      <c r="C80" s="20" t="s">
        <v>166</v>
      </c>
      <c r="D80" s="20" t="s">
        <v>166</v>
      </c>
      <c r="E80" s="20" t="s">
        <v>166</v>
      </c>
      <c r="F80" s="20" t="s">
        <v>166</v>
      </c>
      <c r="G80">
        <v>17.08</v>
      </c>
      <c r="H80" s="1">
        <v>37.94</v>
      </c>
      <c r="I80">
        <f t="shared" si="4"/>
        <v>19.642</v>
      </c>
      <c r="J80">
        <f t="shared" si="5"/>
        <v>20.496</v>
      </c>
      <c r="K80">
        <f t="shared" si="6"/>
        <v>22.204</v>
      </c>
      <c r="L80">
        <f t="shared" si="7"/>
        <v>23.912</v>
      </c>
    </row>
    <row r="81" spans="1:12">
      <c r="A81" t="s">
        <v>13</v>
      </c>
      <c r="B81" s="14" t="s">
        <v>167</v>
      </c>
      <c r="C81" s="20" t="s">
        <v>168</v>
      </c>
      <c r="D81" s="20" t="s">
        <v>168</v>
      </c>
      <c r="E81" s="20" t="s">
        <v>168</v>
      </c>
      <c r="F81" s="20" t="s">
        <v>168</v>
      </c>
      <c r="G81">
        <v>13.43</v>
      </c>
      <c r="H81" s="1">
        <v>29.88</v>
      </c>
      <c r="I81">
        <f t="shared" si="4"/>
        <v>15.4445</v>
      </c>
      <c r="J81">
        <f t="shared" si="5"/>
        <v>16.116</v>
      </c>
      <c r="K81">
        <f t="shared" si="6"/>
        <v>17.459</v>
      </c>
      <c r="L81">
        <f t="shared" si="7"/>
        <v>18.802</v>
      </c>
    </row>
    <row r="82" spans="1:12">
      <c r="A82" t="s">
        <v>13</v>
      </c>
      <c r="B82" s="14" t="s">
        <v>169</v>
      </c>
      <c r="C82" s="20" t="s">
        <v>170</v>
      </c>
      <c r="D82" s="20" t="s">
        <v>170</v>
      </c>
      <c r="E82" s="20" t="s">
        <v>170</v>
      </c>
      <c r="F82" s="20" t="s">
        <v>170</v>
      </c>
      <c r="G82">
        <v>13.43</v>
      </c>
      <c r="H82" s="1">
        <v>29.88</v>
      </c>
      <c r="I82">
        <f t="shared" si="4"/>
        <v>15.4445</v>
      </c>
      <c r="J82">
        <f t="shared" si="5"/>
        <v>16.116</v>
      </c>
      <c r="K82">
        <f t="shared" si="6"/>
        <v>17.459</v>
      </c>
      <c r="L82">
        <f t="shared" si="7"/>
        <v>18.802</v>
      </c>
    </row>
    <row r="83" spans="1:12">
      <c r="A83" t="s">
        <v>13</v>
      </c>
      <c r="B83" s="14" t="s">
        <v>171</v>
      </c>
      <c r="C83" s="20" t="s">
        <v>172</v>
      </c>
      <c r="D83" s="20" t="s">
        <v>172</v>
      </c>
      <c r="E83" s="20" t="s">
        <v>172</v>
      </c>
      <c r="F83" s="20" t="s">
        <v>172</v>
      </c>
      <c r="G83">
        <v>17.08</v>
      </c>
      <c r="H83" s="1">
        <v>37.94</v>
      </c>
      <c r="I83">
        <f t="shared" si="4"/>
        <v>19.642</v>
      </c>
      <c r="J83">
        <f t="shared" si="5"/>
        <v>20.496</v>
      </c>
      <c r="K83">
        <f t="shared" si="6"/>
        <v>22.204</v>
      </c>
      <c r="L83">
        <f t="shared" si="7"/>
        <v>23.912</v>
      </c>
    </row>
    <row r="84" spans="1:12">
      <c r="A84" t="s">
        <v>13</v>
      </c>
      <c r="B84" s="14" t="s">
        <v>173</v>
      </c>
      <c r="C84" s="20" t="s">
        <v>174</v>
      </c>
      <c r="D84" s="20" t="s">
        <v>174</v>
      </c>
      <c r="E84" s="20" t="s">
        <v>174</v>
      </c>
      <c r="F84" s="20" t="s">
        <v>174</v>
      </c>
      <c r="G84">
        <v>8.53</v>
      </c>
      <c r="H84" s="1">
        <v>18.96</v>
      </c>
      <c r="I84">
        <f t="shared" si="4"/>
        <v>9.8095</v>
      </c>
      <c r="J84">
        <f t="shared" si="5"/>
        <v>10.236</v>
      </c>
      <c r="K84">
        <f t="shared" si="6"/>
        <v>11.089</v>
      </c>
      <c r="L84">
        <f t="shared" si="7"/>
        <v>11.942</v>
      </c>
    </row>
    <row r="85" spans="1:12">
      <c r="A85" t="s">
        <v>13</v>
      </c>
      <c r="B85" s="14" t="s">
        <v>175</v>
      </c>
      <c r="C85" s="20" t="s">
        <v>174</v>
      </c>
      <c r="D85" s="20" t="s">
        <v>174</v>
      </c>
      <c r="E85" s="20" t="s">
        <v>174</v>
      </c>
      <c r="F85" s="20" t="s">
        <v>174</v>
      </c>
      <c r="G85">
        <v>3.9</v>
      </c>
      <c r="H85" s="1">
        <v>8.64</v>
      </c>
      <c r="I85">
        <f t="shared" si="4"/>
        <v>4.485</v>
      </c>
      <c r="J85">
        <f t="shared" si="5"/>
        <v>4.68</v>
      </c>
      <c r="K85">
        <f t="shared" si="6"/>
        <v>5.07</v>
      </c>
      <c r="L85">
        <f t="shared" si="7"/>
        <v>5.46</v>
      </c>
    </row>
    <row r="86" spans="1:12">
      <c r="A86" t="s">
        <v>13</v>
      </c>
      <c r="B86" s="14" t="s">
        <v>176</v>
      </c>
      <c r="C86" s="20" t="s">
        <v>177</v>
      </c>
      <c r="D86" s="20" t="s">
        <v>177</v>
      </c>
      <c r="E86" s="20" t="s">
        <v>177</v>
      </c>
      <c r="F86" s="20" t="s">
        <v>177</v>
      </c>
      <c r="G86">
        <v>4.67</v>
      </c>
      <c r="H86" s="1">
        <v>10.38</v>
      </c>
      <c r="I86">
        <f t="shared" si="4"/>
        <v>5.3705</v>
      </c>
      <c r="J86">
        <f t="shared" si="5"/>
        <v>5.604</v>
      </c>
      <c r="K86">
        <f t="shared" si="6"/>
        <v>6.071</v>
      </c>
      <c r="L86">
        <f t="shared" si="7"/>
        <v>6.538</v>
      </c>
    </row>
    <row r="87" spans="1:12">
      <c r="A87" t="s">
        <v>13</v>
      </c>
      <c r="B87" s="14" t="s">
        <v>178</v>
      </c>
      <c r="C87" s="20" t="s">
        <v>179</v>
      </c>
      <c r="D87" s="20" t="s">
        <v>179</v>
      </c>
      <c r="E87" s="20" t="s">
        <v>179</v>
      </c>
      <c r="F87" s="20" t="s">
        <v>179</v>
      </c>
      <c r="G87">
        <v>5.88</v>
      </c>
      <c r="H87" s="1">
        <v>13.05</v>
      </c>
      <c r="I87">
        <f t="shared" si="4"/>
        <v>6.762</v>
      </c>
      <c r="J87">
        <f t="shared" si="5"/>
        <v>7.056</v>
      </c>
      <c r="K87">
        <f t="shared" si="6"/>
        <v>7.644</v>
      </c>
      <c r="L87">
        <f t="shared" si="7"/>
        <v>8.232</v>
      </c>
    </row>
    <row r="88" spans="1:12">
      <c r="A88" t="s">
        <v>13</v>
      </c>
      <c r="B88" s="14" t="s">
        <v>180</v>
      </c>
      <c r="C88" s="20" t="s">
        <v>181</v>
      </c>
      <c r="D88" s="20" t="s">
        <v>181</v>
      </c>
      <c r="E88" s="20" t="s">
        <v>181</v>
      </c>
      <c r="F88" s="20" t="s">
        <v>181</v>
      </c>
      <c r="G88">
        <v>5.86</v>
      </c>
      <c r="H88" s="1">
        <v>12.99</v>
      </c>
      <c r="I88">
        <f t="shared" si="4"/>
        <v>6.739</v>
      </c>
      <c r="J88">
        <f t="shared" si="5"/>
        <v>7.032</v>
      </c>
      <c r="K88">
        <f t="shared" si="6"/>
        <v>7.618</v>
      </c>
      <c r="L88">
        <f t="shared" si="7"/>
        <v>8.204</v>
      </c>
    </row>
    <row r="89" spans="1:12">
      <c r="A89" t="s">
        <v>13</v>
      </c>
      <c r="B89" s="14" t="s">
        <v>182</v>
      </c>
      <c r="C89" s="20" t="s">
        <v>183</v>
      </c>
      <c r="D89" s="20" t="s">
        <v>183</v>
      </c>
      <c r="E89" s="20" t="s">
        <v>183</v>
      </c>
      <c r="F89" s="20" t="s">
        <v>183</v>
      </c>
      <c r="G89">
        <v>8.7</v>
      </c>
      <c r="H89" s="1">
        <v>19.33</v>
      </c>
      <c r="I89">
        <f t="shared" si="4"/>
        <v>10.005</v>
      </c>
      <c r="J89">
        <f t="shared" si="5"/>
        <v>10.44</v>
      </c>
      <c r="K89">
        <f t="shared" si="6"/>
        <v>11.31</v>
      </c>
      <c r="L89">
        <f t="shared" si="7"/>
        <v>12.18</v>
      </c>
    </row>
    <row r="90" spans="1:12">
      <c r="A90" t="s">
        <v>13</v>
      </c>
      <c r="B90" s="14" t="s">
        <v>184</v>
      </c>
      <c r="C90" s="20" t="s">
        <v>185</v>
      </c>
      <c r="D90" s="20" t="s">
        <v>185</v>
      </c>
      <c r="E90" s="20" t="s">
        <v>185</v>
      </c>
      <c r="F90" s="20" t="s">
        <v>185</v>
      </c>
      <c r="G90">
        <v>8.89</v>
      </c>
      <c r="H90" s="1">
        <v>19.78</v>
      </c>
      <c r="I90">
        <f t="shared" si="4"/>
        <v>10.2235</v>
      </c>
      <c r="J90">
        <f t="shared" si="5"/>
        <v>10.668</v>
      </c>
      <c r="K90">
        <f t="shared" si="6"/>
        <v>11.557</v>
      </c>
      <c r="L90">
        <f t="shared" si="7"/>
        <v>12.446</v>
      </c>
    </row>
    <row r="91" spans="1:12">
      <c r="A91" t="s">
        <v>13</v>
      </c>
      <c r="B91" s="14" t="s">
        <v>186</v>
      </c>
      <c r="C91" s="20" t="s">
        <v>183</v>
      </c>
      <c r="D91" s="20" t="s">
        <v>183</v>
      </c>
      <c r="E91" s="20" t="s">
        <v>183</v>
      </c>
      <c r="F91" s="20" t="s">
        <v>183</v>
      </c>
      <c r="G91">
        <v>7.83</v>
      </c>
      <c r="H91" s="1">
        <v>17.38</v>
      </c>
      <c r="I91">
        <f t="shared" si="4"/>
        <v>9.0045</v>
      </c>
      <c r="J91">
        <f t="shared" si="5"/>
        <v>9.396</v>
      </c>
      <c r="K91">
        <f t="shared" si="6"/>
        <v>10.179</v>
      </c>
      <c r="L91">
        <f t="shared" si="7"/>
        <v>10.962</v>
      </c>
    </row>
    <row r="92" spans="1:12">
      <c r="A92" t="s">
        <v>13</v>
      </c>
      <c r="B92" s="14" t="s">
        <v>187</v>
      </c>
      <c r="C92" s="20" t="s">
        <v>188</v>
      </c>
      <c r="D92" s="20" t="s">
        <v>188</v>
      </c>
      <c r="E92" s="20" t="s">
        <v>188</v>
      </c>
      <c r="F92" s="20" t="s">
        <v>188</v>
      </c>
      <c r="G92">
        <v>5.06</v>
      </c>
      <c r="H92" s="1">
        <v>11.23</v>
      </c>
      <c r="I92">
        <f t="shared" si="4"/>
        <v>5.819</v>
      </c>
      <c r="J92">
        <f t="shared" si="5"/>
        <v>6.072</v>
      </c>
      <c r="K92">
        <f t="shared" si="6"/>
        <v>6.578</v>
      </c>
      <c r="L92">
        <f t="shared" si="7"/>
        <v>7.084</v>
      </c>
    </row>
    <row r="93" spans="1:12">
      <c r="A93" t="s">
        <v>13</v>
      </c>
      <c r="B93" s="14" t="s">
        <v>189</v>
      </c>
      <c r="C93" s="20" t="s">
        <v>190</v>
      </c>
      <c r="D93" s="20" t="s">
        <v>190</v>
      </c>
      <c r="E93" s="20" t="s">
        <v>190</v>
      </c>
      <c r="F93" s="20" t="s">
        <v>190</v>
      </c>
      <c r="G93">
        <v>6.72</v>
      </c>
      <c r="H93" s="1">
        <v>14.92</v>
      </c>
      <c r="I93">
        <f t="shared" si="4"/>
        <v>7.728</v>
      </c>
      <c r="J93">
        <f t="shared" si="5"/>
        <v>8.064</v>
      </c>
      <c r="K93">
        <f t="shared" si="6"/>
        <v>8.736</v>
      </c>
      <c r="L93">
        <f t="shared" si="7"/>
        <v>9.408</v>
      </c>
    </row>
    <row r="94" ht="28.5" spans="1:12">
      <c r="A94" t="s">
        <v>13</v>
      </c>
      <c r="B94" s="14" t="s">
        <v>191</v>
      </c>
      <c r="C94" s="20" t="s">
        <v>192</v>
      </c>
      <c r="D94" s="20" t="s">
        <v>192</v>
      </c>
      <c r="E94" s="20" t="s">
        <v>192</v>
      </c>
      <c r="F94" s="20" t="s">
        <v>192</v>
      </c>
      <c r="G94">
        <v>24.95</v>
      </c>
      <c r="H94" s="1">
        <v>55.42</v>
      </c>
      <c r="I94">
        <f t="shared" si="4"/>
        <v>28.6925</v>
      </c>
      <c r="J94">
        <f t="shared" si="5"/>
        <v>29.94</v>
      </c>
      <c r="K94">
        <f t="shared" si="6"/>
        <v>32.435</v>
      </c>
      <c r="L94">
        <f t="shared" si="7"/>
        <v>34.93</v>
      </c>
    </row>
    <row r="95" ht="28.5" spans="1:12">
      <c r="A95" t="s">
        <v>13</v>
      </c>
      <c r="B95" s="14" t="s">
        <v>193</v>
      </c>
      <c r="C95" s="20" t="s">
        <v>194</v>
      </c>
      <c r="D95" s="20" t="s">
        <v>194</v>
      </c>
      <c r="E95" s="20" t="s">
        <v>194</v>
      </c>
      <c r="F95" s="20" t="s">
        <v>194</v>
      </c>
      <c r="G95">
        <v>6.06</v>
      </c>
      <c r="H95" s="1">
        <v>13.5</v>
      </c>
      <c r="I95">
        <f t="shared" si="4"/>
        <v>6.969</v>
      </c>
      <c r="J95">
        <f t="shared" si="5"/>
        <v>7.272</v>
      </c>
      <c r="K95">
        <f t="shared" si="6"/>
        <v>7.878</v>
      </c>
      <c r="L95">
        <f t="shared" si="7"/>
        <v>8.484</v>
      </c>
    </row>
    <row r="96" ht="28.5" spans="1:12">
      <c r="A96" t="s">
        <v>13</v>
      </c>
      <c r="B96" s="14" t="s">
        <v>195</v>
      </c>
      <c r="C96" s="20" t="s">
        <v>196</v>
      </c>
      <c r="D96" s="20" t="s">
        <v>196</v>
      </c>
      <c r="E96" s="20" t="s">
        <v>196</v>
      </c>
      <c r="F96" s="20" t="s">
        <v>196</v>
      </c>
      <c r="G96">
        <v>19.48</v>
      </c>
      <c r="H96" s="1">
        <v>43.27</v>
      </c>
      <c r="I96">
        <f t="shared" si="4"/>
        <v>22.402</v>
      </c>
      <c r="J96">
        <f t="shared" si="5"/>
        <v>23.376</v>
      </c>
      <c r="K96">
        <f t="shared" si="6"/>
        <v>25.324</v>
      </c>
      <c r="L96">
        <f t="shared" si="7"/>
        <v>27.272</v>
      </c>
    </row>
    <row r="97" ht="28.5" spans="1:12">
      <c r="A97" t="s">
        <v>13</v>
      </c>
      <c r="B97" s="14" t="s">
        <v>197</v>
      </c>
      <c r="C97" s="20" t="s">
        <v>198</v>
      </c>
      <c r="D97" s="20" t="s">
        <v>198</v>
      </c>
      <c r="E97" s="20" t="s">
        <v>198</v>
      </c>
      <c r="F97" s="20" t="s">
        <v>198</v>
      </c>
      <c r="G97">
        <v>12.32</v>
      </c>
      <c r="H97" s="1">
        <v>27.38</v>
      </c>
      <c r="I97">
        <f t="shared" si="4"/>
        <v>14.168</v>
      </c>
      <c r="J97">
        <f t="shared" si="5"/>
        <v>14.784</v>
      </c>
      <c r="K97">
        <f t="shared" si="6"/>
        <v>16.016</v>
      </c>
      <c r="L97">
        <f t="shared" si="7"/>
        <v>17.248</v>
      </c>
    </row>
    <row r="98" spans="1:12">
      <c r="A98" t="s">
        <v>13</v>
      </c>
      <c r="B98" s="14" t="s">
        <v>199</v>
      </c>
      <c r="C98" s="20" t="s">
        <v>200</v>
      </c>
      <c r="D98" s="20" t="s">
        <v>200</v>
      </c>
      <c r="E98" s="20" t="s">
        <v>200</v>
      </c>
      <c r="F98" s="20" t="s">
        <v>200</v>
      </c>
      <c r="G98">
        <v>18.68</v>
      </c>
      <c r="H98" s="1">
        <v>41.5</v>
      </c>
      <c r="I98">
        <f t="shared" si="4"/>
        <v>21.482</v>
      </c>
      <c r="J98">
        <f t="shared" si="5"/>
        <v>22.416</v>
      </c>
      <c r="K98">
        <f t="shared" si="6"/>
        <v>24.284</v>
      </c>
      <c r="L98">
        <f t="shared" si="7"/>
        <v>26.152</v>
      </c>
    </row>
    <row r="99" spans="1:12">
      <c r="A99" t="s">
        <v>13</v>
      </c>
      <c r="B99" s="14" t="s">
        <v>201</v>
      </c>
      <c r="C99" s="20" t="s">
        <v>202</v>
      </c>
      <c r="D99" s="20" t="s">
        <v>202</v>
      </c>
      <c r="E99" s="20" t="s">
        <v>202</v>
      </c>
      <c r="F99" s="20" t="s">
        <v>202</v>
      </c>
      <c r="G99">
        <v>20.06</v>
      </c>
      <c r="H99" s="1">
        <v>44.59</v>
      </c>
      <c r="I99">
        <f t="shared" si="4"/>
        <v>23.069</v>
      </c>
      <c r="J99">
        <f t="shared" si="5"/>
        <v>24.072</v>
      </c>
      <c r="K99">
        <f t="shared" si="6"/>
        <v>26.078</v>
      </c>
      <c r="L99">
        <f t="shared" si="7"/>
        <v>28.084</v>
      </c>
    </row>
    <row r="100" spans="1:12">
      <c r="A100" t="s">
        <v>13</v>
      </c>
      <c r="B100" s="14" t="s">
        <v>203</v>
      </c>
      <c r="C100" s="20" t="s">
        <v>204</v>
      </c>
      <c r="D100" s="20" t="s">
        <v>204</v>
      </c>
      <c r="E100" s="20" t="s">
        <v>204</v>
      </c>
      <c r="F100" s="20" t="s">
        <v>204</v>
      </c>
      <c r="G100">
        <v>13.11</v>
      </c>
      <c r="H100" s="1">
        <v>29.15</v>
      </c>
      <c r="I100">
        <f t="shared" si="4"/>
        <v>15.0765</v>
      </c>
      <c r="J100">
        <f t="shared" si="5"/>
        <v>15.732</v>
      </c>
      <c r="K100">
        <f t="shared" si="6"/>
        <v>17.043</v>
      </c>
      <c r="L100">
        <f t="shared" si="7"/>
        <v>18.354</v>
      </c>
    </row>
    <row r="101" ht="28.5" spans="1:12">
      <c r="A101" t="s">
        <v>13</v>
      </c>
      <c r="B101" s="14" t="s">
        <v>205</v>
      </c>
      <c r="C101" s="20" t="s">
        <v>206</v>
      </c>
      <c r="D101" s="20" t="s">
        <v>206</v>
      </c>
      <c r="E101" s="20" t="s">
        <v>206</v>
      </c>
      <c r="F101" s="20" t="s">
        <v>206</v>
      </c>
      <c r="G101">
        <v>11.93</v>
      </c>
      <c r="H101" s="1">
        <v>26.48</v>
      </c>
      <c r="I101">
        <f t="shared" si="4"/>
        <v>13.7195</v>
      </c>
      <c r="J101">
        <f t="shared" si="5"/>
        <v>14.316</v>
      </c>
      <c r="K101">
        <f t="shared" si="6"/>
        <v>15.509</v>
      </c>
      <c r="L101">
        <f t="shared" si="7"/>
        <v>16.702</v>
      </c>
    </row>
    <row r="102" ht="28.5" spans="1:12">
      <c r="A102" t="s">
        <v>13</v>
      </c>
      <c r="B102" s="14" t="s">
        <v>207</v>
      </c>
      <c r="C102" s="20" t="s">
        <v>208</v>
      </c>
      <c r="D102" s="20" t="s">
        <v>208</v>
      </c>
      <c r="E102" s="20" t="s">
        <v>208</v>
      </c>
      <c r="F102" s="20" t="s">
        <v>208</v>
      </c>
      <c r="G102">
        <v>21.28</v>
      </c>
      <c r="H102" s="1">
        <v>40.54</v>
      </c>
      <c r="I102">
        <f t="shared" si="4"/>
        <v>24.472</v>
      </c>
      <c r="J102">
        <f t="shared" si="5"/>
        <v>25.536</v>
      </c>
      <c r="K102">
        <f t="shared" si="6"/>
        <v>27.664</v>
      </c>
      <c r="L102">
        <f t="shared" si="7"/>
        <v>29.792</v>
      </c>
    </row>
    <row r="103" ht="28.5" spans="1:12">
      <c r="A103" t="s">
        <v>13</v>
      </c>
      <c r="B103" s="14" t="s">
        <v>209</v>
      </c>
      <c r="C103" s="20" t="s">
        <v>210</v>
      </c>
      <c r="D103" s="20" t="s">
        <v>210</v>
      </c>
      <c r="E103" s="20" t="s">
        <v>210</v>
      </c>
      <c r="F103" s="20" t="s">
        <v>210</v>
      </c>
      <c r="G103">
        <v>9.75</v>
      </c>
      <c r="H103" s="1">
        <v>21.64</v>
      </c>
      <c r="I103">
        <f t="shared" si="4"/>
        <v>11.2125</v>
      </c>
      <c r="J103">
        <f t="shared" si="5"/>
        <v>11.7</v>
      </c>
      <c r="K103">
        <f t="shared" si="6"/>
        <v>12.675</v>
      </c>
      <c r="L103">
        <f t="shared" si="7"/>
        <v>13.65</v>
      </c>
    </row>
    <row r="104" spans="1:12">
      <c r="A104" t="s">
        <v>13</v>
      </c>
      <c r="B104" s="14" t="s">
        <v>211</v>
      </c>
      <c r="C104" s="20" t="s">
        <v>212</v>
      </c>
      <c r="D104" s="20" t="s">
        <v>212</v>
      </c>
      <c r="E104" s="20" t="s">
        <v>212</v>
      </c>
      <c r="F104" s="20" t="s">
        <v>212</v>
      </c>
      <c r="G104">
        <v>10.95</v>
      </c>
      <c r="H104" s="1">
        <v>24.34</v>
      </c>
      <c r="I104">
        <f t="shared" si="4"/>
        <v>12.5925</v>
      </c>
      <c r="J104">
        <f t="shared" si="5"/>
        <v>13.14</v>
      </c>
      <c r="K104">
        <f t="shared" si="6"/>
        <v>14.235</v>
      </c>
      <c r="L104">
        <f t="shared" si="7"/>
        <v>15.33</v>
      </c>
    </row>
    <row r="105" ht="28.5" spans="1:12">
      <c r="A105" t="s">
        <v>13</v>
      </c>
      <c r="B105" s="14" t="s">
        <v>213</v>
      </c>
      <c r="C105" s="20" t="s">
        <v>214</v>
      </c>
      <c r="D105" s="20" t="s">
        <v>214</v>
      </c>
      <c r="E105" s="20" t="s">
        <v>214</v>
      </c>
      <c r="F105" s="20" t="s">
        <v>214</v>
      </c>
      <c r="G105">
        <v>10.31</v>
      </c>
      <c r="H105" s="1">
        <v>22.92</v>
      </c>
      <c r="I105">
        <f t="shared" si="4"/>
        <v>11.8565</v>
      </c>
      <c r="J105">
        <f t="shared" si="5"/>
        <v>12.372</v>
      </c>
      <c r="K105">
        <f t="shared" si="6"/>
        <v>13.403</v>
      </c>
      <c r="L105">
        <f t="shared" si="7"/>
        <v>14.434</v>
      </c>
    </row>
    <row r="106" ht="28.5" spans="1:12">
      <c r="A106" t="s">
        <v>13</v>
      </c>
      <c r="B106" s="14" t="s">
        <v>215</v>
      </c>
      <c r="C106" s="20" t="s">
        <v>216</v>
      </c>
      <c r="D106" s="20" t="s">
        <v>216</v>
      </c>
      <c r="E106" s="20" t="s">
        <v>216</v>
      </c>
      <c r="F106" s="20" t="s">
        <v>216</v>
      </c>
      <c r="G106">
        <v>5.26</v>
      </c>
      <c r="H106" s="1">
        <v>11.68</v>
      </c>
      <c r="I106">
        <f t="shared" si="4"/>
        <v>6.049</v>
      </c>
      <c r="J106">
        <f t="shared" si="5"/>
        <v>6.312</v>
      </c>
      <c r="K106">
        <f t="shared" si="6"/>
        <v>6.838</v>
      </c>
      <c r="L106">
        <f t="shared" si="7"/>
        <v>7.364</v>
      </c>
    </row>
    <row r="107" ht="28.5" spans="1:12">
      <c r="A107" t="s">
        <v>13</v>
      </c>
      <c r="B107" s="14" t="s">
        <v>217</v>
      </c>
      <c r="C107" s="20" t="s">
        <v>218</v>
      </c>
      <c r="D107" s="20" t="s">
        <v>218</v>
      </c>
      <c r="E107" s="20" t="s">
        <v>218</v>
      </c>
      <c r="F107" s="20" t="s">
        <v>218</v>
      </c>
      <c r="G107">
        <v>11.35</v>
      </c>
      <c r="H107" s="1">
        <v>21.61</v>
      </c>
      <c r="I107">
        <f t="shared" si="4"/>
        <v>13.0525</v>
      </c>
      <c r="J107">
        <f t="shared" si="5"/>
        <v>13.62</v>
      </c>
      <c r="K107">
        <f t="shared" si="6"/>
        <v>14.755</v>
      </c>
      <c r="L107">
        <f t="shared" si="7"/>
        <v>15.89</v>
      </c>
    </row>
    <row r="108" spans="1:12">
      <c r="A108" t="s">
        <v>13</v>
      </c>
      <c r="B108" s="14" t="s">
        <v>219</v>
      </c>
      <c r="C108" s="20" t="s">
        <v>220</v>
      </c>
      <c r="D108" s="20" t="s">
        <v>220</v>
      </c>
      <c r="E108" s="20" t="s">
        <v>220</v>
      </c>
      <c r="F108" s="20" t="s">
        <v>220</v>
      </c>
      <c r="G108">
        <v>5.42</v>
      </c>
      <c r="H108" s="1">
        <v>12.03</v>
      </c>
      <c r="I108">
        <f t="shared" si="4"/>
        <v>6.233</v>
      </c>
      <c r="J108">
        <f t="shared" si="5"/>
        <v>6.504</v>
      </c>
      <c r="K108">
        <f t="shared" si="6"/>
        <v>7.046</v>
      </c>
      <c r="L108">
        <f t="shared" si="7"/>
        <v>7.588</v>
      </c>
    </row>
    <row r="109" ht="28.5" spans="1:12">
      <c r="A109" t="s">
        <v>13</v>
      </c>
      <c r="B109" s="14" t="s">
        <v>221</v>
      </c>
      <c r="C109" s="20" t="s">
        <v>222</v>
      </c>
      <c r="D109" s="20" t="s">
        <v>222</v>
      </c>
      <c r="E109" s="20" t="s">
        <v>222</v>
      </c>
      <c r="F109" s="20" t="s">
        <v>222</v>
      </c>
      <c r="G109">
        <v>6.57</v>
      </c>
      <c r="H109" s="1">
        <v>14.57</v>
      </c>
      <c r="I109">
        <f t="shared" si="4"/>
        <v>7.5555</v>
      </c>
      <c r="J109">
        <f t="shared" si="5"/>
        <v>7.884</v>
      </c>
      <c r="K109">
        <f t="shared" si="6"/>
        <v>8.541</v>
      </c>
      <c r="L109">
        <f t="shared" si="7"/>
        <v>9.198</v>
      </c>
    </row>
    <row r="110" spans="1:12">
      <c r="A110" t="s">
        <v>13</v>
      </c>
      <c r="B110" s="14" t="s">
        <v>223</v>
      </c>
      <c r="C110" s="20" t="s">
        <v>224</v>
      </c>
      <c r="D110" s="20" t="s">
        <v>224</v>
      </c>
      <c r="E110" s="20" t="s">
        <v>224</v>
      </c>
      <c r="F110" s="20" t="s">
        <v>224</v>
      </c>
      <c r="G110">
        <v>3.3</v>
      </c>
      <c r="H110" s="1">
        <v>7.35</v>
      </c>
      <c r="I110">
        <f t="shared" si="4"/>
        <v>3.795</v>
      </c>
      <c r="J110">
        <f t="shared" si="5"/>
        <v>3.96</v>
      </c>
      <c r="K110">
        <f t="shared" si="6"/>
        <v>4.29</v>
      </c>
      <c r="L110">
        <f t="shared" si="7"/>
        <v>4.62</v>
      </c>
    </row>
    <row r="111" spans="1:12">
      <c r="A111" t="s">
        <v>13</v>
      </c>
      <c r="B111" s="14" t="s">
        <v>225</v>
      </c>
      <c r="C111" s="20" t="s">
        <v>226</v>
      </c>
      <c r="D111" s="20" t="s">
        <v>226</v>
      </c>
      <c r="E111" s="20" t="s">
        <v>226</v>
      </c>
      <c r="F111" s="20" t="s">
        <v>226</v>
      </c>
      <c r="G111">
        <v>3.35</v>
      </c>
      <c r="H111" s="1">
        <v>7.47</v>
      </c>
      <c r="I111">
        <f t="shared" si="4"/>
        <v>3.8525</v>
      </c>
      <c r="J111">
        <f t="shared" si="5"/>
        <v>4.02</v>
      </c>
      <c r="K111">
        <f t="shared" si="6"/>
        <v>4.355</v>
      </c>
      <c r="L111">
        <f t="shared" si="7"/>
        <v>4.69</v>
      </c>
    </row>
    <row r="112" spans="1:12">
      <c r="A112" t="s">
        <v>13</v>
      </c>
      <c r="B112" s="14" t="s">
        <v>227</v>
      </c>
      <c r="C112" s="20" t="s">
        <v>212</v>
      </c>
      <c r="D112" s="20" t="s">
        <v>212</v>
      </c>
      <c r="E112" s="20" t="s">
        <v>212</v>
      </c>
      <c r="F112" s="20" t="s">
        <v>212</v>
      </c>
      <c r="G112">
        <v>5.14</v>
      </c>
      <c r="H112" s="1">
        <v>11.4</v>
      </c>
      <c r="I112">
        <f t="shared" si="4"/>
        <v>5.911</v>
      </c>
      <c r="J112">
        <f t="shared" si="5"/>
        <v>6.168</v>
      </c>
      <c r="K112">
        <f t="shared" si="6"/>
        <v>6.682</v>
      </c>
      <c r="L112">
        <f t="shared" si="7"/>
        <v>7.196</v>
      </c>
    </row>
    <row r="113" ht="28.5" spans="1:12">
      <c r="A113" t="s">
        <v>13</v>
      </c>
      <c r="B113" s="14" t="s">
        <v>228</v>
      </c>
      <c r="C113" s="20" t="s">
        <v>229</v>
      </c>
      <c r="D113" s="20" t="s">
        <v>229</v>
      </c>
      <c r="E113" s="20" t="s">
        <v>229</v>
      </c>
      <c r="F113" s="20" t="s">
        <v>229</v>
      </c>
      <c r="G113">
        <v>5.66</v>
      </c>
      <c r="H113" s="1">
        <v>12.56</v>
      </c>
      <c r="I113">
        <f t="shared" si="4"/>
        <v>6.509</v>
      </c>
      <c r="J113">
        <f t="shared" si="5"/>
        <v>6.792</v>
      </c>
      <c r="K113">
        <f t="shared" si="6"/>
        <v>7.358</v>
      </c>
      <c r="L113">
        <f t="shared" si="7"/>
        <v>7.924</v>
      </c>
    </row>
    <row r="114" ht="28.5" spans="1:12">
      <c r="A114" t="s">
        <v>13</v>
      </c>
      <c r="B114" s="14" t="s">
        <v>230</v>
      </c>
      <c r="C114" s="20" t="s">
        <v>231</v>
      </c>
      <c r="D114" s="20" t="s">
        <v>231</v>
      </c>
      <c r="E114" s="20" t="s">
        <v>231</v>
      </c>
      <c r="F114" s="20" t="s">
        <v>231</v>
      </c>
      <c r="G114">
        <v>4.91</v>
      </c>
      <c r="H114" s="1">
        <v>10.89</v>
      </c>
      <c r="I114">
        <f t="shared" si="4"/>
        <v>5.6465</v>
      </c>
      <c r="J114">
        <f t="shared" si="5"/>
        <v>5.892</v>
      </c>
      <c r="K114">
        <f t="shared" si="6"/>
        <v>6.383</v>
      </c>
      <c r="L114">
        <f t="shared" si="7"/>
        <v>6.874</v>
      </c>
    </row>
    <row r="115" spans="1:12">
      <c r="A115" t="s">
        <v>13</v>
      </c>
      <c r="B115" s="14" t="s">
        <v>232</v>
      </c>
      <c r="C115" s="20" t="s">
        <v>233</v>
      </c>
      <c r="D115" s="20" t="s">
        <v>233</v>
      </c>
      <c r="E115" s="20" t="s">
        <v>233</v>
      </c>
      <c r="F115" s="20" t="s">
        <v>233</v>
      </c>
      <c r="G115">
        <v>4.83</v>
      </c>
      <c r="H115" s="1">
        <v>9.2</v>
      </c>
      <c r="I115">
        <f t="shared" si="4"/>
        <v>5.5545</v>
      </c>
      <c r="J115">
        <f t="shared" si="5"/>
        <v>5.796</v>
      </c>
      <c r="K115">
        <f t="shared" si="6"/>
        <v>6.279</v>
      </c>
      <c r="L115">
        <f t="shared" si="7"/>
        <v>6.762</v>
      </c>
    </row>
    <row r="116" spans="1:12">
      <c r="A116" t="s">
        <v>13</v>
      </c>
      <c r="B116" s="14" t="s">
        <v>234</v>
      </c>
      <c r="C116" s="20" t="s">
        <v>235</v>
      </c>
      <c r="D116" s="20" t="s">
        <v>235</v>
      </c>
      <c r="E116" s="20" t="s">
        <v>235</v>
      </c>
      <c r="F116" s="20" t="s">
        <v>235</v>
      </c>
      <c r="G116">
        <v>5.06</v>
      </c>
      <c r="H116" s="1">
        <v>11.23</v>
      </c>
      <c r="I116">
        <f t="shared" si="4"/>
        <v>5.819</v>
      </c>
      <c r="J116">
        <f t="shared" si="5"/>
        <v>6.072</v>
      </c>
      <c r="K116">
        <f t="shared" si="6"/>
        <v>6.578</v>
      </c>
      <c r="L116">
        <f t="shared" si="7"/>
        <v>7.084</v>
      </c>
    </row>
    <row r="117" ht="28.5" spans="1:12">
      <c r="A117" t="s">
        <v>13</v>
      </c>
      <c r="B117" s="14" t="s">
        <v>236</v>
      </c>
      <c r="C117" s="20" t="s">
        <v>237</v>
      </c>
      <c r="D117" s="20" t="s">
        <v>237</v>
      </c>
      <c r="E117" s="20" t="s">
        <v>237</v>
      </c>
      <c r="F117" s="20" t="s">
        <v>237</v>
      </c>
      <c r="G117">
        <v>7.24</v>
      </c>
      <c r="H117" s="1">
        <v>16.09</v>
      </c>
      <c r="I117">
        <f t="shared" si="4"/>
        <v>8.326</v>
      </c>
      <c r="J117">
        <f t="shared" si="5"/>
        <v>8.688</v>
      </c>
      <c r="K117">
        <f t="shared" si="6"/>
        <v>9.412</v>
      </c>
      <c r="L117">
        <f t="shared" si="7"/>
        <v>10.136</v>
      </c>
    </row>
    <row r="118" spans="1:12">
      <c r="A118" t="s">
        <v>13</v>
      </c>
      <c r="B118" s="14" t="s">
        <v>238</v>
      </c>
      <c r="C118" s="20" t="s">
        <v>239</v>
      </c>
      <c r="D118" s="20" t="s">
        <v>239</v>
      </c>
      <c r="E118" s="20" t="s">
        <v>239</v>
      </c>
      <c r="F118" s="20" t="s">
        <v>239</v>
      </c>
      <c r="G118">
        <v>77.94</v>
      </c>
      <c r="H118" s="1">
        <v>173.19</v>
      </c>
      <c r="I118">
        <f t="shared" si="4"/>
        <v>89.631</v>
      </c>
      <c r="J118">
        <f t="shared" si="5"/>
        <v>93.528</v>
      </c>
      <c r="K118">
        <f t="shared" si="6"/>
        <v>101.322</v>
      </c>
      <c r="L118">
        <f t="shared" si="7"/>
        <v>109.116</v>
      </c>
    </row>
    <row r="119" spans="1:12">
      <c r="A119" t="s">
        <v>13</v>
      </c>
      <c r="B119" s="14" t="s">
        <v>240</v>
      </c>
      <c r="C119" s="20" t="s">
        <v>241</v>
      </c>
      <c r="D119" s="20" t="s">
        <v>241</v>
      </c>
      <c r="E119" s="20" t="s">
        <v>241</v>
      </c>
      <c r="F119" s="20" t="s">
        <v>241</v>
      </c>
      <c r="G119">
        <v>58.95</v>
      </c>
      <c r="H119" s="1">
        <v>130.98</v>
      </c>
      <c r="I119">
        <f t="shared" si="4"/>
        <v>67.7925</v>
      </c>
      <c r="J119">
        <f t="shared" si="5"/>
        <v>70.74</v>
      </c>
      <c r="K119">
        <f t="shared" si="6"/>
        <v>76.635</v>
      </c>
      <c r="L119">
        <f t="shared" si="7"/>
        <v>82.53</v>
      </c>
    </row>
    <row r="120" spans="1:12">
      <c r="A120" t="s">
        <v>13</v>
      </c>
      <c r="B120" s="14" t="s">
        <v>242</v>
      </c>
      <c r="C120" s="20" t="s">
        <v>243</v>
      </c>
      <c r="D120" s="20" t="s">
        <v>243</v>
      </c>
      <c r="E120" s="20" t="s">
        <v>243</v>
      </c>
      <c r="F120" s="20" t="s">
        <v>243</v>
      </c>
      <c r="G120">
        <v>51.74</v>
      </c>
      <c r="H120" s="1">
        <v>114.98</v>
      </c>
      <c r="I120">
        <f t="shared" si="4"/>
        <v>59.501</v>
      </c>
      <c r="J120">
        <f t="shared" si="5"/>
        <v>62.088</v>
      </c>
      <c r="K120">
        <f t="shared" si="6"/>
        <v>67.262</v>
      </c>
      <c r="L120">
        <f t="shared" si="7"/>
        <v>72.436</v>
      </c>
    </row>
    <row r="121" spans="1:12">
      <c r="A121" t="s">
        <v>13</v>
      </c>
      <c r="B121" s="14" t="s">
        <v>244</v>
      </c>
      <c r="C121" s="20" t="s">
        <v>245</v>
      </c>
      <c r="D121" s="20" t="s">
        <v>245</v>
      </c>
      <c r="E121" s="20" t="s">
        <v>245</v>
      </c>
      <c r="F121" s="20" t="s">
        <v>245</v>
      </c>
      <c r="G121">
        <v>213.43</v>
      </c>
      <c r="H121" s="1">
        <v>474.29</v>
      </c>
      <c r="I121">
        <f t="shared" si="4"/>
        <v>245.4445</v>
      </c>
      <c r="J121">
        <f t="shared" si="5"/>
        <v>256.116</v>
      </c>
      <c r="K121">
        <f t="shared" si="6"/>
        <v>277.459</v>
      </c>
      <c r="L121">
        <f t="shared" si="7"/>
        <v>298.802</v>
      </c>
    </row>
    <row r="122" spans="1:12">
      <c r="A122" t="s">
        <v>13</v>
      </c>
      <c r="B122" s="14" t="s">
        <v>246</v>
      </c>
      <c r="C122" s="20" t="s">
        <v>247</v>
      </c>
      <c r="D122" s="20" t="s">
        <v>247</v>
      </c>
      <c r="E122" s="20" t="s">
        <v>247</v>
      </c>
      <c r="F122" s="20" t="s">
        <v>247</v>
      </c>
      <c r="G122">
        <v>42.66</v>
      </c>
      <c r="H122" s="1">
        <v>94.8</v>
      </c>
      <c r="I122">
        <f t="shared" si="4"/>
        <v>49.059</v>
      </c>
      <c r="J122">
        <f t="shared" si="5"/>
        <v>51.192</v>
      </c>
      <c r="K122">
        <f t="shared" si="6"/>
        <v>55.458</v>
      </c>
      <c r="L122">
        <f t="shared" si="7"/>
        <v>59.724</v>
      </c>
    </row>
    <row r="123" spans="1:12">
      <c r="A123" t="s">
        <v>13</v>
      </c>
      <c r="B123" s="14" t="s">
        <v>248</v>
      </c>
      <c r="C123" s="20" t="s">
        <v>249</v>
      </c>
      <c r="D123" s="20" t="s">
        <v>249</v>
      </c>
      <c r="E123" s="20" t="s">
        <v>249</v>
      </c>
      <c r="F123" s="20" t="s">
        <v>249</v>
      </c>
      <c r="G123">
        <v>43.51</v>
      </c>
      <c r="H123" s="1">
        <v>96.7</v>
      </c>
      <c r="I123">
        <f t="shared" si="4"/>
        <v>50.0365</v>
      </c>
      <c r="J123">
        <f t="shared" si="5"/>
        <v>52.212</v>
      </c>
      <c r="K123">
        <f t="shared" si="6"/>
        <v>56.563</v>
      </c>
      <c r="L123">
        <f t="shared" si="7"/>
        <v>60.914</v>
      </c>
    </row>
    <row r="124" spans="1:12">
      <c r="A124" t="s">
        <v>13</v>
      </c>
      <c r="B124" s="14" t="s">
        <v>250</v>
      </c>
      <c r="C124" s="20" t="s">
        <v>249</v>
      </c>
      <c r="D124" s="20" t="s">
        <v>249</v>
      </c>
      <c r="E124" s="20" t="s">
        <v>249</v>
      </c>
      <c r="F124" s="20" t="s">
        <v>249</v>
      </c>
      <c r="G124">
        <v>52.84</v>
      </c>
      <c r="H124" s="1">
        <v>117.45</v>
      </c>
      <c r="I124">
        <f t="shared" si="4"/>
        <v>60.766</v>
      </c>
      <c r="J124">
        <f t="shared" si="5"/>
        <v>63.408</v>
      </c>
      <c r="K124">
        <f t="shared" si="6"/>
        <v>68.692</v>
      </c>
      <c r="L124">
        <f t="shared" si="7"/>
        <v>73.976</v>
      </c>
    </row>
    <row r="125" spans="1:12">
      <c r="A125" t="s">
        <v>13</v>
      </c>
      <c r="B125" s="14" t="s">
        <v>251</v>
      </c>
      <c r="C125" s="20" t="s">
        <v>252</v>
      </c>
      <c r="D125" s="20" t="s">
        <v>252</v>
      </c>
      <c r="E125" s="20" t="s">
        <v>252</v>
      </c>
      <c r="F125" s="20" t="s">
        <v>252</v>
      </c>
      <c r="G125">
        <v>26.84</v>
      </c>
      <c r="H125" s="1">
        <v>59.65</v>
      </c>
      <c r="I125">
        <f t="shared" si="4"/>
        <v>30.866</v>
      </c>
      <c r="J125">
        <f t="shared" si="5"/>
        <v>32.208</v>
      </c>
      <c r="K125">
        <f t="shared" si="6"/>
        <v>34.892</v>
      </c>
      <c r="L125">
        <f t="shared" si="7"/>
        <v>37.576</v>
      </c>
    </row>
    <row r="126" spans="1:12">
      <c r="A126" t="s">
        <v>13</v>
      </c>
      <c r="B126" s="14" t="s">
        <v>253</v>
      </c>
      <c r="C126" s="20" t="s">
        <v>254</v>
      </c>
      <c r="D126" s="20" t="s">
        <v>254</v>
      </c>
      <c r="E126" s="20" t="s">
        <v>254</v>
      </c>
      <c r="F126" s="20" t="s">
        <v>254</v>
      </c>
      <c r="G126">
        <v>19.97</v>
      </c>
      <c r="H126" s="1">
        <v>38.03</v>
      </c>
      <c r="I126">
        <f t="shared" si="4"/>
        <v>22.9655</v>
      </c>
      <c r="J126">
        <f t="shared" si="5"/>
        <v>23.964</v>
      </c>
      <c r="K126">
        <f t="shared" si="6"/>
        <v>25.961</v>
      </c>
      <c r="L126">
        <f t="shared" si="7"/>
        <v>27.958</v>
      </c>
    </row>
    <row r="127" spans="1:12">
      <c r="A127" t="s">
        <v>13</v>
      </c>
      <c r="B127" s="14" t="s">
        <v>255</v>
      </c>
      <c r="C127" s="20" t="s">
        <v>256</v>
      </c>
      <c r="D127" s="20" t="s">
        <v>256</v>
      </c>
      <c r="E127" s="20" t="s">
        <v>256</v>
      </c>
      <c r="F127" s="20" t="s">
        <v>256</v>
      </c>
      <c r="G127">
        <v>31.68</v>
      </c>
      <c r="H127" s="1">
        <v>70.4</v>
      </c>
      <c r="I127">
        <f t="shared" si="4"/>
        <v>36.432</v>
      </c>
      <c r="J127">
        <f t="shared" si="5"/>
        <v>38.016</v>
      </c>
      <c r="K127">
        <f t="shared" si="6"/>
        <v>41.184</v>
      </c>
      <c r="L127">
        <f t="shared" si="7"/>
        <v>44.352</v>
      </c>
    </row>
    <row r="128" spans="1:12">
      <c r="A128" t="s">
        <v>13</v>
      </c>
      <c r="B128" s="14" t="s">
        <v>257</v>
      </c>
      <c r="C128" s="20" t="s">
        <v>258</v>
      </c>
      <c r="D128" s="20" t="s">
        <v>258</v>
      </c>
      <c r="E128" s="20" t="s">
        <v>258</v>
      </c>
      <c r="F128" s="20" t="s">
        <v>258</v>
      </c>
      <c r="G128">
        <v>0.26</v>
      </c>
      <c r="H128" s="1">
        <v>0.49</v>
      </c>
      <c r="I128">
        <f t="shared" si="4"/>
        <v>0.299</v>
      </c>
      <c r="J128">
        <f t="shared" si="5"/>
        <v>0.312</v>
      </c>
      <c r="K128">
        <f t="shared" si="6"/>
        <v>0.338</v>
      </c>
      <c r="L128">
        <f t="shared" si="7"/>
        <v>0.364</v>
      </c>
    </row>
    <row r="129" spans="1:12">
      <c r="A129" t="s">
        <v>13</v>
      </c>
      <c r="B129" s="14" t="s">
        <v>259</v>
      </c>
      <c r="C129" s="20" t="s">
        <v>260</v>
      </c>
      <c r="D129" s="20" t="s">
        <v>260</v>
      </c>
      <c r="E129" s="20" t="s">
        <v>260</v>
      </c>
      <c r="F129" s="20" t="s">
        <v>260</v>
      </c>
      <c r="G129">
        <v>4.21</v>
      </c>
      <c r="H129" s="1">
        <v>10.51</v>
      </c>
      <c r="I129">
        <f t="shared" si="4"/>
        <v>4.8415</v>
      </c>
      <c r="J129">
        <f t="shared" si="5"/>
        <v>5.052</v>
      </c>
      <c r="K129">
        <f t="shared" si="6"/>
        <v>5.473</v>
      </c>
      <c r="L129">
        <f t="shared" si="7"/>
        <v>5.894</v>
      </c>
    </row>
    <row r="130" spans="1:12">
      <c r="A130" t="s">
        <v>13</v>
      </c>
      <c r="B130" s="14" t="s">
        <v>261</v>
      </c>
      <c r="C130" s="20" t="s">
        <v>262</v>
      </c>
      <c r="D130" s="20" t="s">
        <v>262</v>
      </c>
      <c r="E130" s="20" t="s">
        <v>262</v>
      </c>
      <c r="F130" s="20" t="s">
        <v>262</v>
      </c>
      <c r="G130">
        <v>4.19</v>
      </c>
      <c r="H130" s="1">
        <v>10.46</v>
      </c>
      <c r="I130">
        <f t="shared" ref="I130:I193" si="8">G130*1.15</f>
        <v>4.8185</v>
      </c>
      <c r="J130">
        <f t="shared" ref="J130:J193" si="9">G130*1.2</f>
        <v>5.028</v>
      </c>
      <c r="K130">
        <f t="shared" ref="K130:K193" si="10">G130*1.3</f>
        <v>5.447</v>
      </c>
      <c r="L130">
        <f t="shared" ref="L130:L193" si="11">G130*1.4</f>
        <v>5.866</v>
      </c>
    </row>
    <row r="131" spans="1:12">
      <c r="A131" t="s">
        <v>13</v>
      </c>
      <c r="B131" s="14" t="s">
        <v>263</v>
      </c>
      <c r="C131" s="20" t="s">
        <v>264</v>
      </c>
      <c r="D131" s="20" t="s">
        <v>264</v>
      </c>
      <c r="E131" s="20" t="s">
        <v>264</v>
      </c>
      <c r="F131" s="20" t="s">
        <v>264</v>
      </c>
      <c r="G131">
        <v>4.21</v>
      </c>
      <c r="H131" s="1">
        <v>10.51</v>
      </c>
      <c r="I131">
        <f t="shared" si="8"/>
        <v>4.8415</v>
      </c>
      <c r="J131">
        <f t="shared" si="9"/>
        <v>5.052</v>
      </c>
      <c r="K131">
        <f t="shared" si="10"/>
        <v>5.473</v>
      </c>
      <c r="L131">
        <f t="shared" si="11"/>
        <v>5.894</v>
      </c>
    </row>
    <row r="132" spans="1:12">
      <c r="A132" t="s">
        <v>13</v>
      </c>
      <c r="B132" s="14" t="s">
        <v>265</v>
      </c>
      <c r="C132" s="20" t="s">
        <v>266</v>
      </c>
      <c r="D132" s="20" t="s">
        <v>266</v>
      </c>
      <c r="E132" s="20" t="s">
        <v>266</v>
      </c>
      <c r="F132" s="20" t="s">
        <v>266</v>
      </c>
      <c r="G132">
        <v>12.51</v>
      </c>
      <c r="H132" s="1">
        <v>27.79</v>
      </c>
      <c r="I132">
        <f t="shared" si="8"/>
        <v>14.3865</v>
      </c>
      <c r="J132">
        <f t="shared" si="9"/>
        <v>15.012</v>
      </c>
      <c r="K132">
        <f t="shared" si="10"/>
        <v>16.263</v>
      </c>
      <c r="L132">
        <f t="shared" si="11"/>
        <v>17.514</v>
      </c>
    </row>
    <row r="133" spans="1:12">
      <c r="A133" t="s">
        <v>13</v>
      </c>
      <c r="B133" s="14" t="s">
        <v>267</v>
      </c>
      <c r="C133" s="20" t="s">
        <v>268</v>
      </c>
      <c r="D133" s="20" t="s">
        <v>268</v>
      </c>
      <c r="E133" s="20" t="s">
        <v>268</v>
      </c>
      <c r="F133" s="20" t="s">
        <v>268</v>
      </c>
      <c r="G133">
        <v>17.63</v>
      </c>
      <c r="H133" s="1">
        <v>39.19</v>
      </c>
      <c r="I133">
        <f t="shared" si="8"/>
        <v>20.2745</v>
      </c>
      <c r="J133">
        <f t="shared" si="9"/>
        <v>21.156</v>
      </c>
      <c r="K133">
        <f t="shared" si="10"/>
        <v>22.919</v>
      </c>
      <c r="L133">
        <f t="shared" si="11"/>
        <v>24.682</v>
      </c>
    </row>
    <row r="134" spans="1:12">
      <c r="A134" t="s">
        <v>13</v>
      </c>
      <c r="B134" s="14" t="s">
        <v>269</v>
      </c>
      <c r="C134" s="20" t="s">
        <v>270</v>
      </c>
      <c r="D134" s="20" t="s">
        <v>270</v>
      </c>
      <c r="E134" s="20" t="s">
        <v>270</v>
      </c>
      <c r="F134" s="20" t="s">
        <v>270</v>
      </c>
      <c r="G134">
        <v>11.71</v>
      </c>
      <c r="H134" s="1">
        <v>26.02</v>
      </c>
      <c r="I134">
        <f t="shared" si="8"/>
        <v>13.4665</v>
      </c>
      <c r="J134">
        <f t="shared" si="9"/>
        <v>14.052</v>
      </c>
      <c r="K134">
        <f t="shared" si="10"/>
        <v>15.223</v>
      </c>
      <c r="L134">
        <f t="shared" si="11"/>
        <v>16.394</v>
      </c>
    </row>
    <row r="135" spans="1:12">
      <c r="A135" t="s">
        <v>13</v>
      </c>
      <c r="B135" s="14" t="s">
        <v>271</v>
      </c>
      <c r="C135" s="20" t="s">
        <v>272</v>
      </c>
      <c r="D135" s="20" t="s">
        <v>272</v>
      </c>
      <c r="E135" s="20" t="s">
        <v>272</v>
      </c>
      <c r="F135" s="20" t="s">
        <v>272</v>
      </c>
      <c r="G135">
        <v>24.26</v>
      </c>
      <c r="H135" s="1">
        <v>53.91</v>
      </c>
      <c r="I135">
        <f t="shared" si="8"/>
        <v>27.899</v>
      </c>
      <c r="J135">
        <f t="shared" si="9"/>
        <v>29.112</v>
      </c>
      <c r="K135">
        <f t="shared" si="10"/>
        <v>31.538</v>
      </c>
      <c r="L135">
        <f t="shared" si="11"/>
        <v>33.964</v>
      </c>
    </row>
    <row r="136" spans="1:12">
      <c r="A136" t="s">
        <v>13</v>
      </c>
      <c r="B136" s="14" t="s">
        <v>273</v>
      </c>
      <c r="C136" s="20" t="s">
        <v>274</v>
      </c>
      <c r="D136" s="20" t="s">
        <v>274</v>
      </c>
      <c r="E136" s="20" t="s">
        <v>274</v>
      </c>
      <c r="F136" s="20" t="s">
        <v>274</v>
      </c>
      <c r="G136">
        <v>1.66</v>
      </c>
      <c r="H136" s="1">
        <v>3.15</v>
      </c>
      <c r="I136">
        <f t="shared" si="8"/>
        <v>1.909</v>
      </c>
      <c r="J136">
        <f t="shared" si="9"/>
        <v>1.992</v>
      </c>
      <c r="K136">
        <f t="shared" si="10"/>
        <v>2.158</v>
      </c>
      <c r="L136">
        <f t="shared" si="11"/>
        <v>2.324</v>
      </c>
    </row>
    <row r="137" spans="1:12">
      <c r="A137" t="s">
        <v>13</v>
      </c>
      <c r="B137" s="14" t="s">
        <v>275</v>
      </c>
      <c r="C137" s="20" t="s">
        <v>276</v>
      </c>
      <c r="D137" s="20" t="s">
        <v>276</v>
      </c>
      <c r="E137" s="20" t="s">
        <v>276</v>
      </c>
      <c r="F137" s="20" t="s">
        <v>276</v>
      </c>
      <c r="G137">
        <v>4.91</v>
      </c>
      <c r="H137" s="1">
        <v>12.28</v>
      </c>
      <c r="I137">
        <f t="shared" si="8"/>
        <v>5.6465</v>
      </c>
      <c r="J137">
        <f t="shared" si="9"/>
        <v>5.892</v>
      </c>
      <c r="K137">
        <f t="shared" si="10"/>
        <v>6.383</v>
      </c>
      <c r="L137">
        <f t="shared" si="11"/>
        <v>6.874</v>
      </c>
    </row>
    <row r="138" spans="1:12">
      <c r="A138" t="s">
        <v>13</v>
      </c>
      <c r="B138" s="14" t="s">
        <v>277</v>
      </c>
      <c r="C138" s="20" t="s">
        <v>278</v>
      </c>
      <c r="D138" s="20" t="s">
        <v>278</v>
      </c>
      <c r="E138" s="20" t="s">
        <v>278</v>
      </c>
      <c r="F138" s="20" t="s">
        <v>278</v>
      </c>
      <c r="G138">
        <v>4.91</v>
      </c>
      <c r="H138" s="1">
        <v>12.28</v>
      </c>
      <c r="I138">
        <f t="shared" si="8"/>
        <v>5.6465</v>
      </c>
      <c r="J138">
        <f t="shared" si="9"/>
        <v>5.892</v>
      </c>
      <c r="K138">
        <f t="shared" si="10"/>
        <v>6.383</v>
      </c>
      <c r="L138">
        <f t="shared" si="11"/>
        <v>6.874</v>
      </c>
    </row>
    <row r="139" spans="1:12">
      <c r="A139" t="s">
        <v>13</v>
      </c>
      <c r="B139" s="14" t="s">
        <v>279</v>
      </c>
      <c r="C139" s="20" t="s">
        <v>280</v>
      </c>
      <c r="D139" s="20" t="s">
        <v>280</v>
      </c>
      <c r="E139" s="20" t="s">
        <v>280</v>
      </c>
      <c r="F139" s="20" t="s">
        <v>280</v>
      </c>
      <c r="G139">
        <v>4.91</v>
      </c>
      <c r="H139" s="1">
        <v>12.28</v>
      </c>
      <c r="I139">
        <f t="shared" si="8"/>
        <v>5.6465</v>
      </c>
      <c r="J139">
        <f t="shared" si="9"/>
        <v>5.892</v>
      </c>
      <c r="K139">
        <f t="shared" si="10"/>
        <v>6.383</v>
      </c>
      <c r="L139">
        <f t="shared" si="11"/>
        <v>6.874</v>
      </c>
    </row>
    <row r="140" spans="1:12">
      <c r="A140" t="s">
        <v>13</v>
      </c>
      <c r="B140" s="14" t="s">
        <v>281</v>
      </c>
      <c r="C140" s="20" t="s">
        <v>282</v>
      </c>
      <c r="D140" s="20" t="s">
        <v>282</v>
      </c>
      <c r="E140" s="20" t="s">
        <v>282</v>
      </c>
      <c r="F140" s="20" t="s">
        <v>282</v>
      </c>
      <c r="G140">
        <v>31.68</v>
      </c>
      <c r="H140" s="1">
        <v>70.4</v>
      </c>
      <c r="I140">
        <f t="shared" si="8"/>
        <v>36.432</v>
      </c>
      <c r="J140">
        <f t="shared" si="9"/>
        <v>38.016</v>
      </c>
      <c r="K140">
        <f t="shared" si="10"/>
        <v>41.184</v>
      </c>
      <c r="L140">
        <f t="shared" si="11"/>
        <v>44.352</v>
      </c>
    </row>
    <row r="141" spans="1:12">
      <c r="A141" t="s">
        <v>13</v>
      </c>
      <c r="B141" s="14" t="s">
        <v>283</v>
      </c>
      <c r="C141" s="20" t="s">
        <v>284</v>
      </c>
      <c r="D141" s="20" t="s">
        <v>284</v>
      </c>
      <c r="E141" s="20" t="s">
        <v>284</v>
      </c>
      <c r="F141" s="20" t="s">
        <v>284</v>
      </c>
      <c r="G141">
        <v>32.21</v>
      </c>
      <c r="H141" s="1">
        <v>61.35</v>
      </c>
      <c r="I141">
        <f t="shared" si="8"/>
        <v>37.0415</v>
      </c>
      <c r="J141">
        <f t="shared" si="9"/>
        <v>38.652</v>
      </c>
      <c r="K141">
        <f t="shared" si="10"/>
        <v>41.873</v>
      </c>
      <c r="L141">
        <f t="shared" si="11"/>
        <v>45.094</v>
      </c>
    </row>
    <row r="142" spans="1:12">
      <c r="A142" t="s">
        <v>13</v>
      </c>
      <c r="B142" s="14" t="s">
        <v>285</v>
      </c>
      <c r="C142" s="20" t="s">
        <v>286</v>
      </c>
      <c r="D142" s="20" t="s">
        <v>286</v>
      </c>
      <c r="E142" s="20" t="s">
        <v>286</v>
      </c>
      <c r="F142" s="20" t="s">
        <v>286</v>
      </c>
      <c r="G142">
        <v>32.53</v>
      </c>
      <c r="H142" s="1">
        <v>61.95</v>
      </c>
      <c r="I142">
        <f t="shared" si="8"/>
        <v>37.4095</v>
      </c>
      <c r="J142">
        <f t="shared" si="9"/>
        <v>39.036</v>
      </c>
      <c r="K142">
        <f t="shared" si="10"/>
        <v>42.289</v>
      </c>
      <c r="L142">
        <f t="shared" si="11"/>
        <v>45.542</v>
      </c>
    </row>
    <row r="143" spans="1:12">
      <c r="A143" t="s">
        <v>13</v>
      </c>
      <c r="B143" s="14" t="s">
        <v>287</v>
      </c>
      <c r="C143" s="20" t="s">
        <v>288</v>
      </c>
      <c r="D143" s="20" t="s">
        <v>288</v>
      </c>
      <c r="E143" s="20" t="s">
        <v>288</v>
      </c>
      <c r="F143" s="20" t="s">
        <v>288</v>
      </c>
      <c r="G143">
        <v>23.23</v>
      </c>
      <c r="H143" s="1">
        <v>51.63</v>
      </c>
      <c r="I143">
        <f t="shared" si="8"/>
        <v>26.7145</v>
      </c>
      <c r="J143">
        <f t="shared" si="9"/>
        <v>27.876</v>
      </c>
      <c r="K143">
        <f t="shared" si="10"/>
        <v>30.199</v>
      </c>
      <c r="L143">
        <f t="shared" si="11"/>
        <v>32.522</v>
      </c>
    </row>
    <row r="144" spans="1:12">
      <c r="A144" t="s">
        <v>13</v>
      </c>
      <c r="B144" s="14" t="s">
        <v>289</v>
      </c>
      <c r="C144" s="20" t="s">
        <v>290</v>
      </c>
      <c r="D144" s="20" t="s">
        <v>290</v>
      </c>
      <c r="E144" s="20" t="s">
        <v>290</v>
      </c>
      <c r="F144" s="20" t="s">
        <v>290</v>
      </c>
      <c r="G144">
        <v>32.53</v>
      </c>
      <c r="H144" s="1">
        <v>61.95</v>
      </c>
      <c r="I144">
        <f t="shared" si="8"/>
        <v>37.4095</v>
      </c>
      <c r="J144">
        <f t="shared" si="9"/>
        <v>39.036</v>
      </c>
      <c r="K144">
        <f t="shared" si="10"/>
        <v>42.289</v>
      </c>
      <c r="L144">
        <f t="shared" si="11"/>
        <v>45.542</v>
      </c>
    </row>
    <row r="145" spans="1:12">
      <c r="A145" t="s">
        <v>13</v>
      </c>
      <c r="B145" s="14" t="s">
        <v>291</v>
      </c>
      <c r="C145" s="20" t="s">
        <v>292</v>
      </c>
      <c r="D145" s="20" t="s">
        <v>292</v>
      </c>
      <c r="E145" s="20" t="s">
        <v>292</v>
      </c>
      <c r="F145" s="20" t="s">
        <v>292</v>
      </c>
      <c r="G145">
        <v>32.53</v>
      </c>
      <c r="H145" s="1">
        <v>61.95</v>
      </c>
      <c r="I145">
        <f t="shared" si="8"/>
        <v>37.4095</v>
      </c>
      <c r="J145">
        <f t="shared" si="9"/>
        <v>39.036</v>
      </c>
      <c r="K145">
        <f t="shared" si="10"/>
        <v>42.289</v>
      </c>
      <c r="L145">
        <f t="shared" si="11"/>
        <v>45.542</v>
      </c>
    </row>
    <row r="146" spans="1:12">
      <c r="A146" t="s">
        <v>13</v>
      </c>
      <c r="B146" s="14" t="s">
        <v>293</v>
      </c>
      <c r="C146" s="20" t="s">
        <v>294</v>
      </c>
      <c r="D146" s="20" t="s">
        <v>294</v>
      </c>
      <c r="E146" s="20" t="s">
        <v>294</v>
      </c>
      <c r="F146" s="20" t="s">
        <v>294</v>
      </c>
      <c r="G146">
        <v>32.53</v>
      </c>
      <c r="H146" s="1">
        <v>61.95</v>
      </c>
      <c r="I146">
        <f t="shared" si="8"/>
        <v>37.4095</v>
      </c>
      <c r="J146">
        <f t="shared" si="9"/>
        <v>39.036</v>
      </c>
      <c r="K146">
        <f t="shared" si="10"/>
        <v>42.289</v>
      </c>
      <c r="L146">
        <f t="shared" si="11"/>
        <v>45.542</v>
      </c>
    </row>
    <row r="147" spans="1:12">
      <c r="A147" t="s">
        <v>13</v>
      </c>
      <c r="B147" s="14" t="s">
        <v>295</v>
      </c>
      <c r="C147" s="20" t="s">
        <v>296</v>
      </c>
      <c r="D147" s="20" t="s">
        <v>296</v>
      </c>
      <c r="E147" s="20" t="s">
        <v>296</v>
      </c>
      <c r="F147" s="20" t="s">
        <v>296</v>
      </c>
      <c r="G147">
        <v>33.88</v>
      </c>
      <c r="H147" s="1">
        <v>64.53</v>
      </c>
      <c r="I147">
        <f t="shared" si="8"/>
        <v>38.962</v>
      </c>
      <c r="J147">
        <f t="shared" si="9"/>
        <v>40.656</v>
      </c>
      <c r="K147">
        <f t="shared" si="10"/>
        <v>44.044</v>
      </c>
      <c r="L147">
        <f t="shared" si="11"/>
        <v>47.432</v>
      </c>
    </row>
    <row r="148" spans="1:12">
      <c r="A148" t="s">
        <v>13</v>
      </c>
      <c r="B148" s="14" t="s">
        <v>297</v>
      </c>
      <c r="C148" s="20" t="s">
        <v>298</v>
      </c>
      <c r="D148" s="20" t="s">
        <v>298</v>
      </c>
      <c r="E148" s="20" t="s">
        <v>298</v>
      </c>
      <c r="F148" s="20" t="s">
        <v>298</v>
      </c>
      <c r="G148">
        <v>3.76</v>
      </c>
      <c r="H148" s="1">
        <v>7.16</v>
      </c>
      <c r="I148">
        <f t="shared" si="8"/>
        <v>4.324</v>
      </c>
      <c r="J148">
        <f t="shared" si="9"/>
        <v>4.512</v>
      </c>
      <c r="K148">
        <f t="shared" si="10"/>
        <v>4.888</v>
      </c>
      <c r="L148">
        <f t="shared" si="11"/>
        <v>5.264</v>
      </c>
    </row>
    <row r="149" spans="1:12">
      <c r="A149" t="s">
        <v>13</v>
      </c>
      <c r="B149" s="14" t="s">
        <v>299</v>
      </c>
      <c r="C149" s="20" t="s">
        <v>300</v>
      </c>
      <c r="D149" s="20" t="s">
        <v>300</v>
      </c>
      <c r="E149" s="20" t="s">
        <v>300</v>
      </c>
      <c r="F149" s="20" t="s">
        <v>300</v>
      </c>
      <c r="G149">
        <v>34.74</v>
      </c>
      <c r="H149" s="1">
        <v>66.18</v>
      </c>
      <c r="I149">
        <f t="shared" si="8"/>
        <v>39.951</v>
      </c>
      <c r="J149">
        <f t="shared" si="9"/>
        <v>41.688</v>
      </c>
      <c r="K149">
        <f t="shared" si="10"/>
        <v>45.162</v>
      </c>
      <c r="L149">
        <f t="shared" si="11"/>
        <v>48.636</v>
      </c>
    </row>
    <row r="150" spans="1:12">
      <c r="A150" t="s">
        <v>13</v>
      </c>
      <c r="B150" s="14" t="s">
        <v>301</v>
      </c>
      <c r="C150" s="20" t="s">
        <v>302</v>
      </c>
      <c r="D150" s="20" t="s">
        <v>302</v>
      </c>
      <c r="E150" s="20" t="s">
        <v>302</v>
      </c>
      <c r="F150" s="20" t="s">
        <v>302</v>
      </c>
      <c r="G150">
        <v>32.53</v>
      </c>
      <c r="H150" s="1">
        <v>61.95</v>
      </c>
      <c r="I150">
        <f t="shared" si="8"/>
        <v>37.4095</v>
      </c>
      <c r="J150">
        <f t="shared" si="9"/>
        <v>39.036</v>
      </c>
      <c r="K150">
        <f t="shared" si="10"/>
        <v>42.289</v>
      </c>
      <c r="L150">
        <f t="shared" si="11"/>
        <v>45.542</v>
      </c>
    </row>
    <row r="151" spans="1:12">
      <c r="A151" t="s">
        <v>13</v>
      </c>
      <c r="B151" s="14" t="s">
        <v>303</v>
      </c>
      <c r="C151" s="20" t="s">
        <v>304</v>
      </c>
      <c r="D151" s="20" t="s">
        <v>304</v>
      </c>
      <c r="E151" s="20" t="s">
        <v>304</v>
      </c>
      <c r="F151" s="20" t="s">
        <v>304</v>
      </c>
      <c r="G151">
        <v>34.77</v>
      </c>
      <c r="H151" s="1">
        <v>66.22</v>
      </c>
      <c r="I151">
        <f t="shared" si="8"/>
        <v>39.9855</v>
      </c>
      <c r="J151">
        <f t="shared" si="9"/>
        <v>41.724</v>
      </c>
      <c r="K151">
        <f t="shared" si="10"/>
        <v>45.201</v>
      </c>
      <c r="L151">
        <f t="shared" si="11"/>
        <v>48.678</v>
      </c>
    </row>
    <row r="152" spans="1:12">
      <c r="A152" t="s">
        <v>13</v>
      </c>
      <c r="B152" s="14" t="s">
        <v>305</v>
      </c>
      <c r="C152" s="20" t="s">
        <v>306</v>
      </c>
      <c r="D152" s="20" t="s">
        <v>306</v>
      </c>
      <c r="E152" s="20" t="s">
        <v>306</v>
      </c>
      <c r="F152" s="20" t="s">
        <v>306</v>
      </c>
      <c r="G152">
        <v>32.53</v>
      </c>
      <c r="H152" s="1">
        <v>61.95</v>
      </c>
      <c r="I152">
        <f t="shared" si="8"/>
        <v>37.4095</v>
      </c>
      <c r="J152">
        <f t="shared" si="9"/>
        <v>39.036</v>
      </c>
      <c r="K152">
        <f t="shared" si="10"/>
        <v>42.289</v>
      </c>
      <c r="L152">
        <f t="shared" si="11"/>
        <v>45.542</v>
      </c>
    </row>
    <row r="153" spans="1:12">
      <c r="A153" t="s">
        <v>13</v>
      </c>
      <c r="B153" s="14" t="s">
        <v>307</v>
      </c>
      <c r="C153" s="20" t="s">
        <v>308</v>
      </c>
      <c r="D153" s="20" t="s">
        <v>308</v>
      </c>
      <c r="E153" s="20" t="s">
        <v>308</v>
      </c>
      <c r="F153" s="20" t="s">
        <v>308</v>
      </c>
      <c r="G153">
        <v>35.33</v>
      </c>
      <c r="H153" s="1">
        <v>67.31</v>
      </c>
      <c r="I153">
        <f t="shared" si="8"/>
        <v>40.6295</v>
      </c>
      <c r="J153">
        <f t="shared" si="9"/>
        <v>42.396</v>
      </c>
      <c r="K153">
        <f t="shared" si="10"/>
        <v>45.929</v>
      </c>
      <c r="L153">
        <f t="shared" si="11"/>
        <v>49.462</v>
      </c>
    </row>
    <row r="154" spans="1:12">
      <c r="A154" t="s">
        <v>13</v>
      </c>
      <c r="B154" s="14" t="s">
        <v>309</v>
      </c>
      <c r="C154" s="20" t="s">
        <v>310</v>
      </c>
      <c r="D154" s="20" t="s">
        <v>310</v>
      </c>
      <c r="E154" s="20" t="s">
        <v>310</v>
      </c>
      <c r="F154" s="20" t="s">
        <v>310</v>
      </c>
      <c r="G154">
        <v>33.93</v>
      </c>
      <c r="H154" s="1">
        <v>64.62</v>
      </c>
      <c r="I154">
        <f t="shared" si="8"/>
        <v>39.0195</v>
      </c>
      <c r="J154">
        <f t="shared" si="9"/>
        <v>40.716</v>
      </c>
      <c r="K154">
        <f t="shared" si="10"/>
        <v>44.109</v>
      </c>
      <c r="L154">
        <f t="shared" si="11"/>
        <v>47.502</v>
      </c>
    </row>
    <row r="155" spans="1:12">
      <c r="A155" t="s">
        <v>13</v>
      </c>
      <c r="B155" s="14" t="s">
        <v>311</v>
      </c>
      <c r="C155" s="20" t="s">
        <v>312</v>
      </c>
      <c r="D155" s="20" t="s">
        <v>312</v>
      </c>
      <c r="E155" s="20" t="s">
        <v>312</v>
      </c>
      <c r="F155" s="20" t="s">
        <v>312</v>
      </c>
      <c r="G155">
        <v>34.78</v>
      </c>
      <c r="H155" s="1">
        <v>66.25</v>
      </c>
      <c r="I155">
        <f t="shared" si="8"/>
        <v>39.997</v>
      </c>
      <c r="J155">
        <f t="shared" si="9"/>
        <v>41.736</v>
      </c>
      <c r="K155">
        <f t="shared" si="10"/>
        <v>45.214</v>
      </c>
      <c r="L155">
        <f t="shared" si="11"/>
        <v>48.692</v>
      </c>
    </row>
    <row r="156" spans="1:12">
      <c r="A156" t="s">
        <v>13</v>
      </c>
      <c r="B156" s="14" t="s">
        <v>313</v>
      </c>
      <c r="C156" s="20" t="s">
        <v>314</v>
      </c>
      <c r="D156" s="20" t="s">
        <v>314</v>
      </c>
      <c r="E156" s="20" t="s">
        <v>314</v>
      </c>
      <c r="F156" s="20" t="s">
        <v>314</v>
      </c>
      <c r="G156">
        <v>32.53</v>
      </c>
      <c r="H156" s="1">
        <v>61.95</v>
      </c>
      <c r="I156">
        <f t="shared" si="8"/>
        <v>37.4095</v>
      </c>
      <c r="J156">
        <f t="shared" si="9"/>
        <v>39.036</v>
      </c>
      <c r="K156">
        <f t="shared" si="10"/>
        <v>42.289</v>
      </c>
      <c r="L156">
        <f t="shared" si="11"/>
        <v>45.542</v>
      </c>
    </row>
    <row r="157" spans="1:12">
      <c r="A157" t="s">
        <v>13</v>
      </c>
      <c r="B157" s="14" t="s">
        <v>315</v>
      </c>
      <c r="C157" s="20" t="s">
        <v>316</v>
      </c>
      <c r="D157" s="20" t="s">
        <v>316</v>
      </c>
      <c r="E157" s="20" t="s">
        <v>316</v>
      </c>
      <c r="F157" s="20" t="s">
        <v>316</v>
      </c>
      <c r="G157">
        <v>34.73</v>
      </c>
      <c r="H157" s="1">
        <v>66.16</v>
      </c>
      <c r="I157">
        <f t="shared" si="8"/>
        <v>39.9395</v>
      </c>
      <c r="J157">
        <f t="shared" si="9"/>
        <v>41.676</v>
      </c>
      <c r="K157">
        <f t="shared" si="10"/>
        <v>45.149</v>
      </c>
      <c r="L157">
        <f t="shared" si="11"/>
        <v>48.622</v>
      </c>
    </row>
    <row r="158" spans="1:12">
      <c r="A158" t="s">
        <v>13</v>
      </c>
      <c r="B158" s="14" t="s">
        <v>317</v>
      </c>
      <c r="C158" s="20" t="s">
        <v>318</v>
      </c>
      <c r="D158" s="20" t="s">
        <v>318</v>
      </c>
      <c r="E158" s="20" t="s">
        <v>318</v>
      </c>
      <c r="F158" s="20" t="s">
        <v>318</v>
      </c>
      <c r="G158">
        <v>32.53</v>
      </c>
      <c r="H158" s="1">
        <v>61.95</v>
      </c>
      <c r="I158">
        <f t="shared" si="8"/>
        <v>37.4095</v>
      </c>
      <c r="J158">
        <f t="shared" si="9"/>
        <v>39.036</v>
      </c>
      <c r="K158">
        <f t="shared" si="10"/>
        <v>42.289</v>
      </c>
      <c r="L158">
        <f t="shared" si="11"/>
        <v>45.542</v>
      </c>
    </row>
    <row r="159" spans="1:12">
      <c r="A159" t="s">
        <v>13</v>
      </c>
      <c r="B159" s="14" t="s">
        <v>319</v>
      </c>
      <c r="C159" s="20" t="s">
        <v>320</v>
      </c>
      <c r="D159" s="20" t="s">
        <v>320</v>
      </c>
      <c r="E159" s="20" t="s">
        <v>320</v>
      </c>
      <c r="F159" s="20" t="s">
        <v>320</v>
      </c>
      <c r="G159">
        <v>34.71</v>
      </c>
      <c r="H159" s="1">
        <v>66.12</v>
      </c>
      <c r="I159">
        <f t="shared" si="8"/>
        <v>39.9165</v>
      </c>
      <c r="J159">
        <f t="shared" si="9"/>
        <v>41.652</v>
      </c>
      <c r="K159">
        <f t="shared" si="10"/>
        <v>45.123</v>
      </c>
      <c r="L159">
        <f t="shared" si="11"/>
        <v>48.594</v>
      </c>
    </row>
    <row r="160" spans="1:12">
      <c r="A160" t="s">
        <v>13</v>
      </c>
      <c r="B160" s="14" t="s">
        <v>321</v>
      </c>
      <c r="C160" s="20" t="s">
        <v>322</v>
      </c>
      <c r="D160" s="20" t="s">
        <v>322</v>
      </c>
      <c r="E160" s="20" t="s">
        <v>322</v>
      </c>
      <c r="F160" s="20" t="s">
        <v>322</v>
      </c>
      <c r="G160">
        <v>32.53</v>
      </c>
      <c r="H160" s="1">
        <v>61.95</v>
      </c>
      <c r="I160">
        <f t="shared" si="8"/>
        <v>37.4095</v>
      </c>
      <c r="J160">
        <f t="shared" si="9"/>
        <v>39.036</v>
      </c>
      <c r="K160">
        <f t="shared" si="10"/>
        <v>42.289</v>
      </c>
      <c r="L160">
        <f t="shared" si="11"/>
        <v>45.542</v>
      </c>
    </row>
    <row r="161" spans="1:12">
      <c r="A161" t="s">
        <v>13</v>
      </c>
      <c r="B161" s="14" t="s">
        <v>323</v>
      </c>
      <c r="C161" s="20" t="s">
        <v>324</v>
      </c>
      <c r="D161" s="20" t="s">
        <v>324</v>
      </c>
      <c r="E161" s="20" t="s">
        <v>324</v>
      </c>
      <c r="F161" s="20" t="s">
        <v>324</v>
      </c>
      <c r="G161">
        <v>34.73</v>
      </c>
      <c r="H161" s="1">
        <v>66.16</v>
      </c>
      <c r="I161">
        <f t="shared" si="8"/>
        <v>39.9395</v>
      </c>
      <c r="J161">
        <f t="shared" si="9"/>
        <v>41.676</v>
      </c>
      <c r="K161">
        <f t="shared" si="10"/>
        <v>45.149</v>
      </c>
      <c r="L161">
        <f t="shared" si="11"/>
        <v>48.622</v>
      </c>
    </row>
    <row r="162" spans="1:12">
      <c r="A162" t="s">
        <v>13</v>
      </c>
      <c r="B162" s="14" t="s">
        <v>325</v>
      </c>
      <c r="C162" s="20" t="s">
        <v>326</v>
      </c>
      <c r="D162" s="20" t="s">
        <v>326</v>
      </c>
      <c r="E162" s="20" t="s">
        <v>326</v>
      </c>
      <c r="F162" s="20" t="s">
        <v>326</v>
      </c>
      <c r="G162">
        <v>32.53</v>
      </c>
      <c r="H162" s="1">
        <v>61.95</v>
      </c>
      <c r="I162">
        <f t="shared" si="8"/>
        <v>37.4095</v>
      </c>
      <c r="J162">
        <f t="shared" si="9"/>
        <v>39.036</v>
      </c>
      <c r="K162">
        <f t="shared" si="10"/>
        <v>42.289</v>
      </c>
      <c r="L162">
        <f t="shared" si="11"/>
        <v>45.542</v>
      </c>
    </row>
    <row r="163" spans="1:12">
      <c r="A163" t="s">
        <v>13</v>
      </c>
      <c r="B163" s="14" t="s">
        <v>327</v>
      </c>
      <c r="C163" s="20" t="s">
        <v>328</v>
      </c>
      <c r="D163" s="20" t="s">
        <v>328</v>
      </c>
      <c r="E163" s="20" t="s">
        <v>328</v>
      </c>
      <c r="F163" s="20" t="s">
        <v>328</v>
      </c>
      <c r="G163">
        <v>34.75</v>
      </c>
      <c r="H163" s="1">
        <v>66.2</v>
      </c>
      <c r="I163">
        <f t="shared" si="8"/>
        <v>39.9625</v>
      </c>
      <c r="J163">
        <f t="shared" si="9"/>
        <v>41.7</v>
      </c>
      <c r="K163">
        <f t="shared" si="10"/>
        <v>45.175</v>
      </c>
      <c r="L163">
        <f t="shared" si="11"/>
        <v>48.65</v>
      </c>
    </row>
    <row r="164" spans="1:12">
      <c r="A164" t="s">
        <v>13</v>
      </c>
      <c r="B164" s="14" t="s">
        <v>329</v>
      </c>
      <c r="C164" s="20" t="s">
        <v>330</v>
      </c>
      <c r="D164" s="20" t="s">
        <v>330</v>
      </c>
      <c r="E164" s="20" t="s">
        <v>330</v>
      </c>
      <c r="F164" s="20" t="s">
        <v>330</v>
      </c>
      <c r="G164">
        <v>32.53</v>
      </c>
      <c r="H164" s="1">
        <v>61.95</v>
      </c>
      <c r="I164">
        <f t="shared" si="8"/>
        <v>37.4095</v>
      </c>
      <c r="J164">
        <f t="shared" si="9"/>
        <v>39.036</v>
      </c>
      <c r="K164">
        <f t="shared" si="10"/>
        <v>42.289</v>
      </c>
      <c r="L164">
        <f t="shared" si="11"/>
        <v>45.542</v>
      </c>
    </row>
    <row r="165" spans="1:12">
      <c r="A165" t="s">
        <v>13</v>
      </c>
      <c r="B165" s="14" t="s">
        <v>331</v>
      </c>
      <c r="C165" s="20" t="s">
        <v>332</v>
      </c>
      <c r="D165" s="20" t="s">
        <v>332</v>
      </c>
      <c r="E165" s="20" t="s">
        <v>332</v>
      </c>
      <c r="F165" s="20" t="s">
        <v>332</v>
      </c>
      <c r="G165">
        <v>34.71</v>
      </c>
      <c r="H165" s="1">
        <v>66.11</v>
      </c>
      <c r="I165">
        <f t="shared" si="8"/>
        <v>39.9165</v>
      </c>
      <c r="J165">
        <f t="shared" si="9"/>
        <v>41.652</v>
      </c>
      <c r="K165">
        <f t="shared" si="10"/>
        <v>45.123</v>
      </c>
      <c r="L165">
        <f t="shared" si="11"/>
        <v>48.594</v>
      </c>
    </row>
    <row r="166" spans="1:12">
      <c r="A166" t="s">
        <v>13</v>
      </c>
      <c r="B166" s="14" t="s">
        <v>333</v>
      </c>
      <c r="C166" s="20" t="s">
        <v>334</v>
      </c>
      <c r="D166" s="20" t="s">
        <v>334</v>
      </c>
      <c r="E166" s="20" t="s">
        <v>334</v>
      </c>
      <c r="F166" s="20" t="s">
        <v>334</v>
      </c>
      <c r="G166">
        <v>32.53</v>
      </c>
      <c r="H166" s="1">
        <v>61.95</v>
      </c>
      <c r="I166">
        <f t="shared" si="8"/>
        <v>37.4095</v>
      </c>
      <c r="J166">
        <f t="shared" si="9"/>
        <v>39.036</v>
      </c>
      <c r="K166">
        <f t="shared" si="10"/>
        <v>42.289</v>
      </c>
      <c r="L166">
        <f t="shared" si="11"/>
        <v>45.542</v>
      </c>
    </row>
    <row r="167" spans="1:12">
      <c r="A167" t="s">
        <v>13</v>
      </c>
      <c r="B167" s="14" t="s">
        <v>335</v>
      </c>
      <c r="C167" s="20" t="s">
        <v>336</v>
      </c>
      <c r="D167" s="20" t="s">
        <v>336</v>
      </c>
      <c r="E167" s="20" t="s">
        <v>336</v>
      </c>
      <c r="F167" s="20" t="s">
        <v>336</v>
      </c>
      <c r="G167">
        <v>34.71</v>
      </c>
      <c r="H167" s="1">
        <v>66.12</v>
      </c>
      <c r="I167">
        <f t="shared" si="8"/>
        <v>39.9165</v>
      </c>
      <c r="J167">
        <f t="shared" si="9"/>
        <v>41.652</v>
      </c>
      <c r="K167">
        <f t="shared" si="10"/>
        <v>45.123</v>
      </c>
      <c r="L167">
        <f t="shared" si="11"/>
        <v>48.594</v>
      </c>
    </row>
    <row r="168" spans="1:12">
      <c r="A168" t="s">
        <v>13</v>
      </c>
      <c r="B168" s="14" t="s">
        <v>337</v>
      </c>
      <c r="C168" s="20" t="s">
        <v>338</v>
      </c>
      <c r="D168" s="20" t="s">
        <v>338</v>
      </c>
      <c r="E168" s="20" t="s">
        <v>338</v>
      </c>
      <c r="F168" s="20" t="s">
        <v>338</v>
      </c>
      <c r="G168">
        <v>32.53</v>
      </c>
      <c r="H168" s="1">
        <v>61.95</v>
      </c>
      <c r="I168">
        <f t="shared" si="8"/>
        <v>37.4095</v>
      </c>
      <c r="J168">
        <f t="shared" si="9"/>
        <v>39.036</v>
      </c>
      <c r="K168">
        <f t="shared" si="10"/>
        <v>42.289</v>
      </c>
      <c r="L168">
        <f t="shared" si="11"/>
        <v>45.542</v>
      </c>
    </row>
    <row r="169" spans="1:12">
      <c r="A169" t="s">
        <v>13</v>
      </c>
      <c r="B169" s="14" t="s">
        <v>339</v>
      </c>
      <c r="C169" s="20" t="s">
        <v>340</v>
      </c>
      <c r="D169" s="20" t="s">
        <v>340</v>
      </c>
      <c r="E169" s="20" t="s">
        <v>340</v>
      </c>
      <c r="F169" s="20" t="s">
        <v>340</v>
      </c>
      <c r="G169">
        <v>35.31</v>
      </c>
      <c r="H169" s="1">
        <v>67.26</v>
      </c>
      <c r="I169">
        <f t="shared" si="8"/>
        <v>40.6065</v>
      </c>
      <c r="J169">
        <f t="shared" si="9"/>
        <v>42.372</v>
      </c>
      <c r="K169">
        <f t="shared" si="10"/>
        <v>45.903</v>
      </c>
      <c r="L169">
        <f t="shared" si="11"/>
        <v>49.434</v>
      </c>
    </row>
    <row r="170" spans="1:12">
      <c r="A170" t="s">
        <v>13</v>
      </c>
      <c r="B170" s="14" t="s">
        <v>341</v>
      </c>
      <c r="C170" s="20" t="s">
        <v>342</v>
      </c>
      <c r="D170" s="20" t="s">
        <v>342</v>
      </c>
      <c r="E170" s="20" t="s">
        <v>342</v>
      </c>
      <c r="F170" s="20" t="s">
        <v>342</v>
      </c>
      <c r="G170">
        <v>33.93</v>
      </c>
      <c r="H170" s="1">
        <v>64.62</v>
      </c>
      <c r="I170">
        <f t="shared" si="8"/>
        <v>39.0195</v>
      </c>
      <c r="J170">
        <f t="shared" si="9"/>
        <v>40.716</v>
      </c>
      <c r="K170">
        <f t="shared" si="10"/>
        <v>44.109</v>
      </c>
      <c r="L170">
        <f t="shared" si="11"/>
        <v>47.502</v>
      </c>
    </row>
    <row r="171" spans="1:12">
      <c r="A171" t="s">
        <v>13</v>
      </c>
      <c r="B171" s="14" t="s">
        <v>343</v>
      </c>
      <c r="C171" s="20" t="s">
        <v>344</v>
      </c>
      <c r="D171" s="20" t="s">
        <v>344</v>
      </c>
      <c r="E171" s="20" t="s">
        <v>344</v>
      </c>
      <c r="F171" s="20" t="s">
        <v>344</v>
      </c>
      <c r="G171">
        <v>34.71</v>
      </c>
      <c r="H171" s="1">
        <v>66.12</v>
      </c>
      <c r="I171">
        <f t="shared" si="8"/>
        <v>39.9165</v>
      </c>
      <c r="J171">
        <f t="shared" si="9"/>
        <v>41.652</v>
      </c>
      <c r="K171">
        <f t="shared" si="10"/>
        <v>45.123</v>
      </c>
      <c r="L171">
        <f t="shared" si="11"/>
        <v>48.594</v>
      </c>
    </row>
    <row r="172" spans="1:12">
      <c r="A172" t="s">
        <v>13</v>
      </c>
      <c r="B172" s="14" t="s">
        <v>345</v>
      </c>
      <c r="C172" s="20" t="s">
        <v>346</v>
      </c>
      <c r="D172" s="20" t="s">
        <v>346</v>
      </c>
      <c r="E172" s="20" t="s">
        <v>346</v>
      </c>
      <c r="F172" s="20" t="s">
        <v>346</v>
      </c>
      <c r="G172">
        <v>32.53</v>
      </c>
      <c r="H172" s="1">
        <v>61.95</v>
      </c>
      <c r="I172">
        <f t="shared" si="8"/>
        <v>37.4095</v>
      </c>
      <c r="J172">
        <f t="shared" si="9"/>
        <v>39.036</v>
      </c>
      <c r="K172">
        <f t="shared" si="10"/>
        <v>42.289</v>
      </c>
      <c r="L172">
        <f t="shared" si="11"/>
        <v>45.542</v>
      </c>
    </row>
    <row r="173" spans="1:12">
      <c r="A173" t="s">
        <v>13</v>
      </c>
      <c r="B173" s="14" t="s">
        <v>347</v>
      </c>
      <c r="C173" s="20" t="s">
        <v>348</v>
      </c>
      <c r="D173" s="20" t="s">
        <v>348</v>
      </c>
      <c r="E173" s="20" t="s">
        <v>348</v>
      </c>
      <c r="F173" s="20" t="s">
        <v>348</v>
      </c>
      <c r="G173">
        <v>32.53</v>
      </c>
      <c r="H173" s="1">
        <v>61.95</v>
      </c>
      <c r="I173">
        <f t="shared" si="8"/>
        <v>37.4095</v>
      </c>
      <c r="J173">
        <f t="shared" si="9"/>
        <v>39.036</v>
      </c>
      <c r="K173">
        <f t="shared" si="10"/>
        <v>42.289</v>
      </c>
      <c r="L173">
        <f t="shared" si="11"/>
        <v>45.542</v>
      </c>
    </row>
    <row r="174" spans="1:12">
      <c r="A174" t="s">
        <v>13</v>
      </c>
      <c r="B174" s="14" t="s">
        <v>349</v>
      </c>
      <c r="C174" s="20" t="s">
        <v>350</v>
      </c>
      <c r="D174" s="20" t="s">
        <v>350</v>
      </c>
      <c r="E174" s="20" t="s">
        <v>350</v>
      </c>
      <c r="F174" s="20" t="s">
        <v>350</v>
      </c>
      <c r="G174">
        <v>34.73</v>
      </c>
      <c r="H174" s="1">
        <v>66.16</v>
      </c>
      <c r="I174">
        <f t="shared" si="8"/>
        <v>39.9395</v>
      </c>
      <c r="J174">
        <f t="shared" si="9"/>
        <v>41.676</v>
      </c>
      <c r="K174">
        <f t="shared" si="10"/>
        <v>45.149</v>
      </c>
      <c r="L174">
        <f t="shared" si="11"/>
        <v>48.622</v>
      </c>
    </row>
    <row r="175" spans="1:12">
      <c r="A175" t="s">
        <v>13</v>
      </c>
      <c r="B175" s="14" t="s">
        <v>351</v>
      </c>
      <c r="C175" s="20" t="s">
        <v>352</v>
      </c>
      <c r="D175" s="20" t="s">
        <v>352</v>
      </c>
      <c r="E175" s="20" t="s">
        <v>352</v>
      </c>
      <c r="F175" s="20" t="s">
        <v>352</v>
      </c>
      <c r="G175">
        <v>32.53</v>
      </c>
      <c r="H175" s="1">
        <v>61.95</v>
      </c>
      <c r="I175">
        <f t="shared" si="8"/>
        <v>37.4095</v>
      </c>
      <c r="J175">
        <f t="shared" si="9"/>
        <v>39.036</v>
      </c>
      <c r="K175">
        <f t="shared" si="10"/>
        <v>42.289</v>
      </c>
      <c r="L175">
        <f t="shared" si="11"/>
        <v>45.542</v>
      </c>
    </row>
    <row r="176" spans="1:12">
      <c r="A176" t="s">
        <v>13</v>
      </c>
      <c r="B176" s="14" t="s">
        <v>353</v>
      </c>
      <c r="C176" s="20" t="s">
        <v>354</v>
      </c>
      <c r="D176" s="20" t="s">
        <v>354</v>
      </c>
      <c r="E176" s="20" t="s">
        <v>354</v>
      </c>
      <c r="F176" s="20" t="s">
        <v>354</v>
      </c>
      <c r="G176">
        <v>34.73</v>
      </c>
      <c r="H176" s="1">
        <v>66.15</v>
      </c>
      <c r="I176">
        <f t="shared" si="8"/>
        <v>39.9395</v>
      </c>
      <c r="J176">
        <f t="shared" si="9"/>
        <v>41.676</v>
      </c>
      <c r="K176">
        <f t="shared" si="10"/>
        <v>45.149</v>
      </c>
      <c r="L176">
        <f t="shared" si="11"/>
        <v>48.622</v>
      </c>
    </row>
    <row r="177" spans="1:12">
      <c r="A177" t="s">
        <v>13</v>
      </c>
      <c r="B177" s="14" t="s">
        <v>355</v>
      </c>
      <c r="C177" s="20" t="s">
        <v>356</v>
      </c>
      <c r="D177" s="20" t="s">
        <v>356</v>
      </c>
      <c r="E177" s="20" t="s">
        <v>356</v>
      </c>
      <c r="F177" s="20" t="s">
        <v>356</v>
      </c>
      <c r="G177">
        <v>32.53</v>
      </c>
      <c r="H177" s="1">
        <v>61.95</v>
      </c>
      <c r="I177">
        <f t="shared" si="8"/>
        <v>37.4095</v>
      </c>
      <c r="J177">
        <f t="shared" si="9"/>
        <v>39.036</v>
      </c>
      <c r="K177">
        <f t="shared" si="10"/>
        <v>42.289</v>
      </c>
      <c r="L177">
        <f t="shared" si="11"/>
        <v>45.542</v>
      </c>
    </row>
    <row r="178" spans="1:12">
      <c r="A178" t="s">
        <v>13</v>
      </c>
      <c r="B178" s="14" t="s">
        <v>357</v>
      </c>
      <c r="C178" s="20" t="s">
        <v>358</v>
      </c>
      <c r="D178" s="20" t="s">
        <v>358</v>
      </c>
      <c r="E178" s="20" t="s">
        <v>358</v>
      </c>
      <c r="F178" s="20" t="s">
        <v>358</v>
      </c>
      <c r="G178">
        <v>32.53</v>
      </c>
      <c r="H178" s="1">
        <v>61.95</v>
      </c>
      <c r="I178">
        <f t="shared" si="8"/>
        <v>37.4095</v>
      </c>
      <c r="J178">
        <f t="shared" si="9"/>
        <v>39.036</v>
      </c>
      <c r="K178">
        <f t="shared" si="10"/>
        <v>42.289</v>
      </c>
      <c r="L178">
        <f t="shared" si="11"/>
        <v>45.542</v>
      </c>
    </row>
    <row r="179" spans="1:12">
      <c r="A179" t="s">
        <v>13</v>
      </c>
      <c r="B179" s="14" t="s">
        <v>359</v>
      </c>
      <c r="C179" s="20" t="s">
        <v>360</v>
      </c>
      <c r="D179" s="20" t="s">
        <v>360</v>
      </c>
      <c r="E179" s="20" t="s">
        <v>360</v>
      </c>
      <c r="F179" s="20" t="s">
        <v>360</v>
      </c>
      <c r="G179">
        <v>34.75</v>
      </c>
      <c r="H179" s="1">
        <v>66.2</v>
      </c>
      <c r="I179">
        <f t="shared" si="8"/>
        <v>39.9625</v>
      </c>
      <c r="J179">
        <f t="shared" si="9"/>
        <v>41.7</v>
      </c>
      <c r="K179">
        <f t="shared" si="10"/>
        <v>45.175</v>
      </c>
      <c r="L179">
        <f t="shared" si="11"/>
        <v>48.65</v>
      </c>
    </row>
    <row r="180" spans="1:12">
      <c r="A180" t="s">
        <v>13</v>
      </c>
      <c r="B180" s="14" t="s">
        <v>361</v>
      </c>
      <c r="C180" s="20" t="s">
        <v>362</v>
      </c>
      <c r="D180" s="20" t="s">
        <v>362</v>
      </c>
      <c r="E180" s="20" t="s">
        <v>362</v>
      </c>
      <c r="F180" s="20" t="s">
        <v>362</v>
      </c>
      <c r="G180">
        <v>32.53</v>
      </c>
      <c r="H180" s="1">
        <v>61.95</v>
      </c>
      <c r="I180">
        <f t="shared" si="8"/>
        <v>37.4095</v>
      </c>
      <c r="J180">
        <f t="shared" si="9"/>
        <v>39.036</v>
      </c>
      <c r="K180">
        <f t="shared" si="10"/>
        <v>42.289</v>
      </c>
      <c r="L180">
        <f t="shared" si="11"/>
        <v>45.542</v>
      </c>
    </row>
    <row r="181" spans="1:12">
      <c r="A181" t="s">
        <v>13</v>
      </c>
      <c r="B181" s="14" t="s">
        <v>363</v>
      </c>
      <c r="C181" s="20" t="s">
        <v>364</v>
      </c>
      <c r="D181" s="20" t="s">
        <v>364</v>
      </c>
      <c r="E181" s="20" t="s">
        <v>364</v>
      </c>
      <c r="F181" s="20" t="s">
        <v>364</v>
      </c>
      <c r="G181">
        <v>32.53</v>
      </c>
      <c r="H181" s="1">
        <v>61.95</v>
      </c>
      <c r="I181">
        <f t="shared" si="8"/>
        <v>37.4095</v>
      </c>
      <c r="J181">
        <f t="shared" si="9"/>
        <v>39.036</v>
      </c>
      <c r="K181">
        <f t="shared" si="10"/>
        <v>42.289</v>
      </c>
      <c r="L181">
        <f t="shared" si="11"/>
        <v>45.542</v>
      </c>
    </row>
    <row r="182" spans="1:12">
      <c r="A182" t="s">
        <v>13</v>
      </c>
      <c r="B182" s="14" t="s">
        <v>365</v>
      </c>
      <c r="C182" s="20" t="s">
        <v>366</v>
      </c>
      <c r="D182" s="20" t="s">
        <v>366</v>
      </c>
      <c r="E182" s="20" t="s">
        <v>366</v>
      </c>
      <c r="F182" s="20" t="s">
        <v>366</v>
      </c>
      <c r="G182">
        <v>34.71</v>
      </c>
      <c r="H182" s="1">
        <v>66.12</v>
      </c>
      <c r="I182">
        <f t="shared" si="8"/>
        <v>39.9165</v>
      </c>
      <c r="J182">
        <f t="shared" si="9"/>
        <v>41.652</v>
      </c>
      <c r="K182">
        <f t="shared" si="10"/>
        <v>45.123</v>
      </c>
      <c r="L182">
        <f t="shared" si="11"/>
        <v>48.594</v>
      </c>
    </row>
    <row r="183" spans="1:12">
      <c r="A183" t="s">
        <v>13</v>
      </c>
      <c r="B183" s="14" t="s">
        <v>367</v>
      </c>
      <c r="C183" s="20" t="s">
        <v>368</v>
      </c>
      <c r="D183" s="20" t="s">
        <v>368</v>
      </c>
      <c r="E183" s="20" t="s">
        <v>368</v>
      </c>
      <c r="F183" s="20" t="s">
        <v>368</v>
      </c>
      <c r="G183">
        <v>32.53</v>
      </c>
      <c r="H183" s="1">
        <v>61.95</v>
      </c>
      <c r="I183">
        <f t="shared" si="8"/>
        <v>37.4095</v>
      </c>
      <c r="J183">
        <f t="shared" si="9"/>
        <v>39.036</v>
      </c>
      <c r="K183">
        <f t="shared" si="10"/>
        <v>42.289</v>
      </c>
      <c r="L183">
        <f t="shared" si="11"/>
        <v>45.542</v>
      </c>
    </row>
    <row r="184" spans="1:12">
      <c r="A184" t="s">
        <v>13</v>
      </c>
      <c r="B184" s="14" t="s">
        <v>369</v>
      </c>
      <c r="C184" s="20" t="s">
        <v>370</v>
      </c>
      <c r="D184" s="20" t="s">
        <v>370</v>
      </c>
      <c r="E184" s="20" t="s">
        <v>370</v>
      </c>
      <c r="F184" s="20" t="s">
        <v>370</v>
      </c>
      <c r="G184">
        <v>34.71</v>
      </c>
      <c r="H184" s="1">
        <v>66.11</v>
      </c>
      <c r="I184">
        <f t="shared" si="8"/>
        <v>39.9165</v>
      </c>
      <c r="J184">
        <f t="shared" si="9"/>
        <v>41.652</v>
      </c>
      <c r="K184">
        <f t="shared" si="10"/>
        <v>45.123</v>
      </c>
      <c r="L184">
        <f t="shared" si="11"/>
        <v>48.594</v>
      </c>
    </row>
    <row r="185" spans="1:12">
      <c r="A185" t="s">
        <v>13</v>
      </c>
      <c r="B185" s="14" t="s">
        <v>371</v>
      </c>
      <c r="C185" s="20" t="s">
        <v>372</v>
      </c>
      <c r="D185" s="20" t="s">
        <v>372</v>
      </c>
      <c r="E185" s="20" t="s">
        <v>372</v>
      </c>
      <c r="F185" s="20" t="s">
        <v>372</v>
      </c>
      <c r="G185">
        <v>32.53</v>
      </c>
      <c r="H185" s="1">
        <v>61.95</v>
      </c>
      <c r="I185">
        <f t="shared" si="8"/>
        <v>37.4095</v>
      </c>
      <c r="J185">
        <f t="shared" si="9"/>
        <v>39.036</v>
      </c>
      <c r="K185">
        <f t="shared" si="10"/>
        <v>42.289</v>
      </c>
      <c r="L185">
        <f t="shared" si="11"/>
        <v>45.542</v>
      </c>
    </row>
    <row r="186" spans="1:12">
      <c r="A186" t="s">
        <v>13</v>
      </c>
      <c r="B186" s="14" t="s">
        <v>373</v>
      </c>
      <c r="C186" s="20" t="s">
        <v>374</v>
      </c>
      <c r="D186" s="20" t="s">
        <v>374</v>
      </c>
      <c r="E186" s="20" t="s">
        <v>374</v>
      </c>
      <c r="F186" s="20" t="s">
        <v>374</v>
      </c>
      <c r="G186">
        <v>34.74</v>
      </c>
      <c r="H186" s="1">
        <v>66.17</v>
      </c>
      <c r="I186">
        <f t="shared" si="8"/>
        <v>39.951</v>
      </c>
      <c r="J186">
        <f t="shared" si="9"/>
        <v>41.688</v>
      </c>
      <c r="K186">
        <f t="shared" si="10"/>
        <v>45.162</v>
      </c>
      <c r="L186">
        <f t="shared" si="11"/>
        <v>48.636</v>
      </c>
    </row>
    <row r="187" spans="1:12">
      <c r="A187" t="s">
        <v>13</v>
      </c>
      <c r="B187" s="14" t="s">
        <v>375</v>
      </c>
      <c r="C187" s="20" t="s">
        <v>376</v>
      </c>
      <c r="D187" s="20" t="s">
        <v>376</v>
      </c>
      <c r="E187" s="20" t="s">
        <v>376</v>
      </c>
      <c r="F187" s="20" t="s">
        <v>376</v>
      </c>
      <c r="G187">
        <v>32.53</v>
      </c>
      <c r="H187" s="1">
        <v>61.95</v>
      </c>
      <c r="I187">
        <f t="shared" si="8"/>
        <v>37.4095</v>
      </c>
      <c r="J187">
        <f t="shared" si="9"/>
        <v>39.036</v>
      </c>
      <c r="K187">
        <f t="shared" si="10"/>
        <v>42.289</v>
      </c>
      <c r="L187">
        <f t="shared" si="11"/>
        <v>45.542</v>
      </c>
    </row>
    <row r="188" spans="1:12">
      <c r="A188" t="s">
        <v>13</v>
      </c>
      <c r="B188" s="14" t="s">
        <v>377</v>
      </c>
      <c r="C188" s="20" t="s">
        <v>378</v>
      </c>
      <c r="D188" s="20" t="s">
        <v>378</v>
      </c>
      <c r="E188" s="20" t="s">
        <v>378</v>
      </c>
      <c r="F188" s="20" t="s">
        <v>378</v>
      </c>
      <c r="G188">
        <v>6.64</v>
      </c>
      <c r="H188" s="1">
        <v>16.63</v>
      </c>
      <c r="I188">
        <f t="shared" si="8"/>
        <v>7.636</v>
      </c>
      <c r="J188">
        <f t="shared" si="9"/>
        <v>7.968</v>
      </c>
      <c r="K188">
        <f t="shared" si="10"/>
        <v>8.632</v>
      </c>
      <c r="L188">
        <f t="shared" si="11"/>
        <v>9.296</v>
      </c>
    </row>
    <row r="189" spans="1:12">
      <c r="A189" t="s">
        <v>13</v>
      </c>
      <c r="B189" s="14" t="s">
        <v>379</v>
      </c>
      <c r="C189" s="20" t="s">
        <v>380</v>
      </c>
      <c r="D189" s="20" t="s">
        <v>380</v>
      </c>
      <c r="E189" s="20" t="s">
        <v>380</v>
      </c>
      <c r="F189" s="20" t="s">
        <v>380</v>
      </c>
      <c r="G189">
        <v>6.64</v>
      </c>
      <c r="H189" s="1">
        <v>16.63</v>
      </c>
      <c r="I189">
        <f t="shared" si="8"/>
        <v>7.636</v>
      </c>
      <c r="J189">
        <f t="shared" si="9"/>
        <v>7.968</v>
      </c>
      <c r="K189">
        <f t="shared" si="10"/>
        <v>8.632</v>
      </c>
      <c r="L189">
        <f t="shared" si="11"/>
        <v>9.296</v>
      </c>
    </row>
    <row r="190" ht="28.5" spans="1:12">
      <c r="A190" t="s">
        <v>13</v>
      </c>
      <c r="B190" s="14" t="s">
        <v>381</v>
      </c>
      <c r="C190" s="20" t="s">
        <v>382</v>
      </c>
      <c r="D190" s="20" t="s">
        <v>382</v>
      </c>
      <c r="E190" s="20" t="s">
        <v>382</v>
      </c>
      <c r="F190" s="20" t="s">
        <v>382</v>
      </c>
      <c r="G190">
        <v>5.06</v>
      </c>
      <c r="H190" s="1">
        <v>12.68</v>
      </c>
      <c r="I190">
        <f t="shared" si="8"/>
        <v>5.819</v>
      </c>
      <c r="J190">
        <f t="shared" si="9"/>
        <v>6.072</v>
      </c>
      <c r="K190">
        <f t="shared" si="10"/>
        <v>6.578</v>
      </c>
      <c r="L190">
        <f t="shared" si="11"/>
        <v>7.084</v>
      </c>
    </row>
    <row r="191" ht="28.5" spans="1:12">
      <c r="A191" t="s">
        <v>13</v>
      </c>
      <c r="B191" s="14" t="s">
        <v>383</v>
      </c>
      <c r="C191" s="20" t="s">
        <v>384</v>
      </c>
      <c r="D191" s="20" t="s">
        <v>384</v>
      </c>
      <c r="E191" s="20" t="s">
        <v>384</v>
      </c>
      <c r="F191" s="20" t="s">
        <v>384</v>
      </c>
      <c r="G191">
        <v>6.82</v>
      </c>
      <c r="H191" s="1">
        <v>17.05</v>
      </c>
      <c r="I191">
        <f t="shared" si="8"/>
        <v>7.843</v>
      </c>
      <c r="J191">
        <f t="shared" si="9"/>
        <v>8.184</v>
      </c>
      <c r="K191">
        <f t="shared" si="10"/>
        <v>8.866</v>
      </c>
      <c r="L191">
        <f t="shared" si="11"/>
        <v>9.548</v>
      </c>
    </row>
    <row r="192" spans="1:12">
      <c r="A192" t="s">
        <v>13</v>
      </c>
      <c r="B192" s="14" t="s">
        <v>385</v>
      </c>
      <c r="C192" s="20" t="s">
        <v>386</v>
      </c>
      <c r="D192" s="20" t="s">
        <v>386</v>
      </c>
      <c r="E192" s="20" t="s">
        <v>386</v>
      </c>
      <c r="F192" s="20" t="s">
        <v>386</v>
      </c>
      <c r="G192">
        <v>36.42</v>
      </c>
      <c r="H192" s="1">
        <v>69.38</v>
      </c>
      <c r="I192">
        <f t="shared" si="8"/>
        <v>41.883</v>
      </c>
      <c r="J192">
        <f t="shared" si="9"/>
        <v>43.704</v>
      </c>
      <c r="K192">
        <f t="shared" si="10"/>
        <v>47.346</v>
      </c>
      <c r="L192">
        <f t="shared" si="11"/>
        <v>50.988</v>
      </c>
    </row>
    <row r="193" spans="1:12">
      <c r="A193" t="s">
        <v>13</v>
      </c>
      <c r="B193" s="14" t="s">
        <v>387</v>
      </c>
      <c r="C193" s="20" t="s">
        <v>388</v>
      </c>
      <c r="D193" s="20" t="s">
        <v>388</v>
      </c>
      <c r="E193" s="20" t="s">
        <v>388</v>
      </c>
      <c r="F193" s="20" t="s">
        <v>388</v>
      </c>
      <c r="G193">
        <v>41.66</v>
      </c>
      <c r="H193" s="1">
        <v>79.33</v>
      </c>
      <c r="I193">
        <f t="shared" si="8"/>
        <v>47.909</v>
      </c>
      <c r="J193">
        <f t="shared" si="9"/>
        <v>49.992</v>
      </c>
      <c r="K193">
        <f t="shared" si="10"/>
        <v>54.158</v>
      </c>
      <c r="L193">
        <f t="shared" si="11"/>
        <v>58.324</v>
      </c>
    </row>
    <row r="194" spans="1:12">
      <c r="A194" t="s">
        <v>13</v>
      </c>
      <c r="B194" s="14" t="s">
        <v>389</v>
      </c>
      <c r="C194" s="20" t="s">
        <v>390</v>
      </c>
      <c r="D194" s="20" t="s">
        <v>390</v>
      </c>
      <c r="E194" s="20" t="s">
        <v>390</v>
      </c>
      <c r="F194" s="20" t="s">
        <v>390</v>
      </c>
      <c r="G194">
        <v>9.96</v>
      </c>
      <c r="H194" s="1">
        <v>24.92</v>
      </c>
      <c r="I194">
        <f t="shared" ref="I194:I257" si="12">G194*1.15</f>
        <v>11.454</v>
      </c>
      <c r="J194">
        <f t="shared" ref="J194:J257" si="13">G194*1.2</f>
        <v>11.952</v>
      </c>
      <c r="K194">
        <f t="shared" ref="K194:K257" si="14">G194*1.3</f>
        <v>12.948</v>
      </c>
      <c r="L194">
        <f t="shared" ref="L194:L257" si="15">G194*1.4</f>
        <v>13.944</v>
      </c>
    </row>
    <row r="195" spans="1:12">
      <c r="A195" t="s">
        <v>13</v>
      </c>
      <c r="B195" s="14" t="s">
        <v>391</v>
      </c>
      <c r="C195" s="20" t="s">
        <v>392</v>
      </c>
      <c r="D195" s="20" t="s">
        <v>392</v>
      </c>
      <c r="E195" s="20" t="s">
        <v>392</v>
      </c>
      <c r="F195" s="20" t="s">
        <v>392</v>
      </c>
      <c r="G195">
        <v>9.96</v>
      </c>
      <c r="H195" s="1">
        <v>24.92</v>
      </c>
      <c r="I195">
        <f t="shared" si="12"/>
        <v>11.454</v>
      </c>
      <c r="J195">
        <f t="shared" si="13"/>
        <v>11.952</v>
      </c>
      <c r="K195">
        <f t="shared" si="14"/>
        <v>12.948</v>
      </c>
      <c r="L195">
        <f t="shared" si="15"/>
        <v>13.944</v>
      </c>
    </row>
    <row r="196" spans="1:12">
      <c r="A196" t="s">
        <v>13</v>
      </c>
      <c r="B196" s="14" t="s">
        <v>393</v>
      </c>
      <c r="C196" s="20" t="s">
        <v>394</v>
      </c>
      <c r="D196" s="20" t="s">
        <v>394</v>
      </c>
      <c r="E196" s="20" t="s">
        <v>394</v>
      </c>
      <c r="F196" s="20" t="s">
        <v>394</v>
      </c>
      <c r="G196">
        <v>25.2</v>
      </c>
      <c r="H196" s="1">
        <v>56.02</v>
      </c>
      <c r="I196">
        <f t="shared" si="12"/>
        <v>28.98</v>
      </c>
      <c r="J196">
        <f t="shared" si="13"/>
        <v>30.24</v>
      </c>
      <c r="K196">
        <f t="shared" si="14"/>
        <v>32.76</v>
      </c>
      <c r="L196">
        <f t="shared" si="15"/>
        <v>35.28</v>
      </c>
    </row>
    <row r="197" spans="1:12">
      <c r="A197" t="s">
        <v>13</v>
      </c>
      <c r="B197" s="14" t="s">
        <v>395</v>
      </c>
      <c r="C197" s="20" t="s">
        <v>396</v>
      </c>
      <c r="D197" s="20" t="s">
        <v>396</v>
      </c>
      <c r="E197" s="20" t="s">
        <v>396</v>
      </c>
      <c r="F197" s="20" t="s">
        <v>396</v>
      </c>
      <c r="G197">
        <v>16.97</v>
      </c>
      <c r="H197" s="1">
        <v>37.7</v>
      </c>
      <c r="I197">
        <f t="shared" si="12"/>
        <v>19.5155</v>
      </c>
      <c r="J197">
        <f t="shared" si="13"/>
        <v>20.364</v>
      </c>
      <c r="K197">
        <f t="shared" si="14"/>
        <v>22.061</v>
      </c>
      <c r="L197">
        <f t="shared" si="15"/>
        <v>23.758</v>
      </c>
    </row>
    <row r="198" spans="1:12">
      <c r="A198" t="s">
        <v>13</v>
      </c>
      <c r="B198" s="14" t="s">
        <v>397</v>
      </c>
      <c r="C198" s="20" t="s">
        <v>398</v>
      </c>
      <c r="D198" s="20" t="s">
        <v>398</v>
      </c>
      <c r="E198" s="20" t="s">
        <v>398</v>
      </c>
      <c r="F198" s="20" t="s">
        <v>398</v>
      </c>
      <c r="G198">
        <v>23.28</v>
      </c>
      <c r="H198" s="1">
        <v>51.71</v>
      </c>
      <c r="I198">
        <f t="shared" si="12"/>
        <v>26.772</v>
      </c>
      <c r="J198">
        <f t="shared" si="13"/>
        <v>27.936</v>
      </c>
      <c r="K198">
        <f t="shared" si="14"/>
        <v>30.264</v>
      </c>
      <c r="L198">
        <f t="shared" si="15"/>
        <v>32.592</v>
      </c>
    </row>
    <row r="199" spans="1:12">
      <c r="A199" t="s">
        <v>13</v>
      </c>
      <c r="B199" s="14" t="s">
        <v>399</v>
      </c>
      <c r="C199" s="20" t="s">
        <v>400</v>
      </c>
      <c r="D199" s="20" t="s">
        <v>400</v>
      </c>
      <c r="E199" s="20" t="s">
        <v>400</v>
      </c>
      <c r="F199" s="20" t="s">
        <v>400</v>
      </c>
      <c r="G199">
        <v>54.35</v>
      </c>
      <c r="H199" s="1">
        <v>120.79</v>
      </c>
      <c r="I199">
        <f t="shared" si="12"/>
        <v>62.5025</v>
      </c>
      <c r="J199">
        <f t="shared" si="13"/>
        <v>65.22</v>
      </c>
      <c r="K199">
        <f t="shared" si="14"/>
        <v>70.655</v>
      </c>
      <c r="L199">
        <f t="shared" si="15"/>
        <v>76.09</v>
      </c>
    </row>
    <row r="200" spans="1:12">
      <c r="A200" t="s">
        <v>13</v>
      </c>
      <c r="B200" s="14" t="s">
        <v>401</v>
      </c>
      <c r="C200" s="20" t="s">
        <v>402</v>
      </c>
      <c r="D200" s="20" t="s">
        <v>402</v>
      </c>
      <c r="E200" s="20" t="s">
        <v>402</v>
      </c>
      <c r="F200" s="20" t="s">
        <v>402</v>
      </c>
      <c r="G200">
        <v>54.52</v>
      </c>
      <c r="H200" s="1">
        <v>121.15</v>
      </c>
      <c r="I200">
        <f t="shared" si="12"/>
        <v>62.698</v>
      </c>
      <c r="J200">
        <f t="shared" si="13"/>
        <v>65.424</v>
      </c>
      <c r="K200">
        <f t="shared" si="14"/>
        <v>70.876</v>
      </c>
      <c r="L200">
        <f t="shared" si="15"/>
        <v>76.328</v>
      </c>
    </row>
    <row r="201" spans="1:12">
      <c r="A201" t="s">
        <v>13</v>
      </c>
      <c r="B201" s="14" t="s">
        <v>403</v>
      </c>
      <c r="C201" s="20" t="s">
        <v>404</v>
      </c>
      <c r="D201" s="20" t="s">
        <v>404</v>
      </c>
      <c r="E201" s="20" t="s">
        <v>404</v>
      </c>
      <c r="F201" s="20" t="s">
        <v>404</v>
      </c>
      <c r="G201">
        <v>20.84</v>
      </c>
      <c r="H201" s="1">
        <v>46.32</v>
      </c>
      <c r="I201">
        <f t="shared" si="12"/>
        <v>23.966</v>
      </c>
      <c r="J201">
        <f t="shared" si="13"/>
        <v>25.008</v>
      </c>
      <c r="K201">
        <f t="shared" si="14"/>
        <v>27.092</v>
      </c>
      <c r="L201">
        <f t="shared" si="15"/>
        <v>29.176</v>
      </c>
    </row>
    <row r="202" spans="1:12">
      <c r="A202" t="s">
        <v>13</v>
      </c>
      <c r="B202" s="14" t="s">
        <v>405</v>
      </c>
      <c r="C202" s="20" t="s">
        <v>406</v>
      </c>
      <c r="D202" s="20" t="s">
        <v>406</v>
      </c>
      <c r="E202" s="20" t="s">
        <v>406</v>
      </c>
      <c r="F202" s="20" t="s">
        <v>406</v>
      </c>
      <c r="G202">
        <v>16.41</v>
      </c>
      <c r="H202" s="1">
        <v>41.03</v>
      </c>
      <c r="I202">
        <f t="shared" si="12"/>
        <v>18.8715</v>
      </c>
      <c r="J202">
        <f t="shared" si="13"/>
        <v>19.692</v>
      </c>
      <c r="K202">
        <f t="shared" si="14"/>
        <v>21.333</v>
      </c>
      <c r="L202">
        <f t="shared" si="15"/>
        <v>22.974</v>
      </c>
    </row>
    <row r="203" spans="1:12">
      <c r="A203" t="s">
        <v>13</v>
      </c>
      <c r="B203" s="14" t="s">
        <v>407</v>
      </c>
      <c r="C203" s="20" t="s">
        <v>408</v>
      </c>
      <c r="D203" s="20" t="s">
        <v>408</v>
      </c>
      <c r="E203" s="20" t="s">
        <v>408</v>
      </c>
      <c r="F203" s="20" t="s">
        <v>408</v>
      </c>
      <c r="G203">
        <v>2.44</v>
      </c>
      <c r="H203" s="1">
        <v>6.08</v>
      </c>
      <c r="I203">
        <f t="shared" si="12"/>
        <v>2.806</v>
      </c>
      <c r="J203">
        <f t="shared" si="13"/>
        <v>2.928</v>
      </c>
      <c r="K203">
        <f t="shared" si="14"/>
        <v>3.172</v>
      </c>
      <c r="L203">
        <f t="shared" si="15"/>
        <v>3.416</v>
      </c>
    </row>
    <row r="204" ht="28.5" spans="1:12">
      <c r="A204" t="s">
        <v>13</v>
      </c>
      <c r="B204" s="14" t="s">
        <v>409</v>
      </c>
      <c r="C204" s="20" t="s">
        <v>410</v>
      </c>
      <c r="D204" s="20" t="s">
        <v>410</v>
      </c>
      <c r="E204" s="20" t="s">
        <v>410</v>
      </c>
      <c r="F204" s="20" t="s">
        <v>410</v>
      </c>
      <c r="G204">
        <v>4.61</v>
      </c>
      <c r="H204" s="1">
        <v>11.56</v>
      </c>
      <c r="I204">
        <f t="shared" si="12"/>
        <v>5.3015</v>
      </c>
      <c r="J204">
        <f t="shared" si="13"/>
        <v>5.532</v>
      </c>
      <c r="K204">
        <f t="shared" si="14"/>
        <v>5.993</v>
      </c>
      <c r="L204">
        <f t="shared" si="15"/>
        <v>6.454</v>
      </c>
    </row>
    <row r="205" ht="28.5" spans="1:12">
      <c r="A205" t="s">
        <v>13</v>
      </c>
      <c r="B205" s="14" t="s">
        <v>411</v>
      </c>
      <c r="C205" s="20" t="s">
        <v>412</v>
      </c>
      <c r="D205" s="20" t="s">
        <v>412</v>
      </c>
      <c r="E205" s="20" t="s">
        <v>412</v>
      </c>
      <c r="F205" s="20" t="s">
        <v>412</v>
      </c>
      <c r="G205">
        <v>3.86</v>
      </c>
      <c r="H205" s="1">
        <v>9.67</v>
      </c>
      <c r="I205">
        <f t="shared" si="12"/>
        <v>4.439</v>
      </c>
      <c r="J205">
        <f t="shared" si="13"/>
        <v>4.632</v>
      </c>
      <c r="K205">
        <f t="shared" si="14"/>
        <v>5.018</v>
      </c>
      <c r="L205">
        <f t="shared" si="15"/>
        <v>5.404</v>
      </c>
    </row>
    <row r="206" spans="1:12">
      <c r="A206" t="s">
        <v>13</v>
      </c>
      <c r="B206" s="14" t="s">
        <v>413</v>
      </c>
      <c r="C206" s="20" t="s">
        <v>414</v>
      </c>
      <c r="D206" s="20" t="s">
        <v>414</v>
      </c>
      <c r="E206" s="20" t="s">
        <v>414</v>
      </c>
      <c r="F206" s="20" t="s">
        <v>414</v>
      </c>
      <c r="G206">
        <v>8.74</v>
      </c>
      <c r="H206" s="1">
        <v>21.86</v>
      </c>
      <c r="I206">
        <f t="shared" si="12"/>
        <v>10.051</v>
      </c>
      <c r="J206">
        <f t="shared" si="13"/>
        <v>10.488</v>
      </c>
      <c r="K206">
        <f t="shared" si="14"/>
        <v>11.362</v>
      </c>
      <c r="L206">
        <f t="shared" si="15"/>
        <v>12.236</v>
      </c>
    </row>
    <row r="207" ht="28.5" spans="1:12">
      <c r="A207" t="s">
        <v>13</v>
      </c>
      <c r="B207" s="14" t="s">
        <v>415</v>
      </c>
      <c r="C207" s="20" t="s">
        <v>416</v>
      </c>
      <c r="D207" s="20" t="s">
        <v>416</v>
      </c>
      <c r="E207" s="20" t="s">
        <v>416</v>
      </c>
      <c r="F207" s="20" t="s">
        <v>416</v>
      </c>
      <c r="G207">
        <v>15.41</v>
      </c>
      <c r="H207" s="1">
        <v>38.51</v>
      </c>
      <c r="I207">
        <f t="shared" si="12"/>
        <v>17.7215</v>
      </c>
      <c r="J207">
        <f t="shared" si="13"/>
        <v>18.492</v>
      </c>
      <c r="K207">
        <f t="shared" si="14"/>
        <v>20.033</v>
      </c>
      <c r="L207">
        <f t="shared" si="15"/>
        <v>21.574</v>
      </c>
    </row>
    <row r="208" spans="1:12">
      <c r="A208" t="s">
        <v>13</v>
      </c>
      <c r="B208" s="14" t="s">
        <v>417</v>
      </c>
      <c r="C208" s="20" t="s">
        <v>418</v>
      </c>
      <c r="D208" s="20" t="s">
        <v>418</v>
      </c>
      <c r="E208" s="20" t="s">
        <v>418</v>
      </c>
      <c r="F208" s="20" t="s">
        <v>418</v>
      </c>
      <c r="G208">
        <v>2.61</v>
      </c>
      <c r="H208" s="1">
        <v>6.55</v>
      </c>
      <c r="I208">
        <f t="shared" si="12"/>
        <v>3.0015</v>
      </c>
      <c r="J208">
        <f t="shared" si="13"/>
        <v>3.132</v>
      </c>
      <c r="K208">
        <f t="shared" si="14"/>
        <v>3.393</v>
      </c>
      <c r="L208">
        <f t="shared" si="15"/>
        <v>3.654</v>
      </c>
    </row>
    <row r="209" spans="1:12">
      <c r="A209" t="s">
        <v>13</v>
      </c>
      <c r="B209" s="14" t="s">
        <v>419</v>
      </c>
      <c r="C209" s="20" t="s">
        <v>420</v>
      </c>
      <c r="D209" s="20" t="s">
        <v>420</v>
      </c>
      <c r="E209" s="20" t="s">
        <v>420</v>
      </c>
      <c r="F209" s="20" t="s">
        <v>420</v>
      </c>
      <c r="G209">
        <v>2.61</v>
      </c>
      <c r="H209" s="1">
        <v>6.55</v>
      </c>
      <c r="I209">
        <f t="shared" si="12"/>
        <v>3.0015</v>
      </c>
      <c r="J209">
        <f t="shared" si="13"/>
        <v>3.132</v>
      </c>
      <c r="K209">
        <f t="shared" si="14"/>
        <v>3.393</v>
      </c>
      <c r="L209">
        <f t="shared" si="15"/>
        <v>3.654</v>
      </c>
    </row>
    <row r="210" spans="1:12">
      <c r="A210" t="s">
        <v>13</v>
      </c>
      <c r="B210" s="14" t="s">
        <v>421</v>
      </c>
      <c r="C210" s="20" t="s">
        <v>422</v>
      </c>
      <c r="D210" s="20" t="s">
        <v>422</v>
      </c>
      <c r="E210" s="20" t="s">
        <v>422</v>
      </c>
      <c r="F210" s="20" t="s">
        <v>422</v>
      </c>
      <c r="G210">
        <v>35.76</v>
      </c>
      <c r="H210" s="1">
        <v>79.46</v>
      </c>
      <c r="I210">
        <f t="shared" si="12"/>
        <v>41.124</v>
      </c>
      <c r="J210">
        <f t="shared" si="13"/>
        <v>42.912</v>
      </c>
      <c r="K210">
        <f t="shared" si="14"/>
        <v>46.488</v>
      </c>
      <c r="L210">
        <f t="shared" si="15"/>
        <v>50.064</v>
      </c>
    </row>
    <row r="211" spans="1:12">
      <c r="A211" t="s">
        <v>13</v>
      </c>
      <c r="B211" s="14" t="s">
        <v>423</v>
      </c>
      <c r="C211" s="20" t="s">
        <v>424</v>
      </c>
      <c r="D211" s="20" t="s">
        <v>424</v>
      </c>
      <c r="E211" s="20" t="s">
        <v>424</v>
      </c>
      <c r="F211" s="20" t="s">
        <v>424</v>
      </c>
      <c r="G211">
        <v>4.92</v>
      </c>
      <c r="H211" s="1">
        <v>9.37</v>
      </c>
      <c r="I211">
        <f t="shared" si="12"/>
        <v>5.658</v>
      </c>
      <c r="J211">
        <f t="shared" si="13"/>
        <v>5.904</v>
      </c>
      <c r="K211">
        <f t="shared" si="14"/>
        <v>6.396</v>
      </c>
      <c r="L211">
        <f t="shared" si="15"/>
        <v>6.888</v>
      </c>
    </row>
    <row r="212" spans="1:12">
      <c r="A212" t="s">
        <v>13</v>
      </c>
      <c r="B212" s="14" t="s">
        <v>425</v>
      </c>
      <c r="C212" s="20" t="s">
        <v>426</v>
      </c>
      <c r="D212" s="20" t="s">
        <v>426</v>
      </c>
      <c r="E212" s="20" t="s">
        <v>426</v>
      </c>
      <c r="F212" s="20" t="s">
        <v>426</v>
      </c>
      <c r="G212">
        <v>6.66</v>
      </c>
      <c r="H212" s="1">
        <v>12.68</v>
      </c>
      <c r="I212">
        <f t="shared" si="12"/>
        <v>7.659</v>
      </c>
      <c r="J212">
        <f t="shared" si="13"/>
        <v>7.992</v>
      </c>
      <c r="K212">
        <f t="shared" si="14"/>
        <v>8.658</v>
      </c>
      <c r="L212">
        <f t="shared" si="15"/>
        <v>9.324</v>
      </c>
    </row>
    <row r="213" spans="1:12">
      <c r="A213" t="s">
        <v>13</v>
      </c>
      <c r="B213" s="14" t="s">
        <v>427</v>
      </c>
      <c r="C213" s="20" t="s">
        <v>428</v>
      </c>
      <c r="D213" s="20" t="s">
        <v>428</v>
      </c>
      <c r="E213" s="20" t="s">
        <v>428</v>
      </c>
      <c r="F213" s="20" t="s">
        <v>428</v>
      </c>
      <c r="G213">
        <v>7.13</v>
      </c>
      <c r="H213" s="1">
        <v>13.57</v>
      </c>
      <c r="I213">
        <f t="shared" si="12"/>
        <v>8.1995</v>
      </c>
      <c r="J213">
        <f t="shared" si="13"/>
        <v>8.556</v>
      </c>
      <c r="K213">
        <f t="shared" si="14"/>
        <v>9.269</v>
      </c>
      <c r="L213">
        <f t="shared" si="15"/>
        <v>9.982</v>
      </c>
    </row>
    <row r="214" spans="1:12">
      <c r="A214" t="s">
        <v>13</v>
      </c>
      <c r="B214" s="14" t="s">
        <v>429</v>
      </c>
      <c r="C214" s="20" t="s">
        <v>430</v>
      </c>
      <c r="D214" s="20" t="s">
        <v>430</v>
      </c>
      <c r="E214" s="20" t="s">
        <v>430</v>
      </c>
      <c r="F214" s="20" t="s">
        <v>430</v>
      </c>
      <c r="G214">
        <v>7.75</v>
      </c>
      <c r="H214" s="1">
        <v>19.39</v>
      </c>
      <c r="I214">
        <f t="shared" si="12"/>
        <v>8.9125</v>
      </c>
      <c r="J214">
        <f t="shared" si="13"/>
        <v>9.3</v>
      </c>
      <c r="K214">
        <f t="shared" si="14"/>
        <v>10.075</v>
      </c>
      <c r="L214">
        <f t="shared" si="15"/>
        <v>10.85</v>
      </c>
    </row>
    <row r="215" spans="1:12">
      <c r="A215" t="s">
        <v>13</v>
      </c>
      <c r="B215" s="14" t="s">
        <v>431</v>
      </c>
      <c r="C215" s="20" t="s">
        <v>432</v>
      </c>
      <c r="D215" s="20" t="s">
        <v>432</v>
      </c>
      <c r="E215" s="20" t="s">
        <v>432</v>
      </c>
      <c r="F215" s="20" t="s">
        <v>432</v>
      </c>
      <c r="G215">
        <v>3.59</v>
      </c>
      <c r="H215" s="1">
        <v>9.03</v>
      </c>
      <c r="I215">
        <f t="shared" si="12"/>
        <v>4.1285</v>
      </c>
      <c r="J215">
        <f t="shared" si="13"/>
        <v>4.308</v>
      </c>
      <c r="K215">
        <f t="shared" si="14"/>
        <v>4.667</v>
      </c>
      <c r="L215">
        <f t="shared" si="15"/>
        <v>5.026</v>
      </c>
    </row>
    <row r="216" spans="1:12">
      <c r="A216" t="s">
        <v>13</v>
      </c>
      <c r="B216" s="14" t="s">
        <v>433</v>
      </c>
      <c r="C216" s="20" t="s">
        <v>434</v>
      </c>
      <c r="D216" s="20" t="s">
        <v>434</v>
      </c>
      <c r="E216" s="20" t="s">
        <v>434</v>
      </c>
      <c r="F216" s="20" t="s">
        <v>434</v>
      </c>
      <c r="G216">
        <v>2.66</v>
      </c>
      <c r="H216" s="1">
        <v>6.69</v>
      </c>
      <c r="I216">
        <f t="shared" si="12"/>
        <v>3.059</v>
      </c>
      <c r="J216">
        <f t="shared" si="13"/>
        <v>3.192</v>
      </c>
      <c r="K216">
        <f t="shared" si="14"/>
        <v>3.458</v>
      </c>
      <c r="L216">
        <f t="shared" si="15"/>
        <v>3.724</v>
      </c>
    </row>
    <row r="217" spans="1:12">
      <c r="A217" t="s">
        <v>13</v>
      </c>
      <c r="B217" s="14" t="s">
        <v>435</v>
      </c>
      <c r="C217" s="20" t="s">
        <v>436</v>
      </c>
      <c r="D217" s="20" t="s">
        <v>436</v>
      </c>
      <c r="E217" s="20" t="s">
        <v>436</v>
      </c>
      <c r="F217" s="20" t="s">
        <v>436</v>
      </c>
      <c r="G217">
        <v>23.01</v>
      </c>
      <c r="H217" s="1">
        <v>51.14</v>
      </c>
      <c r="I217">
        <f t="shared" si="12"/>
        <v>26.4615</v>
      </c>
      <c r="J217">
        <f t="shared" si="13"/>
        <v>27.612</v>
      </c>
      <c r="K217">
        <f t="shared" si="14"/>
        <v>29.913</v>
      </c>
      <c r="L217">
        <f t="shared" si="15"/>
        <v>32.214</v>
      </c>
    </row>
    <row r="218" spans="1:12">
      <c r="A218" t="s">
        <v>13</v>
      </c>
      <c r="B218" s="14" t="s">
        <v>437</v>
      </c>
      <c r="C218" s="20" t="s">
        <v>438</v>
      </c>
      <c r="D218" s="20" t="s">
        <v>438</v>
      </c>
      <c r="E218" s="20" t="s">
        <v>438</v>
      </c>
      <c r="F218" s="20" t="s">
        <v>438</v>
      </c>
      <c r="G218">
        <v>362.43</v>
      </c>
      <c r="H218" s="1">
        <v>805.4</v>
      </c>
      <c r="I218">
        <f t="shared" si="12"/>
        <v>416.7945</v>
      </c>
      <c r="J218">
        <f t="shared" si="13"/>
        <v>434.916</v>
      </c>
      <c r="K218">
        <f t="shared" si="14"/>
        <v>471.159</v>
      </c>
      <c r="L218">
        <f t="shared" si="15"/>
        <v>507.402</v>
      </c>
    </row>
    <row r="219" ht="28.5" spans="1:12">
      <c r="A219" t="s">
        <v>13</v>
      </c>
      <c r="B219" s="14" t="s">
        <v>439</v>
      </c>
      <c r="C219" s="20" t="s">
        <v>440</v>
      </c>
      <c r="D219" s="20" t="s">
        <v>440</v>
      </c>
      <c r="E219" s="20" t="s">
        <v>440</v>
      </c>
      <c r="F219" s="20" t="s">
        <v>440</v>
      </c>
      <c r="G219">
        <v>423.38</v>
      </c>
      <c r="H219" s="1">
        <v>940.83</v>
      </c>
      <c r="I219">
        <f t="shared" si="12"/>
        <v>486.887</v>
      </c>
      <c r="J219">
        <f t="shared" si="13"/>
        <v>508.056</v>
      </c>
      <c r="K219">
        <f t="shared" si="14"/>
        <v>550.394</v>
      </c>
      <c r="L219">
        <f t="shared" si="15"/>
        <v>592.732</v>
      </c>
    </row>
    <row r="220" spans="1:12">
      <c r="A220" t="s">
        <v>13</v>
      </c>
      <c r="B220" s="14" t="s">
        <v>441</v>
      </c>
      <c r="C220" s="20" t="s">
        <v>442</v>
      </c>
      <c r="D220" s="20" t="s">
        <v>442</v>
      </c>
      <c r="E220" s="20" t="s">
        <v>442</v>
      </c>
      <c r="F220" s="20" t="s">
        <v>442</v>
      </c>
      <c r="G220">
        <v>45.41</v>
      </c>
      <c r="H220" s="1">
        <v>100.93</v>
      </c>
      <c r="I220">
        <f t="shared" si="12"/>
        <v>52.2215</v>
      </c>
      <c r="J220">
        <f t="shared" si="13"/>
        <v>54.492</v>
      </c>
      <c r="K220">
        <f t="shared" si="14"/>
        <v>59.033</v>
      </c>
      <c r="L220">
        <f t="shared" si="15"/>
        <v>63.574</v>
      </c>
    </row>
    <row r="221" spans="1:12">
      <c r="A221" t="s">
        <v>13</v>
      </c>
      <c r="B221" s="14" t="s">
        <v>443</v>
      </c>
      <c r="C221" s="20" t="s">
        <v>444</v>
      </c>
      <c r="D221" s="20" t="s">
        <v>444</v>
      </c>
      <c r="E221" s="20" t="s">
        <v>444</v>
      </c>
      <c r="F221" s="20" t="s">
        <v>444</v>
      </c>
      <c r="G221">
        <v>27.08</v>
      </c>
      <c r="H221" s="1">
        <v>60.18</v>
      </c>
      <c r="I221">
        <f t="shared" si="12"/>
        <v>31.142</v>
      </c>
      <c r="J221">
        <f t="shared" si="13"/>
        <v>32.496</v>
      </c>
      <c r="K221">
        <f t="shared" si="14"/>
        <v>35.204</v>
      </c>
      <c r="L221">
        <f t="shared" si="15"/>
        <v>37.912</v>
      </c>
    </row>
    <row r="222" spans="1:12">
      <c r="A222" t="s">
        <v>13</v>
      </c>
      <c r="B222" s="14" t="s">
        <v>445</v>
      </c>
      <c r="C222" s="20" t="s">
        <v>446</v>
      </c>
      <c r="D222" s="20" t="s">
        <v>446</v>
      </c>
      <c r="E222" s="20" t="s">
        <v>446</v>
      </c>
      <c r="F222" s="20" t="s">
        <v>446</v>
      </c>
      <c r="G222">
        <v>321.64</v>
      </c>
      <c r="H222" s="1">
        <v>714.74</v>
      </c>
      <c r="I222">
        <f t="shared" si="12"/>
        <v>369.886</v>
      </c>
      <c r="J222">
        <f t="shared" si="13"/>
        <v>385.968</v>
      </c>
      <c r="K222">
        <f t="shared" si="14"/>
        <v>418.132</v>
      </c>
      <c r="L222">
        <f t="shared" si="15"/>
        <v>450.296</v>
      </c>
    </row>
    <row r="223" spans="1:12">
      <c r="A223" t="s">
        <v>13</v>
      </c>
      <c r="B223" s="14" t="s">
        <v>447</v>
      </c>
      <c r="C223" s="20" t="s">
        <v>448</v>
      </c>
      <c r="D223" s="20" t="s">
        <v>448</v>
      </c>
      <c r="E223" s="20" t="s">
        <v>448</v>
      </c>
      <c r="F223" s="20" t="s">
        <v>448</v>
      </c>
      <c r="G223">
        <v>347.92</v>
      </c>
      <c r="H223" s="1">
        <v>773.16</v>
      </c>
      <c r="I223">
        <f t="shared" si="12"/>
        <v>400.108</v>
      </c>
      <c r="J223">
        <f t="shared" si="13"/>
        <v>417.504</v>
      </c>
      <c r="K223">
        <f t="shared" si="14"/>
        <v>452.296</v>
      </c>
      <c r="L223">
        <f t="shared" si="15"/>
        <v>487.088</v>
      </c>
    </row>
    <row r="224" spans="1:12">
      <c r="A224" t="s">
        <v>13</v>
      </c>
      <c r="B224" s="14" t="s">
        <v>449</v>
      </c>
      <c r="C224" s="20" t="s">
        <v>450</v>
      </c>
      <c r="D224" s="20" t="s">
        <v>450</v>
      </c>
      <c r="E224" s="20" t="s">
        <v>450</v>
      </c>
      <c r="F224" s="20" t="s">
        <v>450</v>
      </c>
      <c r="G224">
        <v>171.63</v>
      </c>
      <c r="H224" s="1">
        <v>381.41</v>
      </c>
      <c r="I224">
        <f t="shared" si="12"/>
        <v>197.3745</v>
      </c>
      <c r="J224">
        <f t="shared" si="13"/>
        <v>205.956</v>
      </c>
      <c r="K224">
        <f t="shared" si="14"/>
        <v>223.119</v>
      </c>
      <c r="L224">
        <f t="shared" si="15"/>
        <v>240.282</v>
      </c>
    </row>
    <row r="225" spans="1:12">
      <c r="A225" t="s">
        <v>13</v>
      </c>
      <c r="B225" s="14" t="s">
        <v>451</v>
      </c>
      <c r="C225" s="20" t="s">
        <v>452</v>
      </c>
      <c r="D225" s="20" t="s">
        <v>452</v>
      </c>
      <c r="E225" s="20" t="s">
        <v>452</v>
      </c>
      <c r="F225" s="20" t="s">
        <v>452</v>
      </c>
      <c r="G225">
        <v>188.42</v>
      </c>
      <c r="H225" s="1">
        <v>418.7</v>
      </c>
      <c r="I225">
        <f t="shared" si="12"/>
        <v>216.683</v>
      </c>
      <c r="J225">
        <f t="shared" si="13"/>
        <v>226.104</v>
      </c>
      <c r="K225">
        <f t="shared" si="14"/>
        <v>244.946</v>
      </c>
      <c r="L225">
        <f t="shared" si="15"/>
        <v>263.788</v>
      </c>
    </row>
    <row r="226" spans="1:12">
      <c r="A226" t="s">
        <v>13</v>
      </c>
      <c r="B226" s="14" t="s">
        <v>453</v>
      </c>
      <c r="C226" s="20" t="s">
        <v>454</v>
      </c>
      <c r="D226" s="20" t="s">
        <v>454</v>
      </c>
      <c r="E226" s="20" t="s">
        <v>454</v>
      </c>
      <c r="F226" s="20" t="s">
        <v>454</v>
      </c>
      <c r="G226">
        <v>121.75</v>
      </c>
      <c r="H226" s="1">
        <v>270.58</v>
      </c>
      <c r="I226">
        <f t="shared" si="12"/>
        <v>140.0125</v>
      </c>
      <c r="J226">
        <f t="shared" si="13"/>
        <v>146.1</v>
      </c>
      <c r="K226">
        <f t="shared" si="14"/>
        <v>158.275</v>
      </c>
      <c r="L226">
        <f t="shared" si="15"/>
        <v>170.45</v>
      </c>
    </row>
    <row r="227" ht="28.5" spans="1:12">
      <c r="A227" t="s">
        <v>13</v>
      </c>
      <c r="B227" s="14" t="s">
        <v>455</v>
      </c>
      <c r="C227" s="20" t="s">
        <v>456</v>
      </c>
      <c r="D227" s="20" t="s">
        <v>456</v>
      </c>
      <c r="E227" s="20" t="s">
        <v>456</v>
      </c>
      <c r="F227" s="20" t="s">
        <v>456</v>
      </c>
      <c r="G227">
        <v>117.85</v>
      </c>
      <c r="H227" s="1">
        <v>261.92</v>
      </c>
      <c r="I227">
        <f t="shared" si="12"/>
        <v>135.5275</v>
      </c>
      <c r="J227">
        <f t="shared" si="13"/>
        <v>141.42</v>
      </c>
      <c r="K227">
        <f t="shared" si="14"/>
        <v>153.205</v>
      </c>
      <c r="L227">
        <f t="shared" si="15"/>
        <v>164.99</v>
      </c>
    </row>
    <row r="228" spans="1:12">
      <c r="A228" t="s">
        <v>13</v>
      </c>
      <c r="B228" s="14" t="s">
        <v>457</v>
      </c>
      <c r="C228" s="20" t="s">
        <v>458</v>
      </c>
      <c r="D228" s="20" t="s">
        <v>458</v>
      </c>
      <c r="E228" s="20" t="s">
        <v>458</v>
      </c>
      <c r="F228" s="20" t="s">
        <v>458</v>
      </c>
      <c r="G228">
        <v>77.37</v>
      </c>
      <c r="H228" s="1">
        <v>171.95</v>
      </c>
      <c r="I228">
        <f t="shared" si="12"/>
        <v>88.9755</v>
      </c>
      <c r="J228">
        <f t="shared" si="13"/>
        <v>92.844</v>
      </c>
      <c r="K228">
        <f t="shared" si="14"/>
        <v>100.581</v>
      </c>
      <c r="L228">
        <f t="shared" si="15"/>
        <v>108.318</v>
      </c>
    </row>
    <row r="229" spans="1:12">
      <c r="A229" t="s">
        <v>13</v>
      </c>
      <c r="B229" s="14" t="s">
        <v>459</v>
      </c>
      <c r="C229" s="20" t="s">
        <v>460</v>
      </c>
      <c r="D229" s="20" t="s">
        <v>460</v>
      </c>
      <c r="E229" s="20" t="s">
        <v>460</v>
      </c>
      <c r="F229" s="20" t="s">
        <v>460</v>
      </c>
      <c r="G229">
        <v>92.94</v>
      </c>
      <c r="H229" s="1">
        <v>206.54</v>
      </c>
      <c r="I229">
        <f t="shared" si="12"/>
        <v>106.881</v>
      </c>
      <c r="J229">
        <f t="shared" si="13"/>
        <v>111.528</v>
      </c>
      <c r="K229">
        <f t="shared" si="14"/>
        <v>120.822</v>
      </c>
      <c r="L229">
        <f t="shared" si="15"/>
        <v>130.116</v>
      </c>
    </row>
    <row r="230" ht="28.5" spans="1:12">
      <c r="A230" t="s">
        <v>13</v>
      </c>
      <c r="B230" s="14" t="s">
        <v>461</v>
      </c>
      <c r="C230" s="20" t="s">
        <v>462</v>
      </c>
      <c r="D230" s="20" t="s">
        <v>462</v>
      </c>
      <c r="E230" s="20" t="s">
        <v>462</v>
      </c>
      <c r="F230" s="20" t="s">
        <v>462</v>
      </c>
      <c r="G230">
        <v>37.1</v>
      </c>
      <c r="H230" s="1">
        <v>82.45</v>
      </c>
      <c r="I230">
        <f t="shared" si="12"/>
        <v>42.665</v>
      </c>
      <c r="J230">
        <f t="shared" si="13"/>
        <v>44.52</v>
      </c>
      <c r="K230">
        <f t="shared" si="14"/>
        <v>48.23</v>
      </c>
      <c r="L230">
        <f t="shared" si="15"/>
        <v>51.94</v>
      </c>
    </row>
    <row r="231" ht="28.5" spans="1:12">
      <c r="A231" t="s">
        <v>13</v>
      </c>
      <c r="B231" s="14" t="s">
        <v>463</v>
      </c>
      <c r="C231" s="20" t="s">
        <v>464</v>
      </c>
      <c r="D231" s="20" t="s">
        <v>464</v>
      </c>
      <c r="E231" s="20" t="s">
        <v>464</v>
      </c>
      <c r="F231" s="20" t="s">
        <v>464</v>
      </c>
      <c r="G231">
        <v>43.7</v>
      </c>
      <c r="H231" s="1">
        <v>97.1</v>
      </c>
      <c r="I231">
        <f t="shared" si="12"/>
        <v>50.255</v>
      </c>
      <c r="J231">
        <f t="shared" si="13"/>
        <v>52.44</v>
      </c>
      <c r="K231">
        <f t="shared" si="14"/>
        <v>56.81</v>
      </c>
      <c r="L231">
        <f t="shared" si="15"/>
        <v>61.18</v>
      </c>
    </row>
    <row r="232" ht="28.5" spans="1:12">
      <c r="A232" t="s">
        <v>13</v>
      </c>
      <c r="B232" s="14" t="s">
        <v>465</v>
      </c>
      <c r="C232" s="20" t="s">
        <v>466</v>
      </c>
      <c r="D232" s="20" t="s">
        <v>466</v>
      </c>
      <c r="E232" s="20" t="s">
        <v>466</v>
      </c>
      <c r="F232" s="20" t="s">
        <v>466</v>
      </c>
      <c r="G232">
        <v>38.2</v>
      </c>
      <c r="H232" s="1">
        <v>84.88</v>
      </c>
      <c r="I232">
        <f t="shared" si="12"/>
        <v>43.93</v>
      </c>
      <c r="J232">
        <f t="shared" si="13"/>
        <v>45.84</v>
      </c>
      <c r="K232">
        <f t="shared" si="14"/>
        <v>49.66</v>
      </c>
      <c r="L232">
        <f t="shared" si="15"/>
        <v>53.48</v>
      </c>
    </row>
    <row r="233" spans="1:12">
      <c r="A233" t="s">
        <v>13</v>
      </c>
      <c r="B233" s="14" t="s">
        <v>467</v>
      </c>
      <c r="C233" s="20" t="s">
        <v>468</v>
      </c>
      <c r="D233" s="20" t="s">
        <v>468</v>
      </c>
      <c r="E233" s="20" t="s">
        <v>468</v>
      </c>
      <c r="F233" s="20" t="s">
        <v>468</v>
      </c>
      <c r="G233">
        <v>0.26</v>
      </c>
      <c r="H233" s="1">
        <v>0.65</v>
      </c>
      <c r="I233">
        <f t="shared" si="12"/>
        <v>0.299</v>
      </c>
      <c r="J233">
        <f t="shared" si="13"/>
        <v>0.312</v>
      </c>
      <c r="K233">
        <f t="shared" si="14"/>
        <v>0.338</v>
      </c>
      <c r="L233">
        <f t="shared" si="15"/>
        <v>0.364</v>
      </c>
    </row>
    <row r="234" spans="1:12">
      <c r="A234" t="s">
        <v>13</v>
      </c>
      <c r="B234" s="14" t="s">
        <v>469</v>
      </c>
      <c r="C234" s="20" t="s">
        <v>470</v>
      </c>
      <c r="D234" s="20" t="s">
        <v>470</v>
      </c>
      <c r="E234" s="20" t="s">
        <v>470</v>
      </c>
      <c r="F234" s="20" t="s">
        <v>470</v>
      </c>
      <c r="G234">
        <v>0.11</v>
      </c>
      <c r="H234" s="1">
        <v>0.3</v>
      </c>
      <c r="I234">
        <f t="shared" si="12"/>
        <v>0.1265</v>
      </c>
      <c r="J234">
        <f t="shared" si="13"/>
        <v>0.132</v>
      </c>
      <c r="K234">
        <f t="shared" si="14"/>
        <v>0.143</v>
      </c>
      <c r="L234">
        <f t="shared" si="15"/>
        <v>0.154</v>
      </c>
    </row>
    <row r="235" spans="1:12">
      <c r="A235" t="s">
        <v>13</v>
      </c>
      <c r="B235" s="14" t="s">
        <v>471</v>
      </c>
      <c r="C235" s="20" t="s">
        <v>472</v>
      </c>
      <c r="D235" s="20" t="s">
        <v>472</v>
      </c>
      <c r="E235" s="20" t="s">
        <v>472</v>
      </c>
      <c r="F235" s="20" t="s">
        <v>472</v>
      </c>
      <c r="G235">
        <v>0.12</v>
      </c>
      <c r="H235" s="1">
        <v>0.29</v>
      </c>
      <c r="I235">
        <f t="shared" si="12"/>
        <v>0.138</v>
      </c>
      <c r="J235">
        <f t="shared" si="13"/>
        <v>0.144</v>
      </c>
      <c r="K235">
        <f t="shared" si="14"/>
        <v>0.156</v>
      </c>
      <c r="L235">
        <f t="shared" si="15"/>
        <v>0.168</v>
      </c>
    </row>
    <row r="236" spans="1:12">
      <c r="A236" t="s">
        <v>13</v>
      </c>
      <c r="B236" s="14" t="s">
        <v>473</v>
      </c>
      <c r="C236" s="20" t="s">
        <v>474</v>
      </c>
      <c r="D236" s="20" t="s">
        <v>474</v>
      </c>
      <c r="E236" s="20" t="s">
        <v>474</v>
      </c>
      <c r="F236" s="20" t="s">
        <v>474</v>
      </c>
      <c r="G236">
        <v>0.12</v>
      </c>
      <c r="H236" s="1">
        <v>0.3</v>
      </c>
      <c r="I236">
        <f t="shared" si="12"/>
        <v>0.138</v>
      </c>
      <c r="J236">
        <f t="shared" si="13"/>
        <v>0.144</v>
      </c>
      <c r="K236">
        <f t="shared" si="14"/>
        <v>0.156</v>
      </c>
      <c r="L236">
        <f t="shared" si="15"/>
        <v>0.168</v>
      </c>
    </row>
    <row r="237" spans="1:12">
      <c r="A237" t="s">
        <v>13</v>
      </c>
      <c r="B237" s="14" t="s">
        <v>475</v>
      </c>
      <c r="C237" s="20" t="s">
        <v>476</v>
      </c>
      <c r="D237" s="20" t="s">
        <v>476</v>
      </c>
      <c r="E237" s="20" t="s">
        <v>476</v>
      </c>
      <c r="F237" s="20" t="s">
        <v>476</v>
      </c>
      <c r="G237">
        <v>3.86</v>
      </c>
      <c r="H237" s="1">
        <v>9.62</v>
      </c>
      <c r="I237">
        <f t="shared" si="12"/>
        <v>4.439</v>
      </c>
      <c r="J237">
        <f t="shared" si="13"/>
        <v>4.632</v>
      </c>
      <c r="K237">
        <f t="shared" si="14"/>
        <v>5.018</v>
      </c>
      <c r="L237">
        <f t="shared" si="15"/>
        <v>5.404</v>
      </c>
    </row>
    <row r="238" spans="1:12">
      <c r="A238" t="s">
        <v>13</v>
      </c>
      <c r="B238" s="14" t="s">
        <v>477</v>
      </c>
      <c r="C238" s="20" t="s">
        <v>478</v>
      </c>
      <c r="D238" s="20" t="s">
        <v>478</v>
      </c>
      <c r="E238" s="20" t="s">
        <v>478</v>
      </c>
      <c r="F238" s="20" t="s">
        <v>478</v>
      </c>
      <c r="G238">
        <v>20.28</v>
      </c>
      <c r="H238" s="1">
        <v>45.09</v>
      </c>
      <c r="I238">
        <f t="shared" si="12"/>
        <v>23.322</v>
      </c>
      <c r="J238">
        <f t="shared" si="13"/>
        <v>24.336</v>
      </c>
      <c r="K238">
        <f t="shared" si="14"/>
        <v>26.364</v>
      </c>
      <c r="L238">
        <f t="shared" si="15"/>
        <v>28.392</v>
      </c>
    </row>
    <row r="239" spans="1:12">
      <c r="A239" t="s">
        <v>13</v>
      </c>
      <c r="B239" s="14" t="s">
        <v>479</v>
      </c>
      <c r="C239" s="20" t="s">
        <v>480</v>
      </c>
      <c r="D239" s="20" t="s">
        <v>480</v>
      </c>
      <c r="E239" s="20" t="s">
        <v>480</v>
      </c>
      <c r="F239" s="20" t="s">
        <v>480</v>
      </c>
      <c r="G239">
        <v>25.26</v>
      </c>
      <c r="H239" s="1">
        <v>56.15</v>
      </c>
      <c r="I239">
        <f t="shared" si="12"/>
        <v>29.049</v>
      </c>
      <c r="J239">
        <f t="shared" si="13"/>
        <v>30.312</v>
      </c>
      <c r="K239">
        <f t="shared" si="14"/>
        <v>32.838</v>
      </c>
      <c r="L239">
        <f t="shared" si="15"/>
        <v>35.364</v>
      </c>
    </row>
    <row r="240" spans="1:12">
      <c r="A240" t="s">
        <v>13</v>
      </c>
      <c r="B240" s="14" t="s">
        <v>481</v>
      </c>
      <c r="C240" s="20" t="s">
        <v>482</v>
      </c>
      <c r="D240" s="20" t="s">
        <v>482</v>
      </c>
      <c r="E240" s="20" t="s">
        <v>482</v>
      </c>
      <c r="F240" s="20" t="s">
        <v>482</v>
      </c>
      <c r="G240">
        <v>20.94</v>
      </c>
      <c r="H240" s="1">
        <v>46.52</v>
      </c>
      <c r="I240">
        <f t="shared" si="12"/>
        <v>24.081</v>
      </c>
      <c r="J240">
        <f t="shared" si="13"/>
        <v>25.128</v>
      </c>
      <c r="K240">
        <f t="shared" si="14"/>
        <v>27.222</v>
      </c>
      <c r="L240">
        <f t="shared" si="15"/>
        <v>29.316</v>
      </c>
    </row>
    <row r="241" spans="1:12">
      <c r="A241" t="s">
        <v>13</v>
      </c>
      <c r="B241" s="14" t="s">
        <v>483</v>
      </c>
      <c r="C241" s="20" t="s">
        <v>484</v>
      </c>
      <c r="D241" s="20" t="s">
        <v>484</v>
      </c>
      <c r="E241" s="20" t="s">
        <v>484</v>
      </c>
      <c r="F241" s="20" t="s">
        <v>484</v>
      </c>
      <c r="G241">
        <v>4.52</v>
      </c>
      <c r="H241" s="1">
        <v>10.04</v>
      </c>
      <c r="I241">
        <f t="shared" si="12"/>
        <v>5.198</v>
      </c>
      <c r="J241">
        <f t="shared" si="13"/>
        <v>5.424</v>
      </c>
      <c r="K241">
        <f t="shared" si="14"/>
        <v>5.876</v>
      </c>
      <c r="L241">
        <f t="shared" si="15"/>
        <v>6.328</v>
      </c>
    </row>
    <row r="242" spans="1:12">
      <c r="A242" t="s">
        <v>13</v>
      </c>
      <c r="B242" s="14" t="s">
        <v>485</v>
      </c>
      <c r="C242" s="20" t="s">
        <v>486</v>
      </c>
      <c r="D242" s="20" t="s">
        <v>486</v>
      </c>
      <c r="E242" s="20" t="s">
        <v>486</v>
      </c>
      <c r="F242" s="20" t="s">
        <v>486</v>
      </c>
      <c r="G242">
        <v>16.97</v>
      </c>
      <c r="H242" s="1">
        <v>37.7</v>
      </c>
      <c r="I242">
        <f t="shared" si="12"/>
        <v>19.5155</v>
      </c>
      <c r="J242">
        <f t="shared" si="13"/>
        <v>20.364</v>
      </c>
      <c r="K242">
        <f t="shared" si="14"/>
        <v>22.061</v>
      </c>
      <c r="L242">
        <f t="shared" si="15"/>
        <v>23.758</v>
      </c>
    </row>
    <row r="243" spans="1:12">
      <c r="A243" t="s">
        <v>13</v>
      </c>
      <c r="B243" s="14" t="s">
        <v>487</v>
      </c>
      <c r="C243" s="20" t="s">
        <v>488</v>
      </c>
      <c r="D243" s="20" t="s">
        <v>488</v>
      </c>
      <c r="E243" s="20" t="s">
        <v>488</v>
      </c>
      <c r="F243" s="20" t="s">
        <v>488</v>
      </c>
      <c r="G243">
        <v>15.93</v>
      </c>
      <c r="H243" s="1">
        <v>35.43</v>
      </c>
      <c r="I243">
        <f t="shared" si="12"/>
        <v>18.3195</v>
      </c>
      <c r="J243">
        <f t="shared" si="13"/>
        <v>19.116</v>
      </c>
      <c r="K243">
        <f t="shared" si="14"/>
        <v>20.709</v>
      </c>
      <c r="L243">
        <f t="shared" si="15"/>
        <v>22.302</v>
      </c>
    </row>
    <row r="244" spans="1:12">
      <c r="A244" t="s">
        <v>13</v>
      </c>
      <c r="B244" s="14" t="s">
        <v>489</v>
      </c>
      <c r="C244" s="20" t="s">
        <v>490</v>
      </c>
      <c r="D244" s="20" t="s">
        <v>490</v>
      </c>
      <c r="E244" s="20" t="s">
        <v>490</v>
      </c>
      <c r="F244" s="20" t="s">
        <v>490</v>
      </c>
      <c r="G244">
        <v>15.09</v>
      </c>
      <c r="H244" s="1">
        <v>33.55</v>
      </c>
      <c r="I244">
        <f t="shared" si="12"/>
        <v>17.3535</v>
      </c>
      <c r="J244">
        <f t="shared" si="13"/>
        <v>18.108</v>
      </c>
      <c r="K244">
        <f t="shared" si="14"/>
        <v>19.617</v>
      </c>
      <c r="L244">
        <f t="shared" si="15"/>
        <v>21.126</v>
      </c>
    </row>
    <row r="245" spans="1:12">
      <c r="A245" t="s">
        <v>13</v>
      </c>
      <c r="B245" s="14" t="s">
        <v>491</v>
      </c>
      <c r="C245" s="20" t="s">
        <v>492</v>
      </c>
      <c r="D245" s="20" t="s">
        <v>492</v>
      </c>
      <c r="E245" s="20" t="s">
        <v>492</v>
      </c>
      <c r="F245" s="20" t="s">
        <v>492</v>
      </c>
      <c r="G245">
        <v>15.27</v>
      </c>
      <c r="H245" s="1">
        <v>33.92</v>
      </c>
      <c r="I245">
        <f t="shared" si="12"/>
        <v>17.5605</v>
      </c>
      <c r="J245">
        <f t="shared" si="13"/>
        <v>18.324</v>
      </c>
      <c r="K245">
        <f t="shared" si="14"/>
        <v>19.851</v>
      </c>
      <c r="L245">
        <f t="shared" si="15"/>
        <v>21.378</v>
      </c>
    </row>
    <row r="246" spans="1:12">
      <c r="A246" t="s">
        <v>13</v>
      </c>
      <c r="B246" s="14" t="s">
        <v>493</v>
      </c>
      <c r="C246" s="20" t="s">
        <v>494</v>
      </c>
      <c r="D246" s="20" t="s">
        <v>494</v>
      </c>
      <c r="E246" s="20" t="s">
        <v>494</v>
      </c>
      <c r="F246" s="20" t="s">
        <v>494</v>
      </c>
      <c r="G246">
        <v>4.37</v>
      </c>
      <c r="H246" s="1">
        <v>9.69</v>
      </c>
      <c r="I246">
        <f t="shared" si="12"/>
        <v>5.0255</v>
      </c>
      <c r="J246">
        <f t="shared" si="13"/>
        <v>5.244</v>
      </c>
      <c r="K246">
        <f t="shared" si="14"/>
        <v>5.681</v>
      </c>
      <c r="L246">
        <f t="shared" si="15"/>
        <v>6.118</v>
      </c>
    </row>
    <row r="247" spans="1:12">
      <c r="A247" t="s">
        <v>13</v>
      </c>
      <c r="B247" s="14" t="s">
        <v>495</v>
      </c>
      <c r="C247" s="20" t="s">
        <v>496</v>
      </c>
      <c r="D247" s="20" t="s">
        <v>496</v>
      </c>
      <c r="E247" s="20" t="s">
        <v>496</v>
      </c>
      <c r="F247" s="20" t="s">
        <v>496</v>
      </c>
      <c r="G247">
        <v>4.75</v>
      </c>
      <c r="H247" s="1">
        <v>10.56</v>
      </c>
      <c r="I247">
        <f t="shared" si="12"/>
        <v>5.4625</v>
      </c>
      <c r="J247">
        <f t="shared" si="13"/>
        <v>5.7</v>
      </c>
      <c r="K247">
        <f t="shared" si="14"/>
        <v>6.175</v>
      </c>
      <c r="L247">
        <f t="shared" si="15"/>
        <v>6.65</v>
      </c>
    </row>
    <row r="248" spans="1:12">
      <c r="A248" t="s">
        <v>13</v>
      </c>
      <c r="B248" s="14" t="s">
        <v>497</v>
      </c>
      <c r="C248" s="20" t="s">
        <v>498</v>
      </c>
      <c r="D248" s="20" t="s">
        <v>498</v>
      </c>
      <c r="E248" s="20" t="s">
        <v>498</v>
      </c>
      <c r="F248" s="20" t="s">
        <v>498</v>
      </c>
      <c r="G248">
        <v>125.52</v>
      </c>
      <c r="H248" s="1">
        <v>278.97</v>
      </c>
      <c r="I248">
        <f t="shared" si="12"/>
        <v>144.348</v>
      </c>
      <c r="J248">
        <f t="shared" si="13"/>
        <v>150.624</v>
      </c>
      <c r="K248">
        <f t="shared" si="14"/>
        <v>163.176</v>
      </c>
      <c r="L248">
        <f t="shared" si="15"/>
        <v>175.728</v>
      </c>
    </row>
    <row r="249" spans="1:12">
      <c r="A249" t="s">
        <v>13</v>
      </c>
      <c r="B249" s="14" t="s">
        <v>499</v>
      </c>
      <c r="C249" s="20" t="s">
        <v>500</v>
      </c>
      <c r="D249" s="20" t="s">
        <v>500</v>
      </c>
      <c r="E249" s="20" t="s">
        <v>500</v>
      </c>
      <c r="F249" s="20" t="s">
        <v>500</v>
      </c>
      <c r="G249">
        <v>121.35</v>
      </c>
      <c r="H249" s="1">
        <v>269.67</v>
      </c>
      <c r="I249">
        <f t="shared" si="12"/>
        <v>139.5525</v>
      </c>
      <c r="J249">
        <f t="shared" si="13"/>
        <v>145.62</v>
      </c>
      <c r="K249">
        <f t="shared" si="14"/>
        <v>157.755</v>
      </c>
      <c r="L249">
        <f t="shared" si="15"/>
        <v>169.89</v>
      </c>
    </row>
    <row r="250" spans="1:12">
      <c r="A250" t="s">
        <v>13</v>
      </c>
      <c r="B250" s="14" t="s">
        <v>501</v>
      </c>
      <c r="C250" s="20" t="s">
        <v>502</v>
      </c>
      <c r="D250" s="20" t="s">
        <v>502</v>
      </c>
      <c r="E250" s="20" t="s">
        <v>502</v>
      </c>
      <c r="F250" s="20" t="s">
        <v>502</v>
      </c>
      <c r="G250">
        <v>133.48</v>
      </c>
      <c r="H250" s="1">
        <v>296.62</v>
      </c>
      <c r="I250">
        <f t="shared" si="12"/>
        <v>153.502</v>
      </c>
      <c r="J250">
        <f t="shared" si="13"/>
        <v>160.176</v>
      </c>
      <c r="K250">
        <f t="shared" si="14"/>
        <v>173.524</v>
      </c>
      <c r="L250">
        <f t="shared" si="15"/>
        <v>186.872</v>
      </c>
    </row>
    <row r="251" spans="1:12">
      <c r="A251" t="s">
        <v>13</v>
      </c>
      <c r="B251" s="14" t="s">
        <v>503</v>
      </c>
      <c r="C251" s="20" t="s">
        <v>504</v>
      </c>
      <c r="D251" s="20" t="s">
        <v>504</v>
      </c>
      <c r="E251" s="20" t="s">
        <v>504</v>
      </c>
      <c r="F251" s="20" t="s">
        <v>504</v>
      </c>
      <c r="G251">
        <v>132.42</v>
      </c>
      <c r="H251" s="1">
        <v>294.28</v>
      </c>
      <c r="I251">
        <f t="shared" si="12"/>
        <v>152.283</v>
      </c>
      <c r="J251">
        <f t="shared" si="13"/>
        <v>158.904</v>
      </c>
      <c r="K251">
        <f t="shared" si="14"/>
        <v>172.146</v>
      </c>
      <c r="L251">
        <f t="shared" si="15"/>
        <v>185.388</v>
      </c>
    </row>
    <row r="252" spans="1:12">
      <c r="A252" t="s">
        <v>13</v>
      </c>
      <c r="B252" s="14" t="s">
        <v>505</v>
      </c>
      <c r="C252" s="20" t="s">
        <v>506</v>
      </c>
      <c r="D252" s="20" t="s">
        <v>506</v>
      </c>
      <c r="E252" s="20" t="s">
        <v>506</v>
      </c>
      <c r="F252" s="20" t="s">
        <v>506</v>
      </c>
      <c r="G252">
        <v>132.74</v>
      </c>
      <c r="H252" s="1">
        <v>295</v>
      </c>
      <c r="I252">
        <f t="shared" si="12"/>
        <v>152.651</v>
      </c>
      <c r="J252">
        <f t="shared" si="13"/>
        <v>159.288</v>
      </c>
      <c r="K252">
        <f t="shared" si="14"/>
        <v>172.562</v>
      </c>
      <c r="L252">
        <f t="shared" si="15"/>
        <v>185.836</v>
      </c>
    </row>
    <row r="253" spans="1:12">
      <c r="A253" t="s">
        <v>13</v>
      </c>
      <c r="B253" s="14" t="s">
        <v>507</v>
      </c>
      <c r="C253" s="20" t="s">
        <v>508</v>
      </c>
      <c r="D253" s="20" t="s">
        <v>508</v>
      </c>
      <c r="E253" s="20" t="s">
        <v>508</v>
      </c>
      <c r="F253" s="20" t="s">
        <v>508</v>
      </c>
      <c r="G253">
        <v>129.14</v>
      </c>
      <c r="H253" s="1">
        <v>287</v>
      </c>
      <c r="I253">
        <f t="shared" si="12"/>
        <v>148.511</v>
      </c>
      <c r="J253">
        <f t="shared" si="13"/>
        <v>154.968</v>
      </c>
      <c r="K253">
        <f t="shared" si="14"/>
        <v>167.882</v>
      </c>
      <c r="L253">
        <f t="shared" si="15"/>
        <v>180.796</v>
      </c>
    </row>
    <row r="254" spans="1:12">
      <c r="A254" t="s">
        <v>13</v>
      </c>
      <c r="B254" s="14" t="s">
        <v>509</v>
      </c>
      <c r="C254" s="20" t="s">
        <v>510</v>
      </c>
      <c r="D254" s="20" t="s">
        <v>510</v>
      </c>
      <c r="E254" s="20" t="s">
        <v>510</v>
      </c>
      <c r="F254" s="20" t="s">
        <v>510</v>
      </c>
      <c r="G254">
        <v>17.1</v>
      </c>
      <c r="H254" s="1">
        <v>37.99</v>
      </c>
      <c r="I254">
        <f t="shared" si="12"/>
        <v>19.665</v>
      </c>
      <c r="J254">
        <f t="shared" si="13"/>
        <v>20.52</v>
      </c>
      <c r="K254">
        <f t="shared" si="14"/>
        <v>22.23</v>
      </c>
      <c r="L254">
        <f t="shared" si="15"/>
        <v>23.94</v>
      </c>
    </row>
    <row r="255" spans="1:12">
      <c r="A255" t="s">
        <v>13</v>
      </c>
      <c r="B255" s="14" t="s">
        <v>511</v>
      </c>
      <c r="C255" s="20" t="s">
        <v>512</v>
      </c>
      <c r="D255" s="20" t="s">
        <v>512</v>
      </c>
      <c r="E255" s="20" t="s">
        <v>512</v>
      </c>
      <c r="F255" s="20" t="s">
        <v>512</v>
      </c>
      <c r="G255">
        <v>28.21</v>
      </c>
      <c r="H255" s="1">
        <v>62.7</v>
      </c>
      <c r="I255">
        <f t="shared" si="12"/>
        <v>32.4415</v>
      </c>
      <c r="J255">
        <f t="shared" si="13"/>
        <v>33.852</v>
      </c>
      <c r="K255">
        <f t="shared" si="14"/>
        <v>36.673</v>
      </c>
      <c r="L255">
        <f t="shared" si="15"/>
        <v>39.494</v>
      </c>
    </row>
    <row r="256" spans="1:12">
      <c r="A256" t="s">
        <v>13</v>
      </c>
      <c r="B256" s="14" t="s">
        <v>513</v>
      </c>
      <c r="C256" s="20" t="s">
        <v>514</v>
      </c>
      <c r="D256" s="20" t="s">
        <v>514</v>
      </c>
      <c r="E256" s="20" t="s">
        <v>514</v>
      </c>
      <c r="F256" s="20" t="s">
        <v>514</v>
      </c>
      <c r="G256">
        <v>27.03</v>
      </c>
      <c r="H256" s="1">
        <v>60.07</v>
      </c>
      <c r="I256">
        <f t="shared" si="12"/>
        <v>31.0845</v>
      </c>
      <c r="J256">
        <f t="shared" si="13"/>
        <v>32.436</v>
      </c>
      <c r="K256">
        <f t="shared" si="14"/>
        <v>35.139</v>
      </c>
      <c r="L256">
        <f t="shared" si="15"/>
        <v>37.842</v>
      </c>
    </row>
    <row r="257" spans="1:12">
      <c r="A257" t="s">
        <v>13</v>
      </c>
      <c r="B257" s="14" t="s">
        <v>515</v>
      </c>
      <c r="C257" s="20" t="s">
        <v>516</v>
      </c>
      <c r="D257" s="20" t="s">
        <v>516</v>
      </c>
      <c r="E257" s="20" t="s">
        <v>516</v>
      </c>
      <c r="F257" s="20" t="s">
        <v>516</v>
      </c>
      <c r="G257">
        <v>25.55</v>
      </c>
      <c r="H257" s="1">
        <v>56.81</v>
      </c>
      <c r="I257">
        <f t="shared" si="12"/>
        <v>29.3825</v>
      </c>
      <c r="J257">
        <f t="shared" si="13"/>
        <v>30.66</v>
      </c>
      <c r="K257">
        <f t="shared" si="14"/>
        <v>33.215</v>
      </c>
      <c r="L257">
        <f t="shared" si="15"/>
        <v>35.77</v>
      </c>
    </row>
    <row r="258" spans="1:12">
      <c r="A258" t="s">
        <v>13</v>
      </c>
      <c r="B258" s="14" t="s">
        <v>517</v>
      </c>
      <c r="C258" s="20" t="s">
        <v>518</v>
      </c>
      <c r="D258" s="20" t="s">
        <v>518</v>
      </c>
      <c r="E258" s="20" t="s">
        <v>518</v>
      </c>
      <c r="F258" s="20" t="s">
        <v>518</v>
      </c>
      <c r="G258">
        <v>27.71</v>
      </c>
      <c r="H258" s="1">
        <v>61.58</v>
      </c>
      <c r="I258">
        <f t="shared" ref="I258:I321" si="16">G258*1.15</f>
        <v>31.8665</v>
      </c>
      <c r="J258">
        <f t="shared" ref="J258:J321" si="17">G258*1.2</f>
        <v>33.252</v>
      </c>
      <c r="K258">
        <f t="shared" ref="K258:K321" si="18">G258*1.3</f>
        <v>36.023</v>
      </c>
      <c r="L258">
        <f t="shared" ref="L258:L321" si="19">G258*1.4</f>
        <v>38.794</v>
      </c>
    </row>
    <row r="259" spans="1:12">
      <c r="A259" t="s">
        <v>13</v>
      </c>
      <c r="B259" s="14" t="s">
        <v>519</v>
      </c>
      <c r="C259" s="20" t="s">
        <v>520</v>
      </c>
      <c r="D259" s="20" t="s">
        <v>520</v>
      </c>
      <c r="E259" s="20" t="s">
        <v>520</v>
      </c>
      <c r="F259" s="20" t="s">
        <v>520</v>
      </c>
      <c r="G259">
        <v>16.96</v>
      </c>
      <c r="H259" s="1">
        <v>37.69</v>
      </c>
      <c r="I259">
        <f t="shared" si="16"/>
        <v>19.504</v>
      </c>
      <c r="J259">
        <f t="shared" si="17"/>
        <v>20.352</v>
      </c>
      <c r="K259">
        <f t="shared" si="18"/>
        <v>22.048</v>
      </c>
      <c r="L259">
        <f t="shared" si="19"/>
        <v>23.744</v>
      </c>
    </row>
    <row r="260" spans="1:12">
      <c r="A260" t="s">
        <v>13</v>
      </c>
      <c r="B260" s="14" t="s">
        <v>521</v>
      </c>
      <c r="C260" s="20" t="s">
        <v>522</v>
      </c>
      <c r="D260" s="20" t="s">
        <v>522</v>
      </c>
      <c r="E260" s="20" t="s">
        <v>522</v>
      </c>
      <c r="F260" s="20" t="s">
        <v>522</v>
      </c>
      <c r="G260">
        <v>24.31</v>
      </c>
      <c r="H260" s="1">
        <v>54.04</v>
      </c>
      <c r="I260">
        <f t="shared" si="16"/>
        <v>27.9565</v>
      </c>
      <c r="J260">
        <f t="shared" si="17"/>
        <v>29.172</v>
      </c>
      <c r="K260">
        <f t="shared" si="18"/>
        <v>31.603</v>
      </c>
      <c r="L260">
        <f t="shared" si="19"/>
        <v>34.034</v>
      </c>
    </row>
    <row r="261" spans="1:12">
      <c r="A261" t="s">
        <v>13</v>
      </c>
      <c r="B261" s="14" t="s">
        <v>523</v>
      </c>
      <c r="C261" s="20" t="s">
        <v>524</v>
      </c>
      <c r="D261" s="20" t="s">
        <v>524</v>
      </c>
      <c r="E261" s="20" t="s">
        <v>524</v>
      </c>
      <c r="F261" s="20" t="s">
        <v>524</v>
      </c>
      <c r="G261">
        <v>28.78</v>
      </c>
      <c r="H261" s="1">
        <v>63.96</v>
      </c>
      <c r="I261">
        <f t="shared" si="16"/>
        <v>33.097</v>
      </c>
      <c r="J261">
        <f t="shared" si="17"/>
        <v>34.536</v>
      </c>
      <c r="K261">
        <f t="shared" si="18"/>
        <v>37.414</v>
      </c>
      <c r="L261">
        <f t="shared" si="19"/>
        <v>40.292</v>
      </c>
    </row>
    <row r="262" spans="1:12">
      <c r="A262" t="s">
        <v>13</v>
      </c>
      <c r="B262" s="14" t="s">
        <v>525</v>
      </c>
      <c r="C262" s="20" t="s">
        <v>526</v>
      </c>
      <c r="D262" s="20" t="s">
        <v>526</v>
      </c>
      <c r="E262" s="20" t="s">
        <v>526</v>
      </c>
      <c r="F262" s="20" t="s">
        <v>526</v>
      </c>
      <c r="G262">
        <v>19.77</v>
      </c>
      <c r="H262" s="1">
        <v>43.93</v>
      </c>
      <c r="I262">
        <f t="shared" si="16"/>
        <v>22.7355</v>
      </c>
      <c r="J262">
        <f t="shared" si="17"/>
        <v>23.724</v>
      </c>
      <c r="K262">
        <f t="shared" si="18"/>
        <v>25.701</v>
      </c>
      <c r="L262">
        <f t="shared" si="19"/>
        <v>27.678</v>
      </c>
    </row>
    <row r="263" spans="1:12">
      <c r="A263" t="s">
        <v>13</v>
      </c>
      <c r="B263" s="14" t="s">
        <v>527</v>
      </c>
      <c r="C263" s="20" t="s">
        <v>528</v>
      </c>
      <c r="D263" s="20" t="s">
        <v>528</v>
      </c>
      <c r="E263" s="20" t="s">
        <v>528</v>
      </c>
      <c r="F263" s="20" t="s">
        <v>528</v>
      </c>
      <c r="G263">
        <v>22.99</v>
      </c>
      <c r="H263" s="1">
        <v>51.06</v>
      </c>
      <c r="I263">
        <f t="shared" si="16"/>
        <v>26.4385</v>
      </c>
      <c r="J263">
        <f t="shared" si="17"/>
        <v>27.588</v>
      </c>
      <c r="K263">
        <f t="shared" si="18"/>
        <v>29.887</v>
      </c>
      <c r="L263">
        <f t="shared" si="19"/>
        <v>32.186</v>
      </c>
    </row>
    <row r="264" spans="1:12">
      <c r="A264" t="s">
        <v>13</v>
      </c>
      <c r="B264" s="14" t="s">
        <v>529</v>
      </c>
      <c r="C264" s="20" t="s">
        <v>530</v>
      </c>
      <c r="D264" s="20" t="s">
        <v>530</v>
      </c>
      <c r="E264" s="20" t="s">
        <v>530</v>
      </c>
      <c r="F264" s="20" t="s">
        <v>530</v>
      </c>
      <c r="G264">
        <v>22.16</v>
      </c>
      <c r="H264" s="1">
        <v>49.25</v>
      </c>
      <c r="I264">
        <f t="shared" si="16"/>
        <v>25.484</v>
      </c>
      <c r="J264">
        <f t="shared" si="17"/>
        <v>26.592</v>
      </c>
      <c r="K264">
        <f t="shared" si="18"/>
        <v>28.808</v>
      </c>
      <c r="L264">
        <f t="shared" si="19"/>
        <v>31.024</v>
      </c>
    </row>
    <row r="265" spans="1:12">
      <c r="A265" t="s">
        <v>13</v>
      </c>
      <c r="B265" s="14" t="s">
        <v>531</v>
      </c>
      <c r="C265" s="20" t="s">
        <v>532</v>
      </c>
      <c r="D265" s="20" t="s">
        <v>532</v>
      </c>
      <c r="E265" s="20" t="s">
        <v>532</v>
      </c>
      <c r="F265" s="20" t="s">
        <v>532</v>
      </c>
      <c r="G265">
        <v>16.63</v>
      </c>
      <c r="H265" s="1">
        <v>36.96</v>
      </c>
      <c r="I265">
        <f t="shared" si="16"/>
        <v>19.1245</v>
      </c>
      <c r="J265">
        <f t="shared" si="17"/>
        <v>19.956</v>
      </c>
      <c r="K265">
        <f t="shared" si="18"/>
        <v>21.619</v>
      </c>
      <c r="L265">
        <f t="shared" si="19"/>
        <v>23.282</v>
      </c>
    </row>
    <row r="266" spans="1:12">
      <c r="A266" t="s">
        <v>13</v>
      </c>
      <c r="B266" s="14" t="s">
        <v>533</v>
      </c>
      <c r="C266" s="20" t="s">
        <v>534</v>
      </c>
      <c r="D266" s="20" t="s">
        <v>534</v>
      </c>
      <c r="E266" s="20" t="s">
        <v>534</v>
      </c>
      <c r="F266" s="20" t="s">
        <v>534</v>
      </c>
      <c r="G266">
        <v>13.8</v>
      </c>
      <c r="H266" s="1">
        <v>30.68</v>
      </c>
      <c r="I266">
        <f t="shared" si="16"/>
        <v>15.87</v>
      </c>
      <c r="J266">
        <f t="shared" si="17"/>
        <v>16.56</v>
      </c>
      <c r="K266">
        <f t="shared" si="18"/>
        <v>17.94</v>
      </c>
      <c r="L266">
        <f t="shared" si="19"/>
        <v>19.32</v>
      </c>
    </row>
    <row r="267" spans="1:12">
      <c r="A267" t="s">
        <v>13</v>
      </c>
      <c r="B267" s="14" t="s">
        <v>535</v>
      </c>
      <c r="C267" s="20" t="s">
        <v>536</v>
      </c>
      <c r="D267" s="20" t="s">
        <v>536</v>
      </c>
      <c r="E267" s="20" t="s">
        <v>536</v>
      </c>
      <c r="F267" s="20" t="s">
        <v>536</v>
      </c>
      <c r="G267">
        <v>12.9</v>
      </c>
      <c r="H267" s="1">
        <v>28.67</v>
      </c>
      <c r="I267">
        <f t="shared" si="16"/>
        <v>14.835</v>
      </c>
      <c r="J267">
        <f t="shared" si="17"/>
        <v>15.48</v>
      </c>
      <c r="K267">
        <f t="shared" si="18"/>
        <v>16.77</v>
      </c>
      <c r="L267">
        <f t="shared" si="19"/>
        <v>18.06</v>
      </c>
    </row>
    <row r="268" spans="1:12">
      <c r="A268" t="s">
        <v>13</v>
      </c>
      <c r="B268" s="14" t="s">
        <v>537</v>
      </c>
      <c r="C268" s="20" t="s">
        <v>538</v>
      </c>
      <c r="D268" s="20" t="s">
        <v>538</v>
      </c>
      <c r="E268" s="20" t="s">
        <v>538</v>
      </c>
      <c r="F268" s="20" t="s">
        <v>538</v>
      </c>
      <c r="G268">
        <v>11.37</v>
      </c>
      <c r="H268" s="1">
        <v>25.24</v>
      </c>
      <c r="I268">
        <f t="shared" si="16"/>
        <v>13.0755</v>
      </c>
      <c r="J268">
        <f t="shared" si="17"/>
        <v>13.644</v>
      </c>
      <c r="K268">
        <f t="shared" si="18"/>
        <v>14.781</v>
      </c>
      <c r="L268">
        <f t="shared" si="19"/>
        <v>15.918</v>
      </c>
    </row>
    <row r="269" spans="1:12">
      <c r="A269" t="s">
        <v>13</v>
      </c>
      <c r="B269" s="14" t="s">
        <v>539</v>
      </c>
      <c r="C269" s="20" t="s">
        <v>540</v>
      </c>
      <c r="D269" s="20" t="s">
        <v>540</v>
      </c>
      <c r="E269" s="20" t="s">
        <v>540</v>
      </c>
      <c r="F269" s="20" t="s">
        <v>540</v>
      </c>
      <c r="G269">
        <v>14.03</v>
      </c>
      <c r="H269" s="1">
        <v>31.21</v>
      </c>
      <c r="I269">
        <f t="shared" si="16"/>
        <v>16.1345</v>
      </c>
      <c r="J269">
        <f t="shared" si="17"/>
        <v>16.836</v>
      </c>
      <c r="K269">
        <f t="shared" si="18"/>
        <v>18.239</v>
      </c>
      <c r="L269">
        <f t="shared" si="19"/>
        <v>19.642</v>
      </c>
    </row>
    <row r="270" spans="1:12">
      <c r="A270" t="s">
        <v>13</v>
      </c>
      <c r="B270" s="14" t="s">
        <v>541</v>
      </c>
      <c r="C270" s="20" t="s">
        <v>542</v>
      </c>
      <c r="D270" s="20" t="s">
        <v>542</v>
      </c>
      <c r="E270" s="20" t="s">
        <v>542</v>
      </c>
      <c r="F270" s="20" t="s">
        <v>542</v>
      </c>
      <c r="G270">
        <v>46.41</v>
      </c>
      <c r="H270" s="1">
        <v>103.13</v>
      </c>
      <c r="I270">
        <f t="shared" si="16"/>
        <v>53.3715</v>
      </c>
      <c r="J270">
        <f t="shared" si="17"/>
        <v>55.692</v>
      </c>
      <c r="K270">
        <f t="shared" si="18"/>
        <v>60.333</v>
      </c>
      <c r="L270">
        <f t="shared" si="19"/>
        <v>64.974</v>
      </c>
    </row>
    <row r="271" spans="1:12">
      <c r="A271" t="s">
        <v>13</v>
      </c>
      <c r="B271" s="14" t="s">
        <v>543</v>
      </c>
      <c r="C271" s="20" t="s">
        <v>544</v>
      </c>
      <c r="D271" s="20" t="s">
        <v>544</v>
      </c>
      <c r="E271" s="20" t="s">
        <v>544</v>
      </c>
      <c r="F271" s="20" t="s">
        <v>544</v>
      </c>
      <c r="G271">
        <v>40.44</v>
      </c>
      <c r="H271" s="1">
        <v>89.89</v>
      </c>
      <c r="I271">
        <f t="shared" si="16"/>
        <v>46.506</v>
      </c>
      <c r="J271">
        <f t="shared" si="17"/>
        <v>48.528</v>
      </c>
      <c r="K271">
        <f t="shared" si="18"/>
        <v>52.572</v>
      </c>
      <c r="L271">
        <f t="shared" si="19"/>
        <v>56.616</v>
      </c>
    </row>
    <row r="272" spans="1:12">
      <c r="A272" t="s">
        <v>13</v>
      </c>
      <c r="B272" s="14" t="s">
        <v>545</v>
      </c>
      <c r="C272" s="20" t="s">
        <v>546</v>
      </c>
      <c r="D272" s="20" t="s">
        <v>546</v>
      </c>
      <c r="E272" s="20" t="s">
        <v>546</v>
      </c>
      <c r="F272" s="20" t="s">
        <v>546</v>
      </c>
      <c r="G272">
        <v>55.2</v>
      </c>
      <c r="H272" s="1">
        <v>122.66</v>
      </c>
      <c r="I272">
        <f t="shared" si="16"/>
        <v>63.48</v>
      </c>
      <c r="J272">
        <f t="shared" si="17"/>
        <v>66.24</v>
      </c>
      <c r="K272">
        <f t="shared" si="18"/>
        <v>71.76</v>
      </c>
      <c r="L272">
        <f t="shared" si="19"/>
        <v>77.28</v>
      </c>
    </row>
    <row r="273" spans="1:12">
      <c r="A273" t="s">
        <v>13</v>
      </c>
      <c r="B273" s="14" t="s">
        <v>547</v>
      </c>
      <c r="C273" s="20" t="s">
        <v>548</v>
      </c>
      <c r="D273" s="20" t="s">
        <v>548</v>
      </c>
      <c r="E273" s="20" t="s">
        <v>548</v>
      </c>
      <c r="F273" s="20" t="s">
        <v>548</v>
      </c>
      <c r="G273">
        <v>46.92</v>
      </c>
      <c r="H273" s="1">
        <v>104.28</v>
      </c>
      <c r="I273">
        <f t="shared" si="16"/>
        <v>53.958</v>
      </c>
      <c r="J273">
        <f t="shared" si="17"/>
        <v>56.304</v>
      </c>
      <c r="K273">
        <f t="shared" si="18"/>
        <v>60.996</v>
      </c>
      <c r="L273">
        <f t="shared" si="19"/>
        <v>65.688</v>
      </c>
    </row>
    <row r="274" spans="1:12">
      <c r="A274" t="s">
        <v>13</v>
      </c>
      <c r="B274" s="14" t="s">
        <v>549</v>
      </c>
      <c r="C274" s="20" t="s">
        <v>550</v>
      </c>
      <c r="D274" s="20" t="s">
        <v>550</v>
      </c>
      <c r="E274" s="20" t="s">
        <v>550</v>
      </c>
      <c r="F274" s="20" t="s">
        <v>550</v>
      </c>
      <c r="G274">
        <v>33.61</v>
      </c>
      <c r="H274" s="1">
        <v>74.68</v>
      </c>
      <c r="I274">
        <f t="shared" si="16"/>
        <v>38.6515</v>
      </c>
      <c r="J274">
        <f t="shared" si="17"/>
        <v>40.332</v>
      </c>
      <c r="K274">
        <f t="shared" si="18"/>
        <v>43.693</v>
      </c>
      <c r="L274">
        <f t="shared" si="19"/>
        <v>47.054</v>
      </c>
    </row>
    <row r="275" spans="1:12">
      <c r="A275" t="s">
        <v>13</v>
      </c>
      <c r="B275" s="14" t="s">
        <v>551</v>
      </c>
      <c r="C275" s="20" t="s">
        <v>552</v>
      </c>
      <c r="D275" s="20" t="s">
        <v>552</v>
      </c>
      <c r="E275" s="20" t="s">
        <v>552</v>
      </c>
      <c r="F275" s="20" t="s">
        <v>552</v>
      </c>
      <c r="G275">
        <v>34.25</v>
      </c>
      <c r="H275" s="1">
        <v>76.1</v>
      </c>
      <c r="I275">
        <f t="shared" si="16"/>
        <v>39.3875</v>
      </c>
      <c r="J275">
        <f t="shared" si="17"/>
        <v>41.1</v>
      </c>
      <c r="K275">
        <f t="shared" si="18"/>
        <v>44.525</v>
      </c>
      <c r="L275">
        <f t="shared" si="19"/>
        <v>47.95</v>
      </c>
    </row>
    <row r="276" spans="1:12">
      <c r="A276" t="s">
        <v>13</v>
      </c>
      <c r="B276" s="14" t="s">
        <v>553</v>
      </c>
      <c r="C276" s="20" t="s">
        <v>554</v>
      </c>
      <c r="D276" s="20" t="s">
        <v>554</v>
      </c>
      <c r="E276" s="20" t="s">
        <v>554</v>
      </c>
      <c r="F276" s="20" t="s">
        <v>554</v>
      </c>
      <c r="G276">
        <v>32.12</v>
      </c>
      <c r="H276" s="1">
        <v>71.36</v>
      </c>
      <c r="I276">
        <f t="shared" si="16"/>
        <v>36.938</v>
      </c>
      <c r="J276">
        <f t="shared" si="17"/>
        <v>38.544</v>
      </c>
      <c r="K276">
        <f t="shared" si="18"/>
        <v>41.756</v>
      </c>
      <c r="L276">
        <f t="shared" si="19"/>
        <v>44.968</v>
      </c>
    </row>
    <row r="277" spans="1:12">
      <c r="A277" t="s">
        <v>13</v>
      </c>
      <c r="B277" s="14" t="s">
        <v>555</v>
      </c>
      <c r="C277" s="20" t="s">
        <v>556</v>
      </c>
      <c r="D277" s="20" t="s">
        <v>556</v>
      </c>
      <c r="E277" s="20" t="s">
        <v>556</v>
      </c>
      <c r="F277" s="20" t="s">
        <v>556</v>
      </c>
      <c r="G277">
        <v>70.45</v>
      </c>
      <c r="H277" s="1">
        <v>156.53</v>
      </c>
      <c r="I277">
        <f t="shared" si="16"/>
        <v>81.0175</v>
      </c>
      <c r="J277">
        <f t="shared" si="17"/>
        <v>84.54</v>
      </c>
      <c r="K277">
        <f t="shared" si="18"/>
        <v>91.585</v>
      </c>
      <c r="L277">
        <f t="shared" si="19"/>
        <v>98.63</v>
      </c>
    </row>
    <row r="278" spans="1:12">
      <c r="A278" t="s">
        <v>13</v>
      </c>
      <c r="B278" s="14" t="s">
        <v>557</v>
      </c>
      <c r="C278" s="20" t="s">
        <v>558</v>
      </c>
      <c r="D278" s="20" t="s">
        <v>558</v>
      </c>
      <c r="E278" s="20" t="s">
        <v>558</v>
      </c>
      <c r="F278" s="20" t="s">
        <v>558</v>
      </c>
      <c r="G278">
        <v>66.4</v>
      </c>
      <c r="H278" s="1">
        <v>147.55</v>
      </c>
      <c r="I278">
        <f t="shared" si="16"/>
        <v>76.36</v>
      </c>
      <c r="J278">
        <f t="shared" si="17"/>
        <v>79.68</v>
      </c>
      <c r="K278">
        <f t="shared" si="18"/>
        <v>86.32</v>
      </c>
      <c r="L278">
        <f t="shared" si="19"/>
        <v>92.96</v>
      </c>
    </row>
    <row r="279" spans="1:12">
      <c r="A279" t="s">
        <v>13</v>
      </c>
      <c r="B279" s="14" t="s">
        <v>559</v>
      </c>
      <c r="C279" s="20" t="s">
        <v>560</v>
      </c>
      <c r="D279" s="20" t="s">
        <v>560</v>
      </c>
      <c r="E279" s="20" t="s">
        <v>560</v>
      </c>
      <c r="F279" s="20" t="s">
        <v>560</v>
      </c>
      <c r="G279">
        <v>70.45</v>
      </c>
      <c r="H279" s="1">
        <v>156.53</v>
      </c>
      <c r="I279">
        <f t="shared" si="16"/>
        <v>81.0175</v>
      </c>
      <c r="J279">
        <f t="shared" si="17"/>
        <v>84.54</v>
      </c>
      <c r="K279">
        <f t="shared" si="18"/>
        <v>91.585</v>
      </c>
      <c r="L279">
        <f t="shared" si="19"/>
        <v>98.63</v>
      </c>
    </row>
    <row r="280" spans="1:12">
      <c r="A280" t="s">
        <v>13</v>
      </c>
      <c r="B280" s="14" t="s">
        <v>561</v>
      </c>
      <c r="C280" s="20" t="s">
        <v>562</v>
      </c>
      <c r="D280" s="20" t="s">
        <v>562</v>
      </c>
      <c r="E280" s="20" t="s">
        <v>562</v>
      </c>
      <c r="F280" s="20" t="s">
        <v>562</v>
      </c>
      <c r="G280">
        <v>66.4</v>
      </c>
      <c r="H280" s="1">
        <v>147.55</v>
      </c>
      <c r="I280">
        <f t="shared" si="16"/>
        <v>76.36</v>
      </c>
      <c r="J280">
        <f t="shared" si="17"/>
        <v>79.68</v>
      </c>
      <c r="K280">
        <f t="shared" si="18"/>
        <v>86.32</v>
      </c>
      <c r="L280">
        <f t="shared" si="19"/>
        <v>92.96</v>
      </c>
    </row>
    <row r="281" spans="1:12">
      <c r="A281" t="s">
        <v>13</v>
      </c>
      <c r="B281" s="14" t="s">
        <v>563</v>
      </c>
      <c r="C281" s="20" t="s">
        <v>564</v>
      </c>
      <c r="D281" s="20" t="s">
        <v>564</v>
      </c>
      <c r="E281" s="20" t="s">
        <v>564</v>
      </c>
      <c r="F281" s="20" t="s">
        <v>564</v>
      </c>
      <c r="G281">
        <v>70.44</v>
      </c>
      <c r="H281" s="1">
        <v>156.51</v>
      </c>
      <c r="I281">
        <f t="shared" si="16"/>
        <v>81.006</v>
      </c>
      <c r="J281">
        <f t="shared" si="17"/>
        <v>84.528</v>
      </c>
      <c r="K281">
        <f t="shared" si="18"/>
        <v>91.572</v>
      </c>
      <c r="L281">
        <f t="shared" si="19"/>
        <v>98.616</v>
      </c>
    </row>
    <row r="282" spans="1:12">
      <c r="A282" t="s">
        <v>13</v>
      </c>
      <c r="B282" s="14" t="s">
        <v>565</v>
      </c>
      <c r="C282" s="20" t="s">
        <v>566</v>
      </c>
      <c r="D282" s="20" t="s">
        <v>566</v>
      </c>
      <c r="E282" s="20" t="s">
        <v>566</v>
      </c>
      <c r="F282" s="20" t="s">
        <v>566</v>
      </c>
      <c r="G282">
        <v>66.39</v>
      </c>
      <c r="H282" s="1">
        <v>147.53</v>
      </c>
      <c r="I282">
        <f t="shared" si="16"/>
        <v>76.3485</v>
      </c>
      <c r="J282">
        <f t="shared" si="17"/>
        <v>79.668</v>
      </c>
      <c r="K282">
        <f t="shared" si="18"/>
        <v>86.307</v>
      </c>
      <c r="L282">
        <f t="shared" si="19"/>
        <v>92.946</v>
      </c>
    </row>
    <row r="283" spans="1:12">
      <c r="A283" t="s">
        <v>13</v>
      </c>
      <c r="B283" s="14" t="s">
        <v>567</v>
      </c>
      <c r="C283" s="20" t="s">
        <v>568</v>
      </c>
      <c r="D283" s="20" t="s">
        <v>568</v>
      </c>
      <c r="E283" s="20" t="s">
        <v>568</v>
      </c>
      <c r="F283" s="20" t="s">
        <v>568</v>
      </c>
      <c r="G283">
        <v>70.45</v>
      </c>
      <c r="H283" s="1">
        <v>156.53</v>
      </c>
      <c r="I283">
        <f t="shared" si="16"/>
        <v>81.0175</v>
      </c>
      <c r="J283">
        <f t="shared" si="17"/>
        <v>84.54</v>
      </c>
      <c r="K283">
        <f t="shared" si="18"/>
        <v>91.585</v>
      </c>
      <c r="L283">
        <f t="shared" si="19"/>
        <v>98.63</v>
      </c>
    </row>
    <row r="284" spans="1:12">
      <c r="A284" t="s">
        <v>13</v>
      </c>
      <c r="B284" s="14" t="s">
        <v>569</v>
      </c>
      <c r="C284" s="20" t="s">
        <v>570</v>
      </c>
      <c r="D284" s="20" t="s">
        <v>570</v>
      </c>
      <c r="E284" s="20" t="s">
        <v>570</v>
      </c>
      <c r="F284" s="20" t="s">
        <v>570</v>
      </c>
      <c r="G284">
        <v>61.91</v>
      </c>
      <c r="H284" s="1">
        <v>137.58</v>
      </c>
      <c r="I284">
        <f t="shared" si="16"/>
        <v>71.1965</v>
      </c>
      <c r="J284">
        <f t="shared" si="17"/>
        <v>74.292</v>
      </c>
      <c r="K284">
        <f t="shared" si="18"/>
        <v>80.483</v>
      </c>
      <c r="L284">
        <f t="shared" si="19"/>
        <v>86.674</v>
      </c>
    </row>
    <row r="285" spans="1:12">
      <c r="A285" t="s">
        <v>13</v>
      </c>
      <c r="B285" s="14" t="s">
        <v>571</v>
      </c>
      <c r="C285" s="20" t="s">
        <v>572</v>
      </c>
      <c r="D285" s="20" t="s">
        <v>572</v>
      </c>
      <c r="E285" s="20" t="s">
        <v>572</v>
      </c>
      <c r="F285" s="20" t="s">
        <v>572</v>
      </c>
      <c r="G285">
        <v>70.45</v>
      </c>
      <c r="H285" s="1">
        <v>156.53</v>
      </c>
      <c r="I285">
        <f t="shared" si="16"/>
        <v>81.0175</v>
      </c>
      <c r="J285">
        <f t="shared" si="17"/>
        <v>84.54</v>
      </c>
      <c r="K285">
        <f t="shared" si="18"/>
        <v>91.585</v>
      </c>
      <c r="L285">
        <f t="shared" si="19"/>
        <v>98.63</v>
      </c>
    </row>
    <row r="286" spans="1:12">
      <c r="A286" t="s">
        <v>13</v>
      </c>
      <c r="B286" s="14" t="s">
        <v>573</v>
      </c>
      <c r="C286" s="20" t="s">
        <v>574</v>
      </c>
      <c r="D286" s="20" t="s">
        <v>574</v>
      </c>
      <c r="E286" s="20" t="s">
        <v>574</v>
      </c>
      <c r="F286" s="20" t="s">
        <v>574</v>
      </c>
      <c r="G286">
        <v>66.4</v>
      </c>
      <c r="H286" s="1">
        <v>147.55</v>
      </c>
      <c r="I286">
        <f t="shared" si="16"/>
        <v>76.36</v>
      </c>
      <c r="J286">
        <f t="shared" si="17"/>
        <v>79.68</v>
      </c>
      <c r="K286">
        <f t="shared" si="18"/>
        <v>86.32</v>
      </c>
      <c r="L286">
        <f t="shared" si="19"/>
        <v>92.96</v>
      </c>
    </row>
    <row r="287" spans="1:12">
      <c r="A287" t="s">
        <v>13</v>
      </c>
      <c r="B287" s="14" t="s">
        <v>575</v>
      </c>
      <c r="C287" s="20" t="s">
        <v>576</v>
      </c>
      <c r="D287" s="20" t="s">
        <v>576</v>
      </c>
      <c r="E287" s="20" t="s">
        <v>576</v>
      </c>
      <c r="F287" s="20" t="s">
        <v>576</v>
      </c>
      <c r="G287">
        <v>37.13</v>
      </c>
      <c r="H287" s="1">
        <v>82.52</v>
      </c>
      <c r="I287">
        <f t="shared" si="16"/>
        <v>42.6995</v>
      </c>
      <c r="J287">
        <f t="shared" si="17"/>
        <v>44.556</v>
      </c>
      <c r="K287">
        <f t="shared" si="18"/>
        <v>48.269</v>
      </c>
      <c r="L287">
        <f t="shared" si="19"/>
        <v>51.982</v>
      </c>
    </row>
    <row r="288" spans="1:12">
      <c r="A288" t="s">
        <v>13</v>
      </c>
      <c r="B288" s="14" t="s">
        <v>577</v>
      </c>
      <c r="C288" s="20" t="s">
        <v>578</v>
      </c>
      <c r="D288" s="20" t="s">
        <v>578</v>
      </c>
      <c r="E288" s="20" t="s">
        <v>578</v>
      </c>
      <c r="F288" s="20" t="s">
        <v>578</v>
      </c>
      <c r="G288">
        <v>30.84</v>
      </c>
      <c r="H288" s="1">
        <v>68.54</v>
      </c>
      <c r="I288">
        <f t="shared" si="16"/>
        <v>35.466</v>
      </c>
      <c r="J288">
        <f t="shared" si="17"/>
        <v>37.008</v>
      </c>
      <c r="K288">
        <f t="shared" si="18"/>
        <v>40.092</v>
      </c>
      <c r="L288">
        <f t="shared" si="19"/>
        <v>43.176</v>
      </c>
    </row>
    <row r="289" spans="1:12">
      <c r="A289" t="s">
        <v>13</v>
      </c>
      <c r="B289" s="14" t="s">
        <v>579</v>
      </c>
      <c r="C289" s="20" t="s">
        <v>580</v>
      </c>
      <c r="D289" s="20" t="s">
        <v>580</v>
      </c>
      <c r="E289" s="20" t="s">
        <v>580</v>
      </c>
      <c r="F289" s="20" t="s">
        <v>580</v>
      </c>
      <c r="G289">
        <v>73.05</v>
      </c>
      <c r="H289" s="1">
        <v>162.34</v>
      </c>
      <c r="I289">
        <f t="shared" si="16"/>
        <v>84.0075</v>
      </c>
      <c r="J289">
        <f t="shared" si="17"/>
        <v>87.66</v>
      </c>
      <c r="K289">
        <f t="shared" si="18"/>
        <v>94.965</v>
      </c>
      <c r="L289">
        <f t="shared" si="19"/>
        <v>102.27</v>
      </c>
    </row>
    <row r="290" spans="1:12">
      <c r="A290" t="s">
        <v>13</v>
      </c>
      <c r="B290" s="14" t="s">
        <v>581</v>
      </c>
      <c r="C290" s="20" t="s">
        <v>582</v>
      </c>
      <c r="D290" s="20" t="s">
        <v>582</v>
      </c>
      <c r="E290" s="20" t="s">
        <v>582</v>
      </c>
      <c r="F290" s="20" t="s">
        <v>582</v>
      </c>
      <c r="G290">
        <v>64.27</v>
      </c>
      <c r="H290" s="1">
        <v>142.83</v>
      </c>
      <c r="I290">
        <f t="shared" si="16"/>
        <v>73.9105</v>
      </c>
      <c r="J290">
        <f t="shared" si="17"/>
        <v>77.124</v>
      </c>
      <c r="K290">
        <f t="shared" si="18"/>
        <v>83.551</v>
      </c>
      <c r="L290">
        <f t="shared" si="19"/>
        <v>89.978</v>
      </c>
    </row>
    <row r="291" spans="1:12">
      <c r="A291" t="s">
        <v>13</v>
      </c>
      <c r="B291" s="14" t="s">
        <v>583</v>
      </c>
      <c r="C291" s="20" t="s">
        <v>584</v>
      </c>
      <c r="D291" s="20" t="s">
        <v>584</v>
      </c>
      <c r="E291" s="20" t="s">
        <v>584</v>
      </c>
      <c r="F291" s="20" t="s">
        <v>584</v>
      </c>
      <c r="G291">
        <v>96.05</v>
      </c>
      <c r="H291" s="1">
        <v>213.44</v>
      </c>
      <c r="I291">
        <f t="shared" si="16"/>
        <v>110.4575</v>
      </c>
      <c r="J291">
        <f t="shared" si="17"/>
        <v>115.26</v>
      </c>
      <c r="K291">
        <f t="shared" si="18"/>
        <v>124.865</v>
      </c>
      <c r="L291">
        <f t="shared" si="19"/>
        <v>134.47</v>
      </c>
    </row>
    <row r="292" spans="1:12">
      <c r="A292" t="s">
        <v>13</v>
      </c>
      <c r="B292" s="14" t="s">
        <v>585</v>
      </c>
      <c r="C292" s="20" t="s">
        <v>586</v>
      </c>
      <c r="D292" s="20" t="s">
        <v>586</v>
      </c>
      <c r="E292" s="20" t="s">
        <v>586</v>
      </c>
      <c r="F292" s="20" t="s">
        <v>586</v>
      </c>
      <c r="G292">
        <v>9.11</v>
      </c>
      <c r="H292" s="1">
        <v>20.25</v>
      </c>
      <c r="I292">
        <f t="shared" si="16"/>
        <v>10.4765</v>
      </c>
      <c r="J292">
        <f t="shared" si="17"/>
        <v>10.932</v>
      </c>
      <c r="K292">
        <f t="shared" si="18"/>
        <v>11.843</v>
      </c>
      <c r="L292">
        <f t="shared" si="19"/>
        <v>12.754</v>
      </c>
    </row>
    <row r="293" spans="1:12">
      <c r="A293" t="s">
        <v>13</v>
      </c>
      <c r="B293" s="14" t="s">
        <v>587</v>
      </c>
      <c r="C293" s="20" t="s">
        <v>588</v>
      </c>
      <c r="D293" s="20" t="s">
        <v>588</v>
      </c>
      <c r="E293" s="20" t="s">
        <v>588</v>
      </c>
      <c r="F293" s="20" t="s">
        <v>588</v>
      </c>
      <c r="G293">
        <v>12.46</v>
      </c>
      <c r="H293" s="1">
        <v>23.74</v>
      </c>
      <c r="I293">
        <f t="shared" si="16"/>
        <v>14.329</v>
      </c>
      <c r="J293">
        <f t="shared" si="17"/>
        <v>14.952</v>
      </c>
      <c r="K293">
        <f t="shared" si="18"/>
        <v>16.198</v>
      </c>
      <c r="L293">
        <f t="shared" si="19"/>
        <v>17.444</v>
      </c>
    </row>
    <row r="294" spans="1:12">
      <c r="A294" t="s">
        <v>13</v>
      </c>
      <c r="B294" s="14" t="s">
        <v>589</v>
      </c>
      <c r="C294" s="20" t="s">
        <v>590</v>
      </c>
      <c r="D294" s="20" t="s">
        <v>590</v>
      </c>
      <c r="E294" s="20" t="s">
        <v>590</v>
      </c>
      <c r="F294" s="20" t="s">
        <v>590</v>
      </c>
      <c r="G294">
        <v>3.08</v>
      </c>
      <c r="H294" s="1">
        <v>5.88</v>
      </c>
      <c r="I294">
        <f t="shared" si="16"/>
        <v>3.542</v>
      </c>
      <c r="J294">
        <f t="shared" si="17"/>
        <v>3.696</v>
      </c>
      <c r="K294">
        <f t="shared" si="18"/>
        <v>4.004</v>
      </c>
      <c r="L294">
        <f t="shared" si="19"/>
        <v>4.312</v>
      </c>
    </row>
    <row r="295" spans="1:12">
      <c r="A295" t="s">
        <v>13</v>
      </c>
      <c r="B295" s="14" t="s">
        <v>591</v>
      </c>
      <c r="C295" s="20" t="s">
        <v>592</v>
      </c>
      <c r="D295" s="20" t="s">
        <v>592</v>
      </c>
      <c r="E295" s="20" t="s">
        <v>592</v>
      </c>
      <c r="F295" s="20" t="s">
        <v>592</v>
      </c>
      <c r="G295">
        <v>5.03</v>
      </c>
      <c r="H295" s="1">
        <v>11.19</v>
      </c>
      <c r="I295">
        <f t="shared" si="16"/>
        <v>5.7845</v>
      </c>
      <c r="J295">
        <f t="shared" si="17"/>
        <v>6.036</v>
      </c>
      <c r="K295">
        <f t="shared" si="18"/>
        <v>6.539</v>
      </c>
      <c r="L295">
        <f t="shared" si="19"/>
        <v>7.042</v>
      </c>
    </row>
    <row r="296" spans="1:12">
      <c r="A296" t="s">
        <v>13</v>
      </c>
      <c r="B296" s="14" t="s">
        <v>593</v>
      </c>
      <c r="C296" s="20" t="s">
        <v>594</v>
      </c>
      <c r="D296" s="20" t="s">
        <v>594</v>
      </c>
      <c r="E296" s="20" t="s">
        <v>594</v>
      </c>
      <c r="F296" s="20" t="s">
        <v>594</v>
      </c>
      <c r="G296">
        <v>7.44</v>
      </c>
      <c r="H296" s="1">
        <v>14.18</v>
      </c>
      <c r="I296">
        <f t="shared" si="16"/>
        <v>8.556</v>
      </c>
      <c r="J296">
        <f t="shared" si="17"/>
        <v>8.928</v>
      </c>
      <c r="K296">
        <f t="shared" si="18"/>
        <v>9.672</v>
      </c>
      <c r="L296">
        <f t="shared" si="19"/>
        <v>10.416</v>
      </c>
    </row>
    <row r="297" spans="1:12">
      <c r="A297" t="s">
        <v>13</v>
      </c>
      <c r="B297" s="14" t="s">
        <v>595</v>
      </c>
      <c r="C297" s="20" t="s">
        <v>596</v>
      </c>
      <c r="D297" s="20" t="s">
        <v>596</v>
      </c>
      <c r="E297" s="20" t="s">
        <v>596</v>
      </c>
      <c r="F297" s="20" t="s">
        <v>596</v>
      </c>
      <c r="G297">
        <v>5.26</v>
      </c>
      <c r="H297" s="1">
        <v>11.7</v>
      </c>
      <c r="I297">
        <f t="shared" si="16"/>
        <v>6.049</v>
      </c>
      <c r="J297">
        <f t="shared" si="17"/>
        <v>6.312</v>
      </c>
      <c r="K297">
        <f t="shared" si="18"/>
        <v>6.838</v>
      </c>
      <c r="L297">
        <f t="shared" si="19"/>
        <v>7.364</v>
      </c>
    </row>
    <row r="298" spans="1:12">
      <c r="A298" t="s">
        <v>13</v>
      </c>
      <c r="B298" s="14" t="s">
        <v>597</v>
      </c>
      <c r="C298" s="20" t="s">
        <v>598</v>
      </c>
      <c r="D298" s="20" t="s">
        <v>598</v>
      </c>
      <c r="E298" s="20" t="s">
        <v>598</v>
      </c>
      <c r="F298" s="20" t="s">
        <v>598</v>
      </c>
      <c r="G298">
        <v>4.77</v>
      </c>
      <c r="H298" s="1">
        <v>10.59</v>
      </c>
      <c r="I298">
        <f t="shared" si="16"/>
        <v>5.4855</v>
      </c>
      <c r="J298">
        <f t="shared" si="17"/>
        <v>5.724</v>
      </c>
      <c r="K298">
        <f t="shared" si="18"/>
        <v>6.201</v>
      </c>
      <c r="L298">
        <f t="shared" si="19"/>
        <v>6.678</v>
      </c>
    </row>
    <row r="299" ht="28.5" spans="1:12">
      <c r="A299" t="s">
        <v>13</v>
      </c>
      <c r="B299" s="14" t="s">
        <v>599</v>
      </c>
      <c r="C299" s="20" t="s">
        <v>600</v>
      </c>
      <c r="D299" s="20" t="s">
        <v>600</v>
      </c>
      <c r="E299" s="20" t="s">
        <v>600</v>
      </c>
      <c r="F299" s="20" t="s">
        <v>600</v>
      </c>
      <c r="G299">
        <v>5</v>
      </c>
      <c r="H299" s="1">
        <v>11.09</v>
      </c>
      <c r="I299">
        <f t="shared" si="16"/>
        <v>5.75</v>
      </c>
      <c r="J299">
        <f t="shared" si="17"/>
        <v>6</v>
      </c>
      <c r="K299">
        <f t="shared" si="18"/>
        <v>6.5</v>
      </c>
      <c r="L299">
        <f t="shared" si="19"/>
        <v>7</v>
      </c>
    </row>
    <row r="300" spans="1:12">
      <c r="A300" t="s">
        <v>13</v>
      </c>
      <c r="B300" s="14" t="s">
        <v>601</v>
      </c>
      <c r="C300" s="20" t="s">
        <v>602</v>
      </c>
      <c r="D300" s="20" t="s">
        <v>602</v>
      </c>
      <c r="E300" s="20" t="s">
        <v>602</v>
      </c>
      <c r="F300" s="20" t="s">
        <v>602</v>
      </c>
      <c r="G300">
        <v>10.39</v>
      </c>
      <c r="H300" s="1">
        <v>23.11</v>
      </c>
      <c r="I300">
        <f t="shared" si="16"/>
        <v>11.9485</v>
      </c>
      <c r="J300">
        <f t="shared" si="17"/>
        <v>12.468</v>
      </c>
      <c r="K300">
        <f t="shared" si="18"/>
        <v>13.507</v>
      </c>
      <c r="L300">
        <f t="shared" si="19"/>
        <v>14.546</v>
      </c>
    </row>
    <row r="301" spans="1:12">
      <c r="A301" t="s">
        <v>13</v>
      </c>
      <c r="B301" s="14" t="s">
        <v>603</v>
      </c>
      <c r="C301" s="20" t="s">
        <v>604</v>
      </c>
      <c r="D301" s="20" t="s">
        <v>604</v>
      </c>
      <c r="E301" s="20" t="s">
        <v>604</v>
      </c>
      <c r="F301" s="20" t="s">
        <v>604</v>
      </c>
      <c r="G301">
        <v>27.58</v>
      </c>
      <c r="H301" s="1">
        <v>61.34</v>
      </c>
      <c r="I301">
        <f t="shared" si="16"/>
        <v>31.717</v>
      </c>
      <c r="J301">
        <f t="shared" si="17"/>
        <v>33.096</v>
      </c>
      <c r="K301">
        <f t="shared" si="18"/>
        <v>35.854</v>
      </c>
      <c r="L301">
        <f t="shared" si="19"/>
        <v>38.612</v>
      </c>
    </row>
    <row r="302" spans="1:12">
      <c r="A302" t="s">
        <v>13</v>
      </c>
      <c r="B302" s="14" t="s">
        <v>605</v>
      </c>
      <c r="C302" s="20" t="s">
        <v>606</v>
      </c>
      <c r="D302" s="20" t="s">
        <v>606</v>
      </c>
      <c r="E302" s="20" t="s">
        <v>606</v>
      </c>
      <c r="F302" s="20" t="s">
        <v>606</v>
      </c>
      <c r="G302">
        <v>28.48</v>
      </c>
      <c r="H302" s="1">
        <v>63.23</v>
      </c>
      <c r="I302">
        <f t="shared" si="16"/>
        <v>32.752</v>
      </c>
      <c r="J302">
        <f t="shared" si="17"/>
        <v>34.176</v>
      </c>
      <c r="K302">
        <f t="shared" si="18"/>
        <v>37.024</v>
      </c>
      <c r="L302">
        <f t="shared" si="19"/>
        <v>39.872</v>
      </c>
    </row>
    <row r="303" spans="1:12">
      <c r="A303" t="s">
        <v>13</v>
      </c>
      <c r="B303" s="14" t="s">
        <v>607</v>
      </c>
      <c r="C303" s="20" t="s">
        <v>608</v>
      </c>
      <c r="D303" s="20" t="s">
        <v>608</v>
      </c>
      <c r="E303" s="20" t="s">
        <v>608</v>
      </c>
      <c r="F303" s="20" t="s">
        <v>608</v>
      </c>
      <c r="G303">
        <v>32.28</v>
      </c>
      <c r="H303" s="1">
        <v>71.75</v>
      </c>
      <c r="I303">
        <f t="shared" si="16"/>
        <v>37.122</v>
      </c>
      <c r="J303">
        <f t="shared" si="17"/>
        <v>38.736</v>
      </c>
      <c r="K303">
        <f t="shared" si="18"/>
        <v>41.964</v>
      </c>
      <c r="L303">
        <f t="shared" si="19"/>
        <v>45.192</v>
      </c>
    </row>
    <row r="304" spans="1:12">
      <c r="A304" t="s">
        <v>13</v>
      </c>
      <c r="B304" s="14" t="s">
        <v>609</v>
      </c>
      <c r="C304" s="20" t="s">
        <v>610</v>
      </c>
      <c r="D304" s="20" t="s">
        <v>610</v>
      </c>
      <c r="E304" s="20" t="s">
        <v>610</v>
      </c>
      <c r="F304" s="20" t="s">
        <v>610</v>
      </c>
      <c r="G304">
        <v>55.3</v>
      </c>
      <c r="H304" s="1">
        <v>122.89</v>
      </c>
      <c r="I304">
        <f t="shared" si="16"/>
        <v>63.595</v>
      </c>
      <c r="J304">
        <f t="shared" si="17"/>
        <v>66.36</v>
      </c>
      <c r="K304">
        <f t="shared" si="18"/>
        <v>71.89</v>
      </c>
      <c r="L304">
        <f t="shared" si="19"/>
        <v>77.42</v>
      </c>
    </row>
    <row r="305" spans="1:12">
      <c r="A305" t="s">
        <v>13</v>
      </c>
      <c r="B305" s="14" t="s">
        <v>611</v>
      </c>
      <c r="C305" s="20" t="s">
        <v>612</v>
      </c>
      <c r="D305" s="20" t="s">
        <v>612</v>
      </c>
      <c r="E305" s="20" t="s">
        <v>612</v>
      </c>
      <c r="F305" s="20" t="s">
        <v>612</v>
      </c>
      <c r="G305">
        <v>60.48</v>
      </c>
      <c r="H305" s="1">
        <v>134.42</v>
      </c>
      <c r="I305">
        <f t="shared" si="16"/>
        <v>69.552</v>
      </c>
      <c r="J305">
        <f t="shared" si="17"/>
        <v>72.576</v>
      </c>
      <c r="K305">
        <f t="shared" si="18"/>
        <v>78.624</v>
      </c>
      <c r="L305">
        <f t="shared" si="19"/>
        <v>84.672</v>
      </c>
    </row>
    <row r="306" spans="1:12">
      <c r="A306" t="s">
        <v>13</v>
      </c>
      <c r="B306" s="14" t="s">
        <v>613</v>
      </c>
      <c r="C306" s="20" t="s">
        <v>614</v>
      </c>
      <c r="D306" s="20" t="s">
        <v>614</v>
      </c>
      <c r="E306" s="20" t="s">
        <v>614</v>
      </c>
      <c r="F306" s="20" t="s">
        <v>614</v>
      </c>
      <c r="G306">
        <v>42.8</v>
      </c>
      <c r="H306" s="1">
        <v>95.14</v>
      </c>
      <c r="I306">
        <f t="shared" si="16"/>
        <v>49.22</v>
      </c>
      <c r="J306">
        <f t="shared" si="17"/>
        <v>51.36</v>
      </c>
      <c r="K306">
        <f t="shared" si="18"/>
        <v>55.64</v>
      </c>
      <c r="L306">
        <f t="shared" si="19"/>
        <v>59.92</v>
      </c>
    </row>
    <row r="307" spans="1:12">
      <c r="A307" t="s">
        <v>13</v>
      </c>
      <c r="B307" s="14" t="s">
        <v>615</v>
      </c>
      <c r="C307" s="20" t="s">
        <v>616</v>
      </c>
      <c r="D307" s="20" t="s">
        <v>616</v>
      </c>
      <c r="E307" s="20" t="s">
        <v>616</v>
      </c>
      <c r="F307" s="20" t="s">
        <v>616</v>
      </c>
      <c r="G307">
        <v>14.67</v>
      </c>
      <c r="H307" s="1">
        <v>27.95</v>
      </c>
      <c r="I307">
        <f t="shared" si="16"/>
        <v>16.8705</v>
      </c>
      <c r="J307">
        <f t="shared" si="17"/>
        <v>17.604</v>
      </c>
      <c r="K307">
        <f t="shared" si="18"/>
        <v>19.071</v>
      </c>
      <c r="L307">
        <f t="shared" si="19"/>
        <v>20.538</v>
      </c>
    </row>
    <row r="308" spans="1:12">
      <c r="A308" t="s">
        <v>13</v>
      </c>
      <c r="B308" s="14" t="s">
        <v>617</v>
      </c>
      <c r="C308" s="20" t="s">
        <v>618</v>
      </c>
      <c r="D308" s="20" t="s">
        <v>618</v>
      </c>
      <c r="E308" s="20" t="s">
        <v>618</v>
      </c>
      <c r="F308" s="20" t="s">
        <v>618</v>
      </c>
      <c r="G308">
        <v>2.13</v>
      </c>
      <c r="H308" s="1">
        <v>4.03</v>
      </c>
      <c r="I308">
        <f t="shared" si="16"/>
        <v>2.4495</v>
      </c>
      <c r="J308">
        <f t="shared" si="17"/>
        <v>2.556</v>
      </c>
      <c r="K308">
        <f t="shared" si="18"/>
        <v>2.769</v>
      </c>
      <c r="L308">
        <f t="shared" si="19"/>
        <v>2.982</v>
      </c>
    </row>
    <row r="309" spans="1:12">
      <c r="A309" t="s">
        <v>13</v>
      </c>
      <c r="B309" s="14" t="s">
        <v>619</v>
      </c>
      <c r="C309" s="20" t="s">
        <v>620</v>
      </c>
      <c r="D309" s="20" t="s">
        <v>620</v>
      </c>
      <c r="E309" s="20" t="s">
        <v>620</v>
      </c>
      <c r="F309" s="20" t="s">
        <v>620</v>
      </c>
      <c r="G309">
        <v>1.78</v>
      </c>
      <c r="H309" s="1">
        <v>3.39</v>
      </c>
      <c r="I309">
        <f t="shared" si="16"/>
        <v>2.047</v>
      </c>
      <c r="J309">
        <f t="shared" si="17"/>
        <v>2.136</v>
      </c>
      <c r="K309">
        <f t="shared" si="18"/>
        <v>2.314</v>
      </c>
      <c r="L309">
        <f t="shared" si="19"/>
        <v>2.492</v>
      </c>
    </row>
    <row r="310" spans="1:12">
      <c r="A310" t="s">
        <v>13</v>
      </c>
      <c r="B310" s="14" t="s">
        <v>621</v>
      </c>
      <c r="C310" s="20" t="s">
        <v>622</v>
      </c>
      <c r="D310" s="20" t="s">
        <v>622</v>
      </c>
      <c r="E310" s="20" t="s">
        <v>622</v>
      </c>
      <c r="F310" s="20" t="s">
        <v>622</v>
      </c>
      <c r="G310">
        <v>5.46</v>
      </c>
      <c r="H310" s="1">
        <v>10.4</v>
      </c>
      <c r="I310">
        <f t="shared" si="16"/>
        <v>6.279</v>
      </c>
      <c r="J310">
        <f t="shared" si="17"/>
        <v>6.552</v>
      </c>
      <c r="K310">
        <f t="shared" si="18"/>
        <v>7.098</v>
      </c>
      <c r="L310">
        <f t="shared" si="19"/>
        <v>7.644</v>
      </c>
    </row>
    <row r="311" spans="1:12">
      <c r="A311" t="s">
        <v>13</v>
      </c>
      <c r="B311" s="14" t="s">
        <v>623</v>
      </c>
      <c r="C311" s="20" t="s">
        <v>624</v>
      </c>
      <c r="D311" s="20" t="s">
        <v>624</v>
      </c>
      <c r="E311" s="20" t="s">
        <v>624</v>
      </c>
      <c r="F311" s="20" t="s">
        <v>624</v>
      </c>
      <c r="G311">
        <v>1.16</v>
      </c>
      <c r="H311" s="1">
        <v>2.21</v>
      </c>
      <c r="I311">
        <f t="shared" si="16"/>
        <v>1.334</v>
      </c>
      <c r="J311">
        <f t="shared" si="17"/>
        <v>1.392</v>
      </c>
      <c r="K311">
        <f t="shared" si="18"/>
        <v>1.508</v>
      </c>
      <c r="L311">
        <f t="shared" si="19"/>
        <v>1.624</v>
      </c>
    </row>
    <row r="312" spans="1:12">
      <c r="A312" t="s">
        <v>13</v>
      </c>
      <c r="B312" s="14" t="s">
        <v>625</v>
      </c>
      <c r="C312" s="20" t="s">
        <v>626</v>
      </c>
      <c r="D312" s="20" t="s">
        <v>626</v>
      </c>
      <c r="E312" s="20" t="s">
        <v>626</v>
      </c>
      <c r="F312" s="20" t="s">
        <v>626</v>
      </c>
      <c r="G312">
        <v>9.06</v>
      </c>
      <c r="H312" s="1">
        <v>17.28</v>
      </c>
      <c r="I312">
        <f t="shared" si="16"/>
        <v>10.419</v>
      </c>
      <c r="J312">
        <f t="shared" si="17"/>
        <v>10.872</v>
      </c>
      <c r="K312">
        <f t="shared" si="18"/>
        <v>11.778</v>
      </c>
      <c r="L312">
        <f t="shared" si="19"/>
        <v>12.684</v>
      </c>
    </row>
    <row r="313" spans="1:12">
      <c r="A313" t="s">
        <v>13</v>
      </c>
      <c r="B313" s="14" t="s">
        <v>627</v>
      </c>
      <c r="C313" s="20" t="s">
        <v>628</v>
      </c>
      <c r="D313" s="20" t="s">
        <v>628</v>
      </c>
      <c r="E313" s="20" t="s">
        <v>628</v>
      </c>
      <c r="F313" s="20" t="s">
        <v>628</v>
      </c>
      <c r="G313">
        <v>3.3</v>
      </c>
      <c r="H313" s="1">
        <v>6.29</v>
      </c>
      <c r="I313">
        <f t="shared" si="16"/>
        <v>3.795</v>
      </c>
      <c r="J313">
        <f t="shared" si="17"/>
        <v>3.96</v>
      </c>
      <c r="K313">
        <f t="shared" si="18"/>
        <v>4.29</v>
      </c>
      <c r="L313">
        <f t="shared" si="19"/>
        <v>4.62</v>
      </c>
    </row>
    <row r="314" spans="1:12">
      <c r="A314" t="s">
        <v>13</v>
      </c>
      <c r="B314" s="14" t="s">
        <v>629</v>
      </c>
      <c r="C314" s="20" t="s">
        <v>630</v>
      </c>
      <c r="D314" s="20" t="s">
        <v>630</v>
      </c>
      <c r="E314" s="20" t="s">
        <v>630</v>
      </c>
      <c r="F314" s="20" t="s">
        <v>630</v>
      </c>
      <c r="G314">
        <v>1.25</v>
      </c>
      <c r="H314" s="1">
        <v>2.39</v>
      </c>
      <c r="I314">
        <f t="shared" si="16"/>
        <v>1.4375</v>
      </c>
      <c r="J314">
        <f t="shared" si="17"/>
        <v>1.5</v>
      </c>
      <c r="K314">
        <f t="shared" si="18"/>
        <v>1.625</v>
      </c>
      <c r="L314">
        <f t="shared" si="19"/>
        <v>1.75</v>
      </c>
    </row>
    <row r="315" spans="1:12">
      <c r="A315" t="s">
        <v>13</v>
      </c>
      <c r="B315" s="14" t="s">
        <v>631</v>
      </c>
      <c r="C315" s="20" t="s">
        <v>632</v>
      </c>
      <c r="D315" s="20" t="s">
        <v>632</v>
      </c>
      <c r="E315" s="20" t="s">
        <v>632</v>
      </c>
      <c r="F315" s="20" t="s">
        <v>632</v>
      </c>
      <c r="G315">
        <v>1.17</v>
      </c>
      <c r="H315" s="1">
        <v>2.23</v>
      </c>
      <c r="I315">
        <f t="shared" si="16"/>
        <v>1.3455</v>
      </c>
      <c r="J315">
        <f t="shared" si="17"/>
        <v>1.404</v>
      </c>
      <c r="K315">
        <f t="shared" si="18"/>
        <v>1.521</v>
      </c>
      <c r="L315">
        <f t="shared" si="19"/>
        <v>1.638</v>
      </c>
    </row>
    <row r="316" spans="1:12">
      <c r="A316" t="s">
        <v>13</v>
      </c>
      <c r="B316" s="14" t="s">
        <v>633</v>
      </c>
      <c r="C316" s="20" t="s">
        <v>634</v>
      </c>
      <c r="D316" s="20" t="s">
        <v>634</v>
      </c>
      <c r="E316" s="20" t="s">
        <v>634</v>
      </c>
      <c r="F316" s="20" t="s">
        <v>634</v>
      </c>
      <c r="G316">
        <v>1.96</v>
      </c>
      <c r="H316" s="1">
        <v>3.73</v>
      </c>
      <c r="I316">
        <f t="shared" si="16"/>
        <v>2.254</v>
      </c>
      <c r="J316">
        <f t="shared" si="17"/>
        <v>2.352</v>
      </c>
      <c r="K316">
        <f t="shared" si="18"/>
        <v>2.548</v>
      </c>
      <c r="L316">
        <f t="shared" si="19"/>
        <v>2.744</v>
      </c>
    </row>
    <row r="317" spans="1:12">
      <c r="A317" t="s">
        <v>13</v>
      </c>
      <c r="B317" s="14" t="s">
        <v>635</v>
      </c>
      <c r="C317" s="20" t="s">
        <v>636</v>
      </c>
      <c r="D317" s="20" t="s">
        <v>636</v>
      </c>
      <c r="E317" s="20" t="s">
        <v>636</v>
      </c>
      <c r="F317" s="20" t="s">
        <v>636</v>
      </c>
      <c r="G317">
        <v>99.37</v>
      </c>
      <c r="H317" s="1">
        <v>220.81</v>
      </c>
      <c r="I317">
        <f t="shared" si="16"/>
        <v>114.2755</v>
      </c>
      <c r="J317">
        <f t="shared" si="17"/>
        <v>119.244</v>
      </c>
      <c r="K317">
        <f t="shared" si="18"/>
        <v>129.181</v>
      </c>
      <c r="L317">
        <f t="shared" si="19"/>
        <v>139.118</v>
      </c>
    </row>
    <row r="318" spans="1:12">
      <c r="A318" t="s">
        <v>13</v>
      </c>
      <c r="B318" s="14" t="s">
        <v>637</v>
      </c>
      <c r="C318" s="20" t="s">
        <v>638</v>
      </c>
      <c r="D318" s="20" t="s">
        <v>638</v>
      </c>
      <c r="E318" s="20" t="s">
        <v>638</v>
      </c>
      <c r="F318" s="20" t="s">
        <v>638</v>
      </c>
      <c r="G318">
        <v>87.73</v>
      </c>
      <c r="H318" s="1">
        <v>194.95</v>
      </c>
      <c r="I318">
        <f t="shared" si="16"/>
        <v>100.8895</v>
      </c>
      <c r="J318">
        <f t="shared" si="17"/>
        <v>105.276</v>
      </c>
      <c r="K318">
        <f t="shared" si="18"/>
        <v>114.049</v>
      </c>
      <c r="L318">
        <f t="shared" si="19"/>
        <v>122.822</v>
      </c>
    </row>
    <row r="319" spans="1:12">
      <c r="A319" t="s">
        <v>13</v>
      </c>
      <c r="B319" s="14" t="s">
        <v>639</v>
      </c>
      <c r="C319" s="20" t="s">
        <v>640</v>
      </c>
      <c r="D319" s="20" t="s">
        <v>640</v>
      </c>
      <c r="E319" s="20" t="s">
        <v>640</v>
      </c>
      <c r="F319" s="20" t="s">
        <v>640</v>
      </c>
      <c r="G319">
        <v>5.54</v>
      </c>
      <c r="H319" s="1">
        <v>10.53</v>
      </c>
      <c r="I319">
        <f t="shared" si="16"/>
        <v>6.371</v>
      </c>
      <c r="J319">
        <f t="shared" si="17"/>
        <v>6.648</v>
      </c>
      <c r="K319">
        <f t="shared" si="18"/>
        <v>7.202</v>
      </c>
      <c r="L319">
        <f t="shared" si="19"/>
        <v>7.756</v>
      </c>
    </row>
    <row r="320" spans="1:12">
      <c r="A320" t="s">
        <v>13</v>
      </c>
      <c r="B320" s="14" t="s">
        <v>641</v>
      </c>
      <c r="C320" s="20" t="s">
        <v>642</v>
      </c>
      <c r="D320" s="20" t="s">
        <v>642</v>
      </c>
      <c r="E320" s="20" t="s">
        <v>642</v>
      </c>
      <c r="F320" s="20" t="s">
        <v>642</v>
      </c>
      <c r="G320">
        <v>64.03</v>
      </c>
      <c r="H320" s="1">
        <v>142.3</v>
      </c>
      <c r="I320">
        <f t="shared" si="16"/>
        <v>73.6345</v>
      </c>
      <c r="J320">
        <f t="shared" si="17"/>
        <v>76.836</v>
      </c>
      <c r="K320">
        <f t="shared" si="18"/>
        <v>83.239</v>
      </c>
      <c r="L320">
        <f t="shared" si="19"/>
        <v>89.642</v>
      </c>
    </row>
    <row r="321" spans="1:12">
      <c r="A321" t="s">
        <v>13</v>
      </c>
      <c r="B321" s="14" t="s">
        <v>643</v>
      </c>
      <c r="C321" s="20" t="s">
        <v>644</v>
      </c>
      <c r="D321" s="20" t="s">
        <v>644</v>
      </c>
      <c r="E321" s="20" t="s">
        <v>644</v>
      </c>
      <c r="F321" s="20" t="s">
        <v>644</v>
      </c>
      <c r="G321">
        <v>76.97</v>
      </c>
      <c r="H321" s="1">
        <v>171.01</v>
      </c>
      <c r="I321">
        <f t="shared" si="16"/>
        <v>88.5155</v>
      </c>
      <c r="J321">
        <f t="shared" si="17"/>
        <v>92.364</v>
      </c>
      <c r="K321">
        <f t="shared" si="18"/>
        <v>100.061</v>
      </c>
      <c r="L321">
        <f t="shared" si="19"/>
        <v>107.758</v>
      </c>
    </row>
    <row r="322" spans="1:12">
      <c r="A322" t="s">
        <v>13</v>
      </c>
      <c r="B322" s="14" t="s">
        <v>645</v>
      </c>
      <c r="C322" s="20" t="s">
        <v>646</v>
      </c>
      <c r="D322" s="20" t="s">
        <v>646</v>
      </c>
      <c r="E322" s="20" t="s">
        <v>646</v>
      </c>
      <c r="F322" s="20" t="s">
        <v>646</v>
      </c>
      <c r="G322">
        <v>65.94</v>
      </c>
      <c r="H322" s="1">
        <v>146.53</v>
      </c>
      <c r="I322">
        <f t="shared" ref="I322:I385" si="20">G322*1.15</f>
        <v>75.831</v>
      </c>
      <c r="J322">
        <f t="shared" ref="J322:J385" si="21">G322*1.2</f>
        <v>79.128</v>
      </c>
      <c r="K322">
        <f t="shared" ref="K322:K385" si="22">G322*1.3</f>
        <v>85.722</v>
      </c>
      <c r="L322">
        <f t="shared" ref="L322:L385" si="23">G322*1.4</f>
        <v>92.316</v>
      </c>
    </row>
    <row r="323" spans="1:12">
      <c r="A323" t="s">
        <v>13</v>
      </c>
      <c r="B323" s="14" t="s">
        <v>647</v>
      </c>
      <c r="C323" s="20" t="s">
        <v>648</v>
      </c>
      <c r="D323" s="20" t="s">
        <v>648</v>
      </c>
      <c r="E323" s="20" t="s">
        <v>648</v>
      </c>
      <c r="F323" s="20" t="s">
        <v>648</v>
      </c>
      <c r="G323">
        <v>136.48</v>
      </c>
      <c r="H323" s="1">
        <v>303.32</v>
      </c>
      <c r="I323">
        <f t="shared" si="20"/>
        <v>156.952</v>
      </c>
      <c r="J323">
        <f t="shared" si="21"/>
        <v>163.776</v>
      </c>
      <c r="K323">
        <f t="shared" si="22"/>
        <v>177.424</v>
      </c>
      <c r="L323">
        <f t="shared" si="23"/>
        <v>191.072</v>
      </c>
    </row>
    <row r="324" spans="1:12">
      <c r="A324" t="s">
        <v>13</v>
      </c>
      <c r="B324" s="14" t="s">
        <v>649</v>
      </c>
      <c r="C324" s="20" t="s">
        <v>650</v>
      </c>
      <c r="D324" s="20" t="s">
        <v>650</v>
      </c>
      <c r="E324" s="20" t="s">
        <v>650</v>
      </c>
      <c r="F324" s="20" t="s">
        <v>650</v>
      </c>
      <c r="G324">
        <v>142.7</v>
      </c>
      <c r="H324" s="1">
        <v>317.13</v>
      </c>
      <c r="I324">
        <f t="shared" si="20"/>
        <v>164.105</v>
      </c>
      <c r="J324">
        <f t="shared" si="21"/>
        <v>171.24</v>
      </c>
      <c r="K324">
        <f t="shared" si="22"/>
        <v>185.51</v>
      </c>
      <c r="L324">
        <f t="shared" si="23"/>
        <v>199.78</v>
      </c>
    </row>
    <row r="325" spans="1:12">
      <c r="A325" t="s">
        <v>13</v>
      </c>
      <c r="B325" s="14" t="s">
        <v>651</v>
      </c>
      <c r="C325" s="20" t="s">
        <v>652</v>
      </c>
      <c r="D325" s="20" t="s">
        <v>652</v>
      </c>
      <c r="E325" s="20" t="s">
        <v>652</v>
      </c>
      <c r="F325" s="20" t="s">
        <v>652</v>
      </c>
      <c r="G325">
        <v>117.97</v>
      </c>
      <c r="H325" s="1">
        <v>262.16</v>
      </c>
      <c r="I325">
        <f t="shared" si="20"/>
        <v>135.6655</v>
      </c>
      <c r="J325">
        <f t="shared" si="21"/>
        <v>141.564</v>
      </c>
      <c r="K325">
        <f t="shared" si="22"/>
        <v>153.361</v>
      </c>
      <c r="L325">
        <f t="shared" si="23"/>
        <v>165.158</v>
      </c>
    </row>
    <row r="326" spans="1:12">
      <c r="A326" t="s">
        <v>13</v>
      </c>
      <c r="B326" s="14" t="s">
        <v>653</v>
      </c>
      <c r="C326" s="20" t="s">
        <v>654</v>
      </c>
      <c r="D326" s="20" t="s">
        <v>654</v>
      </c>
      <c r="E326" s="20" t="s">
        <v>654</v>
      </c>
      <c r="F326" s="20" t="s">
        <v>654</v>
      </c>
      <c r="G326">
        <v>137.06</v>
      </c>
      <c r="H326" s="1">
        <v>304.58</v>
      </c>
      <c r="I326">
        <f t="shared" si="20"/>
        <v>157.619</v>
      </c>
      <c r="J326">
        <f t="shared" si="21"/>
        <v>164.472</v>
      </c>
      <c r="K326">
        <f t="shared" si="22"/>
        <v>178.178</v>
      </c>
      <c r="L326">
        <f t="shared" si="23"/>
        <v>191.884</v>
      </c>
    </row>
    <row r="327" spans="1:12">
      <c r="A327" t="s">
        <v>13</v>
      </c>
      <c r="B327" s="14" t="s">
        <v>655</v>
      </c>
      <c r="C327" s="20" t="s">
        <v>656</v>
      </c>
      <c r="D327" s="20" t="s">
        <v>656</v>
      </c>
      <c r="E327" s="20" t="s">
        <v>656</v>
      </c>
      <c r="F327" s="20" t="s">
        <v>656</v>
      </c>
      <c r="G327">
        <v>234.49</v>
      </c>
      <c r="H327" s="1">
        <v>521.08</v>
      </c>
      <c r="I327">
        <f t="shared" si="20"/>
        <v>269.6635</v>
      </c>
      <c r="J327">
        <f t="shared" si="21"/>
        <v>281.388</v>
      </c>
      <c r="K327">
        <f t="shared" si="22"/>
        <v>304.837</v>
      </c>
      <c r="L327">
        <f t="shared" si="23"/>
        <v>328.286</v>
      </c>
    </row>
    <row r="328" spans="1:12">
      <c r="A328" t="s">
        <v>13</v>
      </c>
      <c r="B328" s="14" t="s">
        <v>657</v>
      </c>
      <c r="C328" s="20" t="s">
        <v>658</v>
      </c>
      <c r="D328" s="20" t="s">
        <v>658</v>
      </c>
      <c r="E328" s="20" t="s">
        <v>658</v>
      </c>
      <c r="F328" s="20" t="s">
        <v>658</v>
      </c>
      <c r="G328">
        <v>158.65</v>
      </c>
      <c r="H328" s="1">
        <v>352.58</v>
      </c>
      <c r="I328">
        <f t="shared" si="20"/>
        <v>182.4475</v>
      </c>
      <c r="J328">
        <f t="shared" si="21"/>
        <v>190.38</v>
      </c>
      <c r="K328">
        <f t="shared" si="22"/>
        <v>206.245</v>
      </c>
      <c r="L328">
        <f t="shared" si="23"/>
        <v>222.11</v>
      </c>
    </row>
    <row r="329" spans="1:12">
      <c r="A329" t="s">
        <v>13</v>
      </c>
      <c r="B329" s="14" t="s">
        <v>659</v>
      </c>
      <c r="C329" s="20" t="s">
        <v>660</v>
      </c>
      <c r="D329" s="20" t="s">
        <v>660</v>
      </c>
      <c r="E329" s="20" t="s">
        <v>660</v>
      </c>
      <c r="F329" s="20" t="s">
        <v>660</v>
      </c>
      <c r="G329">
        <v>353.93</v>
      </c>
      <c r="H329" s="1">
        <v>786.51</v>
      </c>
      <c r="I329">
        <f t="shared" si="20"/>
        <v>407.0195</v>
      </c>
      <c r="J329">
        <f t="shared" si="21"/>
        <v>424.716</v>
      </c>
      <c r="K329">
        <f t="shared" si="22"/>
        <v>460.109</v>
      </c>
      <c r="L329">
        <f t="shared" si="23"/>
        <v>495.502</v>
      </c>
    </row>
    <row r="330" spans="1:12">
      <c r="A330" t="s">
        <v>13</v>
      </c>
      <c r="B330" s="14" t="s">
        <v>661</v>
      </c>
      <c r="C330" s="20" t="s">
        <v>662</v>
      </c>
      <c r="D330" s="20" t="s">
        <v>662</v>
      </c>
      <c r="E330" s="20" t="s">
        <v>662</v>
      </c>
      <c r="F330" s="20" t="s">
        <v>662</v>
      </c>
      <c r="G330">
        <v>51.76</v>
      </c>
      <c r="H330" s="1">
        <v>115.04</v>
      </c>
      <c r="I330">
        <f t="shared" si="20"/>
        <v>59.524</v>
      </c>
      <c r="J330">
        <f t="shared" si="21"/>
        <v>62.112</v>
      </c>
      <c r="K330">
        <f t="shared" si="22"/>
        <v>67.288</v>
      </c>
      <c r="L330">
        <f t="shared" si="23"/>
        <v>72.464</v>
      </c>
    </row>
    <row r="331" spans="1:12">
      <c r="A331" t="s">
        <v>13</v>
      </c>
      <c r="B331" s="14" t="s">
        <v>663</v>
      </c>
      <c r="C331" s="20" t="s">
        <v>664</v>
      </c>
      <c r="D331" s="20" t="s">
        <v>664</v>
      </c>
      <c r="E331" s="20" t="s">
        <v>664</v>
      </c>
      <c r="F331" s="20" t="s">
        <v>664</v>
      </c>
      <c r="G331">
        <v>48.9</v>
      </c>
      <c r="H331" s="1">
        <v>108.68</v>
      </c>
      <c r="I331">
        <f t="shared" si="20"/>
        <v>56.235</v>
      </c>
      <c r="J331">
        <f t="shared" si="21"/>
        <v>58.68</v>
      </c>
      <c r="K331">
        <f t="shared" si="22"/>
        <v>63.57</v>
      </c>
      <c r="L331">
        <f t="shared" si="23"/>
        <v>68.46</v>
      </c>
    </row>
    <row r="332" spans="1:12">
      <c r="A332" t="s">
        <v>13</v>
      </c>
      <c r="B332" s="14" t="s">
        <v>665</v>
      </c>
      <c r="C332" s="20" t="s">
        <v>666</v>
      </c>
      <c r="D332" s="20" t="s">
        <v>666</v>
      </c>
      <c r="E332" s="20" t="s">
        <v>666</v>
      </c>
      <c r="F332" s="20" t="s">
        <v>666</v>
      </c>
      <c r="G332">
        <v>82.24</v>
      </c>
      <c r="H332" s="1">
        <v>182.79</v>
      </c>
      <c r="I332">
        <f t="shared" si="20"/>
        <v>94.576</v>
      </c>
      <c r="J332">
        <f t="shared" si="21"/>
        <v>98.688</v>
      </c>
      <c r="K332">
        <f t="shared" si="22"/>
        <v>106.912</v>
      </c>
      <c r="L332">
        <f t="shared" si="23"/>
        <v>115.136</v>
      </c>
    </row>
    <row r="333" spans="1:12">
      <c r="A333" t="s">
        <v>13</v>
      </c>
      <c r="B333" s="14" t="s">
        <v>667</v>
      </c>
      <c r="C333" s="20" t="s">
        <v>668</v>
      </c>
      <c r="D333" s="20" t="s">
        <v>668</v>
      </c>
      <c r="E333" s="20" t="s">
        <v>668</v>
      </c>
      <c r="F333" s="20" t="s">
        <v>668</v>
      </c>
      <c r="G333">
        <v>79.43</v>
      </c>
      <c r="H333" s="1">
        <v>176.49</v>
      </c>
      <c r="I333">
        <f t="shared" si="20"/>
        <v>91.3445</v>
      </c>
      <c r="J333">
        <f t="shared" si="21"/>
        <v>95.316</v>
      </c>
      <c r="K333">
        <f t="shared" si="22"/>
        <v>103.259</v>
      </c>
      <c r="L333">
        <f t="shared" si="23"/>
        <v>111.202</v>
      </c>
    </row>
    <row r="334" spans="1:12">
      <c r="A334" t="s">
        <v>13</v>
      </c>
      <c r="B334" s="14" t="s">
        <v>669</v>
      </c>
      <c r="C334" s="20" t="s">
        <v>670</v>
      </c>
      <c r="D334" s="20" t="s">
        <v>670</v>
      </c>
      <c r="E334" s="20" t="s">
        <v>670</v>
      </c>
      <c r="F334" s="20" t="s">
        <v>670</v>
      </c>
      <c r="G334">
        <v>50.84</v>
      </c>
      <c r="H334" s="1">
        <v>112.99</v>
      </c>
      <c r="I334">
        <f t="shared" si="20"/>
        <v>58.466</v>
      </c>
      <c r="J334">
        <f t="shared" si="21"/>
        <v>61.008</v>
      </c>
      <c r="K334">
        <f t="shared" si="22"/>
        <v>66.092</v>
      </c>
      <c r="L334">
        <f t="shared" si="23"/>
        <v>71.176</v>
      </c>
    </row>
    <row r="335" spans="1:12">
      <c r="A335" t="s">
        <v>13</v>
      </c>
      <c r="B335" s="14" t="s">
        <v>671</v>
      </c>
      <c r="C335" s="20" t="s">
        <v>672</v>
      </c>
      <c r="D335" s="20" t="s">
        <v>672</v>
      </c>
      <c r="E335" s="20" t="s">
        <v>672</v>
      </c>
      <c r="F335" s="20" t="s">
        <v>672</v>
      </c>
      <c r="G335">
        <v>164.14</v>
      </c>
      <c r="H335" s="1">
        <v>364.76</v>
      </c>
      <c r="I335">
        <f t="shared" si="20"/>
        <v>188.761</v>
      </c>
      <c r="J335">
        <f t="shared" si="21"/>
        <v>196.968</v>
      </c>
      <c r="K335">
        <f t="shared" si="22"/>
        <v>213.382</v>
      </c>
      <c r="L335">
        <f t="shared" si="23"/>
        <v>229.796</v>
      </c>
    </row>
    <row r="336" spans="1:12">
      <c r="A336" t="s">
        <v>13</v>
      </c>
      <c r="B336" s="14" t="s">
        <v>673</v>
      </c>
      <c r="C336" s="20" t="s">
        <v>674</v>
      </c>
      <c r="D336" s="20" t="s">
        <v>674</v>
      </c>
      <c r="E336" s="20" t="s">
        <v>674</v>
      </c>
      <c r="F336" s="20" t="s">
        <v>674</v>
      </c>
      <c r="G336">
        <v>164.04</v>
      </c>
      <c r="H336" s="1">
        <v>364.51</v>
      </c>
      <c r="I336">
        <f t="shared" si="20"/>
        <v>188.646</v>
      </c>
      <c r="J336">
        <f t="shared" si="21"/>
        <v>196.848</v>
      </c>
      <c r="K336">
        <f t="shared" si="22"/>
        <v>213.252</v>
      </c>
      <c r="L336">
        <f t="shared" si="23"/>
        <v>229.656</v>
      </c>
    </row>
    <row r="337" spans="1:12">
      <c r="A337" t="s">
        <v>13</v>
      </c>
      <c r="B337" s="14" t="s">
        <v>675</v>
      </c>
      <c r="C337" s="20" t="s">
        <v>676</v>
      </c>
      <c r="D337" s="20" t="s">
        <v>676</v>
      </c>
      <c r="E337" s="20" t="s">
        <v>676</v>
      </c>
      <c r="F337" s="20" t="s">
        <v>676</v>
      </c>
      <c r="G337">
        <v>174</v>
      </c>
      <c r="H337" s="1">
        <v>386.67</v>
      </c>
      <c r="I337">
        <f t="shared" si="20"/>
        <v>200.1</v>
      </c>
      <c r="J337">
        <f t="shared" si="21"/>
        <v>208.8</v>
      </c>
      <c r="K337">
        <f t="shared" si="22"/>
        <v>226.2</v>
      </c>
      <c r="L337">
        <f t="shared" si="23"/>
        <v>243.6</v>
      </c>
    </row>
    <row r="338" ht="28.5" spans="1:12">
      <c r="A338" t="s">
        <v>13</v>
      </c>
      <c r="B338" s="14" t="s">
        <v>677</v>
      </c>
      <c r="C338" s="20" t="s">
        <v>678</v>
      </c>
      <c r="D338" s="20" t="s">
        <v>678</v>
      </c>
      <c r="E338" s="20" t="s">
        <v>678</v>
      </c>
      <c r="F338" s="20" t="s">
        <v>678</v>
      </c>
      <c r="G338">
        <v>5.41</v>
      </c>
      <c r="H338" s="1">
        <v>12.03</v>
      </c>
      <c r="I338">
        <f t="shared" si="20"/>
        <v>6.2215</v>
      </c>
      <c r="J338">
        <f t="shared" si="21"/>
        <v>6.492</v>
      </c>
      <c r="K338">
        <f t="shared" si="22"/>
        <v>7.033</v>
      </c>
      <c r="L338">
        <f t="shared" si="23"/>
        <v>7.574</v>
      </c>
    </row>
    <row r="339" spans="1:12">
      <c r="A339" t="s">
        <v>13</v>
      </c>
      <c r="B339" s="14" t="s">
        <v>679</v>
      </c>
      <c r="C339" s="20" t="s">
        <v>680</v>
      </c>
      <c r="D339" s="20" t="s">
        <v>680</v>
      </c>
      <c r="E339" s="20" t="s">
        <v>680</v>
      </c>
      <c r="F339" s="20" t="s">
        <v>680</v>
      </c>
      <c r="G339">
        <v>54.52</v>
      </c>
      <c r="H339" s="1">
        <v>121.15</v>
      </c>
      <c r="I339">
        <f t="shared" si="20"/>
        <v>62.698</v>
      </c>
      <c r="J339">
        <f t="shared" si="21"/>
        <v>65.424</v>
      </c>
      <c r="K339">
        <f t="shared" si="22"/>
        <v>70.876</v>
      </c>
      <c r="L339">
        <f t="shared" si="23"/>
        <v>76.328</v>
      </c>
    </row>
    <row r="340" ht="28.5" spans="1:12">
      <c r="A340" t="s">
        <v>13</v>
      </c>
      <c r="B340" s="14" t="s">
        <v>681</v>
      </c>
      <c r="C340" s="20" t="s">
        <v>682</v>
      </c>
      <c r="D340" s="20" t="s">
        <v>682</v>
      </c>
      <c r="E340" s="20" t="s">
        <v>682</v>
      </c>
      <c r="F340" s="20" t="s">
        <v>682</v>
      </c>
      <c r="G340">
        <v>47.86</v>
      </c>
      <c r="H340" s="1">
        <v>106.35</v>
      </c>
      <c r="I340">
        <f t="shared" si="20"/>
        <v>55.039</v>
      </c>
      <c r="J340">
        <f t="shared" si="21"/>
        <v>57.432</v>
      </c>
      <c r="K340">
        <f t="shared" si="22"/>
        <v>62.218</v>
      </c>
      <c r="L340">
        <f t="shared" si="23"/>
        <v>67.004</v>
      </c>
    </row>
    <row r="341" spans="1:12">
      <c r="A341" t="s">
        <v>13</v>
      </c>
      <c r="B341" s="14" t="s">
        <v>683</v>
      </c>
      <c r="C341" s="20" t="s">
        <v>684</v>
      </c>
      <c r="D341" s="20" t="s">
        <v>684</v>
      </c>
      <c r="E341" s="20" t="s">
        <v>684</v>
      </c>
      <c r="F341" s="20" t="s">
        <v>684</v>
      </c>
      <c r="G341">
        <v>41.52</v>
      </c>
      <c r="H341" s="1">
        <v>92.27</v>
      </c>
      <c r="I341">
        <f t="shared" si="20"/>
        <v>47.748</v>
      </c>
      <c r="J341">
        <f t="shared" si="21"/>
        <v>49.824</v>
      </c>
      <c r="K341">
        <f t="shared" si="22"/>
        <v>53.976</v>
      </c>
      <c r="L341">
        <f t="shared" si="23"/>
        <v>58.128</v>
      </c>
    </row>
    <row r="342" spans="1:12">
      <c r="A342" t="s">
        <v>13</v>
      </c>
      <c r="B342" s="14" t="s">
        <v>685</v>
      </c>
      <c r="C342" s="20" t="s">
        <v>686</v>
      </c>
      <c r="D342" s="20" t="s">
        <v>686</v>
      </c>
      <c r="E342" s="20" t="s">
        <v>686</v>
      </c>
      <c r="F342" s="20" t="s">
        <v>686</v>
      </c>
      <c r="G342">
        <v>39.97</v>
      </c>
      <c r="H342" s="1">
        <v>88.79</v>
      </c>
      <c r="I342">
        <f t="shared" si="20"/>
        <v>45.9655</v>
      </c>
      <c r="J342">
        <f t="shared" si="21"/>
        <v>47.964</v>
      </c>
      <c r="K342">
        <f t="shared" si="22"/>
        <v>51.961</v>
      </c>
      <c r="L342">
        <f t="shared" si="23"/>
        <v>55.958</v>
      </c>
    </row>
    <row r="343" spans="1:12">
      <c r="A343" t="s">
        <v>13</v>
      </c>
      <c r="B343" s="14" t="s">
        <v>687</v>
      </c>
      <c r="C343" s="20" t="s">
        <v>688</v>
      </c>
      <c r="D343" s="20" t="s">
        <v>688</v>
      </c>
      <c r="E343" s="20" t="s">
        <v>688</v>
      </c>
      <c r="F343" s="20" t="s">
        <v>688</v>
      </c>
      <c r="G343">
        <v>53</v>
      </c>
      <c r="H343" s="1">
        <v>117.77</v>
      </c>
      <c r="I343">
        <f t="shared" si="20"/>
        <v>60.95</v>
      </c>
      <c r="J343">
        <f t="shared" si="21"/>
        <v>63.6</v>
      </c>
      <c r="K343">
        <f t="shared" si="22"/>
        <v>68.9</v>
      </c>
      <c r="L343">
        <f t="shared" si="23"/>
        <v>74.2</v>
      </c>
    </row>
    <row r="344" spans="1:12">
      <c r="A344" t="s">
        <v>13</v>
      </c>
      <c r="B344" s="14" t="s">
        <v>689</v>
      </c>
      <c r="C344" s="20" t="s">
        <v>690</v>
      </c>
      <c r="D344" s="20" t="s">
        <v>690</v>
      </c>
      <c r="E344" s="20" t="s">
        <v>690</v>
      </c>
      <c r="F344" s="20" t="s">
        <v>690</v>
      </c>
      <c r="G344">
        <v>44.97</v>
      </c>
      <c r="H344" s="1">
        <v>99.91</v>
      </c>
      <c r="I344">
        <f t="shared" si="20"/>
        <v>51.7155</v>
      </c>
      <c r="J344">
        <f t="shared" si="21"/>
        <v>53.964</v>
      </c>
      <c r="K344">
        <f t="shared" si="22"/>
        <v>58.461</v>
      </c>
      <c r="L344">
        <f t="shared" si="23"/>
        <v>62.958</v>
      </c>
    </row>
    <row r="345" spans="1:12">
      <c r="A345" t="s">
        <v>13</v>
      </c>
      <c r="B345" s="14" t="s">
        <v>691</v>
      </c>
      <c r="C345" s="20" t="s">
        <v>692</v>
      </c>
      <c r="D345" s="20" t="s">
        <v>692</v>
      </c>
      <c r="E345" s="20" t="s">
        <v>692</v>
      </c>
      <c r="F345" s="20" t="s">
        <v>692</v>
      </c>
      <c r="G345">
        <v>59.5</v>
      </c>
      <c r="H345" s="1">
        <v>132.19</v>
      </c>
      <c r="I345">
        <f t="shared" si="20"/>
        <v>68.425</v>
      </c>
      <c r="J345">
        <f t="shared" si="21"/>
        <v>71.4</v>
      </c>
      <c r="K345">
        <f t="shared" si="22"/>
        <v>77.35</v>
      </c>
      <c r="L345">
        <f t="shared" si="23"/>
        <v>83.3</v>
      </c>
    </row>
    <row r="346" spans="1:12">
      <c r="A346" t="s">
        <v>13</v>
      </c>
      <c r="B346" s="14" t="s">
        <v>693</v>
      </c>
      <c r="C346" s="20" t="s">
        <v>694</v>
      </c>
      <c r="D346" s="20" t="s">
        <v>694</v>
      </c>
      <c r="E346" s="20" t="s">
        <v>694</v>
      </c>
      <c r="F346" s="20" t="s">
        <v>694</v>
      </c>
      <c r="G346">
        <v>53.19</v>
      </c>
      <c r="H346" s="1">
        <v>118.22</v>
      </c>
      <c r="I346">
        <f t="shared" si="20"/>
        <v>61.1685</v>
      </c>
      <c r="J346">
        <f t="shared" si="21"/>
        <v>63.828</v>
      </c>
      <c r="K346">
        <f t="shared" si="22"/>
        <v>69.147</v>
      </c>
      <c r="L346">
        <f t="shared" si="23"/>
        <v>74.466</v>
      </c>
    </row>
    <row r="347" spans="1:12">
      <c r="A347" t="s">
        <v>13</v>
      </c>
      <c r="B347" s="14" t="s">
        <v>695</v>
      </c>
      <c r="C347" s="20" t="s">
        <v>696</v>
      </c>
      <c r="D347" s="20" t="s">
        <v>696</v>
      </c>
      <c r="E347" s="20" t="s">
        <v>696</v>
      </c>
      <c r="F347" s="20" t="s">
        <v>696</v>
      </c>
      <c r="G347">
        <v>44.72</v>
      </c>
      <c r="H347" s="1">
        <v>99.37</v>
      </c>
      <c r="I347">
        <f t="shared" si="20"/>
        <v>51.428</v>
      </c>
      <c r="J347">
        <f t="shared" si="21"/>
        <v>53.664</v>
      </c>
      <c r="K347">
        <f t="shared" si="22"/>
        <v>58.136</v>
      </c>
      <c r="L347">
        <f t="shared" si="23"/>
        <v>62.608</v>
      </c>
    </row>
    <row r="348" spans="1:12">
      <c r="A348" t="s">
        <v>13</v>
      </c>
      <c r="B348" s="14" t="s">
        <v>697</v>
      </c>
      <c r="C348" s="20" t="s">
        <v>698</v>
      </c>
      <c r="D348" s="20" t="s">
        <v>698</v>
      </c>
      <c r="E348" s="20" t="s">
        <v>698</v>
      </c>
      <c r="F348" s="20" t="s">
        <v>698</v>
      </c>
      <c r="G348">
        <v>41.86</v>
      </c>
      <c r="H348" s="1">
        <v>93.05</v>
      </c>
      <c r="I348">
        <f t="shared" si="20"/>
        <v>48.139</v>
      </c>
      <c r="J348">
        <f t="shared" si="21"/>
        <v>50.232</v>
      </c>
      <c r="K348">
        <f t="shared" si="22"/>
        <v>54.418</v>
      </c>
      <c r="L348">
        <f t="shared" si="23"/>
        <v>58.604</v>
      </c>
    </row>
    <row r="349" spans="1:12">
      <c r="A349" t="s">
        <v>13</v>
      </c>
      <c r="B349" s="14" t="s">
        <v>699</v>
      </c>
      <c r="C349" s="20" t="s">
        <v>700</v>
      </c>
      <c r="D349" s="20" t="s">
        <v>700</v>
      </c>
      <c r="E349" s="20" t="s">
        <v>700</v>
      </c>
      <c r="F349" s="20" t="s">
        <v>700</v>
      </c>
      <c r="G349">
        <v>8.54</v>
      </c>
      <c r="H349" s="1">
        <v>18.99</v>
      </c>
      <c r="I349">
        <f t="shared" si="20"/>
        <v>9.821</v>
      </c>
      <c r="J349">
        <f t="shared" si="21"/>
        <v>10.248</v>
      </c>
      <c r="K349">
        <f t="shared" si="22"/>
        <v>11.102</v>
      </c>
      <c r="L349">
        <f t="shared" si="23"/>
        <v>11.956</v>
      </c>
    </row>
    <row r="350" spans="1:12">
      <c r="A350" t="s">
        <v>13</v>
      </c>
      <c r="B350" s="14" t="s">
        <v>701</v>
      </c>
      <c r="C350" s="20" t="s">
        <v>702</v>
      </c>
      <c r="D350" s="20" t="s">
        <v>702</v>
      </c>
      <c r="E350" s="20" t="s">
        <v>702</v>
      </c>
      <c r="F350" s="20" t="s">
        <v>702</v>
      </c>
      <c r="G350">
        <v>6.22</v>
      </c>
      <c r="H350" s="1">
        <v>13.82</v>
      </c>
      <c r="I350">
        <f t="shared" si="20"/>
        <v>7.153</v>
      </c>
      <c r="J350">
        <f t="shared" si="21"/>
        <v>7.464</v>
      </c>
      <c r="K350">
        <f t="shared" si="22"/>
        <v>8.086</v>
      </c>
      <c r="L350">
        <f t="shared" si="23"/>
        <v>8.708</v>
      </c>
    </row>
    <row r="351" spans="1:12">
      <c r="A351" t="s">
        <v>13</v>
      </c>
      <c r="B351" s="14" t="s">
        <v>703</v>
      </c>
      <c r="C351" s="20" t="s">
        <v>704</v>
      </c>
      <c r="D351" s="20" t="s">
        <v>704</v>
      </c>
      <c r="E351" s="20" t="s">
        <v>704</v>
      </c>
      <c r="F351" s="20" t="s">
        <v>704</v>
      </c>
      <c r="G351">
        <v>38.42</v>
      </c>
      <c r="H351" s="1">
        <v>85.38</v>
      </c>
      <c r="I351">
        <f t="shared" si="20"/>
        <v>44.183</v>
      </c>
      <c r="J351">
        <f t="shared" si="21"/>
        <v>46.104</v>
      </c>
      <c r="K351">
        <f t="shared" si="22"/>
        <v>49.946</v>
      </c>
      <c r="L351">
        <f t="shared" si="23"/>
        <v>53.788</v>
      </c>
    </row>
    <row r="352" spans="1:12">
      <c r="A352" t="s">
        <v>13</v>
      </c>
      <c r="B352" s="14" t="s">
        <v>705</v>
      </c>
      <c r="C352" s="20" t="s">
        <v>706</v>
      </c>
      <c r="D352" s="20" t="s">
        <v>706</v>
      </c>
      <c r="E352" s="20" t="s">
        <v>706</v>
      </c>
      <c r="F352" s="20" t="s">
        <v>706</v>
      </c>
      <c r="G352">
        <v>57.23</v>
      </c>
      <c r="H352" s="1">
        <v>127.2</v>
      </c>
      <c r="I352">
        <f t="shared" si="20"/>
        <v>65.8145</v>
      </c>
      <c r="J352">
        <f t="shared" si="21"/>
        <v>68.676</v>
      </c>
      <c r="K352">
        <f t="shared" si="22"/>
        <v>74.399</v>
      </c>
      <c r="L352">
        <f t="shared" si="23"/>
        <v>80.122</v>
      </c>
    </row>
    <row r="353" spans="1:12">
      <c r="A353" t="s">
        <v>13</v>
      </c>
      <c r="B353" s="14" t="s">
        <v>707</v>
      </c>
      <c r="C353" s="20" t="s">
        <v>708</v>
      </c>
      <c r="D353" s="20" t="s">
        <v>708</v>
      </c>
      <c r="E353" s="20" t="s">
        <v>708</v>
      </c>
      <c r="F353" s="20" t="s">
        <v>708</v>
      </c>
      <c r="G353">
        <v>55.75</v>
      </c>
      <c r="H353" s="1">
        <v>123.88</v>
      </c>
      <c r="I353">
        <f t="shared" si="20"/>
        <v>64.1125</v>
      </c>
      <c r="J353">
        <f t="shared" si="21"/>
        <v>66.9</v>
      </c>
      <c r="K353">
        <f t="shared" si="22"/>
        <v>72.475</v>
      </c>
      <c r="L353">
        <f t="shared" si="23"/>
        <v>78.05</v>
      </c>
    </row>
    <row r="354" spans="1:12">
      <c r="A354" t="s">
        <v>13</v>
      </c>
      <c r="B354" s="14" t="s">
        <v>709</v>
      </c>
      <c r="C354" s="20" t="s">
        <v>710</v>
      </c>
      <c r="D354" s="20" t="s">
        <v>710</v>
      </c>
      <c r="E354" s="20" t="s">
        <v>710</v>
      </c>
      <c r="F354" s="20" t="s">
        <v>710</v>
      </c>
      <c r="G354">
        <v>59.5</v>
      </c>
      <c r="H354" s="1">
        <v>132.24</v>
      </c>
      <c r="I354">
        <f t="shared" si="20"/>
        <v>68.425</v>
      </c>
      <c r="J354">
        <f t="shared" si="21"/>
        <v>71.4</v>
      </c>
      <c r="K354">
        <f t="shared" si="22"/>
        <v>77.35</v>
      </c>
      <c r="L354">
        <f t="shared" si="23"/>
        <v>83.3</v>
      </c>
    </row>
    <row r="355" ht="28.5" spans="1:12">
      <c r="A355" t="s">
        <v>13</v>
      </c>
      <c r="B355" s="14" t="s">
        <v>711</v>
      </c>
      <c r="C355" s="20" t="s">
        <v>712</v>
      </c>
      <c r="D355" s="20" t="s">
        <v>712</v>
      </c>
      <c r="E355" s="20" t="s">
        <v>712</v>
      </c>
      <c r="F355" s="20" t="s">
        <v>712</v>
      </c>
      <c r="G355">
        <v>56.99</v>
      </c>
      <c r="H355" s="1">
        <v>126.66</v>
      </c>
      <c r="I355">
        <f t="shared" si="20"/>
        <v>65.5385</v>
      </c>
      <c r="J355">
        <f t="shared" si="21"/>
        <v>68.388</v>
      </c>
      <c r="K355">
        <f t="shared" si="22"/>
        <v>74.087</v>
      </c>
      <c r="L355">
        <f t="shared" si="23"/>
        <v>79.786</v>
      </c>
    </row>
    <row r="356" spans="1:12">
      <c r="A356" t="s">
        <v>13</v>
      </c>
      <c r="B356" s="14" t="s">
        <v>713</v>
      </c>
      <c r="C356" s="20" t="s">
        <v>714</v>
      </c>
      <c r="D356" s="20" t="s">
        <v>714</v>
      </c>
      <c r="E356" s="20" t="s">
        <v>714</v>
      </c>
      <c r="F356" s="20" t="s">
        <v>714</v>
      </c>
      <c r="G356">
        <v>58.19</v>
      </c>
      <c r="H356" s="1">
        <v>129.31</v>
      </c>
      <c r="I356">
        <f t="shared" si="20"/>
        <v>66.9185</v>
      </c>
      <c r="J356">
        <f t="shared" si="21"/>
        <v>69.828</v>
      </c>
      <c r="K356">
        <f t="shared" si="22"/>
        <v>75.647</v>
      </c>
      <c r="L356">
        <f t="shared" si="23"/>
        <v>81.466</v>
      </c>
    </row>
    <row r="357" spans="1:12">
      <c r="A357" t="s">
        <v>13</v>
      </c>
      <c r="B357" s="14" t="s">
        <v>715</v>
      </c>
      <c r="C357" s="20" t="s">
        <v>716</v>
      </c>
      <c r="D357" s="20" t="s">
        <v>716</v>
      </c>
      <c r="E357" s="20" t="s">
        <v>716</v>
      </c>
      <c r="F357" s="20" t="s">
        <v>716</v>
      </c>
      <c r="G357">
        <v>46.95</v>
      </c>
      <c r="H357" s="1">
        <v>104.31</v>
      </c>
      <c r="I357">
        <f t="shared" si="20"/>
        <v>53.9925</v>
      </c>
      <c r="J357">
        <f t="shared" si="21"/>
        <v>56.34</v>
      </c>
      <c r="K357">
        <f t="shared" si="22"/>
        <v>61.035</v>
      </c>
      <c r="L357">
        <f t="shared" si="23"/>
        <v>65.73</v>
      </c>
    </row>
    <row r="358" spans="1:12">
      <c r="A358" t="s">
        <v>13</v>
      </c>
      <c r="B358" s="14" t="s">
        <v>717</v>
      </c>
      <c r="C358" s="20" t="s">
        <v>718</v>
      </c>
      <c r="D358" s="20" t="s">
        <v>718</v>
      </c>
      <c r="E358" s="20" t="s">
        <v>718</v>
      </c>
      <c r="F358" s="20" t="s">
        <v>718</v>
      </c>
      <c r="G358">
        <v>53.56</v>
      </c>
      <c r="H358" s="1">
        <v>119.01</v>
      </c>
      <c r="I358">
        <f t="shared" si="20"/>
        <v>61.594</v>
      </c>
      <c r="J358">
        <f t="shared" si="21"/>
        <v>64.272</v>
      </c>
      <c r="K358">
        <f t="shared" si="22"/>
        <v>69.628</v>
      </c>
      <c r="L358">
        <f t="shared" si="23"/>
        <v>74.984</v>
      </c>
    </row>
    <row r="359" spans="1:12">
      <c r="A359" t="s">
        <v>13</v>
      </c>
      <c r="B359" s="14" t="s">
        <v>719</v>
      </c>
      <c r="C359" s="20" t="s">
        <v>720</v>
      </c>
      <c r="D359" s="20" t="s">
        <v>720</v>
      </c>
      <c r="E359" s="20" t="s">
        <v>720</v>
      </c>
      <c r="F359" s="20" t="s">
        <v>720</v>
      </c>
      <c r="G359">
        <v>49.84</v>
      </c>
      <c r="H359" s="1">
        <v>110.76</v>
      </c>
      <c r="I359">
        <f t="shared" si="20"/>
        <v>57.316</v>
      </c>
      <c r="J359">
        <f t="shared" si="21"/>
        <v>59.808</v>
      </c>
      <c r="K359">
        <f t="shared" si="22"/>
        <v>64.792</v>
      </c>
      <c r="L359">
        <f t="shared" si="23"/>
        <v>69.776</v>
      </c>
    </row>
    <row r="360" spans="1:12">
      <c r="A360" t="s">
        <v>13</v>
      </c>
      <c r="B360" s="14" t="s">
        <v>721</v>
      </c>
      <c r="C360" s="20" t="s">
        <v>722</v>
      </c>
      <c r="D360" s="20" t="s">
        <v>722</v>
      </c>
      <c r="E360" s="20" t="s">
        <v>722</v>
      </c>
      <c r="F360" s="20" t="s">
        <v>722</v>
      </c>
      <c r="G360">
        <v>57.55</v>
      </c>
      <c r="H360" s="1">
        <v>127.91</v>
      </c>
      <c r="I360">
        <f t="shared" si="20"/>
        <v>66.1825</v>
      </c>
      <c r="J360">
        <f t="shared" si="21"/>
        <v>69.06</v>
      </c>
      <c r="K360">
        <f t="shared" si="22"/>
        <v>74.815</v>
      </c>
      <c r="L360">
        <f t="shared" si="23"/>
        <v>80.57</v>
      </c>
    </row>
    <row r="361" spans="1:12">
      <c r="A361" t="s">
        <v>13</v>
      </c>
      <c r="B361" s="14" t="s">
        <v>723</v>
      </c>
      <c r="C361" s="20" t="s">
        <v>724</v>
      </c>
      <c r="D361" s="20" t="s">
        <v>724</v>
      </c>
      <c r="E361" s="20" t="s">
        <v>724</v>
      </c>
      <c r="F361" s="20" t="s">
        <v>724</v>
      </c>
      <c r="G361">
        <v>54.05</v>
      </c>
      <c r="H361" s="1">
        <v>120.09</v>
      </c>
      <c r="I361">
        <f t="shared" si="20"/>
        <v>62.1575</v>
      </c>
      <c r="J361">
        <f t="shared" si="21"/>
        <v>64.86</v>
      </c>
      <c r="K361">
        <f t="shared" si="22"/>
        <v>70.265</v>
      </c>
      <c r="L361">
        <f t="shared" si="23"/>
        <v>75.67</v>
      </c>
    </row>
    <row r="362" spans="1:12">
      <c r="A362" t="s">
        <v>13</v>
      </c>
      <c r="B362" s="14" t="s">
        <v>725</v>
      </c>
      <c r="C362" s="20" t="s">
        <v>726</v>
      </c>
      <c r="D362" s="20" t="s">
        <v>726</v>
      </c>
      <c r="E362" s="20" t="s">
        <v>726</v>
      </c>
      <c r="F362" s="20" t="s">
        <v>726</v>
      </c>
      <c r="G362">
        <v>50.88</v>
      </c>
      <c r="H362" s="1">
        <v>113.05</v>
      </c>
      <c r="I362">
        <f t="shared" si="20"/>
        <v>58.512</v>
      </c>
      <c r="J362">
        <f t="shared" si="21"/>
        <v>61.056</v>
      </c>
      <c r="K362">
        <f t="shared" si="22"/>
        <v>66.144</v>
      </c>
      <c r="L362">
        <f t="shared" si="23"/>
        <v>71.232</v>
      </c>
    </row>
    <row r="363" spans="1:12">
      <c r="A363" t="s">
        <v>13</v>
      </c>
      <c r="B363" s="14" t="s">
        <v>727</v>
      </c>
      <c r="C363" s="20" t="s">
        <v>728</v>
      </c>
      <c r="D363" s="20" t="s">
        <v>728</v>
      </c>
      <c r="E363" s="20" t="s">
        <v>728</v>
      </c>
      <c r="F363" s="20" t="s">
        <v>728</v>
      </c>
      <c r="G363">
        <v>42.56</v>
      </c>
      <c r="H363" s="1">
        <v>94.55</v>
      </c>
      <c r="I363">
        <f t="shared" si="20"/>
        <v>48.944</v>
      </c>
      <c r="J363">
        <f t="shared" si="21"/>
        <v>51.072</v>
      </c>
      <c r="K363">
        <f t="shared" si="22"/>
        <v>55.328</v>
      </c>
      <c r="L363">
        <f t="shared" si="23"/>
        <v>59.584</v>
      </c>
    </row>
    <row r="364" spans="1:12">
      <c r="A364" t="s">
        <v>13</v>
      </c>
      <c r="B364" s="14" t="s">
        <v>729</v>
      </c>
      <c r="C364" s="20" t="s">
        <v>730</v>
      </c>
      <c r="D364" s="20" t="s">
        <v>730</v>
      </c>
      <c r="E364" s="20" t="s">
        <v>730</v>
      </c>
      <c r="F364" s="20" t="s">
        <v>730</v>
      </c>
      <c r="G364">
        <v>48.06</v>
      </c>
      <c r="H364" s="1">
        <v>106.8</v>
      </c>
      <c r="I364">
        <f t="shared" si="20"/>
        <v>55.269</v>
      </c>
      <c r="J364">
        <f t="shared" si="21"/>
        <v>57.672</v>
      </c>
      <c r="K364">
        <f t="shared" si="22"/>
        <v>62.478</v>
      </c>
      <c r="L364">
        <f t="shared" si="23"/>
        <v>67.284</v>
      </c>
    </row>
    <row r="365" spans="1:12">
      <c r="A365" t="s">
        <v>13</v>
      </c>
      <c r="B365" s="14" t="s">
        <v>731</v>
      </c>
      <c r="C365" s="20" t="s">
        <v>732</v>
      </c>
      <c r="D365" s="20" t="s">
        <v>732</v>
      </c>
      <c r="E365" s="20" t="s">
        <v>732</v>
      </c>
      <c r="F365" s="20" t="s">
        <v>732</v>
      </c>
      <c r="G365">
        <v>46.36</v>
      </c>
      <c r="H365" s="1">
        <v>103.05</v>
      </c>
      <c r="I365">
        <f t="shared" si="20"/>
        <v>53.314</v>
      </c>
      <c r="J365">
        <f t="shared" si="21"/>
        <v>55.632</v>
      </c>
      <c r="K365">
        <f t="shared" si="22"/>
        <v>60.268</v>
      </c>
      <c r="L365">
        <f t="shared" si="23"/>
        <v>64.904</v>
      </c>
    </row>
    <row r="366" spans="1:12">
      <c r="A366" t="s">
        <v>13</v>
      </c>
      <c r="B366" s="14" t="s">
        <v>733</v>
      </c>
      <c r="C366" s="20" t="s">
        <v>734</v>
      </c>
      <c r="D366" s="20" t="s">
        <v>734</v>
      </c>
      <c r="E366" s="20" t="s">
        <v>734</v>
      </c>
      <c r="F366" s="20" t="s">
        <v>734</v>
      </c>
      <c r="G366">
        <v>68.42</v>
      </c>
      <c r="H366" s="1">
        <v>152.07</v>
      </c>
      <c r="I366">
        <f t="shared" si="20"/>
        <v>78.683</v>
      </c>
      <c r="J366">
        <f t="shared" si="21"/>
        <v>82.104</v>
      </c>
      <c r="K366">
        <f t="shared" si="22"/>
        <v>88.946</v>
      </c>
      <c r="L366">
        <f t="shared" si="23"/>
        <v>95.788</v>
      </c>
    </row>
    <row r="367" spans="1:12">
      <c r="A367" t="s">
        <v>13</v>
      </c>
      <c r="B367" s="14" t="s">
        <v>735</v>
      </c>
      <c r="C367" s="20" t="s">
        <v>736</v>
      </c>
      <c r="D367" s="20" t="s">
        <v>736</v>
      </c>
      <c r="E367" s="20" t="s">
        <v>736</v>
      </c>
      <c r="F367" s="20" t="s">
        <v>736</v>
      </c>
      <c r="G367">
        <v>62.22</v>
      </c>
      <c r="H367" s="1">
        <v>138.25</v>
      </c>
      <c r="I367">
        <f t="shared" si="20"/>
        <v>71.553</v>
      </c>
      <c r="J367">
        <f t="shared" si="21"/>
        <v>74.664</v>
      </c>
      <c r="K367">
        <f t="shared" si="22"/>
        <v>80.886</v>
      </c>
      <c r="L367">
        <f t="shared" si="23"/>
        <v>87.108</v>
      </c>
    </row>
    <row r="368" spans="1:12">
      <c r="A368" t="s">
        <v>13</v>
      </c>
      <c r="B368" s="14" t="s">
        <v>737</v>
      </c>
      <c r="C368" s="20" t="s">
        <v>738</v>
      </c>
      <c r="D368" s="20" t="s">
        <v>738</v>
      </c>
      <c r="E368" s="20" t="s">
        <v>738</v>
      </c>
      <c r="F368" s="20" t="s">
        <v>738</v>
      </c>
      <c r="G368">
        <v>90.5</v>
      </c>
      <c r="H368" s="1">
        <v>201.12</v>
      </c>
      <c r="I368">
        <f t="shared" si="20"/>
        <v>104.075</v>
      </c>
      <c r="J368">
        <f t="shared" si="21"/>
        <v>108.6</v>
      </c>
      <c r="K368">
        <f t="shared" si="22"/>
        <v>117.65</v>
      </c>
      <c r="L368">
        <f t="shared" si="23"/>
        <v>126.7</v>
      </c>
    </row>
    <row r="369" spans="1:12">
      <c r="A369" t="s">
        <v>13</v>
      </c>
      <c r="B369" s="14" t="s">
        <v>739</v>
      </c>
      <c r="C369" s="20" t="s">
        <v>740</v>
      </c>
      <c r="D369" s="20" t="s">
        <v>740</v>
      </c>
      <c r="E369" s="20" t="s">
        <v>740</v>
      </c>
      <c r="F369" s="20" t="s">
        <v>740</v>
      </c>
      <c r="G369">
        <v>85.92</v>
      </c>
      <c r="H369" s="1">
        <v>190.92</v>
      </c>
      <c r="I369">
        <f t="shared" si="20"/>
        <v>98.808</v>
      </c>
      <c r="J369">
        <f t="shared" si="21"/>
        <v>103.104</v>
      </c>
      <c r="K369">
        <f t="shared" si="22"/>
        <v>111.696</v>
      </c>
      <c r="L369">
        <f t="shared" si="23"/>
        <v>120.288</v>
      </c>
    </row>
    <row r="370" spans="1:12">
      <c r="A370" t="s">
        <v>13</v>
      </c>
      <c r="B370" s="14" t="s">
        <v>741</v>
      </c>
      <c r="C370" s="20" t="s">
        <v>742</v>
      </c>
      <c r="D370" s="20" t="s">
        <v>742</v>
      </c>
      <c r="E370" s="20" t="s">
        <v>742</v>
      </c>
      <c r="F370" s="20" t="s">
        <v>742</v>
      </c>
      <c r="G370">
        <v>18.53</v>
      </c>
      <c r="H370" s="1">
        <v>41.14</v>
      </c>
      <c r="I370">
        <f t="shared" si="20"/>
        <v>21.3095</v>
      </c>
      <c r="J370">
        <f t="shared" si="21"/>
        <v>22.236</v>
      </c>
      <c r="K370">
        <f t="shared" si="22"/>
        <v>24.089</v>
      </c>
      <c r="L370">
        <f t="shared" si="23"/>
        <v>25.942</v>
      </c>
    </row>
    <row r="371" spans="1:12">
      <c r="A371" t="s">
        <v>13</v>
      </c>
      <c r="B371" s="14" t="s">
        <v>743</v>
      </c>
      <c r="C371" s="20" t="s">
        <v>744</v>
      </c>
      <c r="D371" s="20" t="s">
        <v>744</v>
      </c>
      <c r="E371" s="20" t="s">
        <v>744</v>
      </c>
      <c r="F371" s="20" t="s">
        <v>744</v>
      </c>
      <c r="G371">
        <v>15.3</v>
      </c>
      <c r="H371" s="1">
        <v>34.01</v>
      </c>
      <c r="I371">
        <f t="shared" si="20"/>
        <v>17.595</v>
      </c>
      <c r="J371">
        <f t="shared" si="21"/>
        <v>18.36</v>
      </c>
      <c r="K371">
        <f t="shared" si="22"/>
        <v>19.89</v>
      </c>
      <c r="L371">
        <f t="shared" si="23"/>
        <v>21.42</v>
      </c>
    </row>
    <row r="372" spans="1:12">
      <c r="A372" t="s">
        <v>13</v>
      </c>
      <c r="B372" s="14" t="s">
        <v>745</v>
      </c>
      <c r="C372" s="20" t="s">
        <v>746</v>
      </c>
      <c r="D372" s="20" t="s">
        <v>746</v>
      </c>
      <c r="E372" s="20" t="s">
        <v>746</v>
      </c>
      <c r="F372" s="20" t="s">
        <v>746</v>
      </c>
      <c r="G372">
        <v>28.79</v>
      </c>
      <c r="H372" s="1">
        <v>63.99</v>
      </c>
      <c r="I372">
        <f t="shared" si="20"/>
        <v>33.1085</v>
      </c>
      <c r="J372">
        <f t="shared" si="21"/>
        <v>34.548</v>
      </c>
      <c r="K372">
        <f t="shared" si="22"/>
        <v>37.427</v>
      </c>
      <c r="L372">
        <f t="shared" si="23"/>
        <v>40.306</v>
      </c>
    </row>
    <row r="373" spans="1:12">
      <c r="A373" t="s">
        <v>13</v>
      </c>
      <c r="B373" s="14" t="s">
        <v>747</v>
      </c>
      <c r="C373" s="20" t="s">
        <v>748</v>
      </c>
      <c r="D373" s="20" t="s">
        <v>748</v>
      </c>
      <c r="E373" s="20" t="s">
        <v>748</v>
      </c>
      <c r="F373" s="20" t="s">
        <v>748</v>
      </c>
      <c r="G373">
        <v>24.05</v>
      </c>
      <c r="H373" s="1">
        <v>53.43</v>
      </c>
      <c r="I373">
        <f t="shared" si="20"/>
        <v>27.6575</v>
      </c>
      <c r="J373">
        <f t="shared" si="21"/>
        <v>28.86</v>
      </c>
      <c r="K373">
        <f t="shared" si="22"/>
        <v>31.265</v>
      </c>
      <c r="L373">
        <f t="shared" si="23"/>
        <v>33.67</v>
      </c>
    </row>
    <row r="374" spans="1:12">
      <c r="A374" t="s">
        <v>13</v>
      </c>
      <c r="B374" s="14" t="s">
        <v>749</v>
      </c>
      <c r="C374" s="20" t="s">
        <v>750</v>
      </c>
      <c r="D374" s="20" t="s">
        <v>750</v>
      </c>
      <c r="E374" s="20" t="s">
        <v>750</v>
      </c>
      <c r="F374" s="20" t="s">
        <v>750</v>
      </c>
      <c r="G374">
        <v>16.2</v>
      </c>
      <c r="H374" s="1">
        <v>36.01</v>
      </c>
      <c r="I374">
        <f t="shared" si="20"/>
        <v>18.63</v>
      </c>
      <c r="J374">
        <f t="shared" si="21"/>
        <v>19.44</v>
      </c>
      <c r="K374">
        <f t="shared" si="22"/>
        <v>21.06</v>
      </c>
      <c r="L374">
        <f t="shared" si="23"/>
        <v>22.68</v>
      </c>
    </row>
    <row r="375" spans="1:12">
      <c r="A375" t="s">
        <v>13</v>
      </c>
      <c r="B375" s="14" t="s">
        <v>751</v>
      </c>
      <c r="C375" s="20" t="s">
        <v>752</v>
      </c>
      <c r="D375" s="20" t="s">
        <v>752</v>
      </c>
      <c r="E375" s="20" t="s">
        <v>752</v>
      </c>
      <c r="F375" s="20" t="s">
        <v>752</v>
      </c>
      <c r="G375">
        <v>32.84</v>
      </c>
      <c r="H375" s="1">
        <v>72.97</v>
      </c>
      <c r="I375">
        <f t="shared" si="20"/>
        <v>37.766</v>
      </c>
      <c r="J375">
        <f t="shared" si="21"/>
        <v>39.408</v>
      </c>
      <c r="K375">
        <f t="shared" si="22"/>
        <v>42.692</v>
      </c>
      <c r="L375">
        <f t="shared" si="23"/>
        <v>45.976</v>
      </c>
    </row>
    <row r="376" spans="1:12">
      <c r="A376" t="s">
        <v>13</v>
      </c>
      <c r="B376" s="14" t="s">
        <v>753</v>
      </c>
      <c r="C376" s="20" t="s">
        <v>754</v>
      </c>
      <c r="D376" s="20" t="s">
        <v>754</v>
      </c>
      <c r="E376" s="20" t="s">
        <v>754</v>
      </c>
      <c r="F376" s="20" t="s">
        <v>754</v>
      </c>
      <c r="G376">
        <v>29.86</v>
      </c>
      <c r="H376" s="1">
        <v>66.36</v>
      </c>
      <c r="I376">
        <f t="shared" si="20"/>
        <v>34.339</v>
      </c>
      <c r="J376">
        <f t="shared" si="21"/>
        <v>35.832</v>
      </c>
      <c r="K376">
        <f t="shared" si="22"/>
        <v>38.818</v>
      </c>
      <c r="L376">
        <f t="shared" si="23"/>
        <v>41.804</v>
      </c>
    </row>
    <row r="377" spans="1:12">
      <c r="A377" t="s">
        <v>13</v>
      </c>
      <c r="B377" s="14" t="s">
        <v>755</v>
      </c>
      <c r="C377" s="20" t="s">
        <v>756</v>
      </c>
      <c r="D377" s="20" t="s">
        <v>756</v>
      </c>
      <c r="E377" s="20" t="s">
        <v>756</v>
      </c>
      <c r="F377" s="20" t="s">
        <v>756</v>
      </c>
      <c r="G377">
        <v>13.67</v>
      </c>
      <c r="H377" s="1">
        <v>30.42</v>
      </c>
      <c r="I377">
        <f t="shared" si="20"/>
        <v>15.7205</v>
      </c>
      <c r="J377">
        <f t="shared" si="21"/>
        <v>16.404</v>
      </c>
      <c r="K377">
        <f t="shared" si="22"/>
        <v>17.771</v>
      </c>
      <c r="L377">
        <f t="shared" si="23"/>
        <v>19.138</v>
      </c>
    </row>
    <row r="378" spans="1:12">
      <c r="A378" t="s">
        <v>13</v>
      </c>
      <c r="B378" s="14" t="s">
        <v>757</v>
      </c>
      <c r="C378" s="20" t="s">
        <v>758</v>
      </c>
      <c r="D378" s="20" t="s">
        <v>758</v>
      </c>
      <c r="E378" s="20" t="s">
        <v>758</v>
      </c>
      <c r="F378" s="20" t="s">
        <v>758</v>
      </c>
      <c r="G378">
        <v>39.18</v>
      </c>
      <c r="H378" s="1">
        <v>87.07</v>
      </c>
      <c r="I378">
        <f t="shared" si="20"/>
        <v>45.057</v>
      </c>
      <c r="J378">
        <f t="shared" si="21"/>
        <v>47.016</v>
      </c>
      <c r="K378">
        <f t="shared" si="22"/>
        <v>50.934</v>
      </c>
      <c r="L378">
        <f t="shared" si="23"/>
        <v>54.852</v>
      </c>
    </row>
    <row r="379" spans="1:12">
      <c r="A379" t="s">
        <v>13</v>
      </c>
      <c r="B379" s="14" t="s">
        <v>759</v>
      </c>
      <c r="C379" s="20" t="s">
        <v>760</v>
      </c>
      <c r="D379" s="20" t="s">
        <v>760</v>
      </c>
      <c r="E379" s="20" t="s">
        <v>760</v>
      </c>
      <c r="F379" s="20" t="s">
        <v>760</v>
      </c>
      <c r="G379">
        <v>34</v>
      </c>
      <c r="H379" s="1">
        <v>75.56</v>
      </c>
      <c r="I379">
        <f t="shared" si="20"/>
        <v>39.1</v>
      </c>
      <c r="J379">
        <f t="shared" si="21"/>
        <v>40.8</v>
      </c>
      <c r="K379">
        <f t="shared" si="22"/>
        <v>44.2</v>
      </c>
      <c r="L379">
        <f t="shared" si="23"/>
        <v>47.6</v>
      </c>
    </row>
    <row r="380" spans="1:12">
      <c r="A380" t="s">
        <v>13</v>
      </c>
      <c r="B380" s="14" t="s">
        <v>761</v>
      </c>
      <c r="C380" s="20" t="s">
        <v>762</v>
      </c>
      <c r="D380" s="20" t="s">
        <v>762</v>
      </c>
      <c r="E380" s="20" t="s">
        <v>762</v>
      </c>
      <c r="F380" s="20" t="s">
        <v>762</v>
      </c>
      <c r="G380">
        <v>32.84</v>
      </c>
      <c r="H380" s="1">
        <v>72.97</v>
      </c>
      <c r="I380">
        <f t="shared" si="20"/>
        <v>37.766</v>
      </c>
      <c r="J380">
        <f t="shared" si="21"/>
        <v>39.408</v>
      </c>
      <c r="K380">
        <f t="shared" si="22"/>
        <v>42.692</v>
      </c>
      <c r="L380">
        <f t="shared" si="23"/>
        <v>45.976</v>
      </c>
    </row>
    <row r="381" spans="1:12">
      <c r="A381" t="s">
        <v>13</v>
      </c>
      <c r="B381" s="14" t="s">
        <v>763</v>
      </c>
      <c r="C381" s="20" t="s">
        <v>764</v>
      </c>
      <c r="D381" s="20" t="s">
        <v>764</v>
      </c>
      <c r="E381" s="20" t="s">
        <v>764</v>
      </c>
      <c r="F381" s="20" t="s">
        <v>764</v>
      </c>
      <c r="G381">
        <v>30.89</v>
      </c>
      <c r="H381" s="1">
        <v>68.63</v>
      </c>
      <c r="I381">
        <f t="shared" si="20"/>
        <v>35.5235</v>
      </c>
      <c r="J381">
        <f t="shared" si="21"/>
        <v>37.068</v>
      </c>
      <c r="K381">
        <f t="shared" si="22"/>
        <v>40.157</v>
      </c>
      <c r="L381">
        <f t="shared" si="23"/>
        <v>43.246</v>
      </c>
    </row>
    <row r="382" spans="1:12">
      <c r="A382" t="s">
        <v>13</v>
      </c>
      <c r="B382" s="14" t="s">
        <v>765</v>
      </c>
      <c r="C382" s="20" t="s">
        <v>766</v>
      </c>
      <c r="D382" s="20" t="s">
        <v>766</v>
      </c>
      <c r="E382" s="20" t="s">
        <v>766</v>
      </c>
      <c r="F382" s="20" t="s">
        <v>766</v>
      </c>
      <c r="G382">
        <v>38.54</v>
      </c>
      <c r="H382" s="1">
        <v>85.63</v>
      </c>
      <c r="I382">
        <f t="shared" si="20"/>
        <v>44.321</v>
      </c>
      <c r="J382">
        <f t="shared" si="21"/>
        <v>46.248</v>
      </c>
      <c r="K382">
        <f t="shared" si="22"/>
        <v>50.102</v>
      </c>
      <c r="L382">
        <f t="shared" si="23"/>
        <v>53.956</v>
      </c>
    </row>
    <row r="383" spans="1:12">
      <c r="A383" t="s">
        <v>13</v>
      </c>
      <c r="B383" s="14" t="s">
        <v>767</v>
      </c>
      <c r="C383" s="20" t="s">
        <v>768</v>
      </c>
      <c r="D383" s="20" t="s">
        <v>768</v>
      </c>
      <c r="E383" s="20" t="s">
        <v>768</v>
      </c>
      <c r="F383" s="20" t="s">
        <v>768</v>
      </c>
      <c r="G383">
        <v>36.27</v>
      </c>
      <c r="H383" s="1">
        <v>80.61</v>
      </c>
      <c r="I383">
        <f t="shared" si="20"/>
        <v>41.7105</v>
      </c>
      <c r="J383">
        <f t="shared" si="21"/>
        <v>43.524</v>
      </c>
      <c r="K383">
        <f t="shared" si="22"/>
        <v>47.151</v>
      </c>
      <c r="L383">
        <f t="shared" si="23"/>
        <v>50.778</v>
      </c>
    </row>
    <row r="384" spans="1:12">
      <c r="A384" t="s">
        <v>13</v>
      </c>
      <c r="B384" s="14" t="s">
        <v>769</v>
      </c>
      <c r="C384" s="20" t="s">
        <v>770</v>
      </c>
      <c r="D384" s="20" t="s">
        <v>770</v>
      </c>
      <c r="E384" s="20" t="s">
        <v>770</v>
      </c>
      <c r="F384" s="20" t="s">
        <v>770</v>
      </c>
      <c r="G384">
        <v>3.44</v>
      </c>
      <c r="H384" s="1">
        <v>7.65</v>
      </c>
      <c r="I384">
        <f t="shared" si="20"/>
        <v>3.956</v>
      </c>
      <c r="J384">
        <f t="shared" si="21"/>
        <v>4.128</v>
      </c>
      <c r="K384">
        <f t="shared" si="22"/>
        <v>4.472</v>
      </c>
      <c r="L384">
        <f t="shared" si="23"/>
        <v>4.816</v>
      </c>
    </row>
    <row r="385" spans="1:12">
      <c r="A385" t="s">
        <v>13</v>
      </c>
      <c r="B385" s="14" t="s">
        <v>771</v>
      </c>
      <c r="C385" s="20" t="s">
        <v>772</v>
      </c>
      <c r="D385" s="20" t="s">
        <v>772</v>
      </c>
      <c r="E385" s="20" t="s">
        <v>772</v>
      </c>
      <c r="F385" s="20" t="s">
        <v>772</v>
      </c>
      <c r="G385">
        <v>28.96</v>
      </c>
      <c r="H385" s="1">
        <v>64.38</v>
      </c>
      <c r="I385">
        <f t="shared" si="20"/>
        <v>33.304</v>
      </c>
      <c r="J385">
        <f t="shared" si="21"/>
        <v>34.752</v>
      </c>
      <c r="K385">
        <f t="shared" si="22"/>
        <v>37.648</v>
      </c>
      <c r="L385">
        <f t="shared" si="23"/>
        <v>40.544</v>
      </c>
    </row>
    <row r="386" spans="1:12">
      <c r="A386" t="s">
        <v>13</v>
      </c>
      <c r="B386" s="14" t="s">
        <v>773</v>
      </c>
      <c r="C386" s="20" t="s">
        <v>774</v>
      </c>
      <c r="D386" s="20" t="s">
        <v>774</v>
      </c>
      <c r="E386" s="20" t="s">
        <v>774</v>
      </c>
      <c r="F386" s="20" t="s">
        <v>774</v>
      </c>
      <c r="G386">
        <v>3.72</v>
      </c>
      <c r="H386" s="1">
        <v>8.26</v>
      </c>
      <c r="I386">
        <f t="shared" ref="I386:I449" si="24">G386*1.15</f>
        <v>4.278</v>
      </c>
      <c r="J386">
        <f t="shared" ref="J386:J449" si="25">G386*1.2</f>
        <v>4.464</v>
      </c>
      <c r="K386">
        <f t="shared" ref="K386:K449" si="26">G386*1.3</f>
        <v>4.836</v>
      </c>
      <c r="L386">
        <f t="shared" ref="L386:L449" si="27">G386*1.4</f>
        <v>5.208</v>
      </c>
    </row>
    <row r="387" spans="1:12">
      <c r="A387" t="s">
        <v>13</v>
      </c>
      <c r="B387" s="14" t="s">
        <v>775</v>
      </c>
      <c r="C387" s="20" t="s">
        <v>776</v>
      </c>
      <c r="D387" s="20" t="s">
        <v>776</v>
      </c>
      <c r="E387" s="20" t="s">
        <v>776</v>
      </c>
      <c r="F387" s="20" t="s">
        <v>776</v>
      </c>
      <c r="G387">
        <v>30.47</v>
      </c>
      <c r="H387" s="1">
        <v>67.71</v>
      </c>
      <c r="I387">
        <f t="shared" si="24"/>
        <v>35.0405</v>
      </c>
      <c r="J387">
        <f t="shared" si="25"/>
        <v>36.564</v>
      </c>
      <c r="K387">
        <f t="shared" si="26"/>
        <v>39.611</v>
      </c>
      <c r="L387">
        <f t="shared" si="27"/>
        <v>42.658</v>
      </c>
    </row>
    <row r="388" spans="1:12">
      <c r="A388" t="s">
        <v>13</v>
      </c>
      <c r="B388" s="14" t="s">
        <v>777</v>
      </c>
      <c r="C388" s="20" t="s">
        <v>778</v>
      </c>
      <c r="D388" s="20" t="s">
        <v>778</v>
      </c>
      <c r="E388" s="20" t="s">
        <v>778</v>
      </c>
      <c r="F388" s="20" t="s">
        <v>778</v>
      </c>
      <c r="G388">
        <v>4.37</v>
      </c>
      <c r="H388" s="1">
        <v>9.72</v>
      </c>
      <c r="I388">
        <f t="shared" si="24"/>
        <v>5.0255</v>
      </c>
      <c r="J388">
        <f t="shared" si="25"/>
        <v>5.244</v>
      </c>
      <c r="K388">
        <f t="shared" si="26"/>
        <v>5.681</v>
      </c>
      <c r="L388">
        <f t="shared" si="27"/>
        <v>6.118</v>
      </c>
    </row>
    <row r="389" spans="1:12">
      <c r="A389" t="s">
        <v>13</v>
      </c>
      <c r="B389" s="14" t="s">
        <v>779</v>
      </c>
      <c r="C389" s="20" t="s">
        <v>780</v>
      </c>
      <c r="D389" s="20" t="s">
        <v>780</v>
      </c>
      <c r="E389" s="20" t="s">
        <v>780</v>
      </c>
      <c r="F389" s="20" t="s">
        <v>780</v>
      </c>
      <c r="G389">
        <v>29.71</v>
      </c>
      <c r="H389" s="1">
        <v>66.01</v>
      </c>
      <c r="I389">
        <f t="shared" si="24"/>
        <v>34.1665</v>
      </c>
      <c r="J389">
        <f t="shared" si="25"/>
        <v>35.652</v>
      </c>
      <c r="K389">
        <f t="shared" si="26"/>
        <v>38.623</v>
      </c>
      <c r="L389">
        <f t="shared" si="27"/>
        <v>41.594</v>
      </c>
    </row>
    <row r="390" spans="1:12">
      <c r="A390" t="s">
        <v>13</v>
      </c>
      <c r="B390" s="14" t="s">
        <v>781</v>
      </c>
      <c r="C390" s="20" t="s">
        <v>782</v>
      </c>
      <c r="D390" s="20" t="s">
        <v>782</v>
      </c>
      <c r="E390" s="20" t="s">
        <v>782</v>
      </c>
      <c r="F390" s="20" t="s">
        <v>782</v>
      </c>
      <c r="G390">
        <v>6.94</v>
      </c>
      <c r="H390" s="1">
        <v>15.45</v>
      </c>
      <c r="I390">
        <f t="shared" si="24"/>
        <v>7.981</v>
      </c>
      <c r="J390">
        <f t="shared" si="25"/>
        <v>8.328</v>
      </c>
      <c r="K390">
        <f t="shared" si="26"/>
        <v>9.022</v>
      </c>
      <c r="L390">
        <f t="shared" si="27"/>
        <v>9.716</v>
      </c>
    </row>
    <row r="391" spans="1:12">
      <c r="A391" t="s">
        <v>13</v>
      </c>
      <c r="B391" s="14" t="s">
        <v>783</v>
      </c>
      <c r="C391" s="20" t="s">
        <v>784</v>
      </c>
      <c r="D391" s="20" t="s">
        <v>784</v>
      </c>
      <c r="E391" s="20" t="s">
        <v>784</v>
      </c>
      <c r="F391" s="20" t="s">
        <v>784</v>
      </c>
      <c r="G391">
        <v>9.13</v>
      </c>
      <c r="H391" s="1">
        <v>20.28</v>
      </c>
      <c r="I391">
        <f t="shared" si="24"/>
        <v>10.4995</v>
      </c>
      <c r="J391">
        <f t="shared" si="25"/>
        <v>10.956</v>
      </c>
      <c r="K391">
        <f t="shared" si="26"/>
        <v>11.869</v>
      </c>
      <c r="L391">
        <f t="shared" si="27"/>
        <v>12.782</v>
      </c>
    </row>
    <row r="392" spans="1:12">
      <c r="A392" t="s">
        <v>13</v>
      </c>
      <c r="B392" s="14" t="s">
        <v>785</v>
      </c>
      <c r="C392" s="20" t="s">
        <v>786</v>
      </c>
      <c r="D392" s="20" t="s">
        <v>786</v>
      </c>
      <c r="E392" s="20" t="s">
        <v>786</v>
      </c>
      <c r="F392" s="20" t="s">
        <v>786</v>
      </c>
      <c r="G392">
        <v>12.68</v>
      </c>
      <c r="H392" s="1">
        <v>28.16</v>
      </c>
      <c r="I392">
        <f t="shared" si="24"/>
        <v>14.582</v>
      </c>
      <c r="J392">
        <f t="shared" si="25"/>
        <v>15.216</v>
      </c>
      <c r="K392">
        <f t="shared" si="26"/>
        <v>16.484</v>
      </c>
      <c r="L392">
        <f t="shared" si="27"/>
        <v>17.752</v>
      </c>
    </row>
    <row r="393" spans="1:12">
      <c r="A393" t="s">
        <v>13</v>
      </c>
      <c r="B393" s="14" t="s">
        <v>787</v>
      </c>
      <c r="C393" s="20" t="s">
        <v>788</v>
      </c>
      <c r="D393" s="20" t="s">
        <v>788</v>
      </c>
      <c r="E393" s="20" t="s">
        <v>788</v>
      </c>
      <c r="F393" s="20" t="s">
        <v>788</v>
      </c>
      <c r="G393">
        <v>14.66</v>
      </c>
      <c r="H393" s="1">
        <v>32.57</v>
      </c>
      <c r="I393">
        <f t="shared" si="24"/>
        <v>16.859</v>
      </c>
      <c r="J393">
        <f t="shared" si="25"/>
        <v>17.592</v>
      </c>
      <c r="K393">
        <f t="shared" si="26"/>
        <v>19.058</v>
      </c>
      <c r="L393">
        <f t="shared" si="27"/>
        <v>20.524</v>
      </c>
    </row>
    <row r="394" spans="1:12">
      <c r="A394" t="s">
        <v>13</v>
      </c>
      <c r="B394" s="14" t="s">
        <v>789</v>
      </c>
      <c r="C394" s="20" t="s">
        <v>790</v>
      </c>
      <c r="D394" s="20" t="s">
        <v>790</v>
      </c>
      <c r="E394" s="20" t="s">
        <v>790</v>
      </c>
      <c r="F394" s="20" t="s">
        <v>790</v>
      </c>
      <c r="G394">
        <v>1.49</v>
      </c>
      <c r="H394" s="1">
        <v>3.3</v>
      </c>
      <c r="I394">
        <f t="shared" si="24"/>
        <v>1.7135</v>
      </c>
      <c r="J394">
        <f t="shared" si="25"/>
        <v>1.788</v>
      </c>
      <c r="K394">
        <f t="shared" si="26"/>
        <v>1.937</v>
      </c>
      <c r="L394">
        <f t="shared" si="27"/>
        <v>2.086</v>
      </c>
    </row>
    <row r="395" spans="1:12">
      <c r="A395" t="s">
        <v>13</v>
      </c>
      <c r="B395" s="14" t="s">
        <v>791</v>
      </c>
      <c r="C395" s="20" t="s">
        <v>792</v>
      </c>
      <c r="D395" s="20" t="s">
        <v>792</v>
      </c>
      <c r="E395" s="20" t="s">
        <v>792</v>
      </c>
      <c r="F395" s="20" t="s">
        <v>792</v>
      </c>
      <c r="G395">
        <v>17.37</v>
      </c>
      <c r="H395" s="1">
        <v>38.61</v>
      </c>
      <c r="I395">
        <f t="shared" si="24"/>
        <v>19.9755</v>
      </c>
      <c r="J395">
        <f t="shared" si="25"/>
        <v>20.844</v>
      </c>
      <c r="K395">
        <f t="shared" si="26"/>
        <v>22.581</v>
      </c>
      <c r="L395">
        <f t="shared" si="27"/>
        <v>24.318</v>
      </c>
    </row>
    <row r="396" spans="1:12">
      <c r="A396" t="s">
        <v>13</v>
      </c>
      <c r="B396" s="14" t="s">
        <v>793</v>
      </c>
      <c r="C396" s="20" t="s">
        <v>794</v>
      </c>
      <c r="D396" s="20" t="s">
        <v>794</v>
      </c>
      <c r="E396" s="20" t="s">
        <v>794</v>
      </c>
      <c r="F396" s="20" t="s">
        <v>794</v>
      </c>
      <c r="G396">
        <v>2.81</v>
      </c>
      <c r="H396" s="1">
        <v>5.32</v>
      </c>
      <c r="I396">
        <f t="shared" si="24"/>
        <v>3.2315</v>
      </c>
      <c r="J396">
        <f t="shared" si="25"/>
        <v>3.372</v>
      </c>
      <c r="K396">
        <f t="shared" si="26"/>
        <v>3.653</v>
      </c>
      <c r="L396">
        <f t="shared" si="27"/>
        <v>3.934</v>
      </c>
    </row>
    <row r="397" spans="1:12">
      <c r="A397" t="s">
        <v>13</v>
      </c>
      <c r="B397" s="14" t="s">
        <v>795</v>
      </c>
      <c r="C397" s="20" t="s">
        <v>780</v>
      </c>
      <c r="D397" s="20" t="s">
        <v>780</v>
      </c>
      <c r="E397" s="20" t="s">
        <v>780</v>
      </c>
      <c r="F397" s="20" t="s">
        <v>780</v>
      </c>
      <c r="G397">
        <v>30.8</v>
      </c>
      <c r="H397" s="1">
        <v>68.43</v>
      </c>
      <c r="I397">
        <f t="shared" si="24"/>
        <v>35.42</v>
      </c>
      <c r="J397">
        <f t="shared" si="25"/>
        <v>36.96</v>
      </c>
      <c r="K397">
        <f t="shared" si="26"/>
        <v>40.04</v>
      </c>
      <c r="L397">
        <f t="shared" si="27"/>
        <v>43.12</v>
      </c>
    </row>
    <row r="398" spans="1:12">
      <c r="A398" t="s">
        <v>13</v>
      </c>
      <c r="B398" s="14" t="s">
        <v>796</v>
      </c>
      <c r="C398" s="20" t="s">
        <v>797</v>
      </c>
      <c r="D398" s="20" t="s">
        <v>797</v>
      </c>
      <c r="E398" s="20" t="s">
        <v>797</v>
      </c>
      <c r="F398" s="20" t="s">
        <v>797</v>
      </c>
      <c r="G398">
        <v>476.36</v>
      </c>
      <c r="H398" s="1">
        <v>1058.55</v>
      </c>
      <c r="I398">
        <f t="shared" si="24"/>
        <v>547.814</v>
      </c>
      <c r="J398">
        <f t="shared" si="25"/>
        <v>571.632</v>
      </c>
      <c r="K398">
        <f t="shared" si="26"/>
        <v>619.268</v>
      </c>
      <c r="L398">
        <f t="shared" si="27"/>
        <v>666.904</v>
      </c>
    </row>
    <row r="399" spans="1:12">
      <c r="A399" t="s">
        <v>13</v>
      </c>
      <c r="B399" s="14" t="s">
        <v>798</v>
      </c>
      <c r="C399" s="20" t="s">
        <v>799</v>
      </c>
      <c r="D399" s="20" t="s">
        <v>799</v>
      </c>
      <c r="E399" s="20" t="s">
        <v>799</v>
      </c>
      <c r="F399" s="20" t="s">
        <v>799</v>
      </c>
      <c r="G399">
        <v>574.4</v>
      </c>
      <c r="H399" s="1">
        <v>1276.42</v>
      </c>
      <c r="I399">
        <f t="shared" si="24"/>
        <v>660.56</v>
      </c>
      <c r="J399">
        <f t="shared" si="25"/>
        <v>689.28</v>
      </c>
      <c r="K399">
        <f t="shared" si="26"/>
        <v>746.72</v>
      </c>
      <c r="L399">
        <f t="shared" si="27"/>
        <v>804.16</v>
      </c>
    </row>
    <row r="400" spans="1:12">
      <c r="A400" t="s">
        <v>13</v>
      </c>
      <c r="B400" s="14" t="s">
        <v>800</v>
      </c>
      <c r="C400" s="20" t="s">
        <v>801</v>
      </c>
      <c r="D400" s="20" t="s">
        <v>801</v>
      </c>
      <c r="E400" s="20" t="s">
        <v>801</v>
      </c>
      <c r="F400" s="20" t="s">
        <v>801</v>
      </c>
      <c r="G400">
        <v>697.41</v>
      </c>
      <c r="H400" s="1">
        <v>1549.79</v>
      </c>
      <c r="I400">
        <f t="shared" si="24"/>
        <v>802.0215</v>
      </c>
      <c r="J400">
        <f t="shared" si="25"/>
        <v>836.892</v>
      </c>
      <c r="K400">
        <f t="shared" si="26"/>
        <v>906.633</v>
      </c>
      <c r="L400">
        <f t="shared" si="27"/>
        <v>976.374</v>
      </c>
    </row>
    <row r="401" spans="1:12">
      <c r="A401" t="s">
        <v>13</v>
      </c>
      <c r="B401" s="14" t="s">
        <v>802</v>
      </c>
      <c r="C401" s="20" t="s">
        <v>803</v>
      </c>
      <c r="D401" s="20" t="s">
        <v>803</v>
      </c>
      <c r="E401" s="20" t="s">
        <v>803</v>
      </c>
      <c r="F401" s="20" t="s">
        <v>803</v>
      </c>
      <c r="G401">
        <v>471.27</v>
      </c>
      <c r="H401" s="1">
        <v>1047.28</v>
      </c>
      <c r="I401">
        <f t="shared" si="24"/>
        <v>541.9605</v>
      </c>
      <c r="J401">
        <f t="shared" si="25"/>
        <v>565.524</v>
      </c>
      <c r="K401">
        <f t="shared" si="26"/>
        <v>612.651</v>
      </c>
      <c r="L401">
        <f t="shared" si="27"/>
        <v>659.778</v>
      </c>
    </row>
    <row r="402" spans="1:12">
      <c r="A402" t="s">
        <v>13</v>
      </c>
      <c r="B402" s="14" t="s">
        <v>804</v>
      </c>
      <c r="C402" s="20" t="s">
        <v>805</v>
      </c>
      <c r="D402" s="20" t="s">
        <v>805</v>
      </c>
      <c r="E402" s="20" t="s">
        <v>805</v>
      </c>
      <c r="F402" s="20" t="s">
        <v>805</v>
      </c>
      <c r="G402">
        <v>32.62</v>
      </c>
      <c r="H402" s="1">
        <v>72.49</v>
      </c>
      <c r="I402">
        <f t="shared" si="24"/>
        <v>37.513</v>
      </c>
      <c r="J402">
        <f t="shared" si="25"/>
        <v>39.144</v>
      </c>
      <c r="K402">
        <f t="shared" si="26"/>
        <v>42.406</v>
      </c>
      <c r="L402">
        <f t="shared" si="27"/>
        <v>45.668</v>
      </c>
    </row>
    <row r="403" spans="1:12">
      <c r="A403" t="s">
        <v>13</v>
      </c>
      <c r="B403" s="14" t="s">
        <v>806</v>
      </c>
      <c r="C403" s="20" t="s">
        <v>807</v>
      </c>
      <c r="D403" s="20" t="s">
        <v>807</v>
      </c>
      <c r="E403" s="20" t="s">
        <v>807</v>
      </c>
      <c r="F403" s="20" t="s">
        <v>807</v>
      </c>
      <c r="G403">
        <v>17.05</v>
      </c>
      <c r="H403" s="1">
        <v>37.87</v>
      </c>
      <c r="I403">
        <f t="shared" si="24"/>
        <v>19.6075</v>
      </c>
      <c r="J403">
        <f t="shared" si="25"/>
        <v>20.46</v>
      </c>
      <c r="K403">
        <f t="shared" si="26"/>
        <v>22.165</v>
      </c>
      <c r="L403">
        <f t="shared" si="27"/>
        <v>23.87</v>
      </c>
    </row>
    <row r="404" spans="1:12">
      <c r="A404" t="s">
        <v>13</v>
      </c>
      <c r="B404" s="14" t="s">
        <v>808</v>
      </c>
      <c r="C404" s="20" t="s">
        <v>809</v>
      </c>
      <c r="D404" s="20" t="s">
        <v>809</v>
      </c>
      <c r="E404" s="20" t="s">
        <v>809</v>
      </c>
      <c r="F404" s="20" t="s">
        <v>809</v>
      </c>
      <c r="G404">
        <v>16.45</v>
      </c>
      <c r="H404" s="1">
        <v>31.34</v>
      </c>
      <c r="I404">
        <f t="shared" si="24"/>
        <v>18.9175</v>
      </c>
      <c r="J404">
        <f t="shared" si="25"/>
        <v>19.74</v>
      </c>
      <c r="K404">
        <f t="shared" si="26"/>
        <v>21.385</v>
      </c>
      <c r="L404">
        <f t="shared" si="27"/>
        <v>23.03</v>
      </c>
    </row>
    <row r="405" spans="1:12">
      <c r="A405" t="s">
        <v>13</v>
      </c>
      <c r="B405" s="14" t="s">
        <v>810</v>
      </c>
      <c r="C405" s="20" t="s">
        <v>811</v>
      </c>
      <c r="D405" s="20" t="s">
        <v>811</v>
      </c>
      <c r="E405" s="20" t="s">
        <v>811</v>
      </c>
      <c r="F405" s="20" t="s">
        <v>811</v>
      </c>
      <c r="G405">
        <v>14.63</v>
      </c>
      <c r="H405" s="1">
        <v>27.85</v>
      </c>
      <c r="I405">
        <f t="shared" si="24"/>
        <v>16.8245</v>
      </c>
      <c r="J405">
        <f t="shared" si="25"/>
        <v>17.556</v>
      </c>
      <c r="K405">
        <f t="shared" si="26"/>
        <v>19.019</v>
      </c>
      <c r="L405">
        <f t="shared" si="27"/>
        <v>20.482</v>
      </c>
    </row>
    <row r="406" spans="1:12">
      <c r="A406" t="s">
        <v>13</v>
      </c>
      <c r="B406" s="14" t="s">
        <v>812</v>
      </c>
      <c r="C406" s="20" t="s">
        <v>813</v>
      </c>
      <c r="D406" s="20" t="s">
        <v>813</v>
      </c>
      <c r="E406" s="20" t="s">
        <v>813</v>
      </c>
      <c r="F406" s="20" t="s">
        <v>813</v>
      </c>
      <c r="G406">
        <v>16.42</v>
      </c>
      <c r="H406" s="1">
        <v>31.27</v>
      </c>
      <c r="I406">
        <f t="shared" si="24"/>
        <v>18.883</v>
      </c>
      <c r="J406">
        <f t="shared" si="25"/>
        <v>19.704</v>
      </c>
      <c r="K406">
        <f t="shared" si="26"/>
        <v>21.346</v>
      </c>
      <c r="L406">
        <f t="shared" si="27"/>
        <v>22.988</v>
      </c>
    </row>
    <row r="407" spans="1:12">
      <c r="A407" t="s">
        <v>13</v>
      </c>
      <c r="B407" s="14" t="s">
        <v>814</v>
      </c>
      <c r="C407" s="20" t="s">
        <v>815</v>
      </c>
      <c r="D407" s="20" t="s">
        <v>815</v>
      </c>
      <c r="E407" s="20" t="s">
        <v>815</v>
      </c>
      <c r="F407" s="20" t="s">
        <v>815</v>
      </c>
      <c r="G407">
        <v>14.63</v>
      </c>
      <c r="H407" s="1">
        <v>27.85</v>
      </c>
      <c r="I407">
        <f t="shared" si="24"/>
        <v>16.8245</v>
      </c>
      <c r="J407">
        <f t="shared" si="25"/>
        <v>17.556</v>
      </c>
      <c r="K407">
        <f t="shared" si="26"/>
        <v>19.019</v>
      </c>
      <c r="L407">
        <f t="shared" si="27"/>
        <v>20.482</v>
      </c>
    </row>
    <row r="408" spans="1:12">
      <c r="A408" t="s">
        <v>13</v>
      </c>
      <c r="B408" s="14" t="s">
        <v>816</v>
      </c>
      <c r="C408" s="20" t="s">
        <v>817</v>
      </c>
      <c r="D408" s="20" t="s">
        <v>817</v>
      </c>
      <c r="E408" s="20" t="s">
        <v>817</v>
      </c>
      <c r="F408" s="20" t="s">
        <v>817</v>
      </c>
      <c r="G408">
        <v>16.45</v>
      </c>
      <c r="H408" s="1">
        <v>31.34</v>
      </c>
      <c r="I408">
        <f t="shared" si="24"/>
        <v>18.9175</v>
      </c>
      <c r="J408">
        <f t="shared" si="25"/>
        <v>19.74</v>
      </c>
      <c r="K408">
        <f t="shared" si="26"/>
        <v>21.385</v>
      </c>
      <c r="L408">
        <f t="shared" si="27"/>
        <v>23.03</v>
      </c>
    </row>
    <row r="409" spans="1:12">
      <c r="A409" t="s">
        <v>13</v>
      </c>
      <c r="B409" s="14" t="s">
        <v>818</v>
      </c>
      <c r="C409" s="20" t="s">
        <v>819</v>
      </c>
      <c r="D409" s="20" t="s">
        <v>819</v>
      </c>
      <c r="E409" s="20" t="s">
        <v>819</v>
      </c>
      <c r="F409" s="20" t="s">
        <v>819</v>
      </c>
      <c r="G409">
        <v>14.63</v>
      </c>
      <c r="H409" s="1">
        <v>27.85</v>
      </c>
      <c r="I409">
        <f t="shared" si="24"/>
        <v>16.8245</v>
      </c>
      <c r="J409">
        <f t="shared" si="25"/>
        <v>17.556</v>
      </c>
      <c r="K409">
        <f t="shared" si="26"/>
        <v>19.019</v>
      </c>
      <c r="L409">
        <f t="shared" si="27"/>
        <v>20.482</v>
      </c>
    </row>
    <row r="410" spans="1:12">
      <c r="A410" t="s">
        <v>13</v>
      </c>
      <c r="B410" s="14" t="s">
        <v>820</v>
      </c>
      <c r="C410" s="20" t="s">
        <v>821</v>
      </c>
      <c r="D410" s="20" t="s">
        <v>821</v>
      </c>
      <c r="E410" s="20" t="s">
        <v>821</v>
      </c>
      <c r="F410" s="20" t="s">
        <v>821</v>
      </c>
      <c r="G410">
        <v>16.43</v>
      </c>
      <c r="H410" s="1">
        <v>31.28</v>
      </c>
      <c r="I410">
        <f t="shared" si="24"/>
        <v>18.8945</v>
      </c>
      <c r="J410">
        <f t="shared" si="25"/>
        <v>19.716</v>
      </c>
      <c r="K410">
        <f t="shared" si="26"/>
        <v>21.359</v>
      </c>
      <c r="L410">
        <f t="shared" si="27"/>
        <v>23.002</v>
      </c>
    </row>
    <row r="411" spans="1:12">
      <c r="A411" t="s">
        <v>13</v>
      </c>
      <c r="B411" s="14" t="s">
        <v>822</v>
      </c>
      <c r="C411" s="20" t="s">
        <v>823</v>
      </c>
      <c r="D411" s="20" t="s">
        <v>823</v>
      </c>
      <c r="E411" s="20" t="s">
        <v>823</v>
      </c>
      <c r="F411" s="20" t="s">
        <v>823</v>
      </c>
      <c r="G411">
        <v>14.63</v>
      </c>
      <c r="H411" s="1">
        <v>27.85</v>
      </c>
      <c r="I411">
        <f t="shared" si="24"/>
        <v>16.8245</v>
      </c>
      <c r="J411">
        <f t="shared" si="25"/>
        <v>17.556</v>
      </c>
      <c r="K411">
        <f t="shared" si="26"/>
        <v>19.019</v>
      </c>
      <c r="L411">
        <f t="shared" si="27"/>
        <v>20.482</v>
      </c>
    </row>
    <row r="412" spans="1:12">
      <c r="A412" t="s">
        <v>13</v>
      </c>
      <c r="B412" s="14" t="s">
        <v>824</v>
      </c>
      <c r="C412" s="20" t="s">
        <v>825</v>
      </c>
      <c r="D412" s="20" t="s">
        <v>825</v>
      </c>
      <c r="E412" s="20" t="s">
        <v>825</v>
      </c>
      <c r="F412" s="20" t="s">
        <v>825</v>
      </c>
      <c r="G412">
        <v>16.42</v>
      </c>
      <c r="H412" s="1">
        <v>31.27</v>
      </c>
      <c r="I412">
        <f t="shared" si="24"/>
        <v>18.883</v>
      </c>
      <c r="J412">
        <f t="shared" si="25"/>
        <v>19.704</v>
      </c>
      <c r="K412">
        <f t="shared" si="26"/>
        <v>21.346</v>
      </c>
      <c r="L412">
        <f t="shared" si="27"/>
        <v>22.988</v>
      </c>
    </row>
    <row r="413" spans="1:12">
      <c r="A413" t="s">
        <v>13</v>
      </c>
      <c r="B413" s="14" t="s">
        <v>826</v>
      </c>
      <c r="C413" s="20" t="s">
        <v>827</v>
      </c>
      <c r="D413" s="20" t="s">
        <v>827</v>
      </c>
      <c r="E413" s="20" t="s">
        <v>827</v>
      </c>
      <c r="F413" s="20" t="s">
        <v>827</v>
      </c>
      <c r="G413">
        <v>14.63</v>
      </c>
      <c r="H413" s="1">
        <v>27.85</v>
      </c>
      <c r="I413">
        <f t="shared" si="24"/>
        <v>16.8245</v>
      </c>
      <c r="J413">
        <f t="shared" si="25"/>
        <v>17.556</v>
      </c>
      <c r="K413">
        <f t="shared" si="26"/>
        <v>19.019</v>
      </c>
      <c r="L413">
        <f t="shared" si="27"/>
        <v>20.482</v>
      </c>
    </row>
    <row r="414" spans="1:12">
      <c r="A414" t="s">
        <v>13</v>
      </c>
      <c r="B414" s="14" t="s">
        <v>828</v>
      </c>
      <c r="C414" s="20" t="s">
        <v>829</v>
      </c>
      <c r="D414" s="20" t="s">
        <v>829</v>
      </c>
      <c r="E414" s="20" t="s">
        <v>829</v>
      </c>
      <c r="F414" s="20" t="s">
        <v>829</v>
      </c>
      <c r="G414">
        <v>16.42</v>
      </c>
      <c r="H414" s="1">
        <v>31.27</v>
      </c>
      <c r="I414">
        <f t="shared" si="24"/>
        <v>18.883</v>
      </c>
      <c r="J414">
        <f t="shared" si="25"/>
        <v>19.704</v>
      </c>
      <c r="K414">
        <f t="shared" si="26"/>
        <v>21.346</v>
      </c>
      <c r="L414">
        <f t="shared" si="27"/>
        <v>22.988</v>
      </c>
    </row>
    <row r="415" spans="1:12">
      <c r="A415" t="s">
        <v>13</v>
      </c>
      <c r="B415" s="14" t="s">
        <v>830</v>
      </c>
      <c r="C415" s="20" t="s">
        <v>831</v>
      </c>
      <c r="D415" s="20" t="s">
        <v>831</v>
      </c>
      <c r="E415" s="20" t="s">
        <v>831</v>
      </c>
      <c r="F415" s="20" t="s">
        <v>831</v>
      </c>
      <c r="G415">
        <v>14.63</v>
      </c>
      <c r="H415" s="1">
        <v>27.85</v>
      </c>
      <c r="I415">
        <f t="shared" si="24"/>
        <v>16.8245</v>
      </c>
      <c r="J415">
        <f t="shared" si="25"/>
        <v>17.556</v>
      </c>
      <c r="K415">
        <f t="shared" si="26"/>
        <v>19.019</v>
      </c>
      <c r="L415">
        <f t="shared" si="27"/>
        <v>20.482</v>
      </c>
    </row>
    <row r="416" spans="1:12">
      <c r="A416" t="s">
        <v>13</v>
      </c>
      <c r="B416" s="14" t="s">
        <v>832</v>
      </c>
      <c r="C416" s="20" t="s">
        <v>833</v>
      </c>
      <c r="D416" s="20" t="s">
        <v>833</v>
      </c>
      <c r="E416" s="20" t="s">
        <v>833</v>
      </c>
      <c r="F416" s="20" t="s">
        <v>833</v>
      </c>
      <c r="G416">
        <v>16.42</v>
      </c>
      <c r="H416" s="1">
        <v>31.27</v>
      </c>
      <c r="I416">
        <f t="shared" si="24"/>
        <v>18.883</v>
      </c>
      <c r="J416">
        <f t="shared" si="25"/>
        <v>19.704</v>
      </c>
      <c r="K416">
        <f t="shared" si="26"/>
        <v>21.346</v>
      </c>
      <c r="L416">
        <f t="shared" si="27"/>
        <v>22.988</v>
      </c>
    </row>
    <row r="417" spans="1:12">
      <c r="A417" t="s">
        <v>13</v>
      </c>
      <c r="B417" s="14" t="s">
        <v>834</v>
      </c>
      <c r="C417" s="20" t="s">
        <v>835</v>
      </c>
      <c r="D417" s="20" t="s">
        <v>835</v>
      </c>
      <c r="E417" s="20" t="s">
        <v>835</v>
      </c>
      <c r="F417" s="20" t="s">
        <v>835</v>
      </c>
      <c r="G417">
        <v>14.63</v>
      </c>
      <c r="H417" s="1">
        <v>27.85</v>
      </c>
      <c r="I417">
        <f t="shared" si="24"/>
        <v>16.8245</v>
      </c>
      <c r="J417">
        <f t="shared" si="25"/>
        <v>17.556</v>
      </c>
      <c r="K417">
        <f t="shared" si="26"/>
        <v>19.019</v>
      </c>
      <c r="L417">
        <f t="shared" si="27"/>
        <v>20.482</v>
      </c>
    </row>
    <row r="418" spans="1:12">
      <c r="A418" t="s">
        <v>13</v>
      </c>
      <c r="B418" s="14" t="s">
        <v>836</v>
      </c>
      <c r="C418" s="20" t="s">
        <v>837</v>
      </c>
      <c r="D418" s="20" t="s">
        <v>837</v>
      </c>
      <c r="E418" s="20" t="s">
        <v>837</v>
      </c>
      <c r="F418" s="20" t="s">
        <v>837</v>
      </c>
      <c r="G418">
        <v>16.42</v>
      </c>
      <c r="H418" s="1">
        <v>31.27</v>
      </c>
      <c r="I418">
        <f t="shared" si="24"/>
        <v>18.883</v>
      </c>
      <c r="J418">
        <f t="shared" si="25"/>
        <v>19.704</v>
      </c>
      <c r="K418">
        <f t="shared" si="26"/>
        <v>21.346</v>
      </c>
      <c r="L418">
        <f t="shared" si="27"/>
        <v>22.988</v>
      </c>
    </row>
    <row r="419" spans="1:12">
      <c r="A419" t="s">
        <v>13</v>
      </c>
      <c r="B419" s="14" t="s">
        <v>838</v>
      </c>
      <c r="C419" s="20" t="s">
        <v>839</v>
      </c>
      <c r="D419" s="20" t="s">
        <v>839</v>
      </c>
      <c r="E419" s="20" t="s">
        <v>839</v>
      </c>
      <c r="F419" s="20" t="s">
        <v>839</v>
      </c>
      <c r="G419">
        <v>14.63</v>
      </c>
      <c r="H419" s="1">
        <v>27.85</v>
      </c>
      <c r="I419">
        <f t="shared" si="24"/>
        <v>16.8245</v>
      </c>
      <c r="J419">
        <f t="shared" si="25"/>
        <v>17.556</v>
      </c>
      <c r="K419">
        <f t="shared" si="26"/>
        <v>19.019</v>
      </c>
      <c r="L419">
        <f t="shared" si="27"/>
        <v>20.482</v>
      </c>
    </row>
    <row r="420" spans="1:12">
      <c r="A420" t="s">
        <v>13</v>
      </c>
      <c r="B420" s="14" t="s">
        <v>840</v>
      </c>
      <c r="C420" s="20" t="s">
        <v>841</v>
      </c>
      <c r="D420" s="20" t="s">
        <v>841</v>
      </c>
      <c r="E420" s="20" t="s">
        <v>841</v>
      </c>
      <c r="F420" s="20" t="s">
        <v>841</v>
      </c>
      <c r="G420">
        <v>18.32</v>
      </c>
      <c r="H420" s="1">
        <v>34.89</v>
      </c>
      <c r="I420">
        <f t="shared" si="24"/>
        <v>21.068</v>
      </c>
      <c r="J420">
        <f t="shared" si="25"/>
        <v>21.984</v>
      </c>
      <c r="K420">
        <f t="shared" si="26"/>
        <v>23.816</v>
      </c>
      <c r="L420">
        <f t="shared" si="27"/>
        <v>25.648</v>
      </c>
    </row>
    <row r="421" spans="1:12">
      <c r="A421" t="s">
        <v>13</v>
      </c>
      <c r="B421" s="14" t="s">
        <v>842</v>
      </c>
      <c r="C421" s="20" t="s">
        <v>843</v>
      </c>
      <c r="D421" s="20" t="s">
        <v>843</v>
      </c>
      <c r="E421" s="20" t="s">
        <v>843</v>
      </c>
      <c r="F421" s="20" t="s">
        <v>843</v>
      </c>
      <c r="G421">
        <v>16.57</v>
      </c>
      <c r="H421" s="1">
        <v>31.57</v>
      </c>
      <c r="I421">
        <f t="shared" si="24"/>
        <v>19.0555</v>
      </c>
      <c r="J421">
        <f t="shared" si="25"/>
        <v>19.884</v>
      </c>
      <c r="K421">
        <f t="shared" si="26"/>
        <v>21.541</v>
      </c>
      <c r="L421">
        <f t="shared" si="27"/>
        <v>23.198</v>
      </c>
    </row>
    <row r="422" spans="1:12">
      <c r="A422" t="s">
        <v>13</v>
      </c>
      <c r="B422" s="14" t="s">
        <v>844</v>
      </c>
      <c r="C422" s="20" t="s">
        <v>845</v>
      </c>
      <c r="D422" s="20" t="s">
        <v>845</v>
      </c>
      <c r="E422" s="20" t="s">
        <v>845</v>
      </c>
      <c r="F422" s="20" t="s">
        <v>845</v>
      </c>
      <c r="G422">
        <v>18.33</v>
      </c>
      <c r="H422" s="1">
        <v>34.91</v>
      </c>
      <c r="I422">
        <f t="shared" si="24"/>
        <v>21.0795</v>
      </c>
      <c r="J422">
        <f t="shared" si="25"/>
        <v>21.996</v>
      </c>
      <c r="K422">
        <f t="shared" si="26"/>
        <v>23.829</v>
      </c>
      <c r="L422">
        <f t="shared" si="27"/>
        <v>25.662</v>
      </c>
    </row>
    <row r="423" spans="1:12">
      <c r="A423" t="s">
        <v>13</v>
      </c>
      <c r="B423" s="14" t="s">
        <v>846</v>
      </c>
      <c r="C423" s="20" t="s">
        <v>847</v>
      </c>
      <c r="D423" s="20" t="s">
        <v>847</v>
      </c>
      <c r="E423" s="20" t="s">
        <v>847</v>
      </c>
      <c r="F423" s="20" t="s">
        <v>847</v>
      </c>
      <c r="G423">
        <v>16.57</v>
      </c>
      <c r="H423" s="1">
        <v>31.57</v>
      </c>
      <c r="I423">
        <f t="shared" si="24"/>
        <v>19.0555</v>
      </c>
      <c r="J423">
        <f t="shared" si="25"/>
        <v>19.884</v>
      </c>
      <c r="K423">
        <f t="shared" si="26"/>
        <v>21.541</v>
      </c>
      <c r="L423">
        <f t="shared" si="27"/>
        <v>23.198</v>
      </c>
    </row>
    <row r="424" spans="1:12">
      <c r="A424" t="s">
        <v>13</v>
      </c>
      <c r="B424" s="14" t="s">
        <v>848</v>
      </c>
      <c r="C424" s="20" t="s">
        <v>849</v>
      </c>
      <c r="D424" s="20" t="s">
        <v>849</v>
      </c>
      <c r="E424" s="20" t="s">
        <v>849</v>
      </c>
      <c r="F424" s="20" t="s">
        <v>849</v>
      </c>
      <c r="G424">
        <v>16.42</v>
      </c>
      <c r="H424" s="1">
        <v>31.27</v>
      </c>
      <c r="I424">
        <f t="shared" si="24"/>
        <v>18.883</v>
      </c>
      <c r="J424">
        <f t="shared" si="25"/>
        <v>19.704</v>
      </c>
      <c r="K424">
        <f t="shared" si="26"/>
        <v>21.346</v>
      </c>
      <c r="L424">
        <f t="shared" si="27"/>
        <v>22.988</v>
      </c>
    </row>
    <row r="425" spans="1:12">
      <c r="A425" t="s">
        <v>13</v>
      </c>
      <c r="B425" s="14" t="s">
        <v>850</v>
      </c>
      <c r="C425" s="20" t="s">
        <v>851</v>
      </c>
      <c r="D425" s="20" t="s">
        <v>851</v>
      </c>
      <c r="E425" s="20" t="s">
        <v>851</v>
      </c>
      <c r="F425" s="20" t="s">
        <v>851</v>
      </c>
      <c r="G425">
        <v>16.42</v>
      </c>
      <c r="H425" s="1">
        <v>31.27</v>
      </c>
      <c r="I425">
        <f t="shared" si="24"/>
        <v>18.883</v>
      </c>
      <c r="J425">
        <f t="shared" si="25"/>
        <v>19.704</v>
      </c>
      <c r="K425">
        <f t="shared" si="26"/>
        <v>21.346</v>
      </c>
      <c r="L425">
        <f t="shared" si="27"/>
        <v>22.988</v>
      </c>
    </row>
    <row r="426" spans="1:12">
      <c r="A426" t="s">
        <v>13</v>
      </c>
      <c r="B426" s="14" t="s">
        <v>852</v>
      </c>
      <c r="C426" s="20" t="s">
        <v>853</v>
      </c>
      <c r="D426" s="20" t="s">
        <v>853</v>
      </c>
      <c r="E426" s="20" t="s">
        <v>853</v>
      </c>
      <c r="F426" s="20" t="s">
        <v>853</v>
      </c>
      <c r="G426">
        <v>7.7</v>
      </c>
      <c r="H426" s="1">
        <v>14.68</v>
      </c>
      <c r="I426">
        <f t="shared" si="24"/>
        <v>8.855</v>
      </c>
      <c r="J426">
        <f t="shared" si="25"/>
        <v>9.24</v>
      </c>
      <c r="K426">
        <f t="shared" si="26"/>
        <v>10.01</v>
      </c>
      <c r="L426">
        <f t="shared" si="27"/>
        <v>10.78</v>
      </c>
    </row>
    <row r="427" spans="1:12">
      <c r="A427" t="s">
        <v>13</v>
      </c>
      <c r="B427" s="14" t="s">
        <v>854</v>
      </c>
      <c r="C427" s="20" t="s">
        <v>855</v>
      </c>
      <c r="D427" s="20" t="s">
        <v>855</v>
      </c>
      <c r="E427" s="20" t="s">
        <v>855</v>
      </c>
      <c r="F427" s="20" t="s">
        <v>855</v>
      </c>
      <c r="G427">
        <v>5.35</v>
      </c>
      <c r="H427" s="1">
        <v>11.89</v>
      </c>
      <c r="I427">
        <f t="shared" si="24"/>
        <v>6.1525</v>
      </c>
      <c r="J427">
        <f t="shared" si="25"/>
        <v>6.42</v>
      </c>
      <c r="K427">
        <f t="shared" si="26"/>
        <v>6.955</v>
      </c>
      <c r="L427">
        <f t="shared" si="27"/>
        <v>7.49</v>
      </c>
    </row>
    <row r="428" spans="1:12">
      <c r="A428" t="s">
        <v>13</v>
      </c>
      <c r="B428" s="14" t="s">
        <v>856</v>
      </c>
      <c r="C428" s="20" t="s">
        <v>857</v>
      </c>
      <c r="D428" s="20" t="s">
        <v>857</v>
      </c>
      <c r="E428" s="20" t="s">
        <v>857</v>
      </c>
      <c r="F428" s="20" t="s">
        <v>857</v>
      </c>
      <c r="G428">
        <v>335.67</v>
      </c>
      <c r="H428" s="1">
        <v>745.93</v>
      </c>
      <c r="I428">
        <f t="shared" si="24"/>
        <v>386.0205</v>
      </c>
      <c r="J428">
        <f t="shared" si="25"/>
        <v>402.804</v>
      </c>
      <c r="K428">
        <f t="shared" si="26"/>
        <v>436.371</v>
      </c>
      <c r="L428">
        <f t="shared" si="27"/>
        <v>469.938</v>
      </c>
    </row>
    <row r="429" spans="1:12">
      <c r="A429" t="s">
        <v>13</v>
      </c>
      <c r="B429" s="14" t="s">
        <v>858</v>
      </c>
      <c r="C429" s="20" t="s">
        <v>859</v>
      </c>
      <c r="D429" s="20" t="s">
        <v>859</v>
      </c>
      <c r="E429" s="20" t="s">
        <v>859</v>
      </c>
      <c r="F429" s="20" t="s">
        <v>859</v>
      </c>
      <c r="G429">
        <v>271.18</v>
      </c>
      <c r="H429" s="1">
        <v>602.63</v>
      </c>
      <c r="I429">
        <f t="shared" si="24"/>
        <v>311.857</v>
      </c>
      <c r="J429">
        <f t="shared" si="25"/>
        <v>325.416</v>
      </c>
      <c r="K429">
        <f t="shared" si="26"/>
        <v>352.534</v>
      </c>
      <c r="L429">
        <f t="shared" si="27"/>
        <v>379.652</v>
      </c>
    </row>
    <row r="430" spans="1:12">
      <c r="A430" t="s">
        <v>13</v>
      </c>
      <c r="B430" s="14" t="s">
        <v>860</v>
      </c>
      <c r="C430" s="20" t="s">
        <v>861</v>
      </c>
      <c r="D430" s="20" t="s">
        <v>861</v>
      </c>
      <c r="E430" s="20" t="s">
        <v>861</v>
      </c>
      <c r="F430" s="20" t="s">
        <v>861</v>
      </c>
      <c r="G430">
        <v>445.3</v>
      </c>
      <c r="H430" s="1">
        <v>989.54</v>
      </c>
      <c r="I430">
        <f t="shared" si="24"/>
        <v>512.095</v>
      </c>
      <c r="J430">
        <f t="shared" si="25"/>
        <v>534.36</v>
      </c>
      <c r="K430">
        <f t="shared" si="26"/>
        <v>578.89</v>
      </c>
      <c r="L430">
        <f t="shared" si="27"/>
        <v>623.42</v>
      </c>
    </row>
    <row r="431" spans="1:12">
      <c r="A431" t="s">
        <v>13</v>
      </c>
      <c r="B431" s="14" t="s">
        <v>862</v>
      </c>
      <c r="C431" s="20" t="s">
        <v>863</v>
      </c>
      <c r="D431" s="20" t="s">
        <v>863</v>
      </c>
      <c r="E431" s="20" t="s">
        <v>863</v>
      </c>
      <c r="F431" s="20" t="s">
        <v>863</v>
      </c>
      <c r="G431">
        <v>320.86</v>
      </c>
      <c r="H431" s="1">
        <v>713.02</v>
      </c>
      <c r="I431">
        <f t="shared" si="24"/>
        <v>368.989</v>
      </c>
      <c r="J431">
        <f t="shared" si="25"/>
        <v>385.032</v>
      </c>
      <c r="K431">
        <f t="shared" si="26"/>
        <v>417.118</v>
      </c>
      <c r="L431">
        <f t="shared" si="27"/>
        <v>449.204</v>
      </c>
    </row>
    <row r="432" spans="1:12">
      <c r="A432" t="s">
        <v>13</v>
      </c>
      <c r="B432" s="14" t="s">
        <v>864</v>
      </c>
      <c r="C432" s="20" t="s">
        <v>865</v>
      </c>
      <c r="D432" s="20" t="s">
        <v>865</v>
      </c>
      <c r="E432" s="20" t="s">
        <v>865</v>
      </c>
      <c r="F432" s="20" t="s">
        <v>865</v>
      </c>
      <c r="G432">
        <v>364.35</v>
      </c>
      <c r="H432" s="1">
        <v>809.7</v>
      </c>
      <c r="I432">
        <f t="shared" si="24"/>
        <v>419.0025</v>
      </c>
      <c r="J432">
        <f t="shared" si="25"/>
        <v>437.22</v>
      </c>
      <c r="K432">
        <f t="shared" si="26"/>
        <v>473.655</v>
      </c>
      <c r="L432">
        <f t="shared" si="27"/>
        <v>510.09</v>
      </c>
    </row>
    <row r="433" spans="1:12">
      <c r="A433" t="s">
        <v>13</v>
      </c>
      <c r="B433" s="14" t="s">
        <v>866</v>
      </c>
      <c r="C433" s="20" t="s">
        <v>867</v>
      </c>
      <c r="D433" s="20" t="s">
        <v>867</v>
      </c>
      <c r="E433" s="20" t="s">
        <v>867</v>
      </c>
      <c r="F433" s="20" t="s">
        <v>867</v>
      </c>
      <c r="G433">
        <v>465.11</v>
      </c>
      <c r="H433" s="1">
        <v>1033.57</v>
      </c>
      <c r="I433">
        <f t="shared" si="24"/>
        <v>534.8765</v>
      </c>
      <c r="J433">
        <f t="shared" si="25"/>
        <v>558.132</v>
      </c>
      <c r="K433">
        <f t="shared" si="26"/>
        <v>604.643</v>
      </c>
      <c r="L433">
        <f t="shared" si="27"/>
        <v>651.154</v>
      </c>
    </row>
    <row r="434" spans="1:12">
      <c r="A434" t="s">
        <v>13</v>
      </c>
      <c r="B434" s="14" t="s">
        <v>868</v>
      </c>
      <c r="C434" s="20" t="s">
        <v>869</v>
      </c>
      <c r="D434" s="20" t="s">
        <v>869</v>
      </c>
      <c r="E434" s="20" t="s">
        <v>869</v>
      </c>
      <c r="F434" s="20" t="s">
        <v>869</v>
      </c>
      <c r="G434">
        <v>88.41</v>
      </c>
      <c r="H434" s="1">
        <v>196.49</v>
      </c>
      <c r="I434">
        <f t="shared" si="24"/>
        <v>101.6715</v>
      </c>
      <c r="J434">
        <f t="shared" si="25"/>
        <v>106.092</v>
      </c>
      <c r="K434">
        <f t="shared" si="26"/>
        <v>114.933</v>
      </c>
      <c r="L434">
        <f t="shared" si="27"/>
        <v>123.774</v>
      </c>
    </row>
    <row r="435" spans="1:12">
      <c r="A435" t="s">
        <v>13</v>
      </c>
      <c r="B435" s="14" t="s">
        <v>870</v>
      </c>
      <c r="C435" s="20" t="s">
        <v>871</v>
      </c>
      <c r="D435" s="20" t="s">
        <v>871</v>
      </c>
      <c r="E435" s="20" t="s">
        <v>871</v>
      </c>
      <c r="F435" s="20" t="s">
        <v>871</v>
      </c>
      <c r="G435">
        <v>86.81</v>
      </c>
      <c r="H435" s="1">
        <v>192.93</v>
      </c>
      <c r="I435">
        <f t="shared" si="24"/>
        <v>99.8315</v>
      </c>
      <c r="J435">
        <f t="shared" si="25"/>
        <v>104.172</v>
      </c>
      <c r="K435">
        <f t="shared" si="26"/>
        <v>112.853</v>
      </c>
      <c r="L435">
        <f t="shared" si="27"/>
        <v>121.534</v>
      </c>
    </row>
    <row r="436" spans="1:12">
      <c r="A436" t="s">
        <v>13</v>
      </c>
      <c r="B436" s="14" t="s">
        <v>872</v>
      </c>
      <c r="C436" s="20" t="s">
        <v>873</v>
      </c>
      <c r="D436" s="20" t="s">
        <v>873</v>
      </c>
      <c r="E436" s="20" t="s">
        <v>873</v>
      </c>
      <c r="F436" s="20" t="s">
        <v>873</v>
      </c>
      <c r="G436">
        <v>91.04</v>
      </c>
      <c r="H436" s="1">
        <v>202.31</v>
      </c>
      <c r="I436">
        <f t="shared" si="24"/>
        <v>104.696</v>
      </c>
      <c r="J436">
        <f t="shared" si="25"/>
        <v>109.248</v>
      </c>
      <c r="K436">
        <f t="shared" si="26"/>
        <v>118.352</v>
      </c>
      <c r="L436">
        <f t="shared" si="27"/>
        <v>127.456</v>
      </c>
    </row>
    <row r="437" spans="1:12">
      <c r="A437" t="s">
        <v>13</v>
      </c>
      <c r="B437" s="14" t="s">
        <v>874</v>
      </c>
      <c r="C437" s="20" t="s">
        <v>875</v>
      </c>
      <c r="D437" s="20" t="s">
        <v>875</v>
      </c>
      <c r="E437" s="20" t="s">
        <v>875</v>
      </c>
      <c r="F437" s="20" t="s">
        <v>875</v>
      </c>
      <c r="G437">
        <v>101.31</v>
      </c>
      <c r="H437" s="1">
        <v>225.11</v>
      </c>
      <c r="I437">
        <f t="shared" si="24"/>
        <v>116.5065</v>
      </c>
      <c r="J437">
        <f t="shared" si="25"/>
        <v>121.572</v>
      </c>
      <c r="K437">
        <f t="shared" si="26"/>
        <v>131.703</v>
      </c>
      <c r="L437">
        <f t="shared" si="27"/>
        <v>141.834</v>
      </c>
    </row>
    <row r="438" spans="1:12">
      <c r="A438" t="s">
        <v>13</v>
      </c>
      <c r="B438" s="14" t="s">
        <v>876</v>
      </c>
      <c r="C438" s="20" t="s">
        <v>877</v>
      </c>
      <c r="D438" s="20" t="s">
        <v>877</v>
      </c>
      <c r="E438" s="20" t="s">
        <v>877</v>
      </c>
      <c r="F438" s="20" t="s">
        <v>877</v>
      </c>
      <c r="G438">
        <v>86.79</v>
      </c>
      <c r="H438" s="1">
        <v>192.85</v>
      </c>
      <c r="I438">
        <f t="shared" si="24"/>
        <v>99.8085</v>
      </c>
      <c r="J438">
        <f t="shared" si="25"/>
        <v>104.148</v>
      </c>
      <c r="K438">
        <f t="shared" si="26"/>
        <v>112.827</v>
      </c>
      <c r="L438">
        <f t="shared" si="27"/>
        <v>121.506</v>
      </c>
    </row>
    <row r="439" spans="1:12">
      <c r="A439" t="s">
        <v>13</v>
      </c>
      <c r="B439" s="14" t="s">
        <v>878</v>
      </c>
      <c r="C439" s="20" t="s">
        <v>879</v>
      </c>
      <c r="D439" s="20" t="s">
        <v>879</v>
      </c>
      <c r="E439" s="20" t="s">
        <v>879</v>
      </c>
      <c r="F439" s="20" t="s">
        <v>879</v>
      </c>
      <c r="G439">
        <v>86.79</v>
      </c>
      <c r="H439" s="1">
        <v>192.85</v>
      </c>
      <c r="I439">
        <f t="shared" si="24"/>
        <v>99.8085</v>
      </c>
      <c r="J439">
        <f t="shared" si="25"/>
        <v>104.148</v>
      </c>
      <c r="K439">
        <f t="shared" si="26"/>
        <v>112.827</v>
      </c>
      <c r="L439">
        <f t="shared" si="27"/>
        <v>121.506</v>
      </c>
    </row>
    <row r="440" spans="1:12">
      <c r="A440" t="s">
        <v>13</v>
      </c>
      <c r="B440" s="14" t="s">
        <v>880</v>
      </c>
      <c r="C440" s="20" t="s">
        <v>881</v>
      </c>
      <c r="D440" s="20" t="s">
        <v>881</v>
      </c>
      <c r="E440" s="20" t="s">
        <v>881</v>
      </c>
      <c r="F440" s="20" t="s">
        <v>881</v>
      </c>
      <c r="G440">
        <v>110.75</v>
      </c>
      <c r="H440" s="1">
        <v>246.11</v>
      </c>
      <c r="I440">
        <f t="shared" si="24"/>
        <v>127.3625</v>
      </c>
      <c r="J440">
        <f t="shared" si="25"/>
        <v>132.9</v>
      </c>
      <c r="K440">
        <f t="shared" si="26"/>
        <v>143.975</v>
      </c>
      <c r="L440">
        <f t="shared" si="27"/>
        <v>155.05</v>
      </c>
    </row>
    <row r="441" spans="1:12">
      <c r="A441" t="s">
        <v>13</v>
      </c>
      <c r="B441" s="14" t="s">
        <v>882</v>
      </c>
      <c r="C441" s="20" t="s">
        <v>883</v>
      </c>
      <c r="D441" s="20" t="s">
        <v>883</v>
      </c>
      <c r="E441" s="20" t="s">
        <v>883</v>
      </c>
      <c r="F441" s="20" t="s">
        <v>883</v>
      </c>
      <c r="G441">
        <v>110.75</v>
      </c>
      <c r="H441" s="1">
        <v>246.11</v>
      </c>
      <c r="I441">
        <f t="shared" si="24"/>
        <v>127.3625</v>
      </c>
      <c r="J441">
        <f t="shared" si="25"/>
        <v>132.9</v>
      </c>
      <c r="K441">
        <f t="shared" si="26"/>
        <v>143.975</v>
      </c>
      <c r="L441">
        <f t="shared" si="27"/>
        <v>155.05</v>
      </c>
    </row>
    <row r="442" spans="1:12">
      <c r="A442" t="s">
        <v>13</v>
      </c>
      <c r="B442" s="14" t="s">
        <v>884</v>
      </c>
      <c r="C442" s="20" t="s">
        <v>885</v>
      </c>
      <c r="D442" s="20" t="s">
        <v>885</v>
      </c>
      <c r="E442" s="20" t="s">
        <v>885</v>
      </c>
      <c r="F442" s="20" t="s">
        <v>885</v>
      </c>
      <c r="G442">
        <v>110.75</v>
      </c>
      <c r="H442" s="1">
        <v>246.11</v>
      </c>
      <c r="I442">
        <f t="shared" si="24"/>
        <v>127.3625</v>
      </c>
      <c r="J442">
        <f t="shared" si="25"/>
        <v>132.9</v>
      </c>
      <c r="K442">
        <f t="shared" si="26"/>
        <v>143.975</v>
      </c>
      <c r="L442">
        <f t="shared" si="27"/>
        <v>155.05</v>
      </c>
    </row>
    <row r="443" spans="1:12">
      <c r="A443" t="s">
        <v>13</v>
      </c>
      <c r="B443" s="14" t="s">
        <v>886</v>
      </c>
      <c r="C443" s="20" t="s">
        <v>887</v>
      </c>
      <c r="D443" s="20" t="s">
        <v>887</v>
      </c>
      <c r="E443" s="20" t="s">
        <v>887</v>
      </c>
      <c r="F443" s="20" t="s">
        <v>887</v>
      </c>
      <c r="G443">
        <v>226.86</v>
      </c>
      <c r="H443" s="1">
        <v>504.15</v>
      </c>
      <c r="I443">
        <f t="shared" si="24"/>
        <v>260.889</v>
      </c>
      <c r="J443">
        <f t="shared" si="25"/>
        <v>272.232</v>
      </c>
      <c r="K443">
        <f t="shared" si="26"/>
        <v>294.918</v>
      </c>
      <c r="L443">
        <f t="shared" si="27"/>
        <v>317.604</v>
      </c>
    </row>
    <row r="444" spans="1:12">
      <c r="A444" t="s">
        <v>13</v>
      </c>
      <c r="B444" s="14" t="s">
        <v>888</v>
      </c>
      <c r="C444" s="20" t="s">
        <v>889</v>
      </c>
      <c r="D444" s="20" t="s">
        <v>889</v>
      </c>
      <c r="E444" s="20" t="s">
        <v>889</v>
      </c>
      <c r="F444" s="20" t="s">
        <v>889</v>
      </c>
      <c r="G444">
        <v>227.72</v>
      </c>
      <c r="H444" s="1">
        <v>506.08</v>
      </c>
      <c r="I444">
        <f t="shared" si="24"/>
        <v>261.878</v>
      </c>
      <c r="J444">
        <f t="shared" si="25"/>
        <v>273.264</v>
      </c>
      <c r="K444">
        <f t="shared" si="26"/>
        <v>296.036</v>
      </c>
      <c r="L444">
        <f t="shared" si="27"/>
        <v>318.808</v>
      </c>
    </row>
    <row r="445" spans="1:12">
      <c r="A445" t="s">
        <v>13</v>
      </c>
      <c r="B445" s="14" t="s">
        <v>890</v>
      </c>
      <c r="C445" s="20" t="s">
        <v>891</v>
      </c>
      <c r="D445" s="20" t="s">
        <v>891</v>
      </c>
      <c r="E445" s="20" t="s">
        <v>891</v>
      </c>
      <c r="F445" s="20" t="s">
        <v>891</v>
      </c>
      <c r="G445">
        <v>226.02</v>
      </c>
      <c r="H445" s="1">
        <v>502.28</v>
      </c>
      <c r="I445">
        <f t="shared" si="24"/>
        <v>259.923</v>
      </c>
      <c r="J445">
        <f t="shared" si="25"/>
        <v>271.224</v>
      </c>
      <c r="K445">
        <f t="shared" si="26"/>
        <v>293.826</v>
      </c>
      <c r="L445">
        <f t="shared" si="27"/>
        <v>316.428</v>
      </c>
    </row>
    <row r="446" spans="1:12">
      <c r="A446" t="s">
        <v>13</v>
      </c>
      <c r="B446" s="14" t="s">
        <v>892</v>
      </c>
      <c r="C446" s="20" t="s">
        <v>893</v>
      </c>
      <c r="D446" s="20" t="s">
        <v>893</v>
      </c>
      <c r="E446" s="20" t="s">
        <v>893</v>
      </c>
      <c r="F446" s="20" t="s">
        <v>893</v>
      </c>
      <c r="G446">
        <v>123.86</v>
      </c>
      <c r="H446" s="1">
        <v>275.24</v>
      </c>
      <c r="I446">
        <f t="shared" si="24"/>
        <v>142.439</v>
      </c>
      <c r="J446">
        <f t="shared" si="25"/>
        <v>148.632</v>
      </c>
      <c r="K446">
        <f t="shared" si="26"/>
        <v>161.018</v>
      </c>
      <c r="L446">
        <f t="shared" si="27"/>
        <v>173.404</v>
      </c>
    </row>
    <row r="447" spans="1:12">
      <c r="A447" t="s">
        <v>13</v>
      </c>
      <c r="B447" s="14" t="s">
        <v>894</v>
      </c>
      <c r="C447" s="20" t="s">
        <v>895</v>
      </c>
      <c r="D447" s="20" t="s">
        <v>895</v>
      </c>
      <c r="E447" s="20" t="s">
        <v>895</v>
      </c>
      <c r="F447" s="20" t="s">
        <v>895</v>
      </c>
      <c r="G447">
        <v>82.22</v>
      </c>
      <c r="H447" s="1">
        <v>182.71</v>
      </c>
      <c r="I447">
        <f t="shared" si="24"/>
        <v>94.553</v>
      </c>
      <c r="J447">
        <f t="shared" si="25"/>
        <v>98.664</v>
      </c>
      <c r="K447">
        <f t="shared" si="26"/>
        <v>106.886</v>
      </c>
      <c r="L447">
        <f t="shared" si="27"/>
        <v>115.108</v>
      </c>
    </row>
    <row r="448" spans="1:12">
      <c r="A448" t="s">
        <v>13</v>
      </c>
      <c r="B448" s="14" t="s">
        <v>896</v>
      </c>
      <c r="C448" s="20" t="s">
        <v>897</v>
      </c>
      <c r="D448" s="20" t="s">
        <v>897</v>
      </c>
      <c r="E448" s="20" t="s">
        <v>897</v>
      </c>
      <c r="F448" s="20" t="s">
        <v>897</v>
      </c>
      <c r="G448">
        <v>82.24</v>
      </c>
      <c r="H448" s="1">
        <v>182.74</v>
      </c>
      <c r="I448">
        <f t="shared" si="24"/>
        <v>94.576</v>
      </c>
      <c r="J448">
        <f t="shared" si="25"/>
        <v>98.688</v>
      </c>
      <c r="K448">
        <f t="shared" si="26"/>
        <v>106.912</v>
      </c>
      <c r="L448">
        <f t="shared" si="27"/>
        <v>115.136</v>
      </c>
    </row>
    <row r="449" spans="1:12">
      <c r="A449" t="s">
        <v>13</v>
      </c>
      <c r="B449" s="14" t="s">
        <v>898</v>
      </c>
      <c r="C449" s="20" t="s">
        <v>899</v>
      </c>
      <c r="D449" s="20" t="s">
        <v>899</v>
      </c>
      <c r="E449" s="20" t="s">
        <v>899</v>
      </c>
      <c r="F449" s="20" t="s">
        <v>899</v>
      </c>
      <c r="G449">
        <v>42.35</v>
      </c>
      <c r="H449" s="1">
        <v>94.09</v>
      </c>
      <c r="I449">
        <f t="shared" si="24"/>
        <v>48.7025</v>
      </c>
      <c r="J449">
        <f t="shared" si="25"/>
        <v>50.82</v>
      </c>
      <c r="K449">
        <f t="shared" si="26"/>
        <v>55.055</v>
      </c>
      <c r="L449">
        <f t="shared" si="27"/>
        <v>59.29</v>
      </c>
    </row>
    <row r="450" spans="1:12">
      <c r="A450" t="s">
        <v>13</v>
      </c>
      <c r="B450" s="14" t="s">
        <v>900</v>
      </c>
      <c r="C450" s="20" t="s">
        <v>901</v>
      </c>
      <c r="D450" s="20" t="s">
        <v>901</v>
      </c>
      <c r="E450" s="20" t="s">
        <v>901</v>
      </c>
      <c r="F450" s="20" t="s">
        <v>901</v>
      </c>
      <c r="G450">
        <v>43.01</v>
      </c>
      <c r="H450" s="1">
        <v>95.59</v>
      </c>
      <c r="I450">
        <f t="shared" ref="I450:I513" si="28">G450*1.15</f>
        <v>49.4615</v>
      </c>
      <c r="J450">
        <f t="shared" ref="J450:J513" si="29">G450*1.2</f>
        <v>51.612</v>
      </c>
      <c r="K450">
        <f t="shared" ref="K450:K513" si="30">G450*1.3</f>
        <v>55.913</v>
      </c>
      <c r="L450">
        <f t="shared" ref="L450:L513" si="31">G450*1.4</f>
        <v>60.214</v>
      </c>
    </row>
    <row r="451" spans="1:12">
      <c r="A451" t="s">
        <v>13</v>
      </c>
      <c r="B451" s="14" t="s">
        <v>902</v>
      </c>
      <c r="C451" s="20" t="s">
        <v>903</v>
      </c>
      <c r="D451" s="20" t="s">
        <v>903</v>
      </c>
      <c r="E451" s="20" t="s">
        <v>903</v>
      </c>
      <c r="F451" s="20" t="s">
        <v>903</v>
      </c>
      <c r="G451">
        <v>43.77</v>
      </c>
      <c r="H451" s="1">
        <v>97.23</v>
      </c>
      <c r="I451">
        <f t="shared" si="28"/>
        <v>50.3355</v>
      </c>
      <c r="J451">
        <f t="shared" si="29"/>
        <v>52.524</v>
      </c>
      <c r="K451">
        <f t="shared" si="30"/>
        <v>56.901</v>
      </c>
      <c r="L451">
        <f t="shared" si="31"/>
        <v>61.278</v>
      </c>
    </row>
    <row r="452" spans="1:12">
      <c r="A452" t="s">
        <v>13</v>
      </c>
      <c r="B452" s="14" t="s">
        <v>904</v>
      </c>
      <c r="C452" s="20" t="s">
        <v>905</v>
      </c>
      <c r="D452" s="20" t="s">
        <v>905</v>
      </c>
      <c r="E452" s="20" t="s">
        <v>905</v>
      </c>
      <c r="F452" s="20" t="s">
        <v>905</v>
      </c>
      <c r="G452">
        <v>36.59</v>
      </c>
      <c r="H452" s="1">
        <v>81.28</v>
      </c>
      <c r="I452">
        <f t="shared" si="28"/>
        <v>42.0785</v>
      </c>
      <c r="J452">
        <f t="shared" si="29"/>
        <v>43.908</v>
      </c>
      <c r="K452">
        <f t="shared" si="30"/>
        <v>47.567</v>
      </c>
      <c r="L452">
        <f t="shared" si="31"/>
        <v>51.226</v>
      </c>
    </row>
    <row r="453" spans="1:12">
      <c r="A453" t="s">
        <v>13</v>
      </c>
      <c r="B453" s="14" t="s">
        <v>906</v>
      </c>
      <c r="C453" s="20" t="s">
        <v>907</v>
      </c>
      <c r="D453" s="20" t="s">
        <v>907</v>
      </c>
      <c r="E453" s="20" t="s">
        <v>907</v>
      </c>
      <c r="F453" s="20" t="s">
        <v>907</v>
      </c>
      <c r="G453">
        <v>65.65</v>
      </c>
      <c r="H453" s="1">
        <v>145.88</v>
      </c>
      <c r="I453">
        <f t="shared" si="28"/>
        <v>75.4975</v>
      </c>
      <c r="J453">
        <f t="shared" si="29"/>
        <v>78.78</v>
      </c>
      <c r="K453">
        <f t="shared" si="30"/>
        <v>85.345</v>
      </c>
      <c r="L453">
        <f t="shared" si="31"/>
        <v>91.91</v>
      </c>
    </row>
    <row r="454" spans="1:12">
      <c r="A454" t="s">
        <v>13</v>
      </c>
      <c r="B454" s="14" t="s">
        <v>908</v>
      </c>
      <c r="C454" s="20" t="s">
        <v>909</v>
      </c>
      <c r="D454" s="20" t="s">
        <v>909</v>
      </c>
      <c r="E454" s="20" t="s">
        <v>909</v>
      </c>
      <c r="F454" s="20" t="s">
        <v>909</v>
      </c>
      <c r="G454">
        <v>14.77</v>
      </c>
      <c r="H454" s="1">
        <v>32.82</v>
      </c>
      <c r="I454">
        <f t="shared" si="28"/>
        <v>16.9855</v>
      </c>
      <c r="J454">
        <f t="shared" si="29"/>
        <v>17.724</v>
      </c>
      <c r="K454">
        <f t="shared" si="30"/>
        <v>19.201</v>
      </c>
      <c r="L454">
        <f t="shared" si="31"/>
        <v>20.678</v>
      </c>
    </row>
    <row r="455" spans="1:12">
      <c r="A455" t="s">
        <v>13</v>
      </c>
      <c r="B455" s="14" t="s">
        <v>910</v>
      </c>
      <c r="C455" s="20" t="s">
        <v>911</v>
      </c>
      <c r="D455" s="20" t="s">
        <v>911</v>
      </c>
      <c r="E455" s="20" t="s">
        <v>911</v>
      </c>
      <c r="F455" s="20" t="s">
        <v>911</v>
      </c>
      <c r="G455">
        <v>9.37</v>
      </c>
      <c r="H455" s="1">
        <v>17.85</v>
      </c>
      <c r="I455">
        <f t="shared" si="28"/>
        <v>10.7755</v>
      </c>
      <c r="J455">
        <f t="shared" si="29"/>
        <v>11.244</v>
      </c>
      <c r="K455">
        <f t="shared" si="30"/>
        <v>12.181</v>
      </c>
      <c r="L455">
        <f t="shared" si="31"/>
        <v>13.118</v>
      </c>
    </row>
    <row r="456" spans="1:12">
      <c r="A456" t="s">
        <v>13</v>
      </c>
      <c r="B456" s="14" t="s">
        <v>912</v>
      </c>
      <c r="C456" s="20" t="s">
        <v>913</v>
      </c>
      <c r="D456" s="20" t="s">
        <v>913</v>
      </c>
      <c r="E456" s="20" t="s">
        <v>913</v>
      </c>
      <c r="F456" s="20" t="s">
        <v>913</v>
      </c>
      <c r="G456">
        <v>6.85</v>
      </c>
      <c r="H456" s="1">
        <v>13.03</v>
      </c>
      <c r="I456">
        <f t="shared" si="28"/>
        <v>7.8775</v>
      </c>
      <c r="J456">
        <f t="shared" si="29"/>
        <v>8.22</v>
      </c>
      <c r="K456">
        <f t="shared" si="30"/>
        <v>8.905</v>
      </c>
      <c r="L456">
        <f t="shared" si="31"/>
        <v>9.59</v>
      </c>
    </row>
    <row r="457" spans="1:12">
      <c r="A457" t="s">
        <v>13</v>
      </c>
      <c r="B457" s="14" t="s">
        <v>914</v>
      </c>
      <c r="C457" s="20" t="s">
        <v>915</v>
      </c>
      <c r="D457" s="20" t="s">
        <v>915</v>
      </c>
      <c r="E457" s="20" t="s">
        <v>915</v>
      </c>
      <c r="F457" s="20" t="s">
        <v>915</v>
      </c>
      <c r="G457">
        <v>396.8</v>
      </c>
      <c r="H457" s="1">
        <v>881.82</v>
      </c>
      <c r="I457">
        <f t="shared" si="28"/>
        <v>456.32</v>
      </c>
      <c r="J457">
        <f t="shared" si="29"/>
        <v>476.16</v>
      </c>
      <c r="K457">
        <f t="shared" si="30"/>
        <v>515.84</v>
      </c>
      <c r="L457">
        <f t="shared" si="31"/>
        <v>555.52</v>
      </c>
    </row>
    <row r="458" spans="1:12">
      <c r="A458" t="s">
        <v>13</v>
      </c>
      <c r="B458" s="14" t="s">
        <v>916</v>
      </c>
      <c r="C458" s="20" t="s">
        <v>917</v>
      </c>
      <c r="D458" s="20" t="s">
        <v>917</v>
      </c>
      <c r="E458" s="20" t="s">
        <v>917</v>
      </c>
      <c r="F458" s="20" t="s">
        <v>917</v>
      </c>
      <c r="G458">
        <v>685.05</v>
      </c>
      <c r="H458" s="1">
        <v>1522.36</v>
      </c>
      <c r="I458">
        <f t="shared" si="28"/>
        <v>787.8075</v>
      </c>
      <c r="J458">
        <f t="shared" si="29"/>
        <v>822.06</v>
      </c>
      <c r="K458">
        <f t="shared" si="30"/>
        <v>890.565</v>
      </c>
      <c r="L458">
        <f t="shared" si="31"/>
        <v>959.07</v>
      </c>
    </row>
    <row r="459" spans="1:12">
      <c r="A459" t="s">
        <v>13</v>
      </c>
      <c r="B459" s="14" t="s">
        <v>918</v>
      </c>
      <c r="C459" s="20" t="s">
        <v>919</v>
      </c>
      <c r="D459" s="20" t="s">
        <v>919</v>
      </c>
      <c r="E459" s="20" t="s">
        <v>919</v>
      </c>
      <c r="F459" s="20" t="s">
        <v>919</v>
      </c>
      <c r="G459">
        <v>952.45</v>
      </c>
      <c r="H459" s="1">
        <v>2116.57</v>
      </c>
      <c r="I459">
        <f t="shared" si="28"/>
        <v>1095.3175</v>
      </c>
      <c r="J459">
        <f t="shared" si="29"/>
        <v>1142.94</v>
      </c>
      <c r="K459">
        <f t="shared" si="30"/>
        <v>1238.185</v>
      </c>
      <c r="L459">
        <f t="shared" si="31"/>
        <v>1333.43</v>
      </c>
    </row>
    <row r="460" spans="1:12">
      <c r="A460" t="s">
        <v>13</v>
      </c>
      <c r="B460" s="14" t="s">
        <v>920</v>
      </c>
      <c r="C460" s="20" t="s">
        <v>921</v>
      </c>
      <c r="D460" s="20" t="s">
        <v>921</v>
      </c>
      <c r="E460" s="20" t="s">
        <v>921</v>
      </c>
      <c r="F460" s="20" t="s">
        <v>921</v>
      </c>
      <c r="G460">
        <v>187.23</v>
      </c>
      <c r="H460" s="1">
        <v>416.05</v>
      </c>
      <c r="I460">
        <f t="shared" si="28"/>
        <v>215.3145</v>
      </c>
      <c r="J460">
        <f t="shared" si="29"/>
        <v>224.676</v>
      </c>
      <c r="K460">
        <f t="shared" si="30"/>
        <v>243.399</v>
      </c>
      <c r="L460">
        <f t="shared" si="31"/>
        <v>262.122</v>
      </c>
    </row>
    <row r="461" spans="1:12">
      <c r="A461" t="s">
        <v>13</v>
      </c>
      <c r="B461" s="14" t="s">
        <v>922</v>
      </c>
      <c r="C461" s="20" t="s">
        <v>917</v>
      </c>
      <c r="D461" s="20" t="s">
        <v>917</v>
      </c>
      <c r="E461" s="20" t="s">
        <v>917</v>
      </c>
      <c r="F461" s="20" t="s">
        <v>917</v>
      </c>
      <c r="G461">
        <v>370.23</v>
      </c>
      <c r="H461" s="1">
        <v>822.73</v>
      </c>
      <c r="I461">
        <f t="shared" si="28"/>
        <v>425.7645</v>
      </c>
      <c r="J461">
        <f t="shared" si="29"/>
        <v>444.276</v>
      </c>
      <c r="K461">
        <f t="shared" si="30"/>
        <v>481.299</v>
      </c>
      <c r="L461">
        <f t="shared" si="31"/>
        <v>518.322</v>
      </c>
    </row>
    <row r="462" spans="1:12">
      <c r="A462" t="s">
        <v>13</v>
      </c>
      <c r="B462" s="14" t="s">
        <v>923</v>
      </c>
      <c r="C462" s="20" t="s">
        <v>924</v>
      </c>
      <c r="D462" s="20" t="s">
        <v>924</v>
      </c>
      <c r="E462" s="20" t="s">
        <v>924</v>
      </c>
      <c r="F462" s="20" t="s">
        <v>924</v>
      </c>
      <c r="G462">
        <v>1189.06</v>
      </c>
      <c r="H462" s="1">
        <v>2642.36</v>
      </c>
      <c r="I462">
        <f t="shared" si="28"/>
        <v>1367.419</v>
      </c>
      <c r="J462">
        <f t="shared" si="29"/>
        <v>1426.872</v>
      </c>
      <c r="K462">
        <f t="shared" si="30"/>
        <v>1545.778</v>
      </c>
      <c r="L462">
        <f t="shared" si="31"/>
        <v>1664.684</v>
      </c>
    </row>
    <row r="463" spans="1:12">
      <c r="A463" t="s">
        <v>13</v>
      </c>
      <c r="B463" s="14" t="s">
        <v>925</v>
      </c>
      <c r="C463" s="20" t="s">
        <v>926</v>
      </c>
      <c r="D463" s="20" t="s">
        <v>926</v>
      </c>
      <c r="E463" s="20" t="s">
        <v>926</v>
      </c>
      <c r="F463" s="20" t="s">
        <v>926</v>
      </c>
      <c r="G463">
        <v>1425.31</v>
      </c>
      <c r="H463" s="1">
        <v>3167.39</v>
      </c>
      <c r="I463">
        <f t="shared" si="28"/>
        <v>1639.1065</v>
      </c>
      <c r="J463">
        <f t="shared" si="29"/>
        <v>1710.372</v>
      </c>
      <c r="K463">
        <f t="shared" si="30"/>
        <v>1852.903</v>
      </c>
      <c r="L463">
        <f t="shared" si="31"/>
        <v>1995.434</v>
      </c>
    </row>
    <row r="464" spans="1:12">
      <c r="A464" t="s">
        <v>13</v>
      </c>
      <c r="B464" s="14" t="s">
        <v>927</v>
      </c>
      <c r="C464" s="20" t="s">
        <v>928</v>
      </c>
      <c r="D464" s="20" t="s">
        <v>928</v>
      </c>
      <c r="E464" s="20" t="s">
        <v>928</v>
      </c>
      <c r="F464" s="20" t="s">
        <v>928</v>
      </c>
      <c r="G464">
        <v>55.63</v>
      </c>
      <c r="H464" s="1">
        <v>123.63</v>
      </c>
      <c r="I464">
        <f t="shared" si="28"/>
        <v>63.9745</v>
      </c>
      <c r="J464">
        <f t="shared" si="29"/>
        <v>66.756</v>
      </c>
      <c r="K464">
        <f t="shared" si="30"/>
        <v>72.319</v>
      </c>
      <c r="L464">
        <f t="shared" si="31"/>
        <v>77.882</v>
      </c>
    </row>
    <row r="465" spans="1:12">
      <c r="A465" t="s">
        <v>13</v>
      </c>
      <c r="B465" s="14" t="s">
        <v>929</v>
      </c>
      <c r="C465" s="20" t="s">
        <v>930</v>
      </c>
      <c r="D465" s="20" t="s">
        <v>930</v>
      </c>
      <c r="E465" s="20" t="s">
        <v>930</v>
      </c>
      <c r="F465" s="20" t="s">
        <v>930</v>
      </c>
      <c r="G465">
        <v>73.83</v>
      </c>
      <c r="H465" s="1">
        <v>164.08</v>
      </c>
      <c r="I465">
        <f t="shared" si="28"/>
        <v>84.9045</v>
      </c>
      <c r="J465">
        <f t="shared" si="29"/>
        <v>88.596</v>
      </c>
      <c r="K465">
        <f t="shared" si="30"/>
        <v>95.979</v>
      </c>
      <c r="L465">
        <f t="shared" si="31"/>
        <v>103.362</v>
      </c>
    </row>
    <row r="466" spans="1:12">
      <c r="A466" t="s">
        <v>13</v>
      </c>
      <c r="B466" s="14" t="s">
        <v>931</v>
      </c>
      <c r="C466" s="20" t="s">
        <v>932</v>
      </c>
      <c r="D466" s="20" t="s">
        <v>932</v>
      </c>
      <c r="E466" s="20" t="s">
        <v>932</v>
      </c>
      <c r="F466" s="20" t="s">
        <v>932</v>
      </c>
      <c r="G466">
        <v>69.31</v>
      </c>
      <c r="H466" s="1">
        <v>154.05</v>
      </c>
      <c r="I466">
        <f t="shared" si="28"/>
        <v>79.7065</v>
      </c>
      <c r="J466">
        <f t="shared" si="29"/>
        <v>83.172</v>
      </c>
      <c r="K466">
        <f t="shared" si="30"/>
        <v>90.103</v>
      </c>
      <c r="L466">
        <f t="shared" si="31"/>
        <v>97.034</v>
      </c>
    </row>
    <row r="467" spans="1:12">
      <c r="A467" t="s">
        <v>13</v>
      </c>
      <c r="B467" s="14" t="s">
        <v>933</v>
      </c>
      <c r="C467" s="20" t="s">
        <v>934</v>
      </c>
      <c r="D467" s="20" t="s">
        <v>934</v>
      </c>
      <c r="E467" s="20" t="s">
        <v>934</v>
      </c>
      <c r="F467" s="20" t="s">
        <v>934</v>
      </c>
      <c r="G467">
        <v>28.38</v>
      </c>
      <c r="H467" s="1">
        <v>63.07</v>
      </c>
      <c r="I467">
        <f t="shared" si="28"/>
        <v>32.637</v>
      </c>
      <c r="J467">
        <f t="shared" si="29"/>
        <v>34.056</v>
      </c>
      <c r="K467">
        <f t="shared" si="30"/>
        <v>36.894</v>
      </c>
      <c r="L467">
        <f t="shared" si="31"/>
        <v>39.732</v>
      </c>
    </row>
    <row r="468" spans="1:12">
      <c r="A468" t="s">
        <v>13</v>
      </c>
      <c r="B468" s="14" t="s">
        <v>935</v>
      </c>
      <c r="C468" s="20" t="s">
        <v>936</v>
      </c>
      <c r="D468" s="20" t="s">
        <v>936</v>
      </c>
      <c r="E468" s="20" t="s">
        <v>936</v>
      </c>
      <c r="F468" s="20" t="s">
        <v>936</v>
      </c>
      <c r="G468">
        <v>1.7</v>
      </c>
      <c r="H468" s="1">
        <v>3.25</v>
      </c>
      <c r="I468">
        <f t="shared" si="28"/>
        <v>1.955</v>
      </c>
      <c r="J468">
        <f t="shared" si="29"/>
        <v>2.04</v>
      </c>
      <c r="K468">
        <f t="shared" si="30"/>
        <v>2.21</v>
      </c>
      <c r="L468">
        <f t="shared" si="31"/>
        <v>2.38</v>
      </c>
    </row>
    <row r="469" spans="1:12">
      <c r="A469" t="s">
        <v>13</v>
      </c>
      <c r="B469" s="14" t="s">
        <v>937</v>
      </c>
      <c r="C469" s="20" t="s">
        <v>938</v>
      </c>
      <c r="D469" s="20" t="s">
        <v>938</v>
      </c>
      <c r="E469" s="20" t="s">
        <v>938</v>
      </c>
      <c r="F469" s="20" t="s">
        <v>938</v>
      </c>
      <c r="G469">
        <v>47.31</v>
      </c>
      <c r="H469" s="1">
        <v>105.17</v>
      </c>
      <c r="I469">
        <f t="shared" si="28"/>
        <v>54.4065</v>
      </c>
      <c r="J469">
        <f t="shared" si="29"/>
        <v>56.772</v>
      </c>
      <c r="K469">
        <f t="shared" si="30"/>
        <v>61.503</v>
      </c>
      <c r="L469">
        <f t="shared" si="31"/>
        <v>66.234</v>
      </c>
    </row>
    <row r="470" spans="1:12">
      <c r="A470" t="s">
        <v>13</v>
      </c>
      <c r="B470" s="14" t="s">
        <v>939</v>
      </c>
      <c r="C470" s="20" t="s">
        <v>940</v>
      </c>
      <c r="D470" s="20" t="s">
        <v>940</v>
      </c>
      <c r="E470" s="20" t="s">
        <v>940</v>
      </c>
      <c r="F470" s="20" t="s">
        <v>940</v>
      </c>
      <c r="G470">
        <v>34.46</v>
      </c>
      <c r="H470" s="1">
        <v>76.57</v>
      </c>
      <c r="I470">
        <f t="shared" si="28"/>
        <v>39.629</v>
      </c>
      <c r="J470">
        <f t="shared" si="29"/>
        <v>41.352</v>
      </c>
      <c r="K470">
        <f t="shared" si="30"/>
        <v>44.798</v>
      </c>
      <c r="L470">
        <f t="shared" si="31"/>
        <v>48.244</v>
      </c>
    </row>
    <row r="471" ht="28.5" spans="1:12">
      <c r="A471" t="s">
        <v>13</v>
      </c>
      <c r="B471" s="14" t="s">
        <v>941</v>
      </c>
      <c r="C471" s="20" t="s">
        <v>942</v>
      </c>
      <c r="D471" s="20" t="s">
        <v>942</v>
      </c>
      <c r="E471" s="20" t="s">
        <v>942</v>
      </c>
      <c r="F471" s="20" t="s">
        <v>942</v>
      </c>
      <c r="G471">
        <v>54.66</v>
      </c>
      <c r="H471" s="1">
        <v>121.48</v>
      </c>
      <c r="I471">
        <f t="shared" si="28"/>
        <v>62.859</v>
      </c>
      <c r="J471">
        <f t="shared" si="29"/>
        <v>65.592</v>
      </c>
      <c r="K471">
        <f t="shared" si="30"/>
        <v>71.058</v>
      </c>
      <c r="L471">
        <f t="shared" si="31"/>
        <v>76.524</v>
      </c>
    </row>
    <row r="472" spans="1:12">
      <c r="A472" t="s">
        <v>13</v>
      </c>
      <c r="B472" s="14" t="s">
        <v>943</v>
      </c>
      <c r="C472" s="20" t="s">
        <v>944</v>
      </c>
      <c r="D472" s="20" t="s">
        <v>944</v>
      </c>
      <c r="E472" s="20" t="s">
        <v>944</v>
      </c>
      <c r="F472" s="20" t="s">
        <v>944</v>
      </c>
      <c r="G472">
        <v>54.07</v>
      </c>
      <c r="H472" s="1">
        <v>120.2</v>
      </c>
      <c r="I472">
        <f t="shared" si="28"/>
        <v>62.1805</v>
      </c>
      <c r="J472">
        <f t="shared" si="29"/>
        <v>64.884</v>
      </c>
      <c r="K472">
        <f t="shared" si="30"/>
        <v>70.291</v>
      </c>
      <c r="L472">
        <f t="shared" si="31"/>
        <v>75.698</v>
      </c>
    </row>
    <row r="473" spans="1:12">
      <c r="A473" t="s">
        <v>13</v>
      </c>
      <c r="B473" s="14" t="s">
        <v>945</v>
      </c>
      <c r="C473" s="20" t="s">
        <v>946</v>
      </c>
      <c r="D473" s="20" t="s">
        <v>946</v>
      </c>
      <c r="E473" s="20" t="s">
        <v>946</v>
      </c>
      <c r="F473" s="20" t="s">
        <v>946</v>
      </c>
      <c r="G473">
        <v>41.6</v>
      </c>
      <c r="H473" s="1">
        <v>92.44</v>
      </c>
      <c r="I473">
        <f t="shared" si="28"/>
        <v>47.84</v>
      </c>
      <c r="J473">
        <f t="shared" si="29"/>
        <v>49.92</v>
      </c>
      <c r="K473">
        <f t="shared" si="30"/>
        <v>54.08</v>
      </c>
      <c r="L473">
        <f t="shared" si="31"/>
        <v>58.24</v>
      </c>
    </row>
    <row r="474" spans="1:12">
      <c r="A474" t="s">
        <v>13</v>
      </c>
      <c r="B474" s="14" t="s">
        <v>947</v>
      </c>
      <c r="C474" s="20" t="s">
        <v>948</v>
      </c>
      <c r="D474" s="20" t="s">
        <v>948</v>
      </c>
      <c r="E474" s="20" t="s">
        <v>948</v>
      </c>
      <c r="F474" s="20" t="s">
        <v>948</v>
      </c>
      <c r="G474">
        <v>30.2</v>
      </c>
      <c r="H474" s="1">
        <v>67.12</v>
      </c>
      <c r="I474">
        <f t="shared" si="28"/>
        <v>34.73</v>
      </c>
      <c r="J474">
        <f t="shared" si="29"/>
        <v>36.24</v>
      </c>
      <c r="K474">
        <f t="shared" si="30"/>
        <v>39.26</v>
      </c>
      <c r="L474">
        <f t="shared" si="31"/>
        <v>42.28</v>
      </c>
    </row>
    <row r="475" spans="1:12">
      <c r="A475" t="s">
        <v>13</v>
      </c>
      <c r="B475" s="14" t="s">
        <v>949</v>
      </c>
      <c r="C475" s="20" t="s">
        <v>950</v>
      </c>
      <c r="D475" s="20" t="s">
        <v>950</v>
      </c>
      <c r="E475" s="20" t="s">
        <v>950</v>
      </c>
      <c r="F475" s="20" t="s">
        <v>950</v>
      </c>
      <c r="G475">
        <v>30.2</v>
      </c>
      <c r="H475" s="1">
        <v>67.12</v>
      </c>
      <c r="I475">
        <f t="shared" si="28"/>
        <v>34.73</v>
      </c>
      <c r="J475">
        <f t="shared" si="29"/>
        <v>36.24</v>
      </c>
      <c r="K475">
        <f t="shared" si="30"/>
        <v>39.26</v>
      </c>
      <c r="L475">
        <f t="shared" si="31"/>
        <v>42.28</v>
      </c>
    </row>
    <row r="476" spans="1:12">
      <c r="A476" t="s">
        <v>13</v>
      </c>
      <c r="B476" s="14" t="s">
        <v>951</v>
      </c>
      <c r="C476" s="20" t="s">
        <v>952</v>
      </c>
      <c r="D476" s="20" t="s">
        <v>952</v>
      </c>
      <c r="E476" s="20" t="s">
        <v>952</v>
      </c>
      <c r="F476" s="20" t="s">
        <v>952</v>
      </c>
      <c r="G476">
        <v>23.86</v>
      </c>
      <c r="H476" s="1">
        <v>53.01</v>
      </c>
      <c r="I476">
        <f t="shared" si="28"/>
        <v>27.439</v>
      </c>
      <c r="J476">
        <f t="shared" si="29"/>
        <v>28.632</v>
      </c>
      <c r="K476">
        <f t="shared" si="30"/>
        <v>31.018</v>
      </c>
      <c r="L476">
        <f t="shared" si="31"/>
        <v>33.404</v>
      </c>
    </row>
    <row r="477" spans="1:12">
      <c r="A477" t="s">
        <v>13</v>
      </c>
      <c r="B477" s="14" t="s">
        <v>953</v>
      </c>
      <c r="C477" s="20" t="s">
        <v>954</v>
      </c>
      <c r="D477" s="20" t="s">
        <v>954</v>
      </c>
      <c r="E477" s="20" t="s">
        <v>954</v>
      </c>
      <c r="F477" s="20" t="s">
        <v>954</v>
      </c>
      <c r="G477">
        <v>23.86</v>
      </c>
      <c r="H477" s="1">
        <v>53.01</v>
      </c>
      <c r="I477">
        <f t="shared" si="28"/>
        <v>27.439</v>
      </c>
      <c r="J477">
        <f t="shared" si="29"/>
        <v>28.632</v>
      </c>
      <c r="K477">
        <f t="shared" si="30"/>
        <v>31.018</v>
      </c>
      <c r="L477">
        <f t="shared" si="31"/>
        <v>33.404</v>
      </c>
    </row>
    <row r="478" spans="1:12">
      <c r="A478" t="s">
        <v>13</v>
      </c>
      <c r="B478" s="14" t="s">
        <v>955</v>
      </c>
      <c r="C478" s="20" t="s">
        <v>956</v>
      </c>
      <c r="D478" s="20" t="s">
        <v>956</v>
      </c>
      <c r="E478" s="20" t="s">
        <v>956</v>
      </c>
      <c r="F478" s="20" t="s">
        <v>956</v>
      </c>
      <c r="G478">
        <v>38.54</v>
      </c>
      <c r="H478" s="1">
        <v>85.63</v>
      </c>
      <c r="I478">
        <f t="shared" si="28"/>
        <v>44.321</v>
      </c>
      <c r="J478">
        <f t="shared" si="29"/>
        <v>46.248</v>
      </c>
      <c r="K478">
        <f t="shared" si="30"/>
        <v>50.102</v>
      </c>
      <c r="L478">
        <f t="shared" si="31"/>
        <v>53.956</v>
      </c>
    </row>
    <row r="479" spans="1:12">
      <c r="A479" t="s">
        <v>13</v>
      </c>
      <c r="B479" s="14" t="s">
        <v>957</v>
      </c>
      <c r="C479" s="20" t="s">
        <v>958</v>
      </c>
      <c r="D479" s="20" t="s">
        <v>958</v>
      </c>
      <c r="E479" s="20" t="s">
        <v>958</v>
      </c>
      <c r="F479" s="20" t="s">
        <v>958</v>
      </c>
      <c r="G479">
        <v>48.4</v>
      </c>
      <c r="H479" s="1">
        <v>107.55</v>
      </c>
      <c r="I479">
        <f t="shared" si="28"/>
        <v>55.66</v>
      </c>
      <c r="J479">
        <f t="shared" si="29"/>
        <v>58.08</v>
      </c>
      <c r="K479">
        <f t="shared" si="30"/>
        <v>62.92</v>
      </c>
      <c r="L479">
        <f t="shared" si="31"/>
        <v>67.76</v>
      </c>
    </row>
    <row r="480" spans="1:12">
      <c r="A480" t="s">
        <v>13</v>
      </c>
      <c r="B480" s="14" t="s">
        <v>959</v>
      </c>
      <c r="C480" s="20" t="s">
        <v>960</v>
      </c>
      <c r="D480" s="20" t="s">
        <v>960</v>
      </c>
      <c r="E480" s="20" t="s">
        <v>960</v>
      </c>
      <c r="F480" s="20" t="s">
        <v>960</v>
      </c>
      <c r="G480">
        <v>38.55</v>
      </c>
      <c r="H480" s="1">
        <v>85.66</v>
      </c>
      <c r="I480">
        <f t="shared" si="28"/>
        <v>44.3325</v>
      </c>
      <c r="J480">
        <f t="shared" si="29"/>
        <v>46.26</v>
      </c>
      <c r="K480">
        <f t="shared" si="30"/>
        <v>50.115</v>
      </c>
      <c r="L480">
        <f t="shared" si="31"/>
        <v>53.97</v>
      </c>
    </row>
    <row r="481" spans="1:12">
      <c r="A481" t="s">
        <v>13</v>
      </c>
      <c r="B481" s="14" t="s">
        <v>961</v>
      </c>
      <c r="C481" s="20" t="s">
        <v>962</v>
      </c>
      <c r="D481" s="20" t="s">
        <v>962</v>
      </c>
      <c r="E481" s="20" t="s">
        <v>962</v>
      </c>
      <c r="F481" s="20" t="s">
        <v>962</v>
      </c>
      <c r="G481">
        <v>44.25</v>
      </c>
      <c r="H481" s="1">
        <v>98.32</v>
      </c>
      <c r="I481">
        <f t="shared" si="28"/>
        <v>50.8875</v>
      </c>
      <c r="J481">
        <f t="shared" si="29"/>
        <v>53.1</v>
      </c>
      <c r="K481">
        <f t="shared" si="30"/>
        <v>57.525</v>
      </c>
      <c r="L481">
        <f t="shared" si="31"/>
        <v>61.95</v>
      </c>
    </row>
    <row r="482" spans="1:12">
      <c r="A482" t="s">
        <v>13</v>
      </c>
      <c r="B482" s="14" t="s">
        <v>963</v>
      </c>
      <c r="C482" s="20" t="s">
        <v>964</v>
      </c>
      <c r="D482" s="20" t="s">
        <v>964</v>
      </c>
      <c r="E482" s="20" t="s">
        <v>964</v>
      </c>
      <c r="F482" s="20" t="s">
        <v>964</v>
      </c>
      <c r="G482">
        <v>31.92</v>
      </c>
      <c r="H482" s="1">
        <v>70.95</v>
      </c>
      <c r="I482">
        <f t="shared" si="28"/>
        <v>36.708</v>
      </c>
      <c r="J482">
        <f t="shared" si="29"/>
        <v>38.304</v>
      </c>
      <c r="K482">
        <f t="shared" si="30"/>
        <v>41.496</v>
      </c>
      <c r="L482">
        <f t="shared" si="31"/>
        <v>44.688</v>
      </c>
    </row>
    <row r="483" spans="1:12">
      <c r="A483" t="s">
        <v>13</v>
      </c>
      <c r="B483" s="14" t="s">
        <v>965</v>
      </c>
      <c r="C483" s="20" t="s">
        <v>966</v>
      </c>
      <c r="D483" s="20" t="s">
        <v>966</v>
      </c>
      <c r="E483" s="20" t="s">
        <v>966</v>
      </c>
      <c r="F483" s="20" t="s">
        <v>966</v>
      </c>
      <c r="G483">
        <v>29.4</v>
      </c>
      <c r="H483" s="1">
        <v>65.33</v>
      </c>
      <c r="I483">
        <f t="shared" si="28"/>
        <v>33.81</v>
      </c>
      <c r="J483">
        <f t="shared" si="29"/>
        <v>35.28</v>
      </c>
      <c r="K483">
        <f t="shared" si="30"/>
        <v>38.22</v>
      </c>
      <c r="L483">
        <f t="shared" si="31"/>
        <v>41.16</v>
      </c>
    </row>
    <row r="484" spans="1:12">
      <c r="A484" t="s">
        <v>13</v>
      </c>
      <c r="B484" s="14" t="s">
        <v>967</v>
      </c>
      <c r="C484" s="20" t="s">
        <v>968</v>
      </c>
      <c r="D484" s="20" t="s">
        <v>968</v>
      </c>
      <c r="E484" s="20" t="s">
        <v>968</v>
      </c>
      <c r="F484" s="20" t="s">
        <v>968</v>
      </c>
      <c r="G484">
        <v>31.92</v>
      </c>
      <c r="H484" s="1">
        <v>70.95</v>
      </c>
      <c r="I484">
        <f t="shared" si="28"/>
        <v>36.708</v>
      </c>
      <c r="J484">
        <f t="shared" si="29"/>
        <v>38.304</v>
      </c>
      <c r="K484">
        <f t="shared" si="30"/>
        <v>41.496</v>
      </c>
      <c r="L484">
        <f t="shared" si="31"/>
        <v>44.688</v>
      </c>
    </row>
    <row r="485" spans="1:12">
      <c r="A485" t="s">
        <v>13</v>
      </c>
      <c r="B485" s="14" t="s">
        <v>969</v>
      </c>
      <c r="C485" s="20" t="s">
        <v>970</v>
      </c>
      <c r="D485" s="20" t="s">
        <v>970</v>
      </c>
      <c r="E485" s="20" t="s">
        <v>970</v>
      </c>
      <c r="F485" s="20" t="s">
        <v>970</v>
      </c>
      <c r="G485">
        <v>149.52</v>
      </c>
      <c r="H485" s="1">
        <v>332.26</v>
      </c>
      <c r="I485">
        <f t="shared" si="28"/>
        <v>171.948</v>
      </c>
      <c r="J485">
        <f t="shared" si="29"/>
        <v>179.424</v>
      </c>
      <c r="K485">
        <f t="shared" si="30"/>
        <v>194.376</v>
      </c>
      <c r="L485">
        <f t="shared" si="31"/>
        <v>209.328</v>
      </c>
    </row>
    <row r="486" spans="1:12">
      <c r="A486" t="s">
        <v>13</v>
      </c>
      <c r="B486" s="14" t="s">
        <v>971</v>
      </c>
      <c r="C486" s="20" t="s">
        <v>972</v>
      </c>
      <c r="D486" s="20" t="s">
        <v>972</v>
      </c>
      <c r="E486" s="20" t="s">
        <v>972</v>
      </c>
      <c r="F486" s="20" t="s">
        <v>972</v>
      </c>
      <c r="G486">
        <v>327.34</v>
      </c>
      <c r="H486" s="1">
        <v>727.38</v>
      </c>
      <c r="I486">
        <f t="shared" si="28"/>
        <v>376.441</v>
      </c>
      <c r="J486">
        <f t="shared" si="29"/>
        <v>392.808</v>
      </c>
      <c r="K486">
        <f t="shared" si="30"/>
        <v>425.542</v>
      </c>
      <c r="L486">
        <f t="shared" si="31"/>
        <v>458.276</v>
      </c>
    </row>
    <row r="487" spans="1:12">
      <c r="A487" t="s">
        <v>13</v>
      </c>
      <c r="B487" s="14" t="s">
        <v>973</v>
      </c>
      <c r="C487" s="20" t="s">
        <v>974</v>
      </c>
      <c r="D487" s="20" t="s">
        <v>974</v>
      </c>
      <c r="E487" s="20" t="s">
        <v>974</v>
      </c>
      <c r="F487" s="20" t="s">
        <v>974</v>
      </c>
      <c r="G487">
        <v>309.58</v>
      </c>
      <c r="H487" s="1">
        <v>687.95</v>
      </c>
      <c r="I487">
        <f t="shared" si="28"/>
        <v>356.017</v>
      </c>
      <c r="J487">
        <f t="shared" si="29"/>
        <v>371.496</v>
      </c>
      <c r="K487">
        <f t="shared" si="30"/>
        <v>402.454</v>
      </c>
      <c r="L487">
        <f t="shared" si="31"/>
        <v>433.412</v>
      </c>
    </row>
    <row r="488" spans="1:12">
      <c r="A488" t="s">
        <v>13</v>
      </c>
      <c r="B488" s="14" t="s">
        <v>975</v>
      </c>
      <c r="C488" s="20" t="s">
        <v>976</v>
      </c>
      <c r="D488" s="20" t="s">
        <v>976</v>
      </c>
      <c r="E488" s="20" t="s">
        <v>976</v>
      </c>
      <c r="F488" s="20" t="s">
        <v>976</v>
      </c>
      <c r="G488">
        <v>750.83</v>
      </c>
      <c r="H488" s="1">
        <v>1668.51</v>
      </c>
      <c r="I488">
        <f t="shared" si="28"/>
        <v>863.4545</v>
      </c>
      <c r="J488">
        <f t="shared" si="29"/>
        <v>900.996</v>
      </c>
      <c r="K488">
        <f t="shared" si="30"/>
        <v>976.079</v>
      </c>
      <c r="L488">
        <f t="shared" si="31"/>
        <v>1051.162</v>
      </c>
    </row>
    <row r="489" spans="1:12">
      <c r="A489" t="s">
        <v>13</v>
      </c>
      <c r="B489" s="14" t="s">
        <v>977</v>
      </c>
      <c r="C489" s="20" t="s">
        <v>978</v>
      </c>
      <c r="D489" s="20" t="s">
        <v>978</v>
      </c>
      <c r="E489" s="20" t="s">
        <v>978</v>
      </c>
      <c r="F489" s="20" t="s">
        <v>978</v>
      </c>
      <c r="G489">
        <v>444.08</v>
      </c>
      <c r="H489" s="1">
        <v>986.83</v>
      </c>
      <c r="I489">
        <f t="shared" si="28"/>
        <v>510.692</v>
      </c>
      <c r="J489">
        <f t="shared" si="29"/>
        <v>532.896</v>
      </c>
      <c r="K489">
        <f t="shared" si="30"/>
        <v>577.304</v>
      </c>
      <c r="L489">
        <f t="shared" si="31"/>
        <v>621.712</v>
      </c>
    </row>
    <row r="490" spans="1:12">
      <c r="A490" t="s">
        <v>13</v>
      </c>
      <c r="B490" s="14" t="s">
        <v>979</v>
      </c>
      <c r="C490" s="20" t="s">
        <v>980</v>
      </c>
      <c r="D490" s="20" t="s">
        <v>980</v>
      </c>
      <c r="E490" s="20" t="s">
        <v>980</v>
      </c>
      <c r="F490" s="20" t="s">
        <v>980</v>
      </c>
      <c r="G490">
        <v>287.98</v>
      </c>
      <c r="H490" s="1">
        <v>639.94</v>
      </c>
      <c r="I490">
        <f t="shared" si="28"/>
        <v>331.177</v>
      </c>
      <c r="J490">
        <f t="shared" si="29"/>
        <v>345.576</v>
      </c>
      <c r="K490">
        <f t="shared" si="30"/>
        <v>374.374</v>
      </c>
      <c r="L490">
        <f t="shared" si="31"/>
        <v>403.172</v>
      </c>
    </row>
    <row r="491" spans="1:12">
      <c r="A491" t="s">
        <v>13</v>
      </c>
      <c r="B491" s="14" t="s">
        <v>981</v>
      </c>
      <c r="C491" s="20" t="s">
        <v>982</v>
      </c>
      <c r="D491" s="20" t="s">
        <v>982</v>
      </c>
      <c r="E491" s="20" t="s">
        <v>982</v>
      </c>
      <c r="F491" s="20" t="s">
        <v>982</v>
      </c>
      <c r="G491">
        <v>287.8</v>
      </c>
      <c r="H491" s="1">
        <v>639.56</v>
      </c>
      <c r="I491">
        <f t="shared" si="28"/>
        <v>330.97</v>
      </c>
      <c r="J491">
        <f t="shared" si="29"/>
        <v>345.36</v>
      </c>
      <c r="K491">
        <f t="shared" si="30"/>
        <v>374.14</v>
      </c>
      <c r="L491">
        <f t="shared" si="31"/>
        <v>402.92</v>
      </c>
    </row>
    <row r="492" spans="1:12">
      <c r="A492" t="s">
        <v>13</v>
      </c>
      <c r="B492" s="14" t="s">
        <v>983</v>
      </c>
      <c r="C492" s="20" t="s">
        <v>984</v>
      </c>
      <c r="D492" s="20" t="s">
        <v>984</v>
      </c>
      <c r="E492" s="20" t="s">
        <v>984</v>
      </c>
      <c r="F492" s="20" t="s">
        <v>984</v>
      </c>
      <c r="G492">
        <v>721.78</v>
      </c>
      <c r="H492" s="1">
        <v>1603.94</v>
      </c>
      <c r="I492">
        <f t="shared" si="28"/>
        <v>830.047</v>
      </c>
      <c r="J492">
        <f t="shared" si="29"/>
        <v>866.136</v>
      </c>
      <c r="K492">
        <f t="shared" si="30"/>
        <v>938.314</v>
      </c>
      <c r="L492">
        <f t="shared" si="31"/>
        <v>1010.492</v>
      </c>
    </row>
    <row r="493" spans="1:12">
      <c r="A493" t="s">
        <v>13</v>
      </c>
      <c r="B493" s="14" t="s">
        <v>985</v>
      </c>
      <c r="C493" s="20" t="s">
        <v>986</v>
      </c>
      <c r="D493" s="20" t="s">
        <v>986</v>
      </c>
      <c r="E493" s="20" t="s">
        <v>986</v>
      </c>
      <c r="F493" s="20" t="s">
        <v>986</v>
      </c>
      <c r="G493">
        <v>450.98</v>
      </c>
      <c r="H493" s="1">
        <v>1002.18</v>
      </c>
      <c r="I493">
        <f t="shared" si="28"/>
        <v>518.627</v>
      </c>
      <c r="J493">
        <f t="shared" si="29"/>
        <v>541.176</v>
      </c>
      <c r="K493">
        <f t="shared" si="30"/>
        <v>586.274</v>
      </c>
      <c r="L493">
        <f t="shared" si="31"/>
        <v>631.372</v>
      </c>
    </row>
    <row r="494" spans="1:12">
      <c r="A494" t="s">
        <v>13</v>
      </c>
      <c r="B494" s="14" t="s">
        <v>987</v>
      </c>
      <c r="C494" s="20" t="s">
        <v>988</v>
      </c>
      <c r="D494" s="20" t="s">
        <v>988</v>
      </c>
      <c r="E494" s="20" t="s">
        <v>988</v>
      </c>
      <c r="F494" s="20" t="s">
        <v>988</v>
      </c>
      <c r="G494">
        <v>456.36</v>
      </c>
      <c r="H494" s="1">
        <v>1014.11</v>
      </c>
      <c r="I494">
        <f t="shared" si="28"/>
        <v>524.814</v>
      </c>
      <c r="J494">
        <f t="shared" si="29"/>
        <v>547.632</v>
      </c>
      <c r="K494">
        <f t="shared" si="30"/>
        <v>593.268</v>
      </c>
      <c r="L494">
        <f t="shared" si="31"/>
        <v>638.904</v>
      </c>
    </row>
    <row r="495" spans="1:12">
      <c r="A495" t="s">
        <v>13</v>
      </c>
      <c r="B495" s="14" t="s">
        <v>989</v>
      </c>
      <c r="C495" s="20" t="s">
        <v>990</v>
      </c>
      <c r="D495" s="20" t="s">
        <v>990</v>
      </c>
      <c r="E495" s="20" t="s">
        <v>990</v>
      </c>
      <c r="F495" s="20" t="s">
        <v>990</v>
      </c>
      <c r="G495">
        <v>855.18</v>
      </c>
      <c r="H495" s="1">
        <v>1900.4</v>
      </c>
      <c r="I495">
        <f t="shared" si="28"/>
        <v>983.457</v>
      </c>
      <c r="J495">
        <f t="shared" si="29"/>
        <v>1026.216</v>
      </c>
      <c r="K495">
        <f t="shared" si="30"/>
        <v>1111.734</v>
      </c>
      <c r="L495">
        <f t="shared" si="31"/>
        <v>1197.252</v>
      </c>
    </row>
    <row r="496" spans="1:12">
      <c r="A496" t="s">
        <v>13</v>
      </c>
      <c r="B496" s="14" t="s">
        <v>991</v>
      </c>
      <c r="C496" s="20" t="s">
        <v>992</v>
      </c>
      <c r="D496" s="20" t="s">
        <v>992</v>
      </c>
      <c r="E496" s="20" t="s">
        <v>992</v>
      </c>
      <c r="F496" s="20" t="s">
        <v>992</v>
      </c>
      <c r="G496">
        <v>833.56</v>
      </c>
      <c r="H496" s="1">
        <v>1852.36</v>
      </c>
      <c r="I496">
        <f t="shared" si="28"/>
        <v>958.594</v>
      </c>
      <c r="J496">
        <f t="shared" si="29"/>
        <v>1000.272</v>
      </c>
      <c r="K496">
        <f t="shared" si="30"/>
        <v>1083.628</v>
      </c>
      <c r="L496">
        <f t="shared" si="31"/>
        <v>1166.984</v>
      </c>
    </row>
    <row r="497" spans="1:12">
      <c r="A497" t="s">
        <v>13</v>
      </c>
      <c r="B497" s="14" t="s">
        <v>993</v>
      </c>
      <c r="C497" s="20" t="s">
        <v>994</v>
      </c>
      <c r="D497" s="20" t="s">
        <v>994</v>
      </c>
      <c r="E497" s="20" t="s">
        <v>994</v>
      </c>
      <c r="F497" s="20" t="s">
        <v>994</v>
      </c>
      <c r="G497">
        <v>531.93</v>
      </c>
      <c r="H497" s="1">
        <v>1182.1</v>
      </c>
      <c r="I497">
        <f t="shared" si="28"/>
        <v>611.7195</v>
      </c>
      <c r="J497">
        <f t="shared" si="29"/>
        <v>638.316</v>
      </c>
      <c r="K497">
        <f t="shared" si="30"/>
        <v>691.509</v>
      </c>
      <c r="L497">
        <f t="shared" si="31"/>
        <v>744.702</v>
      </c>
    </row>
    <row r="498" spans="1:12">
      <c r="A498" t="s">
        <v>13</v>
      </c>
      <c r="B498" s="14" t="s">
        <v>995</v>
      </c>
      <c r="C498" s="20" t="s">
        <v>996</v>
      </c>
      <c r="D498" s="20" t="s">
        <v>996</v>
      </c>
      <c r="E498" s="20" t="s">
        <v>996</v>
      </c>
      <c r="F498" s="20" t="s">
        <v>996</v>
      </c>
      <c r="G498">
        <v>514.63</v>
      </c>
      <c r="H498" s="1">
        <v>1143.61</v>
      </c>
      <c r="I498">
        <f t="shared" si="28"/>
        <v>591.8245</v>
      </c>
      <c r="J498">
        <f t="shared" si="29"/>
        <v>617.556</v>
      </c>
      <c r="K498">
        <f t="shared" si="30"/>
        <v>669.019</v>
      </c>
      <c r="L498">
        <f t="shared" si="31"/>
        <v>720.482</v>
      </c>
    </row>
    <row r="499" spans="1:12">
      <c r="A499" t="s">
        <v>13</v>
      </c>
      <c r="B499" s="14" t="s">
        <v>997</v>
      </c>
      <c r="C499" s="20" t="s">
        <v>998</v>
      </c>
      <c r="D499" s="20" t="s">
        <v>998</v>
      </c>
      <c r="E499" s="20" t="s">
        <v>998</v>
      </c>
      <c r="F499" s="20" t="s">
        <v>998</v>
      </c>
      <c r="G499">
        <v>431.4</v>
      </c>
      <c r="H499" s="1">
        <v>958.65</v>
      </c>
      <c r="I499">
        <f t="shared" si="28"/>
        <v>496.11</v>
      </c>
      <c r="J499">
        <f t="shared" si="29"/>
        <v>517.68</v>
      </c>
      <c r="K499">
        <f t="shared" si="30"/>
        <v>560.82</v>
      </c>
      <c r="L499">
        <f t="shared" si="31"/>
        <v>603.96</v>
      </c>
    </row>
    <row r="500" spans="1:12">
      <c r="A500" t="s">
        <v>13</v>
      </c>
      <c r="B500" s="14" t="s">
        <v>999</v>
      </c>
      <c r="C500" s="20" t="s">
        <v>1000</v>
      </c>
      <c r="D500" s="20" t="s">
        <v>1000</v>
      </c>
      <c r="E500" s="20" t="s">
        <v>1000</v>
      </c>
      <c r="F500" s="20" t="s">
        <v>1000</v>
      </c>
      <c r="G500">
        <v>424.1</v>
      </c>
      <c r="H500" s="1">
        <v>942.46</v>
      </c>
      <c r="I500">
        <f t="shared" si="28"/>
        <v>487.715</v>
      </c>
      <c r="J500">
        <f t="shared" si="29"/>
        <v>508.92</v>
      </c>
      <c r="K500">
        <f t="shared" si="30"/>
        <v>551.33</v>
      </c>
      <c r="L500">
        <f t="shared" si="31"/>
        <v>593.74</v>
      </c>
    </row>
    <row r="501" spans="1:12">
      <c r="A501" t="s">
        <v>13</v>
      </c>
      <c r="B501" s="14" t="s">
        <v>1001</v>
      </c>
      <c r="C501" s="20" t="s">
        <v>1002</v>
      </c>
      <c r="D501" s="20" t="s">
        <v>1002</v>
      </c>
      <c r="E501" s="20" t="s">
        <v>1002</v>
      </c>
      <c r="F501" s="20" t="s">
        <v>1002</v>
      </c>
      <c r="G501">
        <v>423.84</v>
      </c>
      <c r="H501" s="1">
        <v>941.86</v>
      </c>
      <c r="I501">
        <f t="shared" si="28"/>
        <v>487.416</v>
      </c>
      <c r="J501">
        <f t="shared" si="29"/>
        <v>508.608</v>
      </c>
      <c r="K501">
        <f t="shared" si="30"/>
        <v>550.992</v>
      </c>
      <c r="L501">
        <f t="shared" si="31"/>
        <v>593.376</v>
      </c>
    </row>
    <row r="502" spans="1:12">
      <c r="A502" t="s">
        <v>13</v>
      </c>
      <c r="B502" s="14" t="s">
        <v>1003</v>
      </c>
      <c r="C502" s="20" t="s">
        <v>1004</v>
      </c>
      <c r="D502" s="20" t="s">
        <v>1004</v>
      </c>
      <c r="E502" s="20" t="s">
        <v>1004</v>
      </c>
      <c r="F502" s="20" t="s">
        <v>1004</v>
      </c>
      <c r="G502">
        <v>441.53</v>
      </c>
      <c r="H502" s="1">
        <v>981.18</v>
      </c>
      <c r="I502">
        <f t="shared" si="28"/>
        <v>507.7595</v>
      </c>
      <c r="J502">
        <f t="shared" si="29"/>
        <v>529.836</v>
      </c>
      <c r="K502">
        <f t="shared" si="30"/>
        <v>573.989</v>
      </c>
      <c r="L502">
        <f t="shared" si="31"/>
        <v>618.142</v>
      </c>
    </row>
    <row r="503" spans="1:12">
      <c r="A503" t="s">
        <v>13</v>
      </c>
      <c r="B503" s="14" t="s">
        <v>1005</v>
      </c>
      <c r="C503" s="20" t="s">
        <v>1006</v>
      </c>
      <c r="D503" s="20" t="s">
        <v>1006</v>
      </c>
      <c r="E503" s="20" t="s">
        <v>1006</v>
      </c>
      <c r="F503" s="20" t="s">
        <v>1006</v>
      </c>
      <c r="G503">
        <v>865.24</v>
      </c>
      <c r="H503" s="1">
        <v>1922.76</v>
      </c>
      <c r="I503">
        <f t="shared" si="28"/>
        <v>995.026</v>
      </c>
      <c r="J503">
        <f t="shared" si="29"/>
        <v>1038.288</v>
      </c>
      <c r="K503">
        <f t="shared" si="30"/>
        <v>1124.812</v>
      </c>
      <c r="L503">
        <f t="shared" si="31"/>
        <v>1211.336</v>
      </c>
    </row>
    <row r="504" spans="1:12">
      <c r="A504" t="s">
        <v>13</v>
      </c>
      <c r="B504" s="14" t="s">
        <v>1007</v>
      </c>
      <c r="C504" s="20" t="s">
        <v>1008</v>
      </c>
      <c r="D504" s="20" t="s">
        <v>1008</v>
      </c>
      <c r="E504" s="20" t="s">
        <v>1008</v>
      </c>
      <c r="F504" s="20" t="s">
        <v>1008</v>
      </c>
      <c r="G504">
        <v>846.41</v>
      </c>
      <c r="H504" s="1">
        <v>1880.9</v>
      </c>
      <c r="I504">
        <f t="shared" si="28"/>
        <v>973.3715</v>
      </c>
      <c r="J504">
        <f t="shared" si="29"/>
        <v>1015.692</v>
      </c>
      <c r="K504">
        <f t="shared" si="30"/>
        <v>1100.333</v>
      </c>
      <c r="L504">
        <f t="shared" si="31"/>
        <v>1184.974</v>
      </c>
    </row>
    <row r="505" spans="1:12">
      <c r="A505" t="s">
        <v>13</v>
      </c>
      <c r="B505" s="14" t="s">
        <v>1009</v>
      </c>
      <c r="C505" s="20" t="s">
        <v>1010</v>
      </c>
      <c r="D505" s="20" t="s">
        <v>1010</v>
      </c>
      <c r="E505" s="20" t="s">
        <v>1010</v>
      </c>
      <c r="F505" s="20" t="s">
        <v>1010</v>
      </c>
      <c r="G505">
        <v>525.12</v>
      </c>
      <c r="H505" s="1">
        <v>1166.94</v>
      </c>
      <c r="I505">
        <f t="shared" si="28"/>
        <v>603.888</v>
      </c>
      <c r="J505">
        <f t="shared" si="29"/>
        <v>630.144</v>
      </c>
      <c r="K505">
        <f t="shared" si="30"/>
        <v>682.656</v>
      </c>
      <c r="L505">
        <f t="shared" si="31"/>
        <v>735.168</v>
      </c>
    </row>
    <row r="506" spans="1:12">
      <c r="A506" t="s">
        <v>13</v>
      </c>
      <c r="B506" s="14" t="s">
        <v>1011</v>
      </c>
      <c r="C506" s="20" t="s">
        <v>1012</v>
      </c>
      <c r="D506" s="20" t="s">
        <v>1012</v>
      </c>
      <c r="E506" s="20" t="s">
        <v>1012</v>
      </c>
      <c r="F506" s="20" t="s">
        <v>1012</v>
      </c>
      <c r="G506">
        <v>488.44</v>
      </c>
      <c r="H506" s="1">
        <v>1085.39</v>
      </c>
      <c r="I506">
        <f t="shared" si="28"/>
        <v>561.706</v>
      </c>
      <c r="J506">
        <f t="shared" si="29"/>
        <v>586.128</v>
      </c>
      <c r="K506">
        <f t="shared" si="30"/>
        <v>634.972</v>
      </c>
      <c r="L506">
        <f t="shared" si="31"/>
        <v>683.816</v>
      </c>
    </row>
    <row r="507" spans="1:12">
      <c r="A507" t="s">
        <v>13</v>
      </c>
      <c r="B507" s="14" t="s">
        <v>1013</v>
      </c>
      <c r="C507" s="20" t="s">
        <v>1014</v>
      </c>
      <c r="D507" s="20" t="s">
        <v>1014</v>
      </c>
      <c r="E507" s="20" t="s">
        <v>1014</v>
      </c>
      <c r="F507" s="20" t="s">
        <v>1014</v>
      </c>
      <c r="G507">
        <v>1017.32</v>
      </c>
      <c r="H507" s="1">
        <v>2260.71</v>
      </c>
      <c r="I507">
        <f t="shared" si="28"/>
        <v>1169.918</v>
      </c>
      <c r="J507">
        <f t="shared" si="29"/>
        <v>1220.784</v>
      </c>
      <c r="K507">
        <f t="shared" si="30"/>
        <v>1322.516</v>
      </c>
      <c r="L507">
        <f t="shared" si="31"/>
        <v>1424.248</v>
      </c>
    </row>
    <row r="508" spans="1:12">
      <c r="A508" t="s">
        <v>13</v>
      </c>
      <c r="B508" s="14" t="s">
        <v>1015</v>
      </c>
      <c r="C508" s="20" t="s">
        <v>1016</v>
      </c>
      <c r="D508" s="20" t="s">
        <v>1016</v>
      </c>
      <c r="E508" s="20" t="s">
        <v>1016</v>
      </c>
      <c r="F508" s="20" t="s">
        <v>1016</v>
      </c>
      <c r="G508">
        <v>989.06</v>
      </c>
      <c r="H508" s="1">
        <v>2197.91</v>
      </c>
      <c r="I508">
        <f t="shared" si="28"/>
        <v>1137.419</v>
      </c>
      <c r="J508">
        <f t="shared" si="29"/>
        <v>1186.872</v>
      </c>
      <c r="K508">
        <f t="shared" si="30"/>
        <v>1285.778</v>
      </c>
      <c r="L508">
        <f t="shared" si="31"/>
        <v>1384.684</v>
      </c>
    </row>
    <row r="509" spans="1:12">
      <c r="A509" t="s">
        <v>13</v>
      </c>
      <c r="B509" s="14" t="s">
        <v>1017</v>
      </c>
      <c r="C509" s="20" t="s">
        <v>1018</v>
      </c>
      <c r="D509" s="20" t="s">
        <v>1018</v>
      </c>
      <c r="E509" s="20" t="s">
        <v>1018</v>
      </c>
      <c r="F509" s="20" t="s">
        <v>1018</v>
      </c>
      <c r="G509">
        <v>745.24</v>
      </c>
      <c r="H509" s="1">
        <v>1656.1</v>
      </c>
      <c r="I509">
        <f t="shared" si="28"/>
        <v>857.026</v>
      </c>
      <c r="J509">
        <f t="shared" si="29"/>
        <v>894.288</v>
      </c>
      <c r="K509">
        <f t="shared" si="30"/>
        <v>968.812</v>
      </c>
      <c r="L509">
        <f t="shared" si="31"/>
        <v>1043.336</v>
      </c>
    </row>
    <row r="510" spans="1:12">
      <c r="A510" t="s">
        <v>13</v>
      </c>
      <c r="B510" s="14" t="s">
        <v>1019</v>
      </c>
      <c r="C510" s="20" t="s">
        <v>1020</v>
      </c>
      <c r="D510" s="20" t="s">
        <v>1020</v>
      </c>
      <c r="E510" s="20" t="s">
        <v>1020</v>
      </c>
      <c r="F510" s="20" t="s">
        <v>1020</v>
      </c>
      <c r="G510">
        <v>723.65</v>
      </c>
      <c r="H510" s="1">
        <v>1608.13</v>
      </c>
      <c r="I510">
        <f t="shared" si="28"/>
        <v>832.1975</v>
      </c>
      <c r="J510">
        <f t="shared" si="29"/>
        <v>868.38</v>
      </c>
      <c r="K510">
        <f t="shared" si="30"/>
        <v>940.745</v>
      </c>
      <c r="L510">
        <f t="shared" si="31"/>
        <v>1013.11</v>
      </c>
    </row>
    <row r="511" spans="1:12">
      <c r="A511" t="s">
        <v>13</v>
      </c>
      <c r="B511" s="14" t="s">
        <v>1021</v>
      </c>
      <c r="C511" s="20" t="s">
        <v>1022</v>
      </c>
      <c r="D511" s="20" t="s">
        <v>1022</v>
      </c>
      <c r="E511" s="20" t="s">
        <v>1022</v>
      </c>
      <c r="F511" s="20" t="s">
        <v>1022</v>
      </c>
      <c r="G511">
        <v>1107.25</v>
      </c>
      <c r="H511" s="1">
        <v>2460.58</v>
      </c>
      <c r="I511">
        <f t="shared" si="28"/>
        <v>1273.3375</v>
      </c>
      <c r="J511">
        <f t="shared" si="29"/>
        <v>1328.7</v>
      </c>
      <c r="K511">
        <f t="shared" si="30"/>
        <v>1439.425</v>
      </c>
      <c r="L511">
        <f t="shared" si="31"/>
        <v>1550.15</v>
      </c>
    </row>
    <row r="512" spans="1:12">
      <c r="A512" t="s">
        <v>13</v>
      </c>
      <c r="B512" s="14" t="s">
        <v>1023</v>
      </c>
      <c r="C512" s="20" t="s">
        <v>1024</v>
      </c>
      <c r="D512" s="20" t="s">
        <v>1024</v>
      </c>
      <c r="E512" s="20" t="s">
        <v>1024</v>
      </c>
      <c r="F512" s="20" t="s">
        <v>1024</v>
      </c>
      <c r="G512">
        <v>1103.05</v>
      </c>
      <c r="H512" s="1">
        <v>2451.21</v>
      </c>
      <c r="I512">
        <f t="shared" si="28"/>
        <v>1268.5075</v>
      </c>
      <c r="J512">
        <f t="shared" si="29"/>
        <v>1323.66</v>
      </c>
      <c r="K512">
        <f t="shared" si="30"/>
        <v>1433.965</v>
      </c>
      <c r="L512">
        <f t="shared" si="31"/>
        <v>1544.27</v>
      </c>
    </row>
    <row r="513" spans="1:12">
      <c r="A513" t="s">
        <v>13</v>
      </c>
      <c r="B513" s="14" t="s">
        <v>1025</v>
      </c>
      <c r="C513" s="20" t="s">
        <v>1026</v>
      </c>
      <c r="D513" s="20" t="s">
        <v>1026</v>
      </c>
      <c r="E513" s="20" t="s">
        <v>1026</v>
      </c>
      <c r="F513" s="20" t="s">
        <v>1026</v>
      </c>
      <c r="G513">
        <v>721.96</v>
      </c>
      <c r="H513" s="1">
        <v>1604.38</v>
      </c>
      <c r="I513">
        <f t="shared" si="28"/>
        <v>830.254</v>
      </c>
      <c r="J513">
        <f t="shared" si="29"/>
        <v>866.352</v>
      </c>
      <c r="K513">
        <f t="shared" si="30"/>
        <v>938.548</v>
      </c>
      <c r="L513">
        <f t="shared" si="31"/>
        <v>1010.744</v>
      </c>
    </row>
    <row r="514" spans="1:12">
      <c r="A514" t="s">
        <v>13</v>
      </c>
      <c r="B514" s="14" t="s">
        <v>1027</v>
      </c>
      <c r="C514" s="20" t="s">
        <v>1028</v>
      </c>
      <c r="D514" s="20" t="s">
        <v>1028</v>
      </c>
      <c r="E514" s="20" t="s">
        <v>1028</v>
      </c>
      <c r="F514" s="20" t="s">
        <v>1028</v>
      </c>
      <c r="G514">
        <v>234.26</v>
      </c>
      <c r="H514" s="1">
        <v>520.57</v>
      </c>
      <c r="I514">
        <f t="shared" ref="I514:I577" si="32">G514*1.15</f>
        <v>269.399</v>
      </c>
      <c r="J514">
        <f t="shared" ref="J514:J577" si="33">G514*1.2</f>
        <v>281.112</v>
      </c>
      <c r="K514">
        <f t="shared" ref="K514:K577" si="34">G514*1.3</f>
        <v>304.538</v>
      </c>
      <c r="L514">
        <f t="shared" ref="L514:L577" si="35">G514*1.4</f>
        <v>327.964</v>
      </c>
    </row>
    <row r="515" spans="1:12">
      <c r="A515" t="s">
        <v>13</v>
      </c>
      <c r="B515" s="14" t="s">
        <v>1029</v>
      </c>
      <c r="C515" s="20" t="s">
        <v>1030</v>
      </c>
      <c r="D515" s="20" t="s">
        <v>1030</v>
      </c>
      <c r="E515" s="20" t="s">
        <v>1030</v>
      </c>
      <c r="F515" s="20" t="s">
        <v>1030</v>
      </c>
      <c r="G515">
        <v>217.07</v>
      </c>
      <c r="H515" s="1">
        <v>482.37</v>
      </c>
      <c r="I515">
        <f t="shared" si="32"/>
        <v>249.6305</v>
      </c>
      <c r="J515">
        <f t="shared" si="33"/>
        <v>260.484</v>
      </c>
      <c r="K515">
        <f t="shared" si="34"/>
        <v>282.191</v>
      </c>
      <c r="L515">
        <f t="shared" si="35"/>
        <v>303.898</v>
      </c>
    </row>
    <row r="516" spans="1:12">
      <c r="A516" t="s">
        <v>13</v>
      </c>
      <c r="B516" s="14" t="s">
        <v>1031</v>
      </c>
      <c r="C516" s="20" t="s">
        <v>1032</v>
      </c>
      <c r="D516" s="20" t="s">
        <v>1032</v>
      </c>
      <c r="E516" s="20" t="s">
        <v>1032</v>
      </c>
      <c r="F516" s="20" t="s">
        <v>1032</v>
      </c>
      <c r="G516">
        <v>305.49</v>
      </c>
      <c r="H516" s="1">
        <v>678.88</v>
      </c>
      <c r="I516">
        <f t="shared" si="32"/>
        <v>351.3135</v>
      </c>
      <c r="J516">
        <f t="shared" si="33"/>
        <v>366.588</v>
      </c>
      <c r="K516">
        <f t="shared" si="34"/>
        <v>397.137</v>
      </c>
      <c r="L516">
        <f t="shared" si="35"/>
        <v>427.686</v>
      </c>
    </row>
    <row r="517" spans="1:12">
      <c r="A517" t="s">
        <v>13</v>
      </c>
      <c r="B517" s="14" t="s">
        <v>1033</v>
      </c>
      <c r="C517" s="20" t="s">
        <v>1034</v>
      </c>
      <c r="D517" s="20" t="s">
        <v>1034</v>
      </c>
      <c r="E517" s="20" t="s">
        <v>1034</v>
      </c>
      <c r="F517" s="20" t="s">
        <v>1034</v>
      </c>
      <c r="G517">
        <v>287.56</v>
      </c>
      <c r="H517" s="1">
        <v>639.02</v>
      </c>
      <c r="I517">
        <f t="shared" si="32"/>
        <v>330.694</v>
      </c>
      <c r="J517">
        <f t="shared" si="33"/>
        <v>345.072</v>
      </c>
      <c r="K517">
        <f t="shared" si="34"/>
        <v>373.828</v>
      </c>
      <c r="L517">
        <f t="shared" si="35"/>
        <v>402.584</v>
      </c>
    </row>
    <row r="518" spans="1:12">
      <c r="A518" t="s">
        <v>13</v>
      </c>
      <c r="B518" s="14" t="s">
        <v>1035</v>
      </c>
      <c r="C518" s="20" t="s">
        <v>1036</v>
      </c>
      <c r="D518" s="20" t="s">
        <v>1036</v>
      </c>
      <c r="E518" s="20" t="s">
        <v>1036</v>
      </c>
      <c r="F518" s="20" t="s">
        <v>1036</v>
      </c>
      <c r="G518">
        <v>244.38</v>
      </c>
      <c r="H518" s="1">
        <v>543.06</v>
      </c>
      <c r="I518">
        <f t="shared" si="32"/>
        <v>281.037</v>
      </c>
      <c r="J518">
        <f t="shared" si="33"/>
        <v>293.256</v>
      </c>
      <c r="K518">
        <f t="shared" si="34"/>
        <v>317.694</v>
      </c>
      <c r="L518">
        <f t="shared" si="35"/>
        <v>342.132</v>
      </c>
    </row>
    <row r="519" spans="1:12">
      <c r="A519" t="s">
        <v>13</v>
      </c>
      <c r="B519" s="14" t="s">
        <v>1037</v>
      </c>
      <c r="C519" s="20" t="s">
        <v>1038</v>
      </c>
      <c r="D519" s="20" t="s">
        <v>1038</v>
      </c>
      <c r="E519" s="20" t="s">
        <v>1038</v>
      </c>
      <c r="F519" s="20" t="s">
        <v>1038</v>
      </c>
      <c r="G519">
        <v>228.84</v>
      </c>
      <c r="H519" s="1">
        <v>508.55</v>
      </c>
      <c r="I519">
        <f t="shared" si="32"/>
        <v>263.166</v>
      </c>
      <c r="J519">
        <f t="shared" si="33"/>
        <v>274.608</v>
      </c>
      <c r="K519">
        <f t="shared" si="34"/>
        <v>297.492</v>
      </c>
      <c r="L519">
        <f t="shared" si="35"/>
        <v>320.376</v>
      </c>
    </row>
    <row r="520" spans="1:12">
      <c r="A520" t="s">
        <v>13</v>
      </c>
      <c r="B520" s="14" t="s">
        <v>1039</v>
      </c>
      <c r="C520" s="20" t="s">
        <v>1040</v>
      </c>
      <c r="D520" s="20" t="s">
        <v>1040</v>
      </c>
      <c r="E520" s="20" t="s">
        <v>1040</v>
      </c>
      <c r="F520" s="20" t="s">
        <v>1040</v>
      </c>
      <c r="G520">
        <v>693.41</v>
      </c>
      <c r="H520" s="1">
        <v>1540.92</v>
      </c>
      <c r="I520">
        <f t="shared" si="32"/>
        <v>797.4215</v>
      </c>
      <c r="J520">
        <f t="shared" si="33"/>
        <v>832.092</v>
      </c>
      <c r="K520">
        <f t="shared" si="34"/>
        <v>901.433</v>
      </c>
      <c r="L520">
        <f t="shared" si="35"/>
        <v>970.774</v>
      </c>
    </row>
    <row r="521" spans="1:12">
      <c r="A521" t="s">
        <v>13</v>
      </c>
      <c r="B521" s="14" t="s">
        <v>1041</v>
      </c>
      <c r="C521" s="20" t="s">
        <v>1042</v>
      </c>
      <c r="D521" s="20" t="s">
        <v>1042</v>
      </c>
      <c r="E521" s="20" t="s">
        <v>1042</v>
      </c>
      <c r="F521" s="20" t="s">
        <v>1042</v>
      </c>
      <c r="G521">
        <v>694.74</v>
      </c>
      <c r="H521" s="1">
        <v>1543.88</v>
      </c>
      <c r="I521">
        <f t="shared" si="32"/>
        <v>798.951</v>
      </c>
      <c r="J521">
        <f t="shared" si="33"/>
        <v>833.688</v>
      </c>
      <c r="K521">
        <f t="shared" si="34"/>
        <v>903.162</v>
      </c>
      <c r="L521">
        <f t="shared" si="35"/>
        <v>972.636</v>
      </c>
    </row>
    <row r="522" spans="1:12">
      <c r="A522" t="s">
        <v>13</v>
      </c>
      <c r="B522" s="14" t="s">
        <v>1043</v>
      </c>
      <c r="C522" s="20" t="s">
        <v>1044</v>
      </c>
      <c r="D522" s="20" t="s">
        <v>1044</v>
      </c>
      <c r="E522" s="20" t="s">
        <v>1044</v>
      </c>
      <c r="F522" s="20" t="s">
        <v>1044</v>
      </c>
      <c r="G522">
        <v>376.98</v>
      </c>
      <c r="H522" s="1">
        <v>837.75</v>
      </c>
      <c r="I522">
        <f t="shared" si="32"/>
        <v>433.527</v>
      </c>
      <c r="J522">
        <f t="shared" si="33"/>
        <v>452.376</v>
      </c>
      <c r="K522">
        <f t="shared" si="34"/>
        <v>490.074</v>
      </c>
      <c r="L522">
        <f t="shared" si="35"/>
        <v>527.772</v>
      </c>
    </row>
    <row r="523" spans="1:12">
      <c r="A523" t="s">
        <v>13</v>
      </c>
      <c r="B523" s="14" t="s">
        <v>1045</v>
      </c>
      <c r="C523" s="20" t="s">
        <v>1046</v>
      </c>
      <c r="D523" s="20" t="s">
        <v>1046</v>
      </c>
      <c r="E523" s="20" t="s">
        <v>1046</v>
      </c>
      <c r="F523" s="20" t="s">
        <v>1046</v>
      </c>
      <c r="G523">
        <v>358.63</v>
      </c>
      <c r="H523" s="1">
        <v>796.95</v>
      </c>
      <c r="I523">
        <f t="shared" si="32"/>
        <v>412.4245</v>
      </c>
      <c r="J523">
        <f t="shared" si="33"/>
        <v>430.356</v>
      </c>
      <c r="K523">
        <f t="shared" si="34"/>
        <v>466.219</v>
      </c>
      <c r="L523">
        <f t="shared" si="35"/>
        <v>502.082</v>
      </c>
    </row>
    <row r="524" spans="1:12">
      <c r="A524" t="s">
        <v>13</v>
      </c>
      <c r="B524" s="14" t="s">
        <v>1047</v>
      </c>
      <c r="C524" s="20" t="s">
        <v>1048</v>
      </c>
      <c r="D524" s="20" t="s">
        <v>1048</v>
      </c>
      <c r="E524" s="20" t="s">
        <v>1048</v>
      </c>
      <c r="F524" s="20" t="s">
        <v>1048</v>
      </c>
      <c r="G524">
        <v>325.77</v>
      </c>
      <c r="H524" s="1">
        <v>723.93</v>
      </c>
      <c r="I524">
        <f t="shared" si="32"/>
        <v>374.6355</v>
      </c>
      <c r="J524">
        <f t="shared" si="33"/>
        <v>390.924</v>
      </c>
      <c r="K524">
        <f t="shared" si="34"/>
        <v>423.501</v>
      </c>
      <c r="L524">
        <f t="shared" si="35"/>
        <v>456.078</v>
      </c>
    </row>
    <row r="525" spans="1:12">
      <c r="A525" t="s">
        <v>13</v>
      </c>
      <c r="B525" s="14" t="s">
        <v>1049</v>
      </c>
      <c r="C525" s="20" t="s">
        <v>1050</v>
      </c>
      <c r="D525" s="20" t="s">
        <v>1050</v>
      </c>
      <c r="E525" s="20" t="s">
        <v>1050</v>
      </c>
      <c r="F525" s="20" t="s">
        <v>1050</v>
      </c>
      <c r="G525">
        <v>308.91</v>
      </c>
      <c r="H525" s="1">
        <v>686.48</v>
      </c>
      <c r="I525">
        <f t="shared" si="32"/>
        <v>355.2465</v>
      </c>
      <c r="J525">
        <f t="shared" si="33"/>
        <v>370.692</v>
      </c>
      <c r="K525">
        <f t="shared" si="34"/>
        <v>401.583</v>
      </c>
      <c r="L525">
        <f t="shared" si="35"/>
        <v>432.474</v>
      </c>
    </row>
    <row r="526" spans="1:12">
      <c r="A526" t="s">
        <v>13</v>
      </c>
      <c r="B526" s="14" t="s">
        <v>1051</v>
      </c>
      <c r="C526" s="20" t="s">
        <v>1052</v>
      </c>
      <c r="D526" s="20" t="s">
        <v>1052</v>
      </c>
      <c r="E526" s="20" t="s">
        <v>1052</v>
      </c>
      <c r="F526" s="20" t="s">
        <v>1052</v>
      </c>
      <c r="G526">
        <v>298.11</v>
      </c>
      <c r="H526" s="1">
        <v>662.47</v>
      </c>
      <c r="I526">
        <f t="shared" si="32"/>
        <v>342.8265</v>
      </c>
      <c r="J526">
        <f t="shared" si="33"/>
        <v>357.732</v>
      </c>
      <c r="K526">
        <f t="shared" si="34"/>
        <v>387.543</v>
      </c>
      <c r="L526">
        <f t="shared" si="35"/>
        <v>417.354</v>
      </c>
    </row>
    <row r="527" spans="1:12">
      <c r="A527" t="s">
        <v>13</v>
      </c>
      <c r="B527" s="14" t="s">
        <v>1053</v>
      </c>
      <c r="C527" s="20" t="s">
        <v>1054</v>
      </c>
      <c r="D527" s="20" t="s">
        <v>1054</v>
      </c>
      <c r="E527" s="20" t="s">
        <v>1054</v>
      </c>
      <c r="F527" s="20" t="s">
        <v>1054</v>
      </c>
      <c r="G527">
        <v>192.11</v>
      </c>
      <c r="H527" s="1">
        <v>426.91</v>
      </c>
      <c r="I527">
        <f t="shared" si="32"/>
        <v>220.9265</v>
      </c>
      <c r="J527">
        <f t="shared" si="33"/>
        <v>230.532</v>
      </c>
      <c r="K527">
        <f t="shared" si="34"/>
        <v>249.743</v>
      </c>
      <c r="L527">
        <f t="shared" si="35"/>
        <v>268.954</v>
      </c>
    </row>
    <row r="528" spans="1:12">
      <c r="A528" t="s">
        <v>13</v>
      </c>
      <c r="B528" s="14" t="s">
        <v>1055</v>
      </c>
      <c r="C528" s="20" t="s">
        <v>1056</v>
      </c>
      <c r="D528" s="20" t="s">
        <v>1056</v>
      </c>
      <c r="E528" s="20" t="s">
        <v>1056</v>
      </c>
      <c r="F528" s="20" t="s">
        <v>1056</v>
      </c>
      <c r="G528">
        <v>213.36</v>
      </c>
      <c r="H528" s="1">
        <v>474.13</v>
      </c>
      <c r="I528">
        <f t="shared" si="32"/>
        <v>245.364</v>
      </c>
      <c r="J528">
        <f t="shared" si="33"/>
        <v>256.032</v>
      </c>
      <c r="K528">
        <f t="shared" si="34"/>
        <v>277.368</v>
      </c>
      <c r="L528">
        <f t="shared" si="35"/>
        <v>298.704</v>
      </c>
    </row>
    <row r="529" spans="1:12">
      <c r="A529" t="s">
        <v>13</v>
      </c>
      <c r="B529" s="14" t="s">
        <v>1057</v>
      </c>
      <c r="C529" s="20" t="s">
        <v>1058</v>
      </c>
      <c r="D529" s="20" t="s">
        <v>1058</v>
      </c>
      <c r="E529" s="20" t="s">
        <v>1058</v>
      </c>
      <c r="F529" s="20" t="s">
        <v>1058</v>
      </c>
      <c r="G529">
        <v>62.87</v>
      </c>
      <c r="H529" s="1">
        <v>139.73</v>
      </c>
      <c r="I529">
        <f t="shared" si="32"/>
        <v>72.3005</v>
      </c>
      <c r="J529">
        <f t="shared" si="33"/>
        <v>75.444</v>
      </c>
      <c r="K529">
        <f t="shared" si="34"/>
        <v>81.731</v>
      </c>
      <c r="L529">
        <f t="shared" si="35"/>
        <v>88.018</v>
      </c>
    </row>
    <row r="530" ht="28.5" spans="1:12">
      <c r="A530" t="s">
        <v>13</v>
      </c>
      <c r="B530" s="14" t="s">
        <v>1059</v>
      </c>
      <c r="C530" s="20" t="s">
        <v>1060</v>
      </c>
      <c r="D530" s="20" t="s">
        <v>1060</v>
      </c>
      <c r="E530" s="20" t="s">
        <v>1060</v>
      </c>
      <c r="F530" s="20" t="s">
        <v>1060</v>
      </c>
      <c r="G530">
        <v>75.71</v>
      </c>
      <c r="H530" s="1">
        <v>168.25</v>
      </c>
      <c r="I530">
        <f t="shared" si="32"/>
        <v>87.0665</v>
      </c>
      <c r="J530">
        <f t="shared" si="33"/>
        <v>90.852</v>
      </c>
      <c r="K530">
        <f t="shared" si="34"/>
        <v>98.423</v>
      </c>
      <c r="L530">
        <f t="shared" si="35"/>
        <v>105.994</v>
      </c>
    </row>
    <row r="531" ht="28.5" spans="1:12">
      <c r="A531" t="s">
        <v>13</v>
      </c>
      <c r="B531" s="14" t="s">
        <v>1061</v>
      </c>
      <c r="C531" s="20" t="s">
        <v>1062</v>
      </c>
      <c r="D531" s="20" t="s">
        <v>1062</v>
      </c>
      <c r="E531" s="20" t="s">
        <v>1062</v>
      </c>
      <c r="F531" s="20" t="s">
        <v>1062</v>
      </c>
      <c r="G531">
        <v>57.9</v>
      </c>
      <c r="H531" s="1">
        <v>128.66</v>
      </c>
      <c r="I531">
        <f t="shared" si="32"/>
        <v>66.585</v>
      </c>
      <c r="J531">
        <f t="shared" si="33"/>
        <v>69.48</v>
      </c>
      <c r="K531">
        <f t="shared" si="34"/>
        <v>75.27</v>
      </c>
      <c r="L531">
        <f t="shared" si="35"/>
        <v>81.06</v>
      </c>
    </row>
    <row r="532" spans="1:12">
      <c r="A532" t="s">
        <v>13</v>
      </c>
      <c r="B532" s="14" t="s">
        <v>1063</v>
      </c>
      <c r="C532" s="20" t="s">
        <v>1064</v>
      </c>
      <c r="D532" s="20" t="s">
        <v>1064</v>
      </c>
      <c r="E532" s="20" t="s">
        <v>1064</v>
      </c>
      <c r="F532" s="20" t="s">
        <v>1064</v>
      </c>
      <c r="G532">
        <v>102.54</v>
      </c>
      <c r="H532" s="1">
        <v>227.86</v>
      </c>
      <c r="I532">
        <f t="shared" si="32"/>
        <v>117.921</v>
      </c>
      <c r="J532">
        <f t="shared" si="33"/>
        <v>123.048</v>
      </c>
      <c r="K532">
        <f t="shared" si="34"/>
        <v>133.302</v>
      </c>
      <c r="L532">
        <f t="shared" si="35"/>
        <v>143.556</v>
      </c>
    </row>
    <row r="533" spans="1:12">
      <c r="A533" t="s">
        <v>13</v>
      </c>
      <c r="B533" s="14" t="s">
        <v>1065</v>
      </c>
      <c r="C533" s="20" t="s">
        <v>1066</v>
      </c>
      <c r="D533" s="20" t="s">
        <v>1066</v>
      </c>
      <c r="E533" s="20" t="s">
        <v>1066</v>
      </c>
      <c r="F533" s="20" t="s">
        <v>1066</v>
      </c>
      <c r="G533">
        <v>95.9</v>
      </c>
      <c r="H533" s="1">
        <v>213.11</v>
      </c>
      <c r="I533">
        <f t="shared" si="32"/>
        <v>110.285</v>
      </c>
      <c r="J533">
        <f t="shared" si="33"/>
        <v>115.08</v>
      </c>
      <c r="K533">
        <f t="shared" si="34"/>
        <v>124.67</v>
      </c>
      <c r="L533">
        <f t="shared" si="35"/>
        <v>134.26</v>
      </c>
    </row>
    <row r="534" spans="1:12">
      <c r="A534" t="s">
        <v>13</v>
      </c>
      <c r="B534" s="14" t="s">
        <v>1067</v>
      </c>
      <c r="C534" s="20" t="s">
        <v>1068</v>
      </c>
      <c r="D534" s="20" t="s">
        <v>1068</v>
      </c>
      <c r="E534" s="20" t="s">
        <v>1068</v>
      </c>
      <c r="F534" s="20" t="s">
        <v>1068</v>
      </c>
      <c r="G534">
        <v>451.58</v>
      </c>
      <c r="H534" s="1">
        <v>1003.54</v>
      </c>
      <c r="I534">
        <f t="shared" si="32"/>
        <v>519.317</v>
      </c>
      <c r="J534">
        <f t="shared" si="33"/>
        <v>541.896</v>
      </c>
      <c r="K534">
        <f t="shared" si="34"/>
        <v>587.054</v>
      </c>
      <c r="L534">
        <f t="shared" si="35"/>
        <v>632.212</v>
      </c>
    </row>
    <row r="535" spans="1:12">
      <c r="A535" t="s">
        <v>13</v>
      </c>
      <c r="B535" s="14" t="s">
        <v>1069</v>
      </c>
      <c r="C535" s="20" t="s">
        <v>1070</v>
      </c>
      <c r="D535" s="20" t="s">
        <v>1070</v>
      </c>
      <c r="E535" s="20" t="s">
        <v>1070</v>
      </c>
      <c r="F535" s="20" t="s">
        <v>1070</v>
      </c>
      <c r="G535">
        <v>167.43</v>
      </c>
      <c r="H535" s="1">
        <v>372.08</v>
      </c>
      <c r="I535">
        <f t="shared" si="32"/>
        <v>192.5445</v>
      </c>
      <c r="J535">
        <f t="shared" si="33"/>
        <v>200.916</v>
      </c>
      <c r="K535">
        <f t="shared" si="34"/>
        <v>217.659</v>
      </c>
      <c r="L535">
        <f t="shared" si="35"/>
        <v>234.402</v>
      </c>
    </row>
    <row r="536" spans="1:12">
      <c r="A536" t="s">
        <v>13</v>
      </c>
      <c r="B536" s="14" t="s">
        <v>1071</v>
      </c>
      <c r="C536" s="20" t="s">
        <v>1072</v>
      </c>
      <c r="D536" s="20" t="s">
        <v>1072</v>
      </c>
      <c r="E536" s="20" t="s">
        <v>1072</v>
      </c>
      <c r="F536" s="20" t="s">
        <v>1072</v>
      </c>
      <c r="G536">
        <v>293.89</v>
      </c>
      <c r="H536" s="1">
        <v>653.11</v>
      </c>
      <c r="I536">
        <f t="shared" si="32"/>
        <v>337.9735</v>
      </c>
      <c r="J536">
        <f t="shared" si="33"/>
        <v>352.668</v>
      </c>
      <c r="K536">
        <f t="shared" si="34"/>
        <v>382.057</v>
      </c>
      <c r="L536">
        <f t="shared" si="35"/>
        <v>411.446</v>
      </c>
    </row>
    <row r="537" spans="1:12">
      <c r="A537" t="s">
        <v>13</v>
      </c>
      <c r="B537" s="14" t="s">
        <v>1073</v>
      </c>
      <c r="C537" s="20" t="s">
        <v>1074</v>
      </c>
      <c r="D537" s="20" t="s">
        <v>1074</v>
      </c>
      <c r="E537" s="20" t="s">
        <v>1074</v>
      </c>
      <c r="F537" s="20" t="s">
        <v>1074</v>
      </c>
      <c r="G537">
        <v>293.89</v>
      </c>
      <c r="H537" s="1">
        <v>653.11</v>
      </c>
      <c r="I537">
        <f t="shared" si="32"/>
        <v>337.9735</v>
      </c>
      <c r="J537">
        <f t="shared" si="33"/>
        <v>352.668</v>
      </c>
      <c r="K537">
        <f t="shared" si="34"/>
        <v>382.057</v>
      </c>
      <c r="L537">
        <f t="shared" si="35"/>
        <v>411.446</v>
      </c>
    </row>
    <row r="538" spans="1:12">
      <c r="A538" t="s">
        <v>13</v>
      </c>
      <c r="B538" s="14" t="s">
        <v>1075</v>
      </c>
      <c r="C538" s="20" t="s">
        <v>1076</v>
      </c>
      <c r="D538" s="20" t="s">
        <v>1076</v>
      </c>
      <c r="E538" s="20" t="s">
        <v>1076</v>
      </c>
      <c r="F538" s="20" t="s">
        <v>1076</v>
      </c>
      <c r="G538">
        <v>293.89</v>
      </c>
      <c r="H538" s="1">
        <v>653.11</v>
      </c>
      <c r="I538">
        <f t="shared" si="32"/>
        <v>337.9735</v>
      </c>
      <c r="J538">
        <f t="shared" si="33"/>
        <v>352.668</v>
      </c>
      <c r="K538">
        <f t="shared" si="34"/>
        <v>382.057</v>
      </c>
      <c r="L538">
        <f t="shared" si="35"/>
        <v>411.446</v>
      </c>
    </row>
    <row r="539" spans="1:12">
      <c r="A539" t="s">
        <v>13</v>
      </c>
      <c r="B539" s="14" t="s">
        <v>1077</v>
      </c>
      <c r="C539" s="20" t="s">
        <v>1078</v>
      </c>
      <c r="D539" s="20" t="s">
        <v>1078</v>
      </c>
      <c r="E539" s="20" t="s">
        <v>1078</v>
      </c>
      <c r="F539" s="20" t="s">
        <v>1078</v>
      </c>
      <c r="G539">
        <v>165.66</v>
      </c>
      <c r="H539" s="1">
        <v>368.11</v>
      </c>
      <c r="I539">
        <f t="shared" si="32"/>
        <v>190.509</v>
      </c>
      <c r="J539">
        <f t="shared" si="33"/>
        <v>198.792</v>
      </c>
      <c r="K539">
        <f t="shared" si="34"/>
        <v>215.358</v>
      </c>
      <c r="L539">
        <f t="shared" si="35"/>
        <v>231.924</v>
      </c>
    </row>
    <row r="540" spans="1:12">
      <c r="A540" t="s">
        <v>13</v>
      </c>
      <c r="B540" s="14" t="s">
        <v>1079</v>
      </c>
      <c r="C540" s="20" t="s">
        <v>1080</v>
      </c>
      <c r="D540" s="20" t="s">
        <v>1080</v>
      </c>
      <c r="E540" s="20" t="s">
        <v>1080</v>
      </c>
      <c r="F540" s="20" t="s">
        <v>1080</v>
      </c>
      <c r="G540">
        <v>61.89</v>
      </c>
      <c r="H540" s="1">
        <v>137.53</v>
      </c>
      <c r="I540">
        <f t="shared" si="32"/>
        <v>71.1735</v>
      </c>
      <c r="J540">
        <f t="shared" si="33"/>
        <v>74.268</v>
      </c>
      <c r="K540">
        <f t="shared" si="34"/>
        <v>80.457</v>
      </c>
      <c r="L540">
        <f t="shared" si="35"/>
        <v>86.646</v>
      </c>
    </row>
    <row r="541" spans="1:12">
      <c r="A541" t="s">
        <v>13</v>
      </c>
      <c r="B541" s="14" t="s">
        <v>1081</v>
      </c>
      <c r="C541" s="20" t="s">
        <v>1082</v>
      </c>
      <c r="D541" s="20" t="s">
        <v>1082</v>
      </c>
      <c r="E541" s="20" t="s">
        <v>1082</v>
      </c>
      <c r="F541" s="20" t="s">
        <v>1082</v>
      </c>
      <c r="G541">
        <v>467.39</v>
      </c>
      <c r="H541" s="1">
        <v>1038.64</v>
      </c>
      <c r="I541">
        <f t="shared" si="32"/>
        <v>537.4985</v>
      </c>
      <c r="J541">
        <f t="shared" si="33"/>
        <v>560.868</v>
      </c>
      <c r="K541">
        <f t="shared" si="34"/>
        <v>607.607</v>
      </c>
      <c r="L541">
        <f t="shared" si="35"/>
        <v>654.346</v>
      </c>
    </row>
    <row r="542" spans="1:12">
      <c r="A542" t="s">
        <v>13</v>
      </c>
      <c r="B542" s="14" t="s">
        <v>1083</v>
      </c>
      <c r="C542" s="20" t="s">
        <v>1084</v>
      </c>
      <c r="D542" s="20" t="s">
        <v>1084</v>
      </c>
      <c r="E542" s="20" t="s">
        <v>1084</v>
      </c>
      <c r="F542" s="20" t="s">
        <v>1084</v>
      </c>
      <c r="G542">
        <v>197.08</v>
      </c>
      <c r="H542" s="1">
        <v>437.95</v>
      </c>
      <c r="I542">
        <f t="shared" si="32"/>
        <v>226.642</v>
      </c>
      <c r="J542">
        <f t="shared" si="33"/>
        <v>236.496</v>
      </c>
      <c r="K542">
        <f t="shared" si="34"/>
        <v>256.204</v>
      </c>
      <c r="L542">
        <f t="shared" si="35"/>
        <v>275.912</v>
      </c>
    </row>
    <row r="543" spans="1:12">
      <c r="A543" t="s">
        <v>13</v>
      </c>
      <c r="B543" s="14" t="s">
        <v>1085</v>
      </c>
      <c r="C543" s="20" t="s">
        <v>1086</v>
      </c>
      <c r="D543" s="20" t="s">
        <v>1086</v>
      </c>
      <c r="E543" s="20" t="s">
        <v>1086</v>
      </c>
      <c r="F543" s="20" t="s">
        <v>1086</v>
      </c>
      <c r="G543">
        <v>189.66</v>
      </c>
      <c r="H543" s="1">
        <v>421.44</v>
      </c>
      <c r="I543">
        <f t="shared" si="32"/>
        <v>218.109</v>
      </c>
      <c r="J543">
        <f t="shared" si="33"/>
        <v>227.592</v>
      </c>
      <c r="K543">
        <f t="shared" si="34"/>
        <v>246.558</v>
      </c>
      <c r="L543">
        <f t="shared" si="35"/>
        <v>265.524</v>
      </c>
    </row>
    <row r="544" spans="1:12">
      <c r="A544" t="s">
        <v>13</v>
      </c>
      <c r="B544" s="14" t="s">
        <v>1087</v>
      </c>
      <c r="C544" s="20" t="s">
        <v>1088</v>
      </c>
      <c r="D544" s="20" t="s">
        <v>1088</v>
      </c>
      <c r="E544" s="20" t="s">
        <v>1088</v>
      </c>
      <c r="F544" s="20" t="s">
        <v>1088</v>
      </c>
      <c r="G544">
        <v>533.07</v>
      </c>
      <c r="H544" s="1">
        <v>1184.6</v>
      </c>
      <c r="I544">
        <f t="shared" si="32"/>
        <v>613.0305</v>
      </c>
      <c r="J544">
        <f t="shared" si="33"/>
        <v>639.684</v>
      </c>
      <c r="K544">
        <f t="shared" si="34"/>
        <v>692.991</v>
      </c>
      <c r="L544">
        <f t="shared" si="35"/>
        <v>746.298</v>
      </c>
    </row>
    <row r="545" spans="1:12">
      <c r="A545" t="s">
        <v>13</v>
      </c>
      <c r="B545" s="14" t="s">
        <v>1089</v>
      </c>
      <c r="C545" s="20" t="s">
        <v>1090</v>
      </c>
      <c r="D545" s="20" t="s">
        <v>1090</v>
      </c>
      <c r="E545" s="20" t="s">
        <v>1090</v>
      </c>
      <c r="F545" s="20" t="s">
        <v>1090</v>
      </c>
      <c r="G545">
        <v>273.19</v>
      </c>
      <c r="H545" s="1">
        <v>607.11</v>
      </c>
      <c r="I545">
        <f t="shared" si="32"/>
        <v>314.1685</v>
      </c>
      <c r="J545">
        <f t="shared" si="33"/>
        <v>327.828</v>
      </c>
      <c r="K545">
        <f t="shared" si="34"/>
        <v>355.147</v>
      </c>
      <c r="L545">
        <f t="shared" si="35"/>
        <v>382.466</v>
      </c>
    </row>
    <row r="546" spans="1:12">
      <c r="A546" t="s">
        <v>13</v>
      </c>
      <c r="B546" s="14" t="s">
        <v>1091</v>
      </c>
      <c r="C546" s="20" t="s">
        <v>1092</v>
      </c>
      <c r="D546" s="20" t="s">
        <v>1092</v>
      </c>
      <c r="E546" s="20" t="s">
        <v>1092</v>
      </c>
      <c r="F546" s="20" t="s">
        <v>1092</v>
      </c>
      <c r="G546">
        <v>190</v>
      </c>
      <c r="H546" s="1">
        <v>422.21</v>
      </c>
      <c r="I546">
        <f t="shared" si="32"/>
        <v>218.5</v>
      </c>
      <c r="J546">
        <f t="shared" si="33"/>
        <v>228</v>
      </c>
      <c r="K546">
        <f t="shared" si="34"/>
        <v>247</v>
      </c>
      <c r="L546">
        <f t="shared" si="35"/>
        <v>266</v>
      </c>
    </row>
    <row r="547" spans="1:12">
      <c r="A547" t="s">
        <v>13</v>
      </c>
      <c r="B547" s="14" t="s">
        <v>1093</v>
      </c>
      <c r="C547" s="20" t="s">
        <v>1094</v>
      </c>
      <c r="D547" s="20" t="s">
        <v>1094</v>
      </c>
      <c r="E547" s="20" t="s">
        <v>1094</v>
      </c>
      <c r="F547" s="20" t="s">
        <v>1094</v>
      </c>
      <c r="G547">
        <v>213.27</v>
      </c>
      <c r="H547" s="1">
        <v>473.93</v>
      </c>
      <c r="I547">
        <f t="shared" si="32"/>
        <v>245.2605</v>
      </c>
      <c r="J547">
        <f t="shared" si="33"/>
        <v>255.924</v>
      </c>
      <c r="K547">
        <f t="shared" si="34"/>
        <v>277.251</v>
      </c>
      <c r="L547">
        <f t="shared" si="35"/>
        <v>298.578</v>
      </c>
    </row>
    <row r="548" spans="1:12">
      <c r="A548" t="s">
        <v>13</v>
      </c>
      <c r="B548" s="14" t="s">
        <v>1095</v>
      </c>
      <c r="C548" s="20" t="s">
        <v>1096</v>
      </c>
      <c r="D548" s="20" t="s">
        <v>1096</v>
      </c>
      <c r="E548" s="20" t="s">
        <v>1096</v>
      </c>
      <c r="F548" s="20" t="s">
        <v>1096</v>
      </c>
      <c r="G548">
        <v>275.76</v>
      </c>
      <c r="H548" s="1">
        <v>612.81</v>
      </c>
      <c r="I548">
        <f t="shared" si="32"/>
        <v>317.124</v>
      </c>
      <c r="J548">
        <f t="shared" si="33"/>
        <v>330.912</v>
      </c>
      <c r="K548">
        <f t="shared" si="34"/>
        <v>358.488</v>
      </c>
      <c r="L548">
        <f t="shared" si="35"/>
        <v>386.064</v>
      </c>
    </row>
    <row r="549" spans="1:12">
      <c r="A549" t="s">
        <v>13</v>
      </c>
      <c r="B549" s="14" t="s">
        <v>1097</v>
      </c>
      <c r="C549" s="20" t="s">
        <v>1098</v>
      </c>
      <c r="D549" s="20" t="s">
        <v>1098</v>
      </c>
      <c r="E549" s="20" t="s">
        <v>1098</v>
      </c>
      <c r="F549" s="20" t="s">
        <v>1098</v>
      </c>
      <c r="G549">
        <v>548.38</v>
      </c>
      <c r="H549" s="1">
        <v>1218.64</v>
      </c>
      <c r="I549">
        <f t="shared" si="32"/>
        <v>630.637</v>
      </c>
      <c r="J549">
        <f t="shared" si="33"/>
        <v>658.056</v>
      </c>
      <c r="K549">
        <f t="shared" si="34"/>
        <v>712.894</v>
      </c>
      <c r="L549">
        <f t="shared" si="35"/>
        <v>767.732</v>
      </c>
    </row>
    <row r="550" spans="1:12">
      <c r="A550" t="s">
        <v>13</v>
      </c>
      <c r="B550" s="14" t="s">
        <v>1099</v>
      </c>
      <c r="C550" s="20" t="s">
        <v>1100</v>
      </c>
      <c r="D550" s="20" t="s">
        <v>1100</v>
      </c>
      <c r="E550" s="20" t="s">
        <v>1100</v>
      </c>
      <c r="F550" s="20" t="s">
        <v>1100</v>
      </c>
      <c r="G550">
        <v>248.35</v>
      </c>
      <c r="H550" s="1">
        <v>551.89</v>
      </c>
      <c r="I550">
        <f t="shared" si="32"/>
        <v>285.6025</v>
      </c>
      <c r="J550">
        <f t="shared" si="33"/>
        <v>298.02</v>
      </c>
      <c r="K550">
        <f t="shared" si="34"/>
        <v>322.855</v>
      </c>
      <c r="L550">
        <f t="shared" si="35"/>
        <v>347.69</v>
      </c>
    </row>
    <row r="551" spans="1:12">
      <c r="A551" t="s">
        <v>13</v>
      </c>
      <c r="B551" s="14" t="s">
        <v>1101</v>
      </c>
      <c r="C551" s="20" t="s">
        <v>1102</v>
      </c>
      <c r="D551" s="20" t="s">
        <v>1102</v>
      </c>
      <c r="E551" s="20" t="s">
        <v>1102</v>
      </c>
      <c r="F551" s="20" t="s">
        <v>1102</v>
      </c>
      <c r="G551">
        <v>387.41</v>
      </c>
      <c r="H551" s="1">
        <v>860.93</v>
      </c>
      <c r="I551">
        <f t="shared" si="32"/>
        <v>445.5215</v>
      </c>
      <c r="J551">
        <f t="shared" si="33"/>
        <v>464.892</v>
      </c>
      <c r="K551">
        <f t="shared" si="34"/>
        <v>503.633</v>
      </c>
      <c r="L551">
        <f t="shared" si="35"/>
        <v>542.374</v>
      </c>
    </row>
    <row r="552" spans="1:12">
      <c r="A552" t="s">
        <v>13</v>
      </c>
      <c r="B552" s="14" t="s">
        <v>1103</v>
      </c>
      <c r="C552" s="20" t="s">
        <v>1104</v>
      </c>
      <c r="D552" s="20" t="s">
        <v>1104</v>
      </c>
      <c r="E552" s="20" t="s">
        <v>1104</v>
      </c>
      <c r="F552" s="20" t="s">
        <v>1104</v>
      </c>
      <c r="G552">
        <v>405.78</v>
      </c>
      <c r="H552" s="1">
        <v>901.73</v>
      </c>
      <c r="I552">
        <f t="shared" si="32"/>
        <v>466.647</v>
      </c>
      <c r="J552">
        <f t="shared" si="33"/>
        <v>486.936</v>
      </c>
      <c r="K552">
        <f t="shared" si="34"/>
        <v>527.514</v>
      </c>
      <c r="L552">
        <f t="shared" si="35"/>
        <v>568.092</v>
      </c>
    </row>
    <row r="553" spans="1:12">
      <c r="A553" t="s">
        <v>13</v>
      </c>
      <c r="B553" s="14" t="s">
        <v>1105</v>
      </c>
      <c r="C553" s="20" t="s">
        <v>1106</v>
      </c>
      <c r="D553" s="20" t="s">
        <v>1106</v>
      </c>
      <c r="E553" s="20" t="s">
        <v>1106</v>
      </c>
      <c r="F553" s="20" t="s">
        <v>1106</v>
      </c>
      <c r="G553">
        <v>620.31</v>
      </c>
      <c r="H553" s="1">
        <v>1378.46</v>
      </c>
      <c r="I553">
        <f t="shared" si="32"/>
        <v>713.3565</v>
      </c>
      <c r="J553">
        <f t="shared" si="33"/>
        <v>744.372</v>
      </c>
      <c r="K553">
        <f t="shared" si="34"/>
        <v>806.403</v>
      </c>
      <c r="L553">
        <f t="shared" si="35"/>
        <v>868.434</v>
      </c>
    </row>
    <row r="554" spans="1:12">
      <c r="A554" t="s">
        <v>13</v>
      </c>
      <c r="B554" s="14" t="s">
        <v>1107</v>
      </c>
      <c r="C554" s="20" t="s">
        <v>1108</v>
      </c>
      <c r="D554" s="20" t="s">
        <v>1108</v>
      </c>
      <c r="E554" s="20" t="s">
        <v>1108</v>
      </c>
      <c r="F554" s="20" t="s">
        <v>1108</v>
      </c>
      <c r="G554">
        <v>294.13</v>
      </c>
      <c r="H554" s="1">
        <v>653.6</v>
      </c>
      <c r="I554">
        <f t="shared" si="32"/>
        <v>338.2495</v>
      </c>
      <c r="J554">
        <f t="shared" si="33"/>
        <v>352.956</v>
      </c>
      <c r="K554">
        <f t="shared" si="34"/>
        <v>382.369</v>
      </c>
      <c r="L554">
        <f t="shared" si="35"/>
        <v>411.782</v>
      </c>
    </row>
    <row r="555" spans="1:12">
      <c r="A555" t="s">
        <v>13</v>
      </c>
      <c r="B555" s="14" t="s">
        <v>1109</v>
      </c>
      <c r="C555" s="20" t="s">
        <v>1110</v>
      </c>
      <c r="D555" s="20" t="s">
        <v>1110</v>
      </c>
      <c r="E555" s="20" t="s">
        <v>1110</v>
      </c>
      <c r="F555" s="20" t="s">
        <v>1110</v>
      </c>
      <c r="G555">
        <v>295.74</v>
      </c>
      <c r="H555" s="1">
        <v>657.19</v>
      </c>
      <c r="I555">
        <f t="shared" si="32"/>
        <v>340.101</v>
      </c>
      <c r="J555">
        <f t="shared" si="33"/>
        <v>354.888</v>
      </c>
      <c r="K555">
        <f t="shared" si="34"/>
        <v>384.462</v>
      </c>
      <c r="L555">
        <f t="shared" si="35"/>
        <v>414.036</v>
      </c>
    </row>
    <row r="556" spans="1:12">
      <c r="A556" t="s">
        <v>13</v>
      </c>
      <c r="B556" s="14" t="s">
        <v>1111</v>
      </c>
      <c r="C556" s="20" t="s">
        <v>1112</v>
      </c>
      <c r="D556" s="20" t="s">
        <v>1112</v>
      </c>
      <c r="E556" s="20" t="s">
        <v>1112</v>
      </c>
      <c r="F556" s="20" t="s">
        <v>1112</v>
      </c>
      <c r="G556">
        <v>299.14</v>
      </c>
      <c r="H556" s="1">
        <v>664.8</v>
      </c>
      <c r="I556">
        <f t="shared" si="32"/>
        <v>344.011</v>
      </c>
      <c r="J556">
        <f t="shared" si="33"/>
        <v>358.968</v>
      </c>
      <c r="K556">
        <f t="shared" si="34"/>
        <v>388.882</v>
      </c>
      <c r="L556">
        <f t="shared" si="35"/>
        <v>418.796</v>
      </c>
    </row>
    <row r="557" spans="1:12">
      <c r="A557" t="s">
        <v>13</v>
      </c>
      <c r="B557" s="14" t="s">
        <v>1113</v>
      </c>
      <c r="C557" s="20" t="s">
        <v>1114</v>
      </c>
      <c r="D557" s="20" t="s">
        <v>1114</v>
      </c>
      <c r="E557" s="20" t="s">
        <v>1114</v>
      </c>
      <c r="F557" s="20" t="s">
        <v>1114</v>
      </c>
      <c r="G557">
        <v>394.35</v>
      </c>
      <c r="H557" s="1">
        <v>876.35</v>
      </c>
      <c r="I557">
        <f t="shared" si="32"/>
        <v>453.5025</v>
      </c>
      <c r="J557">
        <f t="shared" si="33"/>
        <v>473.22</v>
      </c>
      <c r="K557">
        <f t="shared" si="34"/>
        <v>512.655</v>
      </c>
      <c r="L557">
        <f t="shared" si="35"/>
        <v>552.09</v>
      </c>
    </row>
    <row r="558" spans="1:12">
      <c r="A558" t="s">
        <v>13</v>
      </c>
      <c r="B558" s="14" t="s">
        <v>1115</v>
      </c>
      <c r="C558" s="20" t="s">
        <v>1116</v>
      </c>
      <c r="D558" s="20" t="s">
        <v>1116</v>
      </c>
      <c r="E558" s="20" t="s">
        <v>1116</v>
      </c>
      <c r="F558" s="20" t="s">
        <v>1116</v>
      </c>
      <c r="G558">
        <v>414.26</v>
      </c>
      <c r="H558" s="1">
        <v>920.58</v>
      </c>
      <c r="I558">
        <f t="shared" si="32"/>
        <v>476.399</v>
      </c>
      <c r="J558">
        <f t="shared" si="33"/>
        <v>497.112</v>
      </c>
      <c r="K558">
        <f t="shared" si="34"/>
        <v>538.538</v>
      </c>
      <c r="L558">
        <f t="shared" si="35"/>
        <v>579.964</v>
      </c>
    </row>
    <row r="559" spans="1:12">
      <c r="A559" t="s">
        <v>13</v>
      </c>
      <c r="B559" s="14" t="s">
        <v>1117</v>
      </c>
      <c r="C559" s="20" t="s">
        <v>1118</v>
      </c>
      <c r="D559" s="20" t="s">
        <v>1118</v>
      </c>
      <c r="E559" s="20" t="s">
        <v>1118</v>
      </c>
      <c r="F559" s="20" t="s">
        <v>1118</v>
      </c>
      <c r="G559">
        <v>630.38</v>
      </c>
      <c r="H559" s="1">
        <v>1400.84</v>
      </c>
      <c r="I559">
        <f t="shared" si="32"/>
        <v>724.937</v>
      </c>
      <c r="J559">
        <f t="shared" si="33"/>
        <v>756.456</v>
      </c>
      <c r="K559">
        <f t="shared" si="34"/>
        <v>819.494</v>
      </c>
      <c r="L559">
        <f t="shared" si="35"/>
        <v>882.532</v>
      </c>
    </row>
    <row r="560" spans="1:12">
      <c r="A560" t="s">
        <v>13</v>
      </c>
      <c r="B560" s="14" t="s">
        <v>1119</v>
      </c>
      <c r="C560" s="20" t="s">
        <v>1120</v>
      </c>
      <c r="D560" s="20" t="s">
        <v>1120</v>
      </c>
      <c r="E560" s="20" t="s">
        <v>1120</v>
      </c>
      <c r="F560" s="20" t="s">
        <v>1120</v>
      </c>
      <c r="G560">
        <v>560.27</v>
      </c>
      <c r="H560" s="1">
        <v>1245.03</v>
      </c>
      <c r="I560">
        <f t="shared" si="32"/>
        <v>644.3105</v>
      </c>
      <c r="J560">
        <f t="shared" si="33"/>
        <v>672.324</v>
      </c>
      <c r="K560">
        <f t="shared" si="34"/>
        <v>728.351</v>
      </c>
      <c r="L560">
        <f t="shared" si="35"/>
        <v>784.378</v>
      </c>
    </row>
    <row r="561" spans="1:12">
      <c r="A561" t="s">
        <v>13</v>
      </c>
      <c r="B561" s="14" t="s">
        <v>1121</v>
      </c>
      <c r="C561" s="20" t="s">
        <v>1122</v>
      </c>
      <c r="D561" s="20" t="s">
        <v>1122</v>
      </c>
      <c r="E561" s="20" t="s">
        <v>1122</v>
      </c>
      <c r="F561" s="20" t="s">
        <v>1122</v>
      </c>
      <c r="G561">
        <v>582.43</v>
      </c>
      <c r="H561" s="1">
        <v>1294.27</v>
      </c>
      <c r="I561">
        <f t="shared" si="32"/>
        <v>669.7945</v>
      </c>
      <c r="J561">
        <f t="shared" si="33"/>
        <v>698.916</v>
      </c>
      <c r="K561">
        <f t="shared" si="34"/>
        <v>757.159</v>
      </c>
      <c r="L561">
        <f t="shared" si="35"/>
        <v>815.402</v>
      </c>
    </row>
    <row r="562" spans="1:12">
      <c r="A562" t="s">
        <v>13</v>
      </c>
      <c r="B562" s="14" t="s">
        <v>1123</v>
      </c>
      <c r="C562" s="20" t="s">
        <v>1124</v>
      </c>
      <c r="D562" s="20" t="s">
        <v>1124</v>
      </c>
      <c r="E562" s="20" t="s">
        <v>1124</v>
      </c>
      <c r="F562" s="20" t="s">
        <v>1124</v>
      </c>
      <c r="G562">
        <v>810.07</v>
      </c>
      <c r="H562" s="1">
        <v>1800.15</v>
      </c>
      <c r="I562">
        <f t="shared" si="32"/>
        <v>931.5805</v>
      </c>
      <c r="J562">
        <f t="shared" si="33"/>
        <v>972.084</v>
      </c>
      <c r="K562">
        <f t="shared" si="34"/>
        <v>1053.091</v>
      </c>
      <c r="L562">
        <f t="shared" si="35"/>
        <v>1134.098</v>
      </c>
    </row>
    <row r="563" spans="1:12">
      <c r="A563" t="s">
        <v>13</v>
      </c>
      <c r="B563" s="14" t="s">
        <v>1125</v>
      </c>
      <c r="C563" s="20" t="s">
        <v>1126</v>
      </c>
      <c r="D563" s="20" t="s">
        <v>1126</v>
      </c>
      <c r="E563" s="20" t="s">
        <v>1126</v>
      </c>
      <c r="F563" s="20" t="s">
        <v>1126</v>
      </c>
      <c r="G563">
        <v>480.64</v>
      </c>
      <c r="H563" s="1">
        <v>1068.08</v>
      </c>
      <c r="I563">
        <f t="shared" si="32"/>
        <v>552.736</v>
      </c>
      <c r="J563">
        <f t="shared" si="33"/>
        <v>576.768</v>
      </c>
      <c r="K563">
        <f t="shared" si="34"/>
        <v>624.832</v>
      </c>
      <c r="L563">
        <f t="shared" si="35"/>
        <v>672.896</v>
      </c>
    </row>
    <row r="564" spans="1:12">
      <c r="A564" t="s">
        <v>13</v>
      </c>
      <c r="B564" s="14" t="s">
        <v>1127</v>
      </c>
      <c r="C564" s="20" t="s">
        <v>1128</v>
      </c>
      <c r="D564" s="20" t="s">
        <v>1128</v>
      </c>
      <c r="E564" s="20" t="s">
        <v>1128</v>
      </c>
      <c r="F564" s="20" t="s">
        <v>1128</v>
      </c>
      <c r="G564">
        <v>807.08</v>
      </c>
      <c r="H564" s="1">
        <v>1793.51</v>
      </c>
      <c r="I564">
        <f t="shared" si="32"/>
        <v>928.142</v>
      </c>
      <c r="J564">
        <f t="shared" si="33"/>
        <v>968.496</v>
      </c>
      <c r="K564">
        <f t="shared" si="34"/>
        <v>1049.204</v>
      </c>
      <c r="L564">
        <f t="shared" si="35"/>
        <v>1129.912</v>
      </c>
    </row>
    <row r="565" spans="1:12">
      <c r="A565" t="s">
        <v>13</v>
      </c>
      <c r="B565" s="14" t="s">
        <v>1129</v>
      </c>
      <c r="C565" s="20" t="s">
        <v>1130</v>
      </c>
      <c r="D565" s="20" t="s">
        <v>1130</v>
      </c>
      <c r="E565" s="20" t="s">
        <v>1130</v>
      </c>
      <c r="F565" s="20" t="s">
        <v>1130</v>
      </c>
      <c r="G565">
        <v>542.19</v>
      </c>
      <c r="H565" s="1">
        <v>1204.85</v>
      </c>
      <c r="I565">
        <f t="shared" si="32"/>
        <v>623.5185</v>
      </c>
      <c r="J565">
        <f t="shared" si="33"/>
        <v>650.628</v>
      </c>
      <c r="K565">
        <f t="shared" si="34"/>
        <v>704.847</v>
      </c>
      <c r="L565">
        <f t="shared" si="35"/>
        <v>759.066</v>
      </c>
    </row>
    <row r="566" spans="1:12">
      <c r="A566" t="s">
        <v>13</v>
      </c>
      <c r="B566" s="14" t="s">
        <v>1131</v>
      </c>
      <c r="C566" s="20" t="s">
        <v>1132</v>
      </c>
      <c r="D566" s="20" t="s">
        <v>1132</v>
      </c>
      <c r="E566" s="20" t="s">
        <v>1132</v>
      </c>
      <c r="F566" s="20" t="s">
        <v>1132</v>
      </c>
      <c r="G566">
        <v>561.27</v>
      </c>
      <c r="H566" s="1">
        <v>1247.28</v>
      </c>
      <c r="I566">
        <f t="shared" si="32"/>
        <v>645.4605</v>
      </c>
      <c r="J566">
        <f t="shared" si="33"/>
        <v>673.524</v>
      </c>
      <c r="K566">
        <f t="shared" si="34"/>
        <v>729.651</v>
      </c>
      <c r="L566">
        <f t="shared" si="35"/>
        <v>785.778</v>
      </c>
    </row>
    <row r="567" spans="1:12">
      <c r="A567" t="s">
        <v>13</v>
      </c>
      <c r="B567" s="14" t="s">
        <v>1133</v>
      </c>
      <c r="C567" s="20" t="s">
        <v>1134</v>
      </c>
      <c r="D567" s="20" t="s">
        <v>1134</v>
      </c>
      <c r="E567" s="20" t="s">
        <v>1134</v>
      </c>
      <c r="F567" s="20" t="s">
        <v>1134</v>
      </c>
      <c r="G567">
        <v>731.13</v>
      </c>
      <c r="H567" s="1">
        <v>1624.73</v>
      </c>
      <c r="I567">
        <f t="shared" si="32"/>
        <v>840.7995</v>
      </c>
      <c r="J567">
        <f t="shared" si="33"/>
        <v>877.356</v>
      </c>
      <c r="K567">
        <f t="shared" si="34"/>
        <v>950.469</v>
      </c>
      <c r="L567">
        <f t="shared" si="35"/>
        <v>1023.582</v>
      </c>
    </row>
    <row r="568" spans="1:12">
      <c r="A568" t="s">
        <v>13</v>
      </c>
      <c r="B568" s="14" t="s">
        <v>1135</v>
      </c>
      <c r="C568" s="20" t="s">
        <v>1136</v>
      </c>
      <c r="D568" s="20" t="s">
        <v>1136</v>
      </c>
      <c r="E568" s="20" t="s">
        <v>1136</v>
      </c>
      <c r="F568" s="20" t="s">
        <v>1136</v>
      </c>
      <c r="G568">
        <v>375.59</v>
      </c>
      <c r="H568" s="1">
        <v>834.65</v>
      </c>
      <c r="I568">
        <f t="shared" si="32"/>
        <v>431.9285</v>
      </c>
      <c r="J568">
        <f t="shared" si="33"/>
        <v>450.708</v>
      </c>
      <c r="K568">
        <f t="shared" si="34"/>
        <v>488.267</v>
      </c>
      <c r="L568">
        <f t="shared" si="35"/>
        <v>525.826</v>
      </c>
    </row>
    <row r="569" spans="1:12">
      <c r="A569" t="s">
        <v>13</v>
      </c>
      <c r="B569" s="14" t="s">
        <v>1137</v>
      </c>
      <c r="C569" s="20" t="s">
        <v>1138</v>
      </c>
      <c r="D569" s="20" t="s">
        <v>1138</v>
      </c>
      <c r="E569" s="20" t="s">
        <v>1138</v>
      </c>
      <c r="F569" s="20" t="s">
        <v>1138</v>
      </c>
      <c r="G569">
        <v>460.27</v>
      </c>
      <c r="H569" s="1">
        <v>1022.83</v>
      </c>
      <c r="I569">
        <f t="shared" si="32"/>
        <v>529.3105</v>
      </c>
      <c r="J569">
        <f t="shared" si="33"/>
        <v>552.324</v>
      </c>
      <c r="K569">
        <f t="shared" si="34"/>
        <v>598.351</v>
      </c>
      <c r="L569">
        <f t="shared" si="35"/>
        <v>644.378</v>
      </c>
    </row>
    <row r="570" spans="1:12">
      <c r="A570" t="s">
        <v>13</v>
      </c>
      <c r="B570" s="14" t="s">
        <v>1139</v>
      </c>
      <c r="C570" s="20" t="s">
        <v>1140</v>
      </c>
      <c r="D570" s="20" t="s">
        <v>1140</v>
      </c>
      <c r="E570" s="20" t="s">
        <v>1140</v>
      </c>
      <c r="F570" s="20" t="s">
        <v>1140</v>
      </c>
      <c r="G570">
        <v>467.46</v>
      </c>
      <c r="H570" s="1">
        <v>1038.81</v>
      </c>
      <c r="I570">
        <f t="shared" si="32"/>
        <v>537.579</v>
      </c>
      <c r="J570">
        <f t="shared" si="33"/>
        <v>560.952</v>
      </c>
      <c r="K570">
        <f t="shared" si="34"/>
        <v>607.698</v>
      </c>
      <c r="L570">
        <f t="shared" si="35"/>
        <v>654.444</v>
      </c>
    </row>
    <row r="571" spans="1:12">
      <c r="A571" t="s">
        <v>13</v>
      </c>
      <c r="B571" s="14" t="s">
        <v>1141</v>
      </c>
      <c r="C571" s="20" t="s">
        <v>1142</v>
      </c>
      <c r="D571" s="20" t="s">
        <v>1142</v>
      </c>
      <c r="E571" s="20" t="s">
        <v>1142</v>
      </c>
      <c r="F571" s="20" t="s">
        <v>1142</v>
      </c>
      <c r="G571">
        <v>386.17</v>
      </c>
      <c r="H571" s="1">
        <v>858.17</v>
      </c>
      <c r="I571">
        <f t="shared" si="32"/>
        <v>444.0955</v>
      </c>
      <c r="J571">
        <f t="shared" si="33"/>
        <v>463.404</v>
      </c>
      <c r="K571">
        <f t="shared" si="34"/>
        <v>502.021</v>
      </c>
      <c r="L571">
        <f t="shared" si="35"/>
        <v>540.638</v>
      </c>
    </row>
    <row r="572" spans="1:12">
      <c r="A572" t="s">
        <v>13</v>
      </c>
      <c r="B572" s="14" t="s">
        <v>1143</v>
      </c>
      <c r="C572" s="20" t="s">
        <v>1144</v>
      </c>
      <c r="D572" s="20" t="s">
        <v>1144</v>
      </c>
      <c r="E572" s="20" t="s">
        <v>1144</v>
      </c>
      <c r="F572" s="20" t="s">
        <v>1144</v>
      </c>
      <c r="G572">
        <v>373.67</v>
      </c>
      <c r="H572" s="1">
        <v>830.4</v>
      </c>
      <c r="I572">
        <f t="shared" si="32"/>
        <v>429.7205</v>
      </c>
      <c r="J572">
        <f t="shared" si="33"/>
        <v>448.404</v>
      </c>
      <c r="K572">
        <f t="shared" si="34"/>
        <v>485.771</v>
      </c>
      <c r="L572">
        <f t="shared" si="35"/>
        <v>523.138</v>
      </c>
    </row>
    <row r="573" spans="1:12">
      <c r="A573" t="s">
        <v>13</v>
      </c>
      <c r="B573" s="14" t="s">
        <v>1145</v>
      </c>
      <c r="C573" s="20" t="s">
        <v>1146</v>
      </c>
      <c r="D573" s="20" t="s">
        <v>1146</v>
      </c>
      <c r="E573" s="20" t="s">
        <v>1146</v>
      </c>
      <c r="F573" s="20" t="s">
        <v>1146</v>
      </c>
      <c r="G573">
        <v>752.19</v>
      </c>
      <c r="H573" s="1">
        <v>1671.55</v>
      </c>
      <c r="I573">
        <f t="shared" si="32"/>
        <v>865.0185</v>
      </c>
      <c r="J573">
        <f t="shared" si="33"/>
        <v>902.628</v>
      </c>
      <c r="K573">
        <f t="shared" si="34"/>
        <v>977.847</v>
      </c>
      <c r="L573">
        <f t="shared" si="35"/>
        <v>1053.066</v>
      </c>
    </row>
    <row r="574" spans="1:12">
      <c r="A574" t="s">
        <v>13</v>
      </c>
      <c r="B574" s="14" t="s">
        <v>1147</v>
      </c>
      <c r="C574" s="20" t="s">
        <v>1148</v>
      </c>
      <c r="D574" s="20" t="s">
        <v>1148</v>
      </c>
      <c r="E574" s="20" t="s">
        <v>1148</v>
      </c>
      <c r="F574" s="20" t="s">
        <v>1148</v>
      </c>
      <c r="G574">
        <v>778.35</v>
      </c>
      <c r="H574" s="1">
        <v>1729.67</v>
      </c>
      <c r="I574">
        <f t="shared" si="32"/>
        <v>895.1025</v>
      </c>
      <c r="J574">
        <f t="shared" si="33"/>
        <v>934.02</v>
      </c>
      <c r="K574">
        <f t="shared" si="34"/>
        <v>1011.855</v>
      </c>
      <c r="L574">
        <f t="shared" si="35"/>
        <v>1089.69</v>
      </c>
    </row>
    <row r="575" spans="1:12">
      <c r="A575" t="s">
        <v>13</v>
      </c>
      <c r="B575" s="14" t="s">
        <v>1149</v>
      </c>
      <c r="C575" s="20" t="s">
        <v>1150</v>
      </c>
      <c r="D575" s="20" t="s">
        <v>1150</v>
      </c>
      <c r="E575" s="20" t="s">
        <v>1150</v>
      </c>
      <c r="F575" s="20" t="s">
        <v>1150</v>
      </c>
      <c r="G575">
        <v>945.72</v>
      </c>
      <c r="H575" s="1">
        <v>2101.61</v>
      </c>
      <c r="I575">
        <f t="shared" si="32"/>
        <v>1087.578</v>
      </c>
      <c r="J575">
        <f t="shared" si="33"/>
        <v>1134.864</v>
      </c>
      <c r="K575">
        <f t="shared" si="34"/>
        <v>1229.436</v>
      </c>
      <c r="L575">
        <f t="shared" si="35"/>
        <v>1324.008</v>
      </c>
    </row>
    <row r="576" spans="1:12">
      <c r="A576" t="s">
        <v>13</v>
      </c>
      <c r="B576" s="14" t="s">
        <v>1151</v>
      </c>
      <c r="C576" s="20" t="s">
        <v>1152</v>
      </c>
      <c r="D576" s="20" t="s">
        <v>1152</v>
      </c>
      <c r="E576" s="20" t="s">
        <v>1152</v>
      </c>
      <c r="F576" s="20" t="s">
        <v>1152</v>
      </c>
      <c r="G576">
        <v>547.92</v>
      </c>
      <c r="H576" s="1">
        <v>1217.58</v>
      </c>
      <c r="I576">
        <f t="shared" si="32"/>
        <v>630.108</v>
      </c>
      <c r="J576">
        <f t="shared" si="33"/>
        <v>657.504</v>
      </c>
      <c r="K576">
        <f t="shared" si="34"/>
        <v>712.296</v>
      </c>
      <c r="L576">
        <f t="shared" si="35"/>
        <v>767.088</v>
      </c>
    </row>
    <row r="577" spans="1:12">
      <c r="A577" t="s">
        <v>13</v>
      </c>
      <c r="B577" s="14" t="s">
        <v>1153</v>
      </c>
      <c r="C577" s="20" t="s">
        <v>1154</v>
      </c>
      <c r="D577" s="20" t="s">
        <v>1154</v>
      </c>
      <c r="E577" s="20" t="s">
        <v>1154</v>
      </c>
      <c r="F577" s="20" t="s">
        <v>1154</v>
      </c>
      <c r="G577">
        <v>767.25</v>
      </c>
      <c r="H577" s="1">
        <v>1705</v>
      </c>
      <c r="I577">
        <f t="shared" si="32"/>
        <v>882.3375</v>
      </c>
      <c r="J577">
        <f t="shared" si="33"/>
        <v>920.7</v>
      </c>
      <c r="K577">
        <f t="shared" si="34"/>
        <v>997.425</v>
      </c>
      <c r="L577">
        <f t="shared" si="35"/>
        <v>1074.15</v>
      </c>
    </row>
    <row r="578" spans="1:12">
      <c r="A578" t="s">
        <v>13</v>
      </c>
      <c r="B578" s="14" t="s">
        <v>1155</v>
      </c>
      <c r="C578" s="20" t="s">
        <v>1156</v>
      </c>
      <c r="D578" s="20" t="s">
        <v>1156</v>
      </c>
      <c r="E578" s="20" t="s">
        <v>1156</v>
      </c>
      <c r="F578" s="20" t="s">
        <v>1156</v>
      </c>
      <c r="G578">
        <v>520.62</v>
      </c>
      <c r="H578" s="1">
        <v>1156.93</v>
      </c>
      <c r="I578">
        <f t="shared" ref="I578:I641" si="36">G578*1.15</f>
        <v>598.713</v>
      </c>
      <c r="J578">
        <f t="shared" ref="J578:J641" si="37">G578*1.2</f>
        <v>624.744</v>
      </c>
      <c r="K578">
        <f t="shared" ref="K578:K641" si="38">G578*1.3</f>
        <v>676.806</v>
      </c>
      <c r="L578">
        <f t="shared" ref="L578:L641" si="39">G578*1.4</f>
        <v>728.868</v>
      </c>
    </row>
    <row r="579" spans="1:12">
      <c r="A579" t="s">
        <v>13</v>
      </c>
      <c r="B579" s="14" t="s">
        <v>1157</v>
      </c>
      <c r="C579" s="20" t="s">
        <v>1158</v>
      </c>
      <c r="D579" s="20" t="s">
        <v>1158</v>
      </c>
      <c r="E579" s="20" t="s">
        <v>1158</v>
      </c>
      <c r="F579" s="20" t="s">
        <v>1158</v>
      </c>
      <c r="G579">
        <v>795.12</v>
      </c>
      <c r="H579" s="1">
        <v>1766.92</v>
      </c>
      <c r="I579">
        <f t="shared" si="36"/>
        <v>914.388</v>
      </c>
      <c r="J579">
        <f t="shared" si="37"/>
        <v>954.144</v>
      </c>
      <c r="K579">
        <f t="shared" si="38"/>
        <v>1033.656</v>
      </c>
      <c r="L579">
        <f t="shared" si="39"/>
        <v>1113.168</v>
      </c>
    </row>
    <row r="580" spans="1:12">
      <c r="A580" t="s">
        <v>13</v>
      </c>
      <c r="B580" s="14" t="s">
        <v>1159</v>
      </c>
      <c r="C580" s="20" t="s">
        <v>1160</v>
      </c>
      <c r="D580" s="20" t="s">
        <v>1160</v>
      </c>
      <c r="E580" s="20" t="s">
        <v>1160</v>
      </c>
      <c r="F580" s="20" t="s">
        <v>1160</v>
      </c>
      <c r="G580">
        <v>754.15</v>
      </c>
      <c r="H580" s="1">
        <v>1675.9</v>
      </c>
      <c r="I580">
        <f t="shared" si="36"/>
        <v>867.2725</v>
      </c>
      <c r="J580">
        <f t="shared" si="37"/>
        <v>904.98</v>
      </c>
      <c r="K580">
        <f t="shared" si="38"/>
        <v>980.395</v>
      </c>
      <c r="L580">
        <f t="shared" si="39"/>
        <v>1055.81</v>
      </c>
    </row>
    <row r="581" spans="1:12">
      <c r="A581" t="s">
        <v>13</v>
      </c>
      <c r="B581" s="14" t="s">
        <v>1161</v>
      </c>
      <c r="C581" s="20" t="s">
        <v>1162</v>
      </c>
      <c r="D581" s="20" t="s">
        <v>1162</v>
      </c>
      <c r="E581" s="20" t="s">
        <v>1162</v>
      </c>
      <c r="F581" s="20" t="s">
        <v>1162</v>
      </c>
      <c r="G581">
        <v>779.97</v>
      </c>
      <c r="H581" s="1">
        <v>1733.26</v>
      </c>
      <c r="I581">
        <f t="shared" si="36"/>
        <v>896.9655</v>
      </c>
      <c r="J581">
        <f t="shared" si="37"/>
        <v>935.964</v>
      </c>
      <c r="K581">
        <f t="shared" si="38"/>
        <v>1013.961</v>
      </c>
      <c r="L581">
        <f t="shared" si="39"/>
        <v>1091.958</v>
      </c>
    </row>
    <row r="582" spans="1:12">
      <c r="A582" t="s">
        <v>13</v>
      </c>
      <c r="B582" s="14" t="s">
        <v>1163</v>
      </c>
      <c r="C582" s="20" t="s">
        <v>1164</v>
      </c>
      <c r="D582" s="20" t="s">
        <v>1164</v>
      </c>
      <c r="E582" s="20" t="s">
        <v>1164</v>
      </c>
      <c r="F582" s="20" t="s">
        <v>1164</v>
      </c>
      <c r="G582">
        <v>947.85</v>
      </c>
      <c r="H582" s="1">
        <v>2106.33</v>
      </c>
      <c r="I582">
        <f t="shared" si="36"/>
        <v>1090.0275</v>
      </c>
      <c r="J582">
        <f t="shared" si="37"/>
        <v>1137.42</v>
      </c>
      <c r="K582">
        <f t="shared" si="38"/>
        <v>1232.205</v>
      </c>
      <c r="L582">
        <f t="shared" si="39"/>
        <v>1326.99</v>
      </c>
    </row>
    <row r="583" spans="1:12">
      <c r="A583" t="s">
        <v>13</v>
      </c>
      <c r="B583" s="14" t="s">
        <v>1165</v>
      </c>
      <c r="C583" s="20" t="s">
        <v>1166</v>
      </c>
      <c r="D583" s="20" t="s">
        <v>1166</v>
      </c>
      <c r="E583" s="20" t="s">
        <v>1166</v>
      </c>
      <c r="F583" s="20" t="s">
        <v>1166</v>
      </c>
      <c r="G583">
        <v>978.73</v>
      </c>
      <c r="H583" s="1">
        <v>2174.95</v>
      </c>
      <c r="I583">
        <f t="shared" si="36"/>
        <v>1125.5395</v>
      </c>
      <c r="J583">
        <f t="shared" si="37"/>
        <v>1174.476</v>
      </c>
      <c r="K583">
        <f t="shared" si="38"/>
        <v>1272.349</v>
      </c>
      <c r="L583">
        <f t="shared" si="39"/>
        <v>1370.222</v>
      </c>
    </row>
    <row r="584" spans="1:12">
      <c r="A584" t="s">
        <v>13</v>
      </c>
      <c r="B584" s="14" t="s">
        <v>1167</v>
      </c>
      <c r="C584" s="20" t="s">
        <v>1168</v>
      </c>
      <c r="D584" s="20" t="s">
        <v>1168</v>
      </c>
      <c r="E584" s="20" t="s">
        <v>1168</v>
      </c>
      <c r="F584" s="20" t="s">
        <v>1168</v>
      </c>
      <c r="G584">
        <v>1002.68</v>
      </c>
      <c r="H584" s="1">
        <v>2228.19</v>
      </c>
      <c r="I584">
        <f t="shared" si="36"/>
        <v>1153.082</v>
      </c>
      <c r="J584">
        <f t="shared" si="37"/>
        <v>1203.216</v>
      </c>
      <c r="K584">
        <f t="shared" si="38"/>
        <v>1303.484</v>
      </c>
      <c r="L584">
        <f t="shared" si="39"/>
        <v>1403.752</v>
      </c>
    </row>
    <row r="585" spans="1:12">
      <c r="A585" t="s">
        <v>13</v>
      </c>
      <c r="B585" s="14" t="s">
        <v>1169</v>
      </c>
      <c r="C585" s="20" t="s">
        <v>1170</v>
      </c>
      <c r="D585" s="20" t="s">
        <v>1170</v>
      </c>
      <c r="E585" s="20" t="s">
        <v>1170</v>
      </c>
      <c r="F585" s="20" t="s">
        <v>1170</v>
      </c>
      <c r="G585">
        <v>1237.01</v>
      </c>
      <c r="H585" s="1">
        <v>2748.91</v>
      </c>
      <c r="I585">
        <f t="shared" si="36"/>
        <v>1422.5615</v>
      </c>
      <c r="J585">
        <f t="shared" si="37"/>
        <v>1484.412</v>
      </c>
      <c r="K585">
        <f t="shared" si="38"/>
        <v>1608.113</v>
      </c>
      <c r="L585">
        <f t="shared" si="39"/>
        <v>1731.814</v>
      </c>
    </row>
    <row r="586" spans="1:12">
      <c r="A586" t="s">
        <v>13</v>
      </c>
      <c r="B586" s="14" t="s">
        <v>1171</v>
      </c>
      <c r="C586" s="20" t="s">
        <v>1172</v>
      </c>
      <c r="D586" s="20" t="s">
        <v>1172</v>
      </c>
      <c r="E586" s="20" t="s">
        <v>1172</v>
      </c>
      <c r="F586" s="20" t="s">
        <v>1172</v>
      </c>
      <c r="G586">
        <v>867.83</v>
      </c>
      <c r="H586" s="1">
        <v>1928.52</v>
      </c>
      <c r="I586">
        <f t="shared" si="36"/>
        <v>998.0045</v>
      </c>
      <c r="J586">
        <f t="shared" si="37"/>
        <v>1041.396</v>
      </c>
      <c r="K586">
        <f t="shared" si="38"/>
        <v>1128.179</v>
      </c>
      <c r="L586">
        <f t="shared" si="39"/>
        <v>1214.962</v>
      </c>
    </row>
    <row r="587" spans="1:12">
      <c r="A587" t="s">
        <v>13</v>
      </c>
      <c r="B587" s="14" t="s">
        <v>1173</v>
      </c>
      <c r="C587" s="20" t="s">
        <v>1174</v>
      </c>
      <c r="D587" s="20" t="s">
        <v>1174</v>
      </c>
      <c r="E587" s="20" t="s">
        <v>1174</v>
      </c>
      <c r="F587" s="20" t="s">
        <v>1174</v>
      </c>
      <c r="G587">
        <v>1085.33</v>
      </c>
      <c r="H587" s="1">
        <v>2411.85</v>
      </c>
      <c r="I587">
        <f t="shared" si="36"/>
        <v>1248.1295</v>
      </c>
      <c r="J587">
        <f t="shared" si="37"/>
        <v>1302.396</v>
      </c>
      <c r="K587">
        <f t="shared" si="38"/>
        <v>1410.929</v>
      </c>
      <c r="L587">
        <f t="shared" si="39"/>
        <v>1519.462</v>
      </c>
    </row>
    <row r="588" spans="1:12">
      <c r="A588" t="s">
        <v>13</v>
      </c>
      <c r="B588" s="14" t="s">
        <v>1175</v>
      </c>
      <c r="C588" s="20" t="s">
        <v>1176</v>
      </c>
      <c r="D588" s="20" t="s">
        <v>1176</v>
      </c>
      <c r="E588" s="20" t="s">
        <v>1176</v>
      </c>
      <c r="F588" s="20" t="s">
        <v>1176</v>
      </c>
      <c r="G588">
        <v>872.28</v>
      </c>
      <c r="H588" s="1">
        <v>1938.41</v>
      </c>
      <c r="I588">
        <f t="shared" si="36"/>
        <v>1003.122</v>
      </c>
      <c r="J588">
        <f t="shared" si="37"/>
        <v>1046.736</v>
      </c>
      <c r="K588">
        <f t="shared" si="38"/>
        <v>1133.964</v>
      </c>
      <c r="L588">
        <f t="shared" si="39"/>
        <v>1221.192</v>
      </c>
    </row>
    <row r="589" spans="1:12">
      <c r="A589" t="s">
        <v>13</v>
      </c>
      <c r="B589" s="14" t="s">
        <v>1177</v>
      </c>
      <c r="C589" s="20" t="s">
        <v>1178</v>
      </c>
      <c r="D589" s="20" t="s">
        <v>1178</v>
      </c>
      <c r="E589" s="20" t="s">
        <v>1178</v>
      </c>
      <c r="F589" s="20" t="s">
        <v>1178</v>
      </c>
      <c r="G589">
        <v>1156.43</v>
      </c>
      <c r="H589" s="1">
        <v>2569.84</v>
      </c>
      <c r="I589">
        <f t="shared" si="36"/>
        <v>1329.8945</v>
      </c>
      <c r="J589">
        <f t="shared" si="37"/>
        <v>1387.716</v>
      </c>
      <c r="K589">
        <f t="shared" si="38"/>
        <v>1503.359</v>
      </c>
      <c r="L589">
        <f t="shared" si="39"/>
        <v>1619.002</v>
      </c>
    </row>
    <row r="590" spans="1:12">
      <c r="A590" t="s">
        <v>13</v>
      </c>
      <c r="B590" s="14" t="s">
        <v>1179</v>
      </c>
      <c r="C590" s="20" t="s">
        <v>1180</v>
      </c>
      <c r="D590" s="20" t="s">
        <v>1180</v>
      </c>
      <c r="E590" s="20" t="s">
        <v>1180</v>
      </c>
      <c r="F590" s="20" t="s">
        <v>1180</v>
      </c>
      <c r="G590">
        <v>982.59</v>
      </c>
      <c r="H590" s="1">
        <v>2183.54</v>
      </c>
      <c r="I590">
        <f t="shared" si="36"/>
        <v>1129.9785</v>
      </c>
      <c r="J590">
        <f t="shared" si="37"/>
        <v>1179.108</v>
      </c>
      <c r="K590">
        <f t="shared" si="38"/>
        <v>1277.367</v>
      </c>
      <c r="L590">
        <f t="shared" si="39"/>
        <v>1375.626</v>
      </c>
    </row>
    <row r="591" spans="1:12">
      <c r="A591" t="s">
        <v>13</v>
      </c>
      <c r="B591" s="14" t="s">
        <v>1181</v>
      </c>
      <c r="C591" s="20" t="s">
        <v>1182</v>
      </c>
      <c r="D591" s="20" t="s">
        <v>1182</v>
      </c>
      <c r="E591" s="20" t="s">
        <v>1182</v>
      </c>
      <c r="F591" s="20" t="s">
        <v>1182</v>
      </c>
      <c r="G591">
        <v>1004.51</v>
      </c>
      <c r="H591" s="1">
        <v>2232.25</v>
      </c>
      <c r="I591">
        <f t="shared" si="36"/>
        <v>1155.1865</v>
      </c>
      <c r="J591">
        <f t="shared" si="37"/>
        <v>1205.412</v>
      </c>
      <c r="K591">
        <f t="shared" si="38"/>
        <v>1305.863</v>
      </c>
      <c r="L591">
        <f t="shared" si="39"/>
        <v>1406.314</v>
      </c>
    </row>
    <row r="592" spans="1:12">
      <c r="A592" t="s">
        <v>13</v>
      </c>
      <c r="B592" s="14" t="s">
        <v>1183</v>
      </c>
      <c r="C592" s="20" t="s">
        <v>1184</v>
      </c>
      <c r="D592" s="20" t="s">
        <v>1184</v>
      </c>
      <c r="E592" s="20" t="s">
        <v>1184</v>
      </c>
      <c r="F592" s="20" t="s">
        <v>1184</v>
      </c>
      <c r="G592">
        <v>1264.17</v>
      </c>
      <c r="H592" s="1">
        <v>2809.26</v>
      </c>
      <c r="I592">
        <f t="shared" si="36"/>
        <v>1453.7955</v>
      </c>
      <c r="J592">
        <f t="shared" si="37"/>
        <v>1517.004</v>
      </c>
      <c r="K592">
        <f t="shared" si="38"/>
        <v>1643.421</v>
      </c>
      <c r="L592">
        <f t="shared" si="39"/>
        <v>1769.838</v>
      </c>
    </row>
    <row r="593" spans="1:12">
      <c r="A593" t="s">
        <v>13</v>
      </c>
      <c r="B593" s="14" t="s">
        <v>1185</v>
      </c>
      <c r="C593" s="20" t="s">
        <v>1186</v>
      </c>
      <c r="D593" s="20" t="s">
        <v>1186</v>
      </c>
      <c r="E593" s="20" t="s">
        <v>1186</v>
      </c>
      <c r="F593" s="20" t="s">
        <v>1186</v>
      </c>
      <c r="G593">
        <v>1317.48</v>
      </c>
      <c r="H593" s="1">
        <v>2927.75</v>
      </c>
      <c r="I593">
        <f t="shared" si="36"/>
        <v>1515.102</v>
      </c>
      <c r="J593">
        <f t="shared" si="37"/>
        <v>1580.976</v>
      </c>
      <c r="K593">
        <f t="shared" si="38"/>
        <v>1712.724</v>
      </c>
      <c r="L593">
        <f t="shared" si="39"/>
        <v>1844.472</v>
      </c>
    </row>
    <row r="594" spans="1:12">
      <c r="A594" t="s">
        <v>13</v>
      </c>
      <c r="B594" s="14" t="s">
        <v>1187</v>
      </c>
      <c r="C594" s="20" t="s">
        <v>1188</v>
      </c>
      <c r="D594" s="20" t="s">
        <v>1188</v>
      </c>
      <c r="E594" s="20" t="s">
        <v>1188</v>
      </c>
      <c r="F594" s="20" t="s">
        <v>1188</v>
      </c>
      <c r="G594">
        <v>1337.46</v>
      </c>
      <c r="H594" s="1">
        <v>2972.15</v>
      </c>
      <c r="I594">
        <f t="shared" si="36"/>
        <v>1538.079</v>
      </c>
      <c r="J594">
        <f t="shared" si="37"/>
        <v>1604.952</v>
      </c>
      <c r="K594">
        <f t="shared" si="38"/>
        <v>1738.698</v>
      </c>
      <c r="L594">
        <f t="shared" si="39"/>
        <v>1872.444</v>
      </c>
    </row>
    <row r="595" spans="1:12">
      <c r="A595" t="s">
        <v>13</v>
      </c>
      <c r="B595" s="14" t="s">
        <v>1189</v>
      </c>
      <c r="C595" s="20" t="s">
        <v>1190</v>
      </c>
      <c r="D595" s="20" t="s">
        <v>1190</v>
      </c>
      <c r="E595" s="20" t="s">
        <v>1190</v>
      </c>
      <c r="F595" s="20" t="s">
        <v>1190</v>
      </c>
      <c r="G595">
        <v>1519.7</v>
      </c>
      <c r="H595" s="1">
        <v>3377.11</v>
      </c>
      <c r="I595">
        <f t="shared" si="36"/>
        <v>1747.655</v>
      </c>
      <c r="J595">
        <f t="shared" si="37"/>
        <v>1823.64</v>
      </c>
      <c r="K595">
        <f t="shared" si="38"/>
        <v>1975.61</v>
      </c>
      <c r="L595">
        <f t="shared" si="39"/>
        <v>2127.58</v>
      </c>
    </row>
    <row r="596" spans="1:12">
      <c r="A596" t="s">
        <v>13</v>
      </c>
      <c r="B596" s="14" t="s">
        <v>1191</v>
      </c>
      <c r="C596" s="20" t="s">
        <v>1192</v>
      </c>
      <c r="D596" s="20" t="s">
        <v>1192</v>
      </c>
      <c r="E596" s="20" t="s">
        <v>1192</v>
      </c>
      <c r="F596" s="20" t="s">
        <v>1192</v>
      </c>
      <c r="G596">
        <v>1444.47</v>
      </c>
      <c r="H596" s="1">
        <v>3209.95</v>
      </c>
      <c r="I596">
        <f t="shared" si="36"/>
        <v>1661.1405</v>
      </c>
      <c r="J596">
        <f t="shared" si="37"/>
        <v>1733.364</v>
      </c>
      <c r="K596">
        <f t="shared" si="38"/>
        <v>1877.811</v>
      </c>
      <c r="L596">
        <f t="shared" si="39"/>
        <v>2022.258</v>
      </c>
    </row>
    <row r="597" spans="1:12">
      <c r="A597" t="s">
        <v>13</v>
      </c>
      <c r="B597" s="14" t="s">
        <v>1193</v>
      </c>
      <c r="C597" s="20" t="s">
        <v>1194</v>
      </c>
      <c r="D597" s="20" t="s">
        <v>1194</v>
      </c>
      <c r="E597" s="20" t="s">
        <v>1194</v>
      </c>
      <c r="F597" s="20" t="s">
        <v>1194</v>
      </c>
      <c r="G597">
        <v>16.75</v>
      </c>
      <c r="H597" s="1">
        <v>37.24</v>
      </c>
      <c r="I597">
        <f t="shared" si="36"/>
        <v>19.2625</v>
      </c>
      <c r="J597">
        <f t="shared" si="37"/>
        <v>20.1</v>
      </c>
      <c r="K597">
        <f t="shared" si="38"/>
        <v>21.775</v>
      </c>
      <c r="L597">
        <f t="shared" si="39"/>
        <v>23.45</v>
      </c>
    </row>
    <row r="598" spans="1:12">
      <c r="A598" t="s">
        <v>13</v>
      </c>
      <c r="B598" s="14" t="s">
        <v>1195</v>
      </c>
      <c r="C598" s="20" t="s">
        <v>1196</v>
      </c>
      <c r="D598" s="20" t="s">
        <v>1196</v>
      </c>
      <c r="E598" s="20" t="s">
        <v>1196</v>
      </c>
      <c r="F598" s="20" t="s">
        <v>1196</v>
      </c>
      <c r="G598">
        <v>15.89</v>
      </c>
      <c r="H598" s="1">
        <v>35.31</v>
      </c>
      <c r="I598">
        <f t="shared" si="36"/>
        <v>18.2735</v>
      </c>
      <c r="J598">
        <f t="shared" si="37"/>
        <v>19.068</v>
      </c>
      <c r="K598">
        <f t="shared" si="38"/>
        <v>20.657</v>
      </c>
      <c r="L598">
        <f t="shared" si="39"/>
        <v>22.246</v>
      </c>
    </row>
    <row r="599" spans="1:12">
      <c r="A599" t="s">
        <v>13</v>
      </c>
      <c r="B599" s="14" t="s">
        <v>1197</v>
      </c>
      <c r="C599" s="20" t="s">
        <v>1198</v>
      </c>
      <c r="D599" s="20" t="s">
        <v>1198</v>
      </c>
      <c r="E599" s="20" t="s">
        <v>1198</v>
      </c>
      <c r="F599" s="20" t="s">
        <v>1198</v>
      </c>
      <c r="G599">
        <v>17.06</v>
      </c>
      <c r="H599" s="1">
        <v>37.91</v>
      </c>
      <c r="I599">
        <f t="shared" si="36"/>
        <v>19.619</v>
      </c>
      <c r="J599">
        <f t="shared" si="37"/>
        <v>20.472</v>
      </c>
      <c r="K599">
        <f t="shared" si="38"/>
        <v>22.178</v>
      </c>
      <c r="L599">
        <f t="shared" si="39"/>
        <v>23.884</v>
      </c>
    </row>
    <row r="600" spans="1:12">
      <c r="A600" t="s">
        <v>13</v>
      </c>
      <c r="B600" s="14" t="s">
        <v>1199</v>
      </c>
      <c r="C600" s="20" t="s">
        <v>1200</v>
      </c>
      <c r="D600" s="20" t="s">
        <v>1200</v>
      </c>
      <c r="E600" s="20" t="s">
        <v>1200</v>
      </c>
      <c r="F600" s="20" t="s">
        <v>1200</v>
      </c>
      <c r="G600">
        <v>16.29</v>
      </c>
      <c r="H600" s="1">
        <v>36.22</v>
      </c>
      <c r="I600">
        <f t="shared" si="36"/>
        <v>18.7335</v>
      </c>
      <c r="J600">
        <f t="shared" si="37"/>
        <v>19.548</v>
      </c>
      <c r="K600">
        <f t="shared" si="38"/>
        <v>21.177</v>
      </c>
      <c r="L600">
        <f t="shared" si="39"/>
        <v>22.806</v>
      </c>
    </row>
    <row r="601" spans="1:12">
      <c r="A601" t="s">
        <v>13</v>
      </c>
      <c r="B601" s="14" t="s">
        <v>1201</v>
      </c>
      <c r="C601" s="20" t="s">
        <v>1202</v>
      </c>
      <c r="D601" s="20" t="s">
        <v>1202</v>
      </c>
      <c r="E601" s="20" t="s">
        <v>1202</v>
      </c>
      <c r="F601" s="20" t="s">
        <v>1202</v>
      </c>
      <c r="G601">
        <v>0.65</v>
      </c>
      <c r="H601" s="1">
        <v>1.63</v>
      </c>
      <c r="I601">
        <f t="shared" si="36"/>
        <v>0.7475</v>
      </c>
      <c r="J601">
        <f t="shared" si="37"/>
        <v>0.78</v>
      </c>
      <c r="K601">
        <f t="shared" si="38"/>
        <v>0.845</v>
      </c>
      <c r="L601">
        <f t="shared" si="39"/>
        <v>0.91</v>
      </c>
    </row>
    <row r="602" spans="1:12">
      <c r="A602" t="s">
        <v>13</v>
      </c>
      <c r="B602" s="14" t="s">
        <v>1203</v>
      </c>
      <c r="C602" s="20" t="s">
        <v>1204</v>
      </c>
      <c r="D602" s="20" t="s">
        <v>1204</v>
      </c>
      <c r="E602" s="20" t="s">
        <v>1204</v>
      </c>
      <c r="F602" s="20" t="s">
        <v>1204</v>
      </c>
      <c r="G602">
        <v>1.63</v>
      </c>
      <c r="H602" s="1">
        <v>4.06</v>
      </c>
      <c r="I602">
        <f t="shared" si="36"/>
        <v>1.8745</v>
      </c>
      <c r="J602">
        <f t="shared" si="37"/>
        <v>1.956</v>
      </c>
      <c r="K602">
        <f t="shared" si="38"/>
        <v>2.119</v>
      </c>
      <c r="L602">
        <f t="shared" si="39"/>
        <v>2.282</v>
      </c>
    </row>
    <row r="603" spans="1:12">
      <c r="A603" t="s">
        <v>13</v>
      </c>
      <c r="B603" s="14" t="s">
        <v>1205</v>
      </c>
      <c r="C603" s="20" t="s">
        <v>1206</v>
      </c>
      <c r="D603" s="20" t="s">
        <v>1206</v>
      </c>
      <c r="E603" s="20" t="s">
        <v>1206</v>
      </c>
      <c r="F603" s="20" t="s">
        <v>1206</v>
      </c>
      <c r="G603">
        <v>22.35</v>
      </c>
      <c r="H603" s="1">
        <v>42.57</v>
      </c>
      <c r="I603">
        <f t="shared" si="36"/>
        <v>25.7025</v>
      </c>
      <c r="J603">
        <f t="shared" si="37"/>
        <v>26.82</v>
      </c>
      <c r="K603">
        <f t="shared" si="38"/>
        <v>29.055</v>
      </c>
      <c r="L603">
        <f t="shared" si="39"/>
        <v>31.29</v>
      </c>
    </row>
    <row r="604" spans="1:12">
      <c r="A604" t="s">
        <v>13</v>
      </c>
      <c r="B604" s="14" t="s">
        <v>1207</v>
      </c>
      <c r="C604" s="20" t="s">
        <v>1208</v>
      </c>
      <c r="D604" s="20" t="s">
        <v>1208</v>
      </c>
      <c r="E604" s="20" t="s">
        <v>1208</v>
      </c>
      <c r="F604" s="20" t="s">
        <v>1208</v>
      </c>
      <c r="G604">
        <v>15.01</v>
      </c>
      <c r="H604" s="1">
        <v>33.38</v>
      </c>
      <c r="I604">
        <f t="shared" si="36"/>
        <v>17.2615</v>
      </c>
      <c r="J604">
        <f t="shared" si="37"/>
        <v>18.012</v>
      </c>
      <c r="K604">
        <f t="shared" si="38"/>
        <v>19.513</v>
      </c>
      <c r="L604">
        <f t="shared" si="39"/>
        <v>21.014</v>
      </c>
    </row>
    <row r="605" ht="28.5" spans="1:12">
      <c r="A605" t="s">
        <v>13</v>
      </c>
      <c r="B605" s="14" t="s">
        <v>1209</v>
      </c>
      <c r="C605" s="20" t="s">
        <v>1210</v>
      </c>
      <c r="D605" s="20" t="s">
        <v>1210</v>
      </c>
      <c r="E605" s="20" t="s">
        <v>1210</v>
      </c>
      <c r="F605" s="20" t="s">
        <v>1210</v>
      </c>
      <c r="G605">
        <v>20.82</v>
      </c>
      <c r="H605" s="1">
        <v>46.28</v>
      </c>
      <c r="I605">
        <f t="shared" si="36"/>
        <v>23.943</v>
      </c>
      <c r="J605">
        <f t="shared" si="37"/>
        <v>24.984</v>
      </c>
      <c r="K605">
        <f t="shared" si="38"/>
        <v>27.066</v>
      </c>
      <c r="L605">
        <f t="shared" si="39"/>
        <v>29.148</v>
      </c>
    </row>
    <row r="606" spans="1:12">
      <c r="A606" t="s">
        <v>13</v>
      </c>
      <c r="B606" s="14" t="s">
        <v>1211</v>
      </c>
      <c r="C606" s="20" t="s">
        <v>1212</v>
      </c>
      <c r="D606" s="20" t="s">
        <v>1212</v>
      </c>
      <c r="E606" s="20" t="s">
        <v>1212</v>
      </c>
      <c r="F606" s="20" t="s">
        <v>1212</v>
      </c>
      <c r="G606">
        <v>8.06</v>
      </c>
      <c r="H606" s="1">
        <v>17.89</v>
      </c>
      <c r="I606">
        <f t="shared" si="36"/>
        <v>9.269</v>
      </c>
      <c r="J606">
        <f t="shared" si="37"/>
        <v>9.672</v>
      </c>
      <c r="K606">
        <f t="shared" si="38"/>
        <v>10.478</v>
      </c>
      <c r="L606">
        <f t="shared" si="39"/>
        <v>11.284</v>
      </c>
    </row>
    <row r="607" spans="1:12">
      <c r="A607" t="s">
        <v>13</v>
      </c>
      <c r="B607" s="14" t="s">
        <v>1213</v>
      </c>
      <c r="C607" s="20" t="s">
        <v>1214</v>
      </c>
      <c r="D607" s="20" t="s">
        <v>1214</v>
      </c>
      <c r="E607" s="20" t="s">
        <v>1214</v>
      </c>
      <c r="F607" s="20" t="s">
        <v>1214</v>
      </c>
      <c r="G607">
        <v>12.41</v>
      </c>
      <c r="H607" s="1">
        <v>27.56</v>
      </c>
      <c r="I607">
        <f t="shared" si="36"/>
        <v>14.2715</v>
      </c>
      <c r="J607">
        <f t="shared" si="37"/>
        <v>14.892</v>
      </c>
      <c r="K607">
        <f t="shared" si="38"/>
        <v>16.133</v>
      </c>
      <c r="L607">
        <f t="shared" si="39"/>
        <v>17.374</v>
      </c>
    </row>
    <row r="608" spans="1:12">
      <c r="A608" t="s">
        <v>13</v>
      </c>
      <c r="B608" s="14" t="s">
        <v>1215</v>
      </c>
      <c r="C608" s="20" t="s">
        <v>1216</v>
      </c>
      <c r="D608" s="20" t="s">
        <v>1216</v>
      </c>
      <c r="E608" s="20" t="s">
        <v>1216</v>
      </c>
      <c r="F608" s="20" t="s">
        <v>1216</v>
      </c>
      <c r="G608">
        <v>13.11</v>
      </c>
      <c r="H608" s="1">
        <v>29.16</v>
      </c>
      <c r="I608">
        <f t="shared" si="36"/>
        <v>15.0765</v>
      </c>
      <c r="J608">
        <f t="shared" si="37"/>
        <v>15.732</v>
      </c>
      <c r="K608">
        <f t="shared" si="38"/>
        <v>17.043</v>
      </c>
      <c r="L608">
        <f t="shared" si="39"/>
        <v>18.354</v>
      </c>
    </row>
    <row r="609" spans="1:12">
      <c r="A609" t="s">
        <v>13</v>
      </c>
      <c r="B609" s="14" t="s">
        <v>1217</v>
      </c>
      <c r="C609" s="20" t="s">
        <v>1218</v>
      </c>
      <c r="D609" s="20" t="s">
        <v>1218</v>
      </c>
      <c r="E609" s="20" t="s">
        <v>1218</v>
      </c>
      <c r="F609" s="20" t="s">
        <v>1218</v>
      </c>
      <c r="G609">
        <v>18.61</v>
      </c>
      <c r="H609" s="1">
        <v>41.37</v>
      </c>
      <c r="I609">
        <f t="shared" si="36"/>
        <v>21.4015</v>
      </c>
      <c r="J609">
        <f t="shared" si="37"/>
        <v>22.332</v>
      </c>
      <c r="K609">
        <f t="shared" si="38"/>
        <v>24.193</v>
      </c>
      <c r="L609">
        <f t="shared" si="39"/>
        <v>26.054</v>
      </c>
    </row>
    <row r="610" spans="1:12">
      <c r="A610" t="s">
        <v>13</v>
      </c>
      <c r="B610" s="14" t="s">
        <v>1219</v>
      </c>
      <c r="C610" s="20" t="s">
        <v>1220</v>
      </c>
      <c r="D610" s="20" t="s">
        <v>1220</v>
      </c>
      <c r="E610" s="20" t="s">
        <v>1220</v>
      </c>
      <c r="F610" s="20" t="s">
        <v>1220</v>
      </c>
      <c r="G610">
        <v>19.55</v>
      </c>
      <c r="H610" s="1">
        <v>43.48</v>
      </c>
      <c r="I610">
        <f t="shared" si="36"/>
        <v>22.4825</v>
      </c>
      <c r="J610">
        <f t="shared" si="37"/>
        <v>23.46</v>
      </c>
      <c r="K610">
        <f t="shared" si="38"/>
        <v>25.415</v>
      </c>
      <c r="L610">
        <f t="shared" si="39"/>
        <v>27.37</v>
      </c>
    </row>
    <row r="611" spans="1:12">
      <c r="A611" t="s">
        <v>13</v>
      </c>
      <c r="B611" s="14" t="s">
        <v>1221</v>
      </c>
      <c r="C611" s="20" t="s">
        <v>1222</v>
      </c>
      <c r="D611" s="20" t="s">
        <v>1222</v>
      </c>
      <c r="E611" s="20" t="s">
        <v>1222</v>
      </c>
      <c r="F611" s="20" t="s">
        <v>1222</v>
      </c>
      <c r="G611">
        <v>29.48</v>
      </c>
      <c r="H611" s="1">
        <v>65.49</v>
      </c>
      <c r="I611">
        <f t="shared" si="36"/>
        <v>33.902</v>
      </c>
      <c r="J611">
        <f t="shared" si="37"/>
        <v>35.376</v>
      </c>
      <c r="K611">
        <f t="shared" si="38"/>
        <v>38.324</v>
      </c>
      <c r="L611">
        <f t="shared" si="39"/>
        <v>41.272</v>
      </c>
    </row>
    <row r="612" spans="1:12">
      <c r="A612" t="s">
        <v>13</v>
      </c>
      <c r="B612" s="14" t="s">
        <v>1223</v>
      </c>
      <c r="C612" s="20" t="s">
        <v>1224</v>
      </c>
      <c r="D612" s="20" t="s">
        <v>1224</v>
      </c>
      <c r="E612" s="20" t="s">
        <v>1224</v>
      </c>
      <c r="F612" s="20" t="s">
        <v>1224</v>
      </c>
      <c r="G612">
        <v>44.2</v>
      </c>
      <c r="H612" s="1">
        <v>98.21</v>
      </c>
      <c r="I612">
        <f t="shared" si="36"/>
        <v>50.83</v>
      </c>
      <c r="J612">
        <f t="shared" si="37"/>
        <v>53.04</v>
      </c>
      <c r="K612">
        <f t="shared" si="38"/>
        <v>57.46</v>
      </c>
      <c r="L612">
        <f t="shared" si="39"/>
        <v>61.88</v>
      </c>
    </row>
    <row r="613" spans="1:12">
      <c r="A613" t="s">
        <v>13</v>
      </c>
      <c r="B613" s="14" t="s">
        <v>1225</v>
      </c>
      <c r="C613" s="20" t="s">
        <v>1226</v>
      </c>
      <c r="D613" s="20" t="s">
        <v>1226</v>
      </c>
      <c r="E613" s="20" t="s">
        <v>1226</v>
      </c>
      <c r="F613" s="20" t="s">
        <v>1226</v>
      </c>
      <c r="G613">
        <v>13.98</v>
      </c>
      <c r="H613" s="1">
        <v>31.06</v>
      </c>
      <c r="I613">
        <f t="shared" si="36"/>
        <v>16.077</v>
      </c>
      <c r="J613">
        <f t="shared" si="37"/>
        <v>16.776</v>
      </c>
      <c r="K613">
        <f t="shared" si="38"/>
        <v>18.174</v>
      </c>
      <c r="L613">
        <f t="shared" si="39"/>
        <v>19.572</v>
      </c>
    </row>
    <row r="614" spans="1:12">
      <c r="A614" t="s">
        <v>13</v>
      </c>
      <c r="B614" s="14" t="s">
        <v>1227</v>
      </c>
      <c r="C614" s="20" t="s">
        <v>1228</v>
      </c>
      <c r="D614" s="20" t="s">
        <v>1228</v>
      </c>
      <c r="E614" s="20" t="s">
        <v>1228</v>
      </c>
      <c r="F614" s="20" t="s">
        <v>1228</v>
      </c>
      <c r="G614">
        <v>19.72</v>
      </c>
      <c r="H614" s="1">
        <v>43.84</v>
      </c>
      <c r="I614">
        <f t="shared" si="36"/>
        <v>22.678</v>
      </c>
      <c r="J614">
        <f t="shared" si="37"/>
        <v>23.664</v>
      </c>
      <c r="K614">
        <f t="shared" si="38"/>
        <v>25.636</v>
      </c>
      <c r="L614">
        <f t="shared" si="39"/>
        <v>27.608</v>
      </c>
    </row>
    <row r="615" spans="1:12">
      <c r="A615" t="s">
        <v>13</v>
      </c>
      <c r="B615" s="14" t="s">
        <v>1229</v>
      </c>
      <c r="C615" s="20" t="s">
        <v>1230</v>
      </c>
      <c r="D615" s="20" t="s">
        <v>1230</v>
      </c>
      <c r="E615" s="20" t="s">
        <v>1230</v>
      </c>
      <c r="F615" s="20" t="s">
        <v>1230</v>
      </c>
      <c r="G615">
        <v>6.9</v>
      </c>
      <c r="H615" s="1">
        <v>15.32</v>
      </c>
      <c r="I615">
        <f t="shared" si="36"/>
        <v>7.935</v>
      </c>
      <c r="J615">
        <f t="shared" si="37"/>
        <v>8.28</v>
      </c>
      <c r="K615">
        <f t="shared" si="38"/>
        <v>8.97</v>
      </c>
      <c r="L615">
        <f t="shared" si="39"/>
        <v>9.66</v>
      </c>
    </row>
    <row r="616" spans="1:12">
      <c r="A616" t="s">
        <v>13</v>
      </c>
      <c r="B616" s="14" t="s">
        <v>1231</v>
      </c>
      <c r="C616" s="20" t="s">
        <v>1232</v>
      </c>
      <c r="D616" s="20" t="s">
        <v>1232</v>
      </c>
      <c r="E616" s="20" t="s">
        <v>1232</v>
      </c>
      <c r="F616" s="20" t="s">
        <v>1232</v>
      </c>
      <c r="G616">
        <v>10.72</v>
      </c>
      <c r="H616" s="1">
        <v>23.83</v>
      </c>
      <c r="I616">
        <f t="shared" si="36"/>
        <v>12.328</v>
      </c>
      <c r="J616">
        <f t="shared" si="37"/>
        <v>12.864</v>
      </c>
      <c r="K616">
        <f t="shared" si="38"/>
        <v>13.936</v>
      </c>
      <c r="L616">
        <f t="shared" si="39"/>
        <v>15.008</v>
      </c>
    </row>
    <row r="617" spans="1:12">
      <c r="A617" t="s">
        <v>13</v>
      </c>
      <c r="B617" s="14" t="s">
        <v>1233</v>
      </c>
      <c r="C617" s="20" t="s">
        <v>1234</v>
      </c>
      <c r="D617" s="20" t="s">
        <v>1234</v>
      </c>
      <c r="E617" s="20" t="s">
        <v>1234</v>
      </c>
      <c r="F617" s="20" t="s">
        <v>1234</v>
      </c>
      <c r="G617">
        <v>5.83</v>
      </c>
      <c r="H617" s="1">
        <v>12.98</v>
      </c>
      <c r="I617">
        <f t="shared" si="36"/>
        <v>6.7045</v>
      </c>
      <c r="J617">
        <f t="shared" si="37"/>
        <v>6.996</v>
      </c>
      <c r="K617">
        <f t="shared" si="38"/>
        <v>7.579</v>
      </c>
      <c r="L617">
        <f t="shared" si="39"/>
        <v>8.162</v>
      </c>
    </row>
    <row r="618" spans="1:12">
      <c r="A618" t="s">
        <v>13</v>
      </c>
      <c r="B618" s="14" t="s">
        <v>1235</v>
      </c>
      <c r="C618" s="20" t="s">
        <v>1236</v>
      </c>
      <c r="D618" s="20" t="s">
        <v>1236</v>
      </c>
      <c r="E618" s="20" t="s">
        <v>1236</v>
      </c>
      <c r="F618" s="20" t="s">
        <v>1236</v>
      </c>
      <c r="G618">
        <v>2.97</v>
      </c>
      <c r="H618" s="1">
        <v>5.66</v>
      </c>
      <c r="I618">
        <f t="shared" si="36"/>
        <v>3.4155</v>
      </c>
      <c r="J618">
        <f t="shared" si="37"/>
        <v>3.564</v>
      </c>
      <c r="K618">
        <f t="shared" si="38"/>
        <v>3.861</v>
      </c>
      <c r="L618">
        <f t="shared" si="39"/>
        <v>4.158</v>
      </c>
    </row>
    <row r="619" spans="1:12">
      <c r="A619" t="s">
        <v>13</v>
      </c>
      <c r="B619" s="14" t="s">
        <v>1237</v>
      </c>
      <c r="C619" s="20" t="s">
        <v>1238</v>
      </c>
      <c r="D619" s="20" t="s">
        <v>1238</v>
      </c>
      <c r="E619" s="20" t="s">
        <v>1238</v>
      </c>
      <c r="F619" s="20" t="s">
        <v>1238</v>
      </c>
      <c r="G619">
        <v>3.16</v>
      </c>
      <c r="H619" s="1">
        <v>7.04</v>
      </c>
      <c r="I619">
        <f t="shared" si="36"/>
        <v>3.634</v>
      </c>
      <c r="J619">
        <f t="shared" si="37"/>
        <v>3.792</v>
      </c>
      <c r="K619">
        <f t="shared" si="38"/>
        <v>4.108</v>
      </c>
      <c r="L619">
        <f t="shared" si="39"/>
        <v>4.424</v>
      </c>
    </row>
    <row r="620" spans="1:12">
      <c r="A620" t="s">
        <v>13</v>
      </c>
      <c r="B620" s="14" t="s">
        <v>1239</v>
      </c>
      <c r="C620" s="20" t="s">
        <v>1240</v>
      </c>
      <c r="D620" s="20" t="s">
        <v>1240</v>
      </c>
      <c r="E620" s="20" t="s">
        <v>1240</v>
      </c>
      <c r="F620" s="20" t="s">
        <v>1240</v>
      </c>
      <c r="G620">
        <v>6.83</v>
      </c>
      <c r="H620" s="1">
        <v>15.17</v>
      </c>
      <c r="I620">
        <f t="shared" si="36"/>
        <v>7.8545</v>
      </c>
      <c r="J620">
        <f t="shared" si="37"/>
        <v>8.196</v>
      </c>
      <c r="K620">
        <f t="shared" si="38"/>
        <v>8.879</v>
      </c>
      <c r="L620">
        <f t="shared" si="39"/>
        <v>9.562</v>
      </c>
    </row>
    <row r="621" spans="1:12">
      <c r="A621" t="s">
        <v>13</v>
      </c>
      <c r="B621" s="14" t="s">
        <v>1241</v>
      </c>
      <c r="C621" s="20" t="s">
        <v>1242</v>
      </c>
      <c r="D621" s="20" t="s">
        <v>1242</v>
      </c>
      <c r="E621" s="20" t="s">
        <v>1242</v>
      </c>
      <c r="F621" s="20" t="s">
        <v>1242</v>
      </c>
      <c r="G621">
        <v>3.77</v>
      </c>
      <c r="H621" s="1">
        <v>8.38</v>
      </c>
      <c r="I621">
        <f t="shared" si="36"/>
        <v>4.3355</v>
      </c>
      <c r="J621">
        <f t="shared" si="37"/>
        <v>4.524</v>
      </c>
      <c r="K621">
        <f t="shared" si="38"/>
        <v>4.901</v>
      </c>
      <c r="L621">
        <f t="shared" si="39"/>
        <v>5.278</v>
      </c>
    </row>
    <row r="622" spans="1:12">
      <c r="A622" t="s">
        <v>13</v>
      </c>
      <c r="B622" s="14" t="s">
        <v>1243</v>
      </c>
      <c r="C622" s="20" t="s">
        <v>1244</v>
      </c>
      <c r="D622" s="20" t="s">
        <v>1244</v>
      </c>
      <c r="E622" s="20" t="s">
        <v>1244</v>
      </c>
      <c r="F622" s="20" t="s">
        <v>1244</v>
      </c>
      <c r="G622">
        <v>3.29</v>
      </c>
      <c r="H622" s="1">
        <v>7.31</v>
      </c>
      <c r="I622">
        <f t="shared" si="36"/>
        <v>3.7835</v>
      </c>
      <c r="J622">
        <f t="shared" si="37"/>
        <v>3.948</v>
      </c>
      <c r="K622">
        <f t="shared" si="38"/>
        <v>4.277</v>
      </c>
      <c r="L622">
        <f t="shared" si="39"/>
        <v>4.606</v>
      </c>
    </row>
    <row r="623" spans="1:12">
      <c r="A623" t="s">
        <v>13</v>
      </c>
      <c r="B623" s="14" t="s">
        <v>1245</v>
      </c>
      <c r="C623" s="20" t="s">
        <v>1246</v>
      </c>
      <c r="D623" s="20" t="s">
        <v>1246</v>
      </c>
      <c r="E623" s="20" t="s">
        <v>1246</v>
      </c>
      <c r="F623" s="20" t="s">
        <v>1246</v>
      </c>
      <c r="G623">
        <v>2.38</v>
      </c>
      <c r="H623" s="1">
        <v>4.54</v>
      </c>
      <c r="I623">
        <f t="shared" si="36"/>
        <v>2.737</v>
      </c>
      <c r="J623">
        <f t="shared" si="37"/>
        <v>2.856</v>
      </c>
      <c r="K623">
        <f t="shared" si="38"/>
        <v>3.094</v>
      </c>
      <c r="L623">
        <f t="shared" si="39"/>
        <v>3.332</v>
      </c>
    </row>
    <row r="624" spans="1:12">
      <c r="A624" t="s">
        <v>13</v>
      </c>
      <c r="B624" s="14" t="s">
        <v>1247</v>
      </c>
      <c r="C624" s="20" t="s">
        <v>1248</v>
      </c>
      <c r="D624" s="20" t="s">
        <v>1248</v>
      </c>
      <c r="E624" s="20" t="s">
        <v>1248</v>
      </c>
      <c r="F624" s="20" t="s">
        <v>1248</v>
      </c>
      <c r="G624">
        <v>2.38</v>
      </c>
      <c r="H624" s="1">
        <v>4.54</v>
      </c>
      <c r="I624">
        <f t="shared" si="36"/>
        <v>2.737</v>
      </c>
      <c r="J624">
        <f t="shared" si="37"/>
        <v>2.856</v>
      </c>
      <c r="K624">
        <f t="shared" si="38"/>
        <v>3.094</v>
      </c>
      <c r="L624">
        <f t="shared" si="39"/>
        <v>3.332</v>
      </c>
    </row>
    <row r="625" spans="1:12">
      <c r="A625" t="s">
        <v>13</v>
      </c>
      <c r="B625" s="14" t="s">
        <v>1249</v>
      </c>
      <c r="C625" s="20" t="s">
        <v>1250</v>
      </c>
      <c r="D625" s="20" t="s">
        <v>1250</v>
      </c>
      <c r="E625" s="20" t="s">
        <v>1250</v>
      </c>
      <c r="F625" s="20" t="s">
        <v>1250</v>
      </c>
      <c r="G625">
        <v>1.05</v>
      </c>
      <c r="H625" s="1">
        <v>2.34</v>
      </c>
      <c r="I625">
        <f t="shared" si="36"/>
        <v>1.2075</v>
      </c>
      <c r="J625">
        <f t="shared" si="37"/>
        <v>1.26</v>
      </c>
      <c r="K625">
        <f t="shared" si="38"/>
        <v>1.365</v>
      </c>
      <c r="L625">
        <f t="shared" si="39"/>
        <v>1.47</v>
      </c>
    </row>
    <row r="626" spans="1:12">
      <c r="A626" t="s">
        <v>13</v>
      </c>
      <c r="B626" s="14" t="s">
        <v>1251</v>
      </c>
      <c r="C626" s="20" t="s">
        <v>1252</v>
      </c>
      <c r="D626" s="20" t="s">
        <v>1252</v>
      </c>
      <c r="E626" s="20" t="s">
        <v>1252</v>
      </c>
      <c r="F626" s="20" t="s">
        <v>1252</v>
      </c>
      <c r="G626">
        <v>3.08</v>
      </c>
      <c r="H626" s="1">
        <v>5.87</v>
      </c>
      <c r="I626">
        <f t="shared" si="36"/>
        <v>3.542</v>
      </c>
      <c r="J626">
        <f t="shared" si="37"/>
        <v>3.696</v>
      </c>
      <c r="K626">
        <f t="shared" si="38"/>
        <v>4.004</v>
      </c>
      <c r="L626">
        <f t="shared" si="39"/>
        <v>4.312</v>
      </c>
    </row>
    <row r="627" ht="28.5" spans="1:12">
      <c r="A627" t="s">
        <v>13</v>
      </c>
      <c r="B627" s="14" t="s">
        <v>1253</v>
      </c>
      <c r="C627" s="20" t="s">
        <v>1254</v>
      </c>
      <c r="D627" s="20" t="s">
        <v>1254</v>
      </c>
      <c r="E627" s="20" t="s">
        <v>1254</v>
      </c>
      <c r="F627" s="20" t="s">
        <v>1254</v>
      </c>
      <c r="G627">
        <v>36.84</v>
      </c>
      <c r="H627" s="1">
        <v>81.86</v>
      </c>
      <c r="I627">
        <f t="shared" si="36"/>
        <v>42.366</v>
      </c>
      <c r="J627">
        <f t="shared" si="37"/>
        <v>44.208</v>
      </c>
      <c r="K627">
        <f t="shared" si="38"/>
        <v>47.892</v>
      </c>
      <c r="L627">
        <f t="shared" si="39"/>
        <v>51.576</v>
      </c>
    </row>
    <row r="628" ht="28.5" spans="1:12">
      <c r="A628" t="s">
        <v>13</v>
      </c>
      <c r="B628" s="14" t="s">
        <v>1255</v>
      </c>
      <c r="C628" s="20" t="s">
        <v>1256</v>
      </c>
      <c r="D628" s="20" t="s">
        <v>1256</v>
      </c>
      <c r="E628" s="20" t="s">
        <v>1256</v>
      </c>
      <c r="F628" s="20" t="s">
        <v>1256</v>
      </c>
      <c r="G628">
        <v>51.67</v>
      </c>
      <c r="H628" s="1">
        <v>114.8</v>
      </c>
      <c r="I628">
        <f t="shared" si="36"/>
        <v>59.4205</v>
      </c>
      <c r="J628">
        <f t="shared" si="37"/>
        <v>62.004</v>
      </c>
      <c r="K628">
        <f t="shared" si="38"/>
        <v>67.171</v>
      </c>
      <c r="L628">
        <f t="shared" si="39"/>
        <v>72.338</v>
      </c>
    </row>
    <row r="629" spans="1:12">
      <c r="A629" t="s">
        <v>13</v>
      </c>
      <c r="B629" s="14" t="s">
        <v>1257</v>
      </c>
      <c r="C629" s="20" t="s">
        <v>1258</v>
      </c>
      <c r="D629" s="20" t="s">
        <v>1258</v>
      </c>
      <c r="E629" s="20" t="s">
        <v>1258</v>
      </c>
      <c r="F629" s="20" t="s">
        <v>1258</v>
      </c>
      <c r="G629">
        <v>42.07</v>
      </c>
      <c r="H629" s="1">
        <v>93.49</v>
      </c>
      <c r="I629">
        <f t="shared" si="36"/>
        <v>48.3805</v>
      </c>
      <c r="J629">
        <f t="shared" si="37"/>
        <v>50.484</v>
      </c>
      <c r="K629">
        <f t="shared" si="38"/>
        <v>54.691</v>
      </c>
      <c r="L629">
        <f t="shared" si="39"/>
        <v>58.898</v>
      </c>
    </row>
    <row r="630" spans="1:12">
      <c r="A630" t="s">
        <v>13</v>
      </c>
      <c r="B630" s="14" t="s">
        <v>1259</v>
      </c>
      <c r="C630" s="20" t="s">
        <v>1260</v>
      </c>
      <c r="D630" s="20" t="s">
        <v>1260</v>
      </c>
      <c r="E630" s="20" t="s">
        <v>1260</v>
      </c>
      <c r="F630" s="20" t="s">
        <v>1260</v>
      </c>
      <c r="G630">
        <v>55.42</v>
      </c>
      <c r="H630" s="1">
        <v>123.14</v>
      </c>
      <c r="I630">
        <f t="shared" si="36"/>
        <v>63.733</v>
      </c>
      <c r="J630">
        <f t="shared" si="37"/>
        <v>66.504</v>
      </c>
      <c r="K630">
        <f t="shared" si="38"/>
        <v>72.046</v>
      </c>
      <c r="L630">
        <f t="shared" si="39"/>
        <v>77.588</v>
      </c>
    </row>
    <row r="631" spans="1:12">
      <c r="A631" t="s">
        <v>13</v>
      </c>
      <c r="B631" s="14" t="s">
        <v>1261</v>
      </c>
      <c r="C631" s="20" t="s">
        <v>1262</v>
      </c>
      <c r="D631" s="20" t="s">
        <v>1262</v>
      </c>
      <c r="E631" s="20" t="s">
        <v>1262</v>
      </c>
      <c r="F631" s="20" t="s">
        <v>1262</v>
      </c>
      <c r="G631">
        <v>53.4</v>
      </c>
      <c r="H631" s="1">
        <v>118.67</v>
      </c>
      <c r="I631">
        <f t="shared" si="36"/>
        <v>61.41</v>
      </c>
      <c r="J631">
        <f t="shared" si="37"/>
        <v>64.08</v>
      </c>
      <c r="K631">
        <f t="shared" si="38"/>
        <v>69.42</v>
      </c>
      <c r="L631">
        <f t="shared" si="39"/>
        <v>74.76</v>
      </c>
    </row>
    <row r="632" spans="1:12">
      <c r="A632" t="s">
        <v>13</v>
      </c>
      <c r="B632" s="14" t="s">
        <v>1263</v>
      </c>
      <c r="C632" s="20" t="s">
        <v>1264</v>
      </c>
      <c r="D632" s="20" t="s">
        <v>1264</v>
      </c>
      <c r="E632" s="20" t="s">
        <v>1264</v>
      </c>
      <c r="F632" s="20" t="s">
        <v>1264</v>
      </c>
      <c r="G632">
        <v>65.28</v>
      </c>
      <c r="H632" s="1">
        <v>145.09</v>
      </c>
      <c r="I632">
        <f t="shared" si="36"/>
        <v>75.072</v>
      </c>
      <c r="J632">
        <f t="shared" si="37"/>
        <v>78.336</v>
      </c>
      <c r="K632">
        <f t="shared" si="38"/>
        <v>84.864</v>
      </c>
      <c r="L632">
        <f t="shared" si="39"/>
        <v>91.392</v>
      </c>
    </row>
    <row r="633" spans="1:12">
      <c r="A633" t="s">
        <v>13</v>
      </c>
      <c r="B633" s="14" t="s">
        <v>1265</v>
      </c>
      <c r="C633" s="20" t="s">
        <v>1266</v>
      </c>
      <c r="D633" s="20" t="s">
        <v>1266</v>
      </c>
      <c r="E633" s="20" t="s">
        <v>1266</v>
      </c>
      <c r="F633" s="20" t="s">
        <v>1266</v>
      </c>
      <c r="G633">
        <v>2.44</v>
      </c>
      <c r="H633" s="1">
        <v>4.65</v>
      </c>
      <c r="I633">
        <f t="shared" si="36"/>
        <v>2.806</v>
      </c>
      <c r="J633">
        <f t="shared" si="37"/>
        <v>2.928</v>
      </c>
      <c r="K633">
        <f t="shared" si="38"/>
        <v>3.172</v>
      </c>
      <c r="L633">
        <f t="shared" si="39"/>
        <v>3.416</v>
      </c>
    </row>
    <row r="634" spans="1:12">
      <c r="A634" t="s">
        <v>13</v>
      </c>
      <c r="B634" s="14" t="s">
        <v>1267</v>
      </c>
      <c r="C634" s="20" t="s">
        <v>1268</v>
      </c>
      <c r="D634" s="20" t="s">
        <v>1268</v>
      </c>
      <c r="E634" s="20" t="s">
        <v>1268</v>
      </c>
      <c r="F634" s="20" t="s">
        <v>1268</v>
      </c>
      <c r="G634">
        <v>3.78</v>
      </c>
      <c r="H634" s="1">
        <v>7.21</v>
      </c>
      <c r="I634">
        <f t="shared" si="36"/>
        <v>4.347</v>
      </c>
      <c r="J634">
        <f t="shared" si="37"/>
        <v>4.536</v>
      </c>
      <c r="K634">
        <f t="shared" si="38"/>
        <v>4.914</v>
      </c>
      <c r="L634">
        <f t="shared" si="39"/>
        <v>5.292</v>
      </c>
    </row>
    <row r="635" spans="1:12">
      <c r="A635" t="s">
        <v>13</v>
      </c>
      <c r="B635" s="14" t="s">
        <v>1269</v>
      </c>
      <c r="C635" s="20" t="s">
        <v>1270</v>
      </c>
      <c r="D635" s="20" t="s">
        <v>1270</v>
      </c>
      <c r="E635" s="20" t="s">
        <v>1270</v>
      </c>
      <c r="F635" s="20" t="s">
        <v>1270</v>
      </c>
      <c r="G635">
        <v>2.44</v>
      </c>
      <c r="H635" s="1">
        <v>4.65</v>
      </c>
      <c r="I635">
        <f t="shared" si="36"/>
        <v>2.806</v>
      </c>
      <c r="J635">
        <f t="shared" si="37"/>
        <v>2.928</v>
      </c>
      <c r="K635">
        <f t="shared" si="38"/>
        <v>3.172</v>
      </c>
      <c r="L635">
        <f t="shared" si="39"/>
        <v>3.416</v>
      </c>
    </row>
    <row r="636" spans="1:12">
      <c r="A636" t="s">
        <v>13</v>
      </c>
      <c r="B636" s="14" t="s">
        <v>1271</v>
      </c>
      <c r="C636" s="20" t="s">
        <v>1272</v>
      </c>
      <c r="D636" s="20" t="s">
        <v>1272</v>
      </c>
      <c r="E636" s="20" t="s">
        <v>1272</v>
      </c>
      <c r="F636" s="20" t="s">
        <v>1272</v>
      </c>
      <c r="G636">
        <v>3.79</v>
      </c>
      <c r="H636" s="1">
        <v>7.23</v>
      </c>
      <c r="I636">
        <f t="shared" si="36"/>
        <v>4.3585</v>
      </c>
      <c r="J636">
        <f t="shared" si="37"/>
        <v>4.548</v>
      </c>
      <c r="K636">
        <f t="shared" si="38"/>
        <v>4.927</v>
      </c>
      <c r="L636">
        <f t="shared" si="39"/>
        <v>5.306</v>
      </c>
    </row>
    <row r="637" spans="1:12">
      <c r="A637" t="s">
        <v>13</v>
      </c>
      <c r="B637" s="14" t="s">
        <v>1273</v>
      </c>
      <c r="C637" s="20" t="s">
        <v>1274</v>
      </c>
      <c r="D637" s="20" t="s">
        <v>1274</v>
      </c>
      <c r="E637" s="20" t="s">
        <v>1274</v>
      </c>
      <c r="F637" s="20" t="s">
        <v>1274</v>
      </c>
      <c r="G637">
        <v>2.44</v>
      </c>
      <c r="H637" s="1">
        <v>4.65</v>
      </c>
      <c r="I637">
        <f t="shared" si="36"/>
        <v>2.806</v>
      </c>
      <c r="J637">
        <f t="shared" si="37"/>
        <v>2.928</v>
      </c>
      <c r="K637">
        <f t="shared" si="38"/>
        <v>3.172</v>
      </c>
      <c r="L637">
        <f t="shared" si="39"/>
        <v>3.416</v>
      </c>
    </row>
    <row r="638" spans="1:12">
      <c r="A638" t="s">
        <v>13</v>
      </c>
      <c r="B638" s="14" t="s">
        <v>1275</v>
      </c>
      <c r="C638" s="20" t="s">
        <v>1276</v>
      </c>
      <c r="D638" s="20" t="s">
        <v>1276</v>
      </c>
      <c r="E638" s="20" t="s">
        <v>1276</v>
      </c>
      <c r="F638" s="20" t="s">
        <v>1276</v>
      </c>
      <c r="G638">
        <v>3.78</v>
      </c>
      <c r="H638" s="1">
        <v>7.21</v>
      </c>
      <c r="I638">
        <f t="shared" si="36"/>
        <v>4.347</v>
      </c>
      <c r="J638">
        <f t="shared" si="37"/>
        <v>4.536</v>
      </c>
      <c r="K638">
        <f t="shared" si="38"/>
        <v>4.914</v>
      </c>
      <c r="L638">
        <f t="shared" si="39"/>
        <v>5.292</v>
      </c>
    </row>
    <row r="639" spans="1:12">
      <c r="A639" t="s">
        <v>13</v>
      </c>
      <c r="B639" s="14" t="s">
        <v>1277</v>
      </c>
      <c r="C639" s="20" t="s">
        <v>1278</v>
      </c>
      <c r="D639" s="20" t="s">
        <v>1278</v>
      </c>
      <c r="E639" s="20" t="s">
        <v>1278</v>
      </c>
      <c r="F639" s="20" t="s">
        <v>1278</v>
      </c>
      <c r="G639">
        <v>2.44</v>
      </c>
      <c r="H639" s="1">
        <v>4.65</v>
      </c>
      <c r="I639">
        <f t="shared" si="36"/>
        <v>2.806</v>
      </c>
      <c r="J639">
        <f t="shared" si="37"/>
        <v>2.928</v>
      </c>
      <c r="K639">
        <f t="shared" si="38"/>
        <v>3.172</v>
      </c>
      <c r="L639">
        <f t="shared" si="39"/>
        <v>3.416</v>
      </c>
    </row>
    <row r="640" spans="1:12">
      <c r="A640" t="s">
        <v>13</v>
      </c>
      <c r="B640" s="14" t="s">
        <v>1279</v>
      </c>
      <c r="C640" s="20" t="s">
        <v>1280</v>
      </c>
      <c r="D640" s="20" t="s">
        <v>1280</v>
      </c>
      <c r="E640" s="20" t="s">
        <v>1280</v>
      </c>
      <c r="F640" s="20" t="s">
        <v>1280</v>
      </c>
      <c r="G640">
        <v>3.78</v>
      </c>
      <c r="H640" s="1">
        <v>7.21</v>
      </c>
      <c r="I640">
        <f t="shared" si="36"/>
        <v>4.347</v>
      </c>
      <c r="J640">
        <f t="shared" si="37"/>
        <v>4.536</v>
      </c>
      <c r="K640">
        <f t="shared" si="38"/>
        <v>4.914</v>
      </c>
      <c r="L640">
        <f t="shared" si="39"/>
        <v>5.292</v>
      </c>
    </row>
    <row r="641" spans="1:12">
      <c r="A641" t="s">
        <v>13</v>
      </c>
      <c r="B641" s="14" t="s">
        <v>1281</v>
      </c>
      <c r="C641" s="20" t="s">
        <v>1282</v>
      </c>
      <c r="D641" s="20" t="s">
        <v>1282</v>
      </c>
      <c r="E641" s="20" t="s">
        <v>1282</v>
      </c>
      <c r="F641" s="20" t="s">
        <v>1282</v>
      </c>
      <c r="G641">
        <v>2.44</v>
      </c>
      <c r="H641" s="1">
        <v>4.65</v>
      </c>
      <c r="I641">
        <f t="shared" si="36"/>
        <v>2.806</v>
      </c>
      <c r="J641">
        <f t="shared" si="37"/>
        <v>2.928</v>
      </c>
      <c r="K641">
        <f t="shared" si="38"/>
        <v>3.172</v>
      </c>
      <c r="L641">
        <f t="shared" si="39"/>
        <v>3.416</v>
      </c>
    </row>
    <row r="642" spans="1:12">
      <c r="A642" t="s">
        <v>13</v>
      </c>
      <c r="B642" s="14" t="s">
        <v>1283</v>
      </c>
      <c r="C642" s="20" t="s">
        <v>1284</v>
      </c>
      <c r="D642" s="20" t="s">
        <v>1284</v>
      </c>
      <c r="E642" s="20" t="s">
        <v>1284</v>
      </c>
      <c r="F642" s="20" t="s">
        <v>1284</v>
      </c>
      <c r="G642">
        <v>3.79</v>
      </c>
      <c r="H642" s="1">
        <v>7.23</v>
      </c>
      <c r="I642">
        <f t="shared" ref="I642:I705" si="40">G642*1.15</f>
        <v>4.3585</v>
      </c>
      <c r="J642">
        <f t="shared" ref="J642:J705" si="41">G642*1.2</f>
        <v>4.548</v>
      </c>
      <c r="K642">
        <f t="shared" ref="K642:K705" si="42">G642*1.3</f>
        <v>4.927</v>
      </c>
      <c r="L642">
        <f t="shared" ref="L642:L705" si="43">G642*1.4</f>
        <v>5.306</v>
      </c>
    </row>
    <row r="643" spans="1:12">
      <c r="A643" t="s">
        <v>13</v>
      </c>
      <c r="B643" s="14" t="s">
        <v>1285</v>
      </c>
      <c r="C643" s="20" t="s">
        <v>1286</v>
      </c>
      <c r="D643" s="20" t="s">
        <v>1286</v>
      </c>
      <c r="E643" s="20" t="s">
        <v>1286</v>
      </c>
      <c r="F643" s="20" t="s">
        <v>1286</v>
      </c>
      <c r="G643">
        <v>2.44</v>
      </c>
      <c r="H643" s="1">
        <v>4.65</v>
      </c>
      <c r="I643">
        <f t="shared" si="40"/>
        <v>2.806</v>
      </c>
      <c r="J643">
        <f t="shared" si="41"/>
        <v>2.928</v>
      </c>
      <c r="K643">
        <f t="shared" si="42"/>
        <v>3.172</v>
      </c>
      <c r="L643">
        <f t="shared" si="43"/>
        <v>3.416</v>
      </c>
    </row>
    <row r="644" spans="1:12">
      <c r="A644" t="s">
        <v>13</v>
      </c>
      <c r="B644" s="14" t="s">
        <v>1287</v>
      </c>
      <c r="C644" s="20" t="s">
        <v>1288</v>
      </c>
      <c r="D644" s="20" t="s">
        <v>1288</v>
      </c>
      <c r="E644" s="20" t="s">
        <v>1288</v>
      </c>
      <c r="F644" s="20" t="s">
        <v>1288</v>
      </c>
      <c r="G644">
        <v>3.78</v>
      </c>
      <c r="H644" s="1">
        <v>7.21</v>
      </c>
      <c r="I644">
        <f t="shared" si="40"/>
        <v>4.347</v>
      </c>
      <c r="J644">
        <f t="shared" si="41"/>
        <v>4.536</v>
      </c>
      <c r="K644">
        <f t="shared" si="42"/>
        <v>4.914</v>
      </c>
      <c r="L644">
        <f t="shared" si="43"/>
        <v>5.292</v>
      </c>
    </row>
    <row r="645" spans="1:12">
      <c r="A645" t="s">
        <v>13</v>
      </c>
      <c r="B645" s="14" t="s">
        <v>1289</v>
      </c>
      <c r="C645" s="20" t="s">
        <v>1290</v>
      </c>
      <c r="D645" s="20" t="s">
        <v>1290</v>
      </c>
      <c r="E645" s="20" t="s">
        <v>1290</v>
      </c>
      <c r="F645" s="20" t="s">
        <v>1290</v>
      </c>
      <c r="G645">
        <v>22.78</v>
      </c>
      <c r="H645" s="1">
        <v>43.37</v>
      </c>
      <c r="I645">
        <f t="shared" si="40"/>
        <v>26.197</v>
      </c>
      <c r="J645">
        <f t="shared" si="41"/>
        <v>27.336</v>
      </c>
      <c r="K645">
        <f t="shared" si="42"/>
        <v>29.614</v>
      </c>
      <c r="L645">
        <f t="shared" si="43"/>
        <v>31.892</v>
      </c>
    </row>
    <row r="646" spans="1:12">
      <c r="A646" t="s">
        <v>13</v>
      </c>
      <c r="B646" s="14" t="s">
        <v>1291</v>
      </c>
      <c r="C646" s="20" t="s">
        <v>1292</v>
      </c>
      <c r="D646" s="20" t="s">
        <v>1292</v>
      </c>
      <c r="E646" s="20" t="s">
        <v>1292</v>
      </c>
      <c r="F646" s="20" t="s">
        <v>1292</v>
      </c>
      <c r="G646">
        <v>22.66</v>
      </c>
      <c r="H646" s="1">
        <v>43.18</v>
      </c>
      <c r="I646">
        <f t="shared" si="40"/>
        <v>26.059</v>
      </c>
      <c r="J646">
        <f t="shared" si="41"/>
        <v>27.192</v>
      </c>
      <c r="K646">
        <f t="shared" si="42"/>
        <v>29.458</v>
      </c>
      <c r="L646">
        <f t="shared" si="43"/>
        <v>31.724</v>
      </c>
    </row>
    <row r="647" spans="1:12">
      <c r="A647" t="s">
        <v>13</v>
      </c>
      <c r="B647" s="14" t="s">
        <v>1293</v>
      </c>
      <c r="C647" s="20" t="s">
        <v>1294</v>
      </c>
      <c r="D647" s="20" t="s">
        <v>1294</v>
      </c>
      <c r="E647" s="20" t="s">
        <v>1294</v>
      </c>
      <c r="F647" s="20" t="s">
        <v>1294</v>
      </c>
      <c r="G647">
        <v>8.07</v>
      </c>
      <c r="H647" s="1">
        <v>15.35</v>
      </c>
      <c r="I647">
        <f t="shared" si="40"/>
        <v>9.2805</v>
      </c>
      <c r="J647">
        <f t="shared" si="41"/>
        <v>9.684</v>
      </c>
      <c r="K647">
        <f t="shared" si="42"/>
        <v>10.491</v>
      </c>
      <c r="L647">
        <f t="shared" si="43"/>
        <v>11.298</v>
      </c>
    </row>
    <row r="648" spans="1:12">
      <c r="A648" t="s">
        <v>13</v>
      </c>
      <c r="B648" s="14" t="s">
        <v>1295</v>
      </c>
      <c r="C648" s="20" t="s">
        <v>1296</v>
      </c>
      <c r="D648" s="20" t="s">
        <v>1296</v>
      </c>
      <c r="E648" s="20" t="s">
        <v>1296</v>
      </c>
      <c r="F648" s="20" t="s">
        <v>1296</v>
      </c>
      <c r="G648">
        <v>3.3</v>
      </c>
      <c r="H648" s="1">
        <v>6.26</v>
      </c>
      <c r="I648">
        <f t="shared" si="40"/>
        <v>3.795</v>
      </c>
      <c r="J648">
        <f t="shared" si="41"/>
        <v>3.96</v>
      </c>
      <c r="K648">
        <f t="shared" si="42"/>
        <v>4.29</v>
      </c>
      <c r="L648">
        <f t="shared" si="43"/>
        <v>4.62</v>
      </c>
    </row>
    <row r="649" spans="1:12">
      <c r="A649" t="s">
        <v>13</v>
      </c>
      <c r="B649" s="14" t="s">
        <v>1297</v>
      </c>
      <c r="C649" s="20" t="s">
        <v>1298</v>
      </c>
      <c r="D649" s="20" t="s">
        <v>1298</v>
      </c>
      <c r="E649" s="20" t="s">
        <v>1298</v>
      </c>
      <c r="F649" s="20" t="s">
        <v>1298</v>
      </c>
      <c r="G649">
        <v>51.43</v>
      </c>
      <c r="H649" s="1">
        <v>97.96</v>
      </c>
      <c r="I649">
        <f t="shared" si="40"/>
        <v>59.1445</v>
      </c>
      <c r="J649">
        <f t="shared" si="41"/>
        <v>61.716</v>
      </c>
      <c r="K649">
        <f t="shared" si="42"/>
        <v>66.859</v>
      </c>
      <c r="L649">
        <f t="shared" si="43"/>
        <v>72.002</v>
      </c>
    </row>
    <row r="650" spans="1:12">
      <c r="A650" t="s">
        <v>13</v>
      </c>
      <c r="B650" s="14" t="s">
        <v>1299</v>
      </c>
      <c r="C650" s="20" t="s">
        <v>1300</v>
      </c>
      <c r="D650" s="20" t="s">
        <v>1300</v>
      </c>
      <c r="E650" s="20" t="s">
        <v>1300</v>
      </c>
      <c r="F650" s="20" t="s">
        <v>1300</v>
      </c>
      <c r="G650">
        <v>4.96</v>
      </c>
      <c r="H650" s="1">
        <v>9.45</v>
      </c>
      <c r="I650">
        <f t="shared" si="40"/>
        <v>5.704</v>
      </c>
      <c r="J650">
        <f t="shared" si="41"/>
        <v>5.952</v>
      </c>
      <c r="K650">
        <f t="shared" si="42"/>
        <v>6.448</v>
      </c>
      <c r="L650">
        <f t="shared" si="43"/>
        <v>6.944</v>
      </c>
    </row>
    <row r="651" spans="1:12">
      <c r="A651" t="s">
        <v>13</v>
      </c>
      <c r="B651" s="14" t="s">
        <v>1301</v>
      </c>
      <c r="C651" s="20" t="s">
        <v>1302</v>
      </c>
      <c r="D651" s="20" t="s">
        <v>1302</v>
      </c>
      <c r="E651" s="20" t="s">
        <v>1302</v>
      </c>
      <c r="F651" s="20" t="s">
        <v>1302</v>
      </c>
      <c r="G651">
        <v>5.37</v>
      </c>
      <c r="H651" s="1">
        <v>10.24</v>
      </c>
      <c r="I651">
        <f t="shared" si="40"/>
        <v>6.1755</v>
      </c>
      <c r="J651">
        <f t="shared" si="41"/>
        <v>6.444</v>
      </c>
      <c r="K651">
        <f t="shared" si="42"/>
        <v>6.981</v>
      </c>
      <c r="L651">
        <f t="shared" si="43"/>
        <v>7.518</v>
      </c>
    </row>
    <row r="652" spans="1:12">
      <c r="A652" t="s">
        <v>13</v>
      </c>
      <c r="B652" s="14" t="s">
        <v>1303</v>
      </c>
      <c r="C652" s="20" t="s">
        <v>1304</v>
      </c>
      <c r="D652" s="20" t="s">
        <v>1304</v>
      </c>
      <c r="E652" s="20" t="s">
        <v>1304</v>
      </c>
      <c r="F652" s="20" t="s">
        <v>1304</v>
      </c>
      <c r="G652">
        <v>5.26</v>
      </c>
      <c r="H652" s="1">
        <v>10.02</v>
      </c>
      <c r="I652">
        <f t="shared" si="40"/>
        <v>6.049</v>
      </c>
      <c r="J652">
        <f t="shared" si="41"/>
        <v>6.312</v>
      </c>
      <c r="K652">
        <f t="shared" si="42"/>
        <v>6.838</v>
      </c>
      <c r="L652">
        <f t="shared" si="43"/>
        <v>7.364</v>
      </c>
    </row>
    <row r="653" spans="1:12">
      <c r="A653" t="s">
        <v>13</v>
      </c>
      <c r="B653" s="14" t="s">
        <v>1305</v>
      </c>
      <c r="C653" s="20" t="s">
        <v>1306</v>
      </c>
      <c r="D653" s="20" t="s">
        <v>1306</v>
      </c>
      <c r="E653" s="20" t="s">
        <v>1306</v>
      </c>
      <c r="F653" s="20" t="s">
        <v>1306</v>
      </c>
      <c r="G653">
        <v>6.71</v>
      </c>
      <c r="H653" s="1">
        <v>12.79</v>
      </c>
      <c r="I653">
        <f t="shared" si="40"/>
        <v>7.7165</v>
      </c>
      <c r="J653">
        <f t="shared" si="41"/>
        <v>8.052</v>
      </c>
      <c r="K653">
        <f t="shared" si="42"/>
        <v>8.723</v>
      </c>
      <c r="L653">
        <f t="shared" si="43"/>
        <v>9.394</v>
      </c>
    </row>
    <row r="654" spans="1:12">
      <c r="A654" t="s">
        <v>13</v>
      </c>
      <c r="B654" s="14" t="s">
        <v>1307</v>
      </c>
      <c r="C654" s="20" t="s">
        <v>1308</v>
      </c>
      <c r="D654" s="20" t="s">
        <v>1308</v>
      </c>
      <c r="E654" s="20" t="s">
        <v>1308</v>
      </c>
      <c r="F654" s="20" t="s">
        <v>1308</v>
      </c>
      <c r="G654">
        <v>6.71</v>
      </c>
      <c r="H654" s="1">
        <v>12.77</v>
      </c>
      <c r="I654">
        <f t="shared" si="40"/>
        <v>7.7165</v>
      </c>
      <c r="J654">
        <f t="shared" si="41"/>
        <v>8.052</v>
      </c>
      <c r="K654">
        <f t="shared" si="42"/>
        <v>8.723</v>
      </c>
      <c r="L654">
        <f t="shared" si="43"/>
        <v>9.394</v>
      </c>
    </row>
    <row r="655" spans="1:12">
      <c r="A655" t="s">
        <v>13</v>
      </c>
      <c r="B655" s="14" t="s">
        <v>1309</v>
      </c>
      <c r="C655" s="20" t="s">
        <v>1310</v>
      </c>
      <c r="D655" s="20" t="s">
        <v>1310</v>
      </c>
      <c r="E655" s="20" t="s">
        <v>1310</v>
      </c>
      <c r="F655" s="20" t="s">
        <v>1310</v>
      </c>
      <c r="G655">
        <v>3.73</v>
      </c>
      <c r="H655" s="1">
        <v>7.07</v>
      </c>
      <c r="I655">
        <f t="shared" si="40"/>
        <v>4.2895</v>
      </c>
      <c r="J655">
        <f t="shared" si="41"/>
        <v>4.476</v>
      </c>
      <c r="K655">
        <f t="shared" si="42"/>
        <v>4.849</v>
      </c>
      <c r="L655">
        <f t="shared" si="43"/>
        <v>5.222</v>
      </c>
    </row>
    <row r="656" spans="1:12">
      <c r="A656" t="s">
        <v>13</v>
      </c>
      <c r="B656" s="14" t="s">
        <v>1311</v>
      </c>
      <c r="C656" s="20" t="s">
        <v>1312</v>
      </c>
      <c r="D656" s="20" t="s">
        <v>1312</v>
      </c>
      <c r="E656" s="20" t="s">
        <v>1312</v>
      </c>
      <c r="F656" s="20" t="s">
        <v>1312</v>
      </c>
      <c r="G656">
        <v>4.34</v>
      </c>
      <c r="H656" s="1">
        <v>8.28</v>
      </c>
      <c r="I656">
        <f t="shared" si="40"/>
        <v>4.991</v>
      </c>
      <c r="J656">
        <f t="shared" si="41"/>
        <v>5.208</v>
      </c>
      <c r="K656">
        <f t="shared" si="42"/>
        <v>5.642</v>
      </c>
      <c r="L656">
        <f t="shared" si="43"/>
        <v>6.076</v>
      </c>
    </row>
    <row r="657" ht="28.5" spans="1:12">
      <c r="A657" t="s">
        <v>13</v>
      </c>
      <c r="B657" s="14" t="s">
        <v>1313</v>
      </c>
      <c r="C657" s="20" t="s">
        <v>1314</v>
      </c>
      <c r="D657" s="20" t="s">
        <v>1314</v>
      </c>
      <c r="E657" s="20" t="s">
        <v>1314</v>
      </c>
      <c r="F657" s="20" t="s">
        <v>1314</v>
      </c>
      <c r="G657">
        <v>14.59</v>
      </c>
      <c r="H657" s="1">
        <v>27.78</v>
      </c>
      <c r="I657">
        <f t="shared" si="40"/>
        <v>16.7785</v>
      </c>
      <c r="J657">
        <f t="shared" si="41"/>
        <v>17.508</v>
      </c>
      <c r="K657">
        <f t="shared" si="42"/>
        <v>18.967</v>
      </c>
      <c r="L657">
        <f t="shared" si="43"/>
        <v>20.426</v>
      </c>
    </row>
    <row r="658" spans="1:12">
      <c r="A658" t="s">
        <v>13</v>
      </c>
      <c r="B658" s="14" t="s">
        <v>1315</v>
      </c>
      <c r="C658" s="20" t="s">
        <v>1316</v>
      </c>
      <c r="D658" s="20" t="s">
        <v>1316</v>
      </c>
      <c r="E658" s="20" t="s">
        <v>1316</v>
      </c>
      <c r="F658" s="20" t="s">
        <v>1316</v>
      </c>
      <c r="G658">
        <v>9.16</v>
      </c>
      <c r="H658" s="1">
        <v>17.45</v>
      </c>
      <c r="I658">
        <f t="shared" si="40"/>
        <v>10.534</v>
      </c>
      <c r="J658">
        <f t="shared" si="41"/>
        <v>10.992</v>
      </c>
      <c r="K658">
        <f t="shared" si="42"/>
        <v>11.908</v>
      </c>
      <c r="L658">
        <f t="shared" si="43"/>
        <v>12.824</v>
      </c>
    </row>
    <row r="659" spans="1:12">
      <c r="A659" t="s">
        <v>13</v>
      </c>
      <c r="B659" s="14" t="s">
        <v>1317</v>
      </c>
      <c r="C659" s="20" t="s">
        <v>1318</v>
      </c>
      <c r="D659" s="20" t="s">
        <v>1318</v>
      </c>
      <c r="E659" s="20" t="s">
        <v>1318</v>
      </c>
      <c r="F659" s="20" t="s">
        <v>1318</v>
      </c>
      <c r="G659">
        <v>24.69</v>
      </c>
      <c r="H659" s="1">
        <v>47.03</v>
      </c>
      <c r="I659">
        <f t="shared" si="40"/>
        <v>28.3935</v>
      </c>
      <c r="J659">
        <f t="shared" si="41"/>
        <v>29.628</v>
      </c>
      <c r="K659">
        <f t="shared" si="42"/>
        <v>32.097</v>
      </c>
      <c r="L659">
        <f t="shared" si="43"/>
        <v>34.566</v>
      </c>
    </row>
    <row r="660" spans="1:12">
      <c r="A660" t="s">
        <v>13</v>
      </c>
      <c r="B660" s="14" t="s">
        <v>1319</v>
      </c>
      <c r="C660" s="20" t="s">
        <v>1320</v>
      </c>
      <c r="D660" s="20" t="s">
        <v>1320</v>
      </c>
      <c r="E660" s="20" t="s">
        <v>1320</v>
      </c>
      <c r="F660" s="20" t="s">
        <v>1320</v>
      </c>
      <c r="G660">
        <v>9.2</v>
      </c>
      <c r="H660" s="1">
        <v>17.54</v>
      </c>
      <c r="I660">
        <f t="shared" si="40"/>
        <v>10.58</v>
      </c>
      <c r="J660">
        <f t="shared" si="41"/>
        <v>11.04</v>
      </c>
      <c r="K660">
        <f t="shared" si="42"/>
        <v>11.96</v>
      </c>
      <c r="L660">
        <f t="shared" si="43"/>
        <v>12.88</v>
      </c>
    </row>
    <row r="661" spans="1:12">
      <c r="A661" t="s">
        <v>13</v>
      </c>
      <c r="B661" s="14" t="s">
        <v>1321</v>
      </c>
      <c r="C661" s="20" t="s">
        <v>1322</v>
      </c>
      <c r="D661" s="20" t="s">
        <v>1322</v>
      </c>
      <c r="E661" s="20" t="s">
        <v>1322</v>
      </c>
      <c r="F661" s="20" t="s">
        <v>1322</v>
      </c>
      <c r="G661">
        <v>12.08</v>
      </c>
      <c r="H661" s="1">
        <v>22.99</v>
      </c>
      <c r="I661">
        <f t="shared" si="40"/>
        <v>13.892</v>
      </c>
      <c r="J661">
        <f t="shared" si="41"/>
        <v>14.496</v>
      </c>
      <c r="K661">
        <f t="shared" si="42"/>
        <v>15.704</v>
      </c>
      <c r="L661">
        <f t="shared" si="43"/>
        <v>16.912</v>
      </c>
    </row>
    <row r="662" spans="1:12">
      <c r="A662" t="s">
        <v>13</v>
      </c>
      <c r="B662" s="14" t="s">
        <v>1323</v>
      </c>
      <c r="C662" s="20" t="s">
        <v>1324</v>
      </c>
      <c r="D662" s="20" t="s">
        <v>1324</v>
      </c>
      <c r="E662" s="20" t="s">
        <v>1324</v>
      </c>
      <c r="F662" s="20" t="s">
        <v>1324</v>
      </c>
      <c r="G662">
        <v>16.8</v>
      </c>
      <c r="H662" s="1">
        <v>32</v>
      </c>
      <c r="I662">
        <f t="shared" si="40"/>
        <v>19.32</v>
      </c>
      <c r="J662">
        <f t="shared" si="41"/>
        <v>20.16</v>
      </c>
      <c r="K662">
        <f t="shared" si="42"/>
        <v>21.84</v>
      </c>
      <c r="L662">
        <f t="shared" si="43"/>
        <v>23.52</v>
      </c>
    </row>
    <row r="663" spans="1:12">
      <c r="A663" t="s">
        <v>13</v>
      </c>
      <c r="B663" s="14" t="s">
        <v>1325</v>
      </c>
      <c r="C663" s="20" t="s">
        <v>1326</v>
      </c>
      <c r="D663" s="20" t="s">
        <v>1326</v>
      </c>
      <c r="E663" s="20" t="s">
        <v>1326</v>
      </c>
      <c r="F663" s="20" t="s">
        <v>1326</v>
      </c>
      <c r="G663">
        <v>10.96</v>
      </c>
      <c r="H663" s="1">
        <v>20.88</v>
      </c>
      <c r="I663">
        <f t="shared" si="40"/>
        <v>12.604</v>
      </c>
      <c r="J663">
        <f t="shared" si="41"/>
        <v>13.152</v>
      </c>
      <c r="K663">
        <f t="shared" si="42"/>
        <v>14.248</v>
      </c>
      <c r="L663">
        <f t="shared" si="43"/>
        <v>15.344</v>
      </c>
    </row>
    <row r="664" spans="1:12">
      <c r="A664" t="s">
        <v>13</v>
      </c>
      <c r="B664" s="14" t="s">
        <v>1327</v>
      </c>
      <c r="C664" s="20" t="s">
        <v>1328</v>
      </c>
      <c r="D664" s="20" t="s">
        <v>1328</v>
      </c>
      <c r="E664" s="20" t="s">
        <v>1328</v>
      </c>
      <c r="F664" s="20" t="s">
        <v>1328</v>
      </c>
      <c r="G664">
        <v>20.63</v>
      </c>
      <c r="H664" s="1">
        <v>45.83</v>
      </c>
      <c r="I664">
        <f t="shared" si="40"/>
        <v>23.7245</v>
      </c>
      <c r="J664">
        <f t="shared" si="41"/>
        <v>24.756</v>
      </c>
      <c r="K664">
        <f t="shared" si="42"/>
        <v>26.819</v>
      </c>
      <c r="L664">
        <f t="shared" si="43"/>
        <v>28.882</v>
      </c>
    </row>
    <row r="665" spans="1:12">
      <c r="A665" t="s">
        <v>13</v>
      </c>
      <c r="B665" s="14" t="s">
        <v>1329</v>
      </c>
      <c r="C665" s="20" t="s">
        <v>1330</v>
      </c>
      <c r="D665" s="20" t="s">
        <v>1330</v>
      </c>
      <c r="E665" s="20" t="s">
        <v>1330</v>
      </c>
      <c r="F665" s="20" t="s">
        <v>1330</v>
      </c>
      <c r="G665">
        <v>29.4</v>
      </c>
      <c r="H665" s="1">
        <v>65.37</v>
      </c>
      <c r="I665">
        <f t="shared" si="40"/>
        <v>33.81</v>
      </c>
      <c r="J665">
        <f t="shared" si="41"/>
        <v>35.28</v>
      </c>
      <c r="K665">
        <f t="shared" si="42"/>
        <v>38.22</v>
      </c>
      <c r="L665">
        <f t="shared" si="43"/>
        <v>41.16</v>
      </c>
    </row>
    <row r="666" ht="28.5" spans="1:12">
      <c r="A666" t="s">
        <v>13</v>
      </c>
      <c r="B666" s="14" t="s">
        <v>1331</v>
      </c>
      <c r="C666" s="20" t="s">
        <v>1332</v>
      </c>
      <c r="D666" s="20" t="s">
        <v>1332</v>
      </c>
      <c r="E666" s="20" t="s">
        <v>1332</v>
      </c>
      <c r="F666" s="20" t="s">
        <v>1332</v>
      </c>
      <c r="G666">
        <v>18.23</v>
      </c>
      <c r="H666" s="1">
        <v>40.5</v>
      </c>
      <c r="I666">
        <f t="shared" si="40"/>
        <v>20.9645</v>
      </c>
      <c r="J666">
        <f t="shared" si="41"/>
        <v>21.876</v>
      </c>
      <c r="K666">
        <f t="shared" si="42"/>
        <v>23.699</v>
      </c>
      <c r="L666">
        <f t="shared" si="43"/>
        <v>25.522</v>
      </c>
    </row>
    <row r="667" ht="28.5" spans="1:12">
      <c r="A667" t="s">
        <v>13</v>
      </c>
      <c r="B667" s="14" t="s">
        <v>1333</v>
      </c>
      <c r="C667" s="20" t="s">
        <v>1334</v>
      </c>
      <c r="D667" s="20" t="s">
        <v>1334</v>
      </c>
      <c r="E667" s="20" t="s">
        <v>1334</v>
      </c>
      <c r="F667" s="20" t="s">
        <v>1334</v>
      </c>
      <c r="G667">
        <v>18.23</v>
      </c>
      <c r="H667" s="1">
        <v>40.5</v>
      </c>
      <c r="I667">
        <f t="shared" si="40"/>
        <v>20.9645</v>
      </c>
      <c r="J667">
        <f t="shared" si="41"/>
        <v>21.876</v>
      </c>
      <c r="K667">
        <f t="shared" si="42"/>
        <v>23.699</v>
      </c>
      <c r="L667">
        <f t="shared" si="43"/>
        <v>25.522</v>
      </c>
    </row>
    <row r="668" spans="1:12">
      <c r="A668" t="s">
        <v>13</v>
      </c>
      <c r="B668" s="14" t="s">
        <v>1335</v>
      </c>
      <c r="C668" s="20" t="s">
        <v>1336</v>
      </c>
      <c r="D668" s="20" t="s">
        <v>1336</v>
      </c>
      <c r="E668" s="20" t="s">
        <v>1336</v>
      </c>
      <c r="F668" s="20" t="s">
        <v>1336</v>
      </c>
      <c r="G668">
        <v>17.87</v>
      </c>
      <c r="H668" s="1">
        <v>39.74</v>
      </c>
      <c r="I668">
        <f t="shared" si="40"/>
        <v>20.5505</v>
      </c>
      <c r="J668">
        <f t="shared" si="41"/>
        <v>21.444</v>
      </c>
      <c r="K668">
        <f t="shared" si="42"/>
        <v>23.231</v>
      </c>
      <c r="L668">
        <f t="shared" si="43"/>
        <v>25.018</v>
      </c>
    </row>
    <row r="669" spans="1:12">
      <c r="A669" t="s">
        <v>13</v>
      </c>
      <c r="B669" s="14" t="s">
        <v>1337</v>
      </c>
      <c r="C669" s="20" t="s">
        <v>1338</v>
      </c>
      <c r="D669" s="20" t="s">
        <v>1338</v>
      </c>
      <c r="E669" s="20" t="s">
        <v>1338</v>
      </c>
      <c r="F669" s="20" t="s">
        <v>1338</v>
      </c>
      <c r="G669">
        <v>17.87</v>
      </c>
      <c r="H669" s="1">
        <v>39.74</v>
      </c>
      <c r="I669">
        <f t="shared" si="40"/>
        <v>20.5505</v>
      </c>
      <c r="J669">
        <f t="shared" si="41"/>
        <v>21.444</v>
      </c>
      <c r="K669">
        <f t="shared" si="42"/>
        <v>23.231</v>
      </c>
      <c r="L669">
        <f t="shared" si="43"/>
        <v>25.018</v>
      </c>
    </row>
    <row r="670" spans="1:12">
      <c r="A670" t="s">
        <v>13</v>
      </c>
      <c r="B670" s="14" t="s">
        <v>1339</v>
      </c>
      <c r="C670" s="20" t="s">
        <v>1340</v>
      </c>
      <c r="D670" s="20" t="s">
        <v>1340</v>
      </c>
      <c r="E670" s="20" t="s">
        <v>1340</v>
      </c>
      <c r="F670" s="20" t="s">
        <v>1340</v>
      </c>
      <c r="G670">
        <v>9.34</v>
      </c>
      <c r="H670" s="1">
        <v>23.37</v>
      </c>
      <c r="I670">
        <f t="shared" si="40"/>
        <v>10.741</v>
      </c>
      <c r="J670">
        <f t="shared" si="41"/>
        <v>11.208</v>
      </c>
      <c r="K670">
        <f t="shared" si="42"/>
        <v>12.142</v>
      </c>
      <c r="L670">
        <f t="shared" si="43"/>
        <v>13.076</v>
      </c>
    </row>
    <row r="671" spans="1:12">
      <c r="A671" t="s">
        <v>13</v>
      </c>
      <c r="B671" s="14" t="s">
        <v>1341</v>
      </c>
      <c r="C671" s="20" t="s">
        <v>1342</v>
      </c>
      <c r="D671" s="20" t="s">
        <v>1342</v>
      </c>
      <c r="E671" s="20" t="s">
        <v>1342</v>
      </c>
      <c r="F671" s="20" t="s">
        <v>1342</v>
      </c>
      <c r="G671">
        <v>8.86</v>
      </c>
      <c r="H671" s="1">
        <v>22.17</v>
      </c>
      <c r="I671">
        <f t="shared" si="40"/>
        <v>10.189</v>
      </c>
      <c r="J671">
        <f t="shared" si="41"/>
        <v>10.632</v>
      </c>
      <c r="K671">
        <f t="shared" si="42"/>
        <v>11.518</v>
      </c>
      <c r="L671">
        <f t="shared" si="43"/>
        <v>12.404</v>
      </c>
    </row>
    <row r="672" ht="28.5" spans="1:12">
      <c r="A672" t="s">
        <v>13</v>
      </c>
      <c r="B672" s="14" t="s">
        <v>1343</v>
      </c>
      <c r="C672" s="20" t="s">
        <v>1344</v>
      </c>
      <c r="D672" s="20" t="s">
        <v>1344</v>
      </c>
      <c r="E672" s="20" t="s">
        <v>1344</v>
      </c>
      <c r="F672" s="20" t="s">
        <v>1344</v>
      </c>
      <c r="G672">
        <v>1.64</v>
      </c>
      <c r="H672" s="1">
        <v>4.08</v>
      </c>
      <c r="I672">
        <f t="shared" si="40"/>
        <v>1.886</v>
      </c>
      <c r="J672">
        <f t="shared" si="41"/>
        <v>1.968</v>
      </c>
      <c r="K672">
        <f t="shared" si="42"/>
        <v>2.132</v>
      </c>
      <c r="L672">
        <f t="shared" si="43"/>
        <v>2.296</v>
      </c>
    </row>
    <row r="673" ht="28.5" spans="1:12">
      <c r="A673" t="s">
        <v>13</v>
      </c>
      <c r="B673" s="14" t="s">
        <v>1345</v>
      </c>
      <c r="C673" s="20" t="s">
        <v>1346</v>
      </c>
      <c r="D673" s="20" t="s">
        <v>1346</v>
      </c>
      <c r="E673" s="20" t="s">
        <v>1346</v>
      </c>
      <c r="F673" s="20" t="s">
        <v>1346</v>
      </c>
      <c r="G673">
        <v>2.93</v>
      </c>
      <c r="H673" s="1">
        <v>7.34</v>
      </c>
      <c r="I673">
        <f t="shared" si="40"/>
        <v>3.3695</v>
      </c>
      <c r="J673">
        <f t="shared" si="41"/>
        <v>3.516</v>
      </c>
      <c r="K673">
        <f t="shared" si="42"/>
        <v>3.809</v>
      </c>
      <c r="L673">
        <f t="shared" si="43"/>
        <v>4.102</v>
      </c>
    </row>
    <row r="674" spans="1:12">
      <c r="A674" t="s">
        <v>13</v>
      </c>
      <c r="B674" s="14" t="s">
        <v>1347</v>
      </c>
      <c r="C674" s="20" t="s">
        <v>1348</v>
      </c>
      <c r="D674" s="20" t="s">
        <v>1348</v>
      </c>
      <c r="E674" s="20" t="s">
        <v>1348</v>
      </c>
      <c r="F674" s="20" t="s">
        <v>1348</v>
      </c>
      <c r="G674">
        <v>17.75</v>
      </c>
      <c r="H674" s="1">
        <v>39.45</v>
      </c>
      <c r="I674">
        <f t="shared" si="40"/>
        <v>20.4125</v>
      </c>
      <c r="J674">
        <f t="shared" si="41"/>
        <v>21.3</v>
      </c>
      <c r="K674">
        <f t="shared" si="42"/>
        <v>23.075</v>
      </c>
      <c r="L674">
        <f t="shared" si="43"/>
        <v>24.85</v>
      </c>
    </row>
    <row r="675" spans="1:12">
      <c r="A675" t="s">
        <v>13</v>
      </c>
      <c r="B675" s="14" t="s">
        <v>1349</v>
      </c>
      <c r="C675" s="20" t="s">
        <v>1350</v>
      </c>
      <c r="D675" s="20" t="s">
        <v>1350</v>
      </c>
      <c r="E675" s="20" t="s">
        <v>1350</v>
      </c>
      <c r="F675" s="20" t="s">
        <v>1350</v>
      </c>
      <c r="G675">
        <v>9.86</v>
      </c>
      <c r="H675" s="1">
        <v>18.76</v>
      </c>
      <c r="I675">
        <f t="shared" si="40"/>
        <v>11.339</v>
      </c>
      <c r="J675">
        <f t="shared" si="41"/>
        <v>11.832</v>
      </c>
      <c r="K675">
        <f t="shared" si="42"/>
        <v>12.818</v>
      </c>
      <c r="L675">
        <f t="shared" si="43"/>
        <v>13.804</v>
      </c>
    </row>
    <row r="676" spans="1:12">
      <c r="A676" t="s">
        <v>13</v>
      </c>
      <c r="B676" s="14" t="s">
        <v>1351</v>
      </c>
      <c r="C676" s="20" t="s">
        <v>1352</v>
      </c>
      <c r="D676" s="20" t="s">
        <v>1352</v>
      </c>
      <c r="E676" s="20" t="s">
        <v>1352</v>
      </c>
      <c r="F676" s="20" t="s">
        <v>1352</v>
      </c>
      <c r="G676">
        <v>10.54</v>
      </c>
      <c r="H676" s="1">
        <v>23.46</v>
      </c>
      <c r="I676">
        <f t="shared" si="40"/>
        <v>12.121</v>
      </c>
      <c r="J676">
        <f t="shared" si="41"/>
        <v>12.648</v>
      </c>
      <c r="K676">
        <f t="shared" si="42"/>
        <v>13.702</v>
      </c>
      <c r="L676">
        <f t="shared" si="43"/>
        <v>14.756</v>
      </c>
    </row>
    <row r="677" ht="28.5" spans="1:12">
      <c r="A677" t="s">
        <v>13</v>
      </c>
      <c r="B677" s="14" t="s">
        <v>1353</v>
      </c>
      <c r="C677" s="20" t="s">
        <v>1354</v>
      </c>
      <c r="D677" s="20" t="s">
        <v>1354</v>
      </c>
      <c r="E677" s="20" t="s">
        <v>1354</v>
      </c>
      <c r="F677" s="20" t="s">
        <v>1354</v>
      </c>
      <c r="G677">
        <v>5.23</v>
      </c>
      <c r="H677" s="1">
        <v>9.96</v>
      </c>
      <c r="I677">
        <f t="shared" si="40"/>
        <v>6.0145</v>
      </c>
      <c r="J677">
        <f t="shared" si="41"/>
        <v>6.276</v>
      </c>
      <c r="K677">
        <f t="shared" si="42"/>
        <v>6.799</v>
      </c>
      <c r="L677">
        <f t="shared" si="43"/>
        <v>7.322</v>
      </c>
    </row>
    <row r="678" spans="1:12">
      <c r="A678" t="s">
        <v>13</v>
      </c>
      <c r="B678" s="14" t="s">
        <v>1355</v>
      </c>
      <c r="C678" s="20" t="s">
        <v>1356</v>
      </c>
      <c r="D678" s="20" t="s">
        <v>1356</v>
      </c>
      <c r="E678" s="20" t="s">
        <v>1356</v>
      </c>
      <c r="F678" s="20" t="s">
        <v>1356</v>
      </c>
      <c r="G678">
        <v>5.63</v>
      </c>
      <c r="H678" s="1">
        <v>12.48</v>
      </c>
      <c r="I678">
        <f t="shared" si="40"/>
        <v>6.4745</v>
      </c>
      <c r="J678">
        <f t="shared" si="41"/>
        <v>6.756</v>
      </c>
      <c r="K678">
        <f t="shared" si="42"/>
        <v>7.319</v>
      </c>
      <c r="L678">
        <f t="shared" si="43"/>
        <v>7.882</v>
      </c>
    </row>
    <row r="679" spans="1:12">
      <c r="A679" t="s">
        <v>13</v>
      </c>
      <c r="B679" s="14" t="s">
        <v>1357</v>
      </c>
      <c r="C679" s="20" t="s">
        <v>1358</v>
      </c>
      <c r="D679" s="20" t="s">
        <v>1358</v>
      </c>
      <c r="E679" s="20" t="s">
        <v>1358</v>
      </c>
      <c r="F679" s="20" t="s">
        <v>1358</v>
      </c>
      <c r="G679">
        <v>2.05</v>
      </c>
      <c r="H679" s="1">
        <v>4.55</v>
      </c>
      <c r="I679">
        <f t="shared" si="40"/>
        <v>2.3575</v>
      </c>
      <c r="J679">
        <f t="shared" si="41"/>
        <v>2.46</v>
      </c>
      <c r="K679">
        <f t="shared" si="42"/>
        <v>2.665</v>
      </c>
      <c r="L679">
        <f t="shared" si="43"/>
        <v>2.87</v>
      </c>
    </row>
    <row r="680" spans="1:12">
      <c r="A680" t="s">
        <v>13</v>
      </c>
      <c r="B680" s="14" t="s">
        <v>1359</v>
      </c>
      <c r="C680" s="20" t="s">
        <v>1360</v>
      </c>
      <c r="D680" s="20" t="s">
        <v>1360</v>
      </c>
      <c r="E680" s="20" t="s">
        <v>1360</v>
      </c>
      <c r="F680" s="20" t="s">
        <v>1360</v>
      </c>
      <c r="G680">
        <v>2.05</v>
      </c>
      <c r="H680" s="1">
        <v>4.55</v>
      </c>
      <c r="I680">
        <f t="shared" si="40"/>
        <v>2.3575</v>
      </c>
      <c r="J680">
        <f t="shared" si="41"/>
        <v>2.46</v>
      </c>
      <c r="K680">
        <f t="shared" si="42"/>
        <v>2.665</v>
      </c>
      <c r="L680">
        <f t="shared" si="43"/>
        <v>2.87</v>
      </c>
    </row>
    <row r="681" spans="1:12">
      <c r="A681" t="s">
        <v>13</v>
      </c>
      <c r="B681" s="14" t="s">
        <v>1361</v>
      </c>
      <c r="C681" s="20" t="s">
        <v>1362</v>
      </c>
      <c r="D681" s="20" t="s">
        <v>1362</v>
      </c>
      <c r="E681" s="20" t="s">
        <v>1362</v>
      </c>
      <c r="F681" s="20" t="s">
        <v>1362</v>
      </c>
      <c r="G681">
        <v>2.05</v>
      </c>
      <c r="H681" s="1">
        <v>4.55</v>
      </c>
      <c r="I681">
        <f t="shared" si="40"/>
        <v>2.3575</v>
      </c>
      <c r="J681">
        <f t="shared" si="41"/>
        <v>2.46</v>
      </c>
      <c r="K681">
        <f t="shared" si="42"/>
        <v>2.665</v>
      </c>
      <c r="L681">
        <f t="shared" si="43"/>
        <v>2.87</v>
      </c>
    </row>
    <row r="682" spans="1:12">
      <c r="A682" t="s">
        <v>13</v>
      </c>
      <c r="B682" s="14" t="s">
        <v>1363</v>
      </c>
      <c r="C682" s="20" t="s">
        <v>1364</v>
      </c>
      <c r="D682" s="20" t="s">
        <v>1364</v>
      </c>
      <c r="E682" s="20" t="s">
        <v>1364</v>
      </c>
      <c r="F682" s="20" t="s">
        <v>1364</v>
      </c>
      <c r="G682">
        <v>5.63</v>
      </c>
      <c r="H682" s="1">
        <v>12.48</v>
      </c>
      <c r="I682">
        <f t="shared" si="40"/>
        <v>6.4745</v>
      </c>
      <c r="J682">
        <f t="shared" si="41"/>
        <v>6.756</v>
      </c>
      <c r="K682">
        <f t="shared" si="42"/>
        <v>7.319</v>
      </c>
      <c r="L682">
        <f t="shared" si="43"/>
        <v>7.882</v>
      </c>
    </row>
    <row r="683" spans="1:12">
      <c r="A683" t="s">
        <v>13</v>
      </c>
      <c r="B683" s="14" t="s">
        <v>1365</v>
      </c>
      <c r="C683" s="20" t="s">
        <v>1366</v>
      </c>
      <c r="D683" s="20" t="s">
        <v>1366</v>
      </c>
      <c r="E683" s="20" t="s">
        <v>1366</v>
      </c>
      <c r="F683" s="20" t="s">
        <v>1366</v>
      </c>
      <c r="G683">
        <v>5.63</v>
      </c>
      <c r="H683" s="1">
        <v>12.48</v>
      </c>
      <c r="I683">
        <f t="shared" si="40"/>
        <v>6.4745</v>
      </c>
      <c r="J683">
        <f t="shared" si="41"/>
        <v>6.756</v>
      </c>
      <c r="K683">
        <f t="shared" si="42"/>
        <v>7.319</v>
      </c>
      <c r="L683">
        <f t="shared" si="43"/>
        <v>7.882</v>
      </c>
    </row>
    <row r="684" spans="1:12">
      <c r="A684" t="s">
        <v>13</v>
      </c>
      <c r="B684" s="14" t="s">
        <v>1367</v>
      </c>
      <c r="C684" s="20" t="s">
        <v>1368</v>
      </c>
      <c r="D684" s="20" t="s">
        <v>1368</v>
      </c>
      <c r="E684" s="20" t="s">
        <v>1368</v>
      </c>
      <c r="F684" s="20" t="s">
        <v>1368</v>
      </c>
      <c r="G684">
        <v>5.63</v>
      </c>
      <c r="H684" s="1">
        <v>12.48</v>
      </c>
      <c r="I684">
        <f t="shared" si="40"/>
        <v>6.4745</v>
      </c>
      <c r="J684">
        <f t="shared" si="41"/>
        <v>6.756</v>
      </c>
      <c r="K684">
        <f t="shared" si="42"/>
        <v>7.319</v>
      </c>
      <c r="L684">
        <f t="shared" si="43"/>
        <v>7.882</v>
      </c>
    </row>
    <row r="685" spans="1:12">
      <c r="A685" t="s">
        <v>13</v>
      </c>
      <c r="B685" s="14" t="s">
        <v>1369</v>
      </c>
      <c r="C685" s="20" t="s">
        <v>1370</v>
      </c>
      <c r="D685" s="20" t="s">
        <v>1370</v>
      </c>
      <c r="E685" s="20" t="s">
        <v>1370</v>
      </c>
      <c r="F685" s="20" t="s">
        <v>1370</v>
      </c>
      <c r="G685">
        <v>5.24</v>
      </c>
      <c r="H685" s="1">
        <v>9.99</v>
      </c>
      <c r="I685">
        <f t="shared" si="40"/>
        <v>6.026</v>
      </c>
      <c r="J685">
        <f t="shared" si="41"/>
        <v>6.288</v>
      </c>
      <c r="K685">
        <f t="shared" si="42"/>
        <v>6.812</v>
      </c>
      <c r="L685">
        <f t="shared" si="43"/>
        <v>7.336</v>
      </c>
    </row>
    <row r="686" spans="1:12">
      <c r="A686" t="s">
        <v>13</v>
      </c>
      <c r="B686" s="14" t="s">
        <v>1371</v>
      </c>
      <c r="C686" s="20" t="s">
        <v>1372</v>
      </c>
      <c r="D686" s="20" t="s">
        <v>1372</v>
      </c>
      <c r="E686" s="20" t="s">
        <v>1372</v>
      </c>
      <c r="F686" s="20" t="s">
        <v>1372</v>
      </c>
      <c r="G686">
        <v>5.63</v>
      </c>
      <c r="H686" s="1">
        <v>12.48</v>
      </c>
      <c r="I686">
        <f t="shared" si="40"/>
        <v>6.4745</v>
      </c>
      <c r="J686">
        <f t="shared" si="41"/>
        <v>6.756</v>
      </c>
      <c r="K686">
        <f t="shared" si="42"/>
        <v>7.319</v>
      </c>
      <c r="L686">
        <f t="shared" si="43"/>
        <v>7.882</v>
      </c>
    </row>
    <row r="687" spans="1:12">
      <c r="A687" t="s">
        <v>13</v>
      </c>
      <c r="B687" s="14" t="s">
        <v>1373</v>
      </c>
      <c r="C687" s="20" t="s">
        <v>1374</v>
      </c>
      <c r="D687" s="20" t="s">
        <v>1374</v>
      </c>
      <c r="E687" s="20" t="s">
        <v>1374</v>
      </c>
      <c r="F687" s="20" t="s">
        <v>1374</v>
      </c>
      <c r="G687">
        <v>5.63</v>
      </c>
      <c r="H687" s="1">
        <v>12.48</v>
      </c>
      <c r="I687">
        <f t="shared" si="40"/>
        <v>6.4745</v>
      </c>
      <c r="J687">
        <f t="shared" si="41"/>
        <v>6.756</v>
      </c>
      <c r="K687">
        <f t="shared" si="42"/>
        <v>7.319</v>
      </c>
      <c r="L687">
        <f t="shared" si="43"/>
        <v>7.882</v>
      </c>
    </row>
    <row r="688" spans="1:12">
      <c r="A688" t="s">
        <v>13</v>
      </c>
      <c r="B688" s="14" t="s">
        <v>1375</v>
      </c>
      <c r="C688" s="20" t="s">
        <v>1376</v>
      </c>
      <c r="D688" s="20" t="s">
        <v>1376</v>
      </c>
      <c r="E688" s="20" t="s">
        <v>1376</v>
      </c>
      <c r="F688" s="20" t="s">
        <v>1376</v>
      </c>
      <c r="G688">
        <v>5.63</v>
      </c>
      <c r="H688" s="1">
        <v>12.48</v>
      </c>
      <c r="I688">
        <f t="shared" si="40"/>
        <v>6.4745</v>
      </c>
      <c r="J688">
        <f t="shared" si="41"/>
        <v>6.756</v>
      </c>
      <c r="K688">
        <f t="shared" si="42"/>
        <v>7.319</v>
      </c>
      <c r="L688">
        <f t="shared" si="43"/>
        <v>7.882</v>
      </c>
    </row>
    <row r="689" spans="1:12">
      <c r="A689" t="s">
        <v>13</v>
      </c>
      <c r="B689" s="14" t="s">
        <v>1377</v>
      </c>
      <c r="C689" s="20" t="s">
        <v>1378</v>
      </c>
      <c r="D689" s="20" t="s">
        <v>1378</v>
      </c>
      <c r="E689" s="20" t="s">
        <v>1378</v>
      </c>
      <c r="F689" s="20" t="s">
        <v>1378</v>
      </c>
      <c r="G689">
        <v>5.63</v>
      </c>
      <c r="H689" s="1">
        <v>12.48</v>
      </c>
      <c r="I689">
        <f t="shared" si="40"/>
        <v>6.4745</v>
      </c>
      <c r="J689">
        <f t="shared" si="41"/>
        <v>6.756</v>
      </c>
      <c r="K689">
        <f t="shared" si="42"/>
        <v>7.319</v>
      </c>
      <c r="L689">
        <f t="shared" si="43"/>
        <v>7.882</v>
      </c>
    </row>
    <row r="690" spans="1:12">
      <c r="A690" t="s">
        <v>13</v>
      </c>
      <c r="B690" s="14" t="s">
        <v>1379</v>
      </c>
      <c r="C690" s="20" t="s">
        <v>1380</v>
      </c>
      <c r="D690" s="20" t="s">
        <v>1380</v>
      </c>
      <c r="E690" s="20" t="s">
        <v>1380</v>
      </c>
      <c r="F690" s="20" t="s">
        <v>1380</v>
      </c>
      <c r="G690">
        <v>6.79</v>
      </c>
      <c r="H690" s="1">
        <v>15.09</v>
      </c>
      <c r="I690">
        <f t="shared" si="40"/>
        <v>7.8085</v>
      </c>
      <c r="J690">
        <f t="shared" si="41"/>
        <v>8.148</v>
      </c>
      <c r="K690">
        <f t="shared" si="42"/>
        <v>8.827</v>
      </c>
      <c r="L690">
        <f t="shared" si="43"/>
        <v>9.506</v>
      </c>
    </row>
    <row r="691" spans="1:12">
      <c r="A691" t="s">
        <v>13</v>
      </c>
      <c r="B691" s="14" t="s">
        <v>1381</v>
      </c>
      <c r="C691" s="20" t="s">
        <v>1382</v>
      </c>
      <c r="D691" s="20" t="s">
        <v>1382</v>
      </c>
      <c r="E691" s="20" t="s">
        <v>1382</v>
      </c>
      <c r="F691" s="20" t="s">
        <v>1382</v>
      </c>
      <c r="G691">
        <v>5.63</v>
      </c>
      <c r="H691" s="1">
        <v>12.48</v>
      </c>
      <c r="I691">
        <f t="shared" si="40"/>
        <v>6.4745</v>
      </c>
      <c r="J691">
        <f t="shared" si="41"/>
        <v>6.756</v>
      </c>
      <c r="K691">
        <f t="shared" si="42"/>
        <v>7.319</v>
      </c>
      <c r="L691">
        <f t="shared" si="43"/>
        <v>7.882</v>
      </c>
    </row>
    <row r="692" spans="1:12">
      <c r="A692" t="s">
        <v>13</v>
      </c>
      <c r="B692" s="14" t="s">
        <v>1383</v>
      </c>
      <c r="C692" s="20" t="s">
        <v>1384</v>
      </c>
      <c r="D692" s="20" t="s">
        <v>1384</v>
      </c>
      <c r="E692" s="20" t="s">
        <v>1384</v>
      </c>
      <c r="F692" s="20" t="s">
        <v>1384</v>
      </c>
      <c r="G692">
        <v>5.63</v>
      </c>
      <c r="H692" s="1">
        <v>12.48</v>
      </c>
      <c r="I692">
        <f t="shared" si="40"/>
        <v>6.4745</v>
      </c>
      <c r="J692">
        <f t="shared" si="41"/>
        <v>6.756</v>
      </c>
      <c r="K692">
        <f t="shared" si="42"/>
        <v>7.319</v>
      </c>
      <c r="L692">
        <f t="shared" si="43"/>
        <v>7.882</v>
      </c>
    </row>
    <row r="693" spans="1:12">
      <c r="A693" t="s">
        <v>13</v>
      </c>
      <c r="B693" s="14" t="s">
        <v>1385</v>
      </c>
      <c r="C693" s="20" t="s">
        <v>1386</v>
      </c>
      <c r="D693" s="20" t="s">
        <v>1386</v>
      </c>
      <c r="E693" s="20" t="s">
        <v>1386</v>
      </c>
      <c r="F693" s="20" t="s">
        <v>1386</v>
      </c>
      <c r="G693">
        <v>5.19</v>
      </c>
      <c r="H693" s="1">
        <v>9.9</v>
      </c>
      <c r="I693">
        <f t="shared" si="40"/>
        <v>5.9685</v>
      </c>
      <c r="J693">
        <f t="shared" si="41"/>
        <v>6.228</v>
      </c>
      <c r="K693">
        <f t="shared" si="42"/>
        <v>6.747</v>
      </c>
      <c r="L693">
        <f t="shared" si="43"/>
        <v>7.266</v>
      </c>
    </row>
    <row r="694" spans="1:12">
      <c r="A694" t="s">
        <v>13</v>
      </c>
      <c r="B694" s="14" t="s">
        <v>1387</v>
      </c>
      <c r="C694" s="20" t="s">
        <v>1388</v>
      </c>
      <c r="D694" s="20" t="s">
        <v>1388</v>
      </c>
      <c r="E694" s="20" t="s">
        <v>1388</v>
      </c>
      <c r="F694" s="20" t="s">
        <v>1388</v>
      </c>
      <c r="G694">
        <v>5.63</v>
      </c>
      <c r="H694" s="1">
        <v>12.48</v>
      </c>
      <c r="I694">
        <f t="shared" si="40"/>
        <v>6.4745</v>
      </c>
      <c r="J694">
        <f t="shared" si="41"/>
        <v>6.756</v>
      </c>
      <c r="K694">
        <f t="shared" si="42"/>
        <v>7.319</v>
      </c>
      <c r="L694">
        <f t="shared" si="43"/>
        <v>7.882</v>
      </c>
    </row>
    <row r="695" spans="1:12">
      <c r="A695" t="s">
        <v>13</v>
      </c>
      <c r="B695" s="14" t="s">
        <v>1389</v>
      </c>
      <c r="C695" s="20" t="s">
        <v>1390</v>
      </c>
      <c r="D695" s="20" t="s">
        <v>1390</v>
      </c>
      <c r="E695" s="20" t="s">
        <v>1390</v>
      </c>
      <c r="F695" s="20" t="s">
        <v>1390</v>
      </c>
      <c r="G695">
        <v>5.63</v>
      </c>
      <c r="H695" s="1">
        <v>12.48</v>
      </c>
      <c r="I695">
        <f t="shared" si="40"/>
        <v>6.4745</v>
      </c>
      <c r="J695">
        <f t="shared" si="41"/>
        <v>6.756</v>
      </c>
      <c r="K695">
        <f t="shared" si="42"/>
        <v>7.319</v>
      </c>
      <c r="L695">
        <f t="shared" si="43"/>
        <v>7.882</v>
      </c>
    </row>
    <row r="696" spans="1:12">
      <c r="A696" t="s">
        <v>13</v>
      </c>
      <c r="B696" s="14" t="s">
        <v>1391</v>
      </c>
      <c r="C696" s="20" t="s">
        <v>1392</v>
      </c>
      <c r="D696" s="20" t="s">
        <v>1392</v>
      </c>
      <c r="E696" s="20" t="s">
        <v>1392</v>
      </c>
      <c r="F696" s="20" t="s">
        <v>1392</v>
      </c>
      <c r="G696">
        <v>5.63</v>
      </c>
      <c r="H696" s="1">
        <v>12.48</v>
      </c>
      <c r="I696">
        <f t="shared" si="40"/>
        <v>6.4745</v>
      </c>
      <c r="J696">
        <f t="shared" si="41"/>
        <v>6.756</v>
      </c>
      <c r="K696">
        <f t="shared" si="42"/>
        <v>7.319</v>
      </c>
      <c r="L696">
        <f t="shared" si="43"/>
        <v>7.882</v>
      </c>
    </row>
    <row r="697" spans="1:12">
      <c r="A697" t="s">
        <v>13</v>
      </c>
      <c r="B697" s="14" t="s">
        <v>1393</v>
      </c>
      <c r="C697" s="20" t="s">
        <v>1394</v>
      </c>
      <c r="D697" s="20" t="s">
        <v>1394</v>
      </c>
      <c r="E697" s="20" t="s">
        <v>1394</v>
      </c>
      <c r="F697" s="20" t="s">
        <v>1394</v>
      </c>
      <c r="G697">
        <v>5.63</v>
      </c>
      <c r="H697" s="1">
        <v>12.48</v>
      </c>
      <c r="I697">
        <f t="shared" si="40"/>
        <v>6.4745</v>
      </c>
      <c r="J697">
        <f t="shared" si="41"/>
        <v>6.756</v>
      </c>
      <c r="K697">
        <f t="shared" si="42"/>
        <v>7.319</v>
      </c>
      <c r="L697">
        <f t="shared" si="43"/>
        <v>7.882</v>
      </c>
    </row>
    <row r="698" spans="1:12">
      <c r="A698" t="s">
        <v>13</v>
      </c>
      <c r="B698" s="14" t="s">
        <v>1395</v>
      </c>
      <c r="C698" s="20" t="s">
        <v>1396</v>
      </c>
      <c r="D698" s="20" t="s">
        <v>1396</v>
      </c>
      <c r="E698" s="20" t="s">
        <v>1396</v>
      </c>
      <c r="F698" s="20" t="s">
        <v>1396</v>
      </c>
      <c r="G698">
        <v>5.23</v>
      </c>
      <c r="H698" s="1">
        <v>9.96</v>
      </c>
      <c r="I698">
        <f t="shared" si="40"/>
        <v>6.0145</v>
      </c>
      <c r="J698">
        <f t="shared" si="41"/>
        <v>6.276</v>
      </c>
      <c r="K698">
        <f t="shared" si="42"/>
        <v>6.799</v>
      </c>
      <c r="L698">
        <f t="shared" si="43"/>
        <v>7.322</v>
      </c>
    </row>
    <row r="699" spans="1:12">
      <c r="A699" t="s">
        <v>13</v>
      </c>
      <c r="B699" s="14" t="s">
        <v>1397</v>
      </c>
      <c r="C699" s="20" t="s">
        <v>1398</v>
      </c>
      <c r="D699" s="20" t="s">
        <v>1398</v>
      </c>
      <c r="E699" s="20" t="s">
        <v>1398</v>
      </c>
      <c r="F699" s="20" t="s">
        <v>1398</v>
      </c>
      <c r="G699">
        <v>5.21</v>
      </c>
      <c r="H699" s="1">
        <v>9.92</v>
      </c>
      <c r="I699">
        <f t="shared" si="40"/>
        <v>5.9915</v>
      </c>
      <c r="J699">
        <f t="shared" si="41"/>
        <v>6.252</v>
      </c>
      <c r="K699">
        <f t="shared" si="42"/>
        <v>6.773</v>
      </c>
      <c r="L699">
        <f t="shared" si="43"/>
        <v>7.294</v>
      </c>
    </row>
    <row r="700" spans="1:12">
      <c r="A700" t="s">
        <v>13</v>
      </c>
      <c r="B700" s="14" t="s">
        <v>1399</v>
      </c>
      <c r="C700" s="20" t="s">
        <v>1400</v>
      </c>
      <c r="D700" s="20" t="s">
        <v>1400</v>
      </c>
      <c r="E700" s="20" t="s">
        <v>1400</v>
      </c>
      <c r="F700" s="20" t="s">
        <v>1400</v>
      </c>
      <c r="G700">
        <v>5.63</v>
      </c>
      <c r="H700" s="1">
        <v>12.48</v>
      </c>
      <c r="I700">
        <f t="shared" si="40"/>
        <v>6.4745</v>
      </c>
      <c r="J700">
        <f t="shared" si="41"/>
        <v>6.756</v>
      </c>
      <c r="K700">
        <f t="shared" si="42"/>
        <v>7.319</v>
      </c>
      <c r="L700">
        <f t="shared" si="43"/>
        <v>7.882</v>
      </c>
    </row>
    <row r="701" spans="1:12">
      <c r="A701" t="s">
        <v>13</v>
      </c>
      <c r="B701" s="14" t="s">
        <v>1401</v>
      </c>
      <c r="C701" s="20" t="s">
        <v>1402</v>
      </c>
      <c r="D701" s="20" t="s">
        <v>1402</v>
      </c>
      <c r="E701" s="20" t="s">
        <v>1402</v>
      </c>
      <c r="F701" s="20" t="s">
        <v>1402</v>
      </c>
      <c r="G701">
        <v>3.73</v>
      </c>
      <c r="H701" s="1">
        <v>8.29</v>
      </c>
      <c r="I701">
        <f t="shared" si="40"/>
        <v>4.2895</v>
      </c>
      <c r="J701">
        <f t="shared" si="41"/>
        <v>4.476</v>
      </c>
      <c r="K701">
        <f t="shared" si="42"/>
        <v>4.849</v>
      </c>
      <c r="L701">
        <f t="shared" si="43"/>
        <v>5.222</v>
      </c>
    </row>
    <row r="702" spans="1:12">
      <c r="A702" t="s">
        <v>13</v>
      </c>
      <c r="B702" s="14" t="s">
        <v>1403</v>
      </c>
      <c r="C702" s="20" t="s">
        <v>1404</v>
      </c>
      <c r="D702" s="20" t="s">
        <v>1404</v>
      </c>
      <c r="E702" s="20" t="s">
        <v>1404</v>
      </c>
      <c r="F702" s="20" t="s">
        <v>1404</v>
      </c>
      <c r="G702">
        <v>5.21</v>
      </c>
      <c r="H702" s="1">
        <v>9.92</v>
      </c>
      <c r="I702">
        <f t="shared" si="40"/>
        <v>5.9915</v>
      </c>
      <c r="J702">
        <f t="shared" si="41"/>
        <v>6.252</v>
      </c>
      <c r="K702">
        <f t="shared" si="42"/>
        <v>6.773</v>
      </c>
      <c r="L702">
        <f t="shared" si="43"/>
        <v>7.294</v>
      </c>
    </row>
    <row r="703" spans="1:12">
      <c r="A703" t="s">
        <v>13</v>
      </c>
      <c r="B703" s="14" t="s">
        <v>1405</v>
      </c>
      <c r="C703" s="20" t="s">
        <v>1406</v>
      </c>
      <c r="D703" s="20" t="s">
        <v>1406</v>
      </c>
      <c r="E703" s="20" t="s">
        <v>1406</v>
      </c>
      <c r="F703" s="20" t="s">
        <v>1406</v>
      </c>
      <c r="G703">
        <v>5.63</v>
      </c>
      <c r="H703" s="1">
        <v>12.48</v>
      </c>
      <c r="I703">
        <f t="shared" si="40"/>
        <v>6.4745</v>
      </c>
      <c r="J703">
        <f t="shared" si="41"/>
        <v>6.756</v>
      </c>
      <c r="K703">
        <f t="shared" si="42"/>
        <v>7.319</v>
      </c>
      <c r="L703">
        <f t="shared" si="43"/>
        <v>7.882</v>
      </c>
    </row>
    <row r="704" spans="1:12">
      <c r="A704" t="s">
        <v>13</v>
      </c>
      <c r="B704" s="14" t="s">
        <v>1407</v>
      </c>
      <c r="C704" s="20" t="s">
        <v>1408</v>
      </c>
      <c r="D704" s="20" t="s">
        <v>1408</v>
      </c>
      <c r="E704" s="20" t="s">
        <v>1408</v>
      </c>
      <c r="F704" s="20" t="s">
        <v>1408</v>
      </c>
      <c r="G704">
        <v>5.63</v>
      </c>
      <c r="H704" s="1">
        <v>12.48</v>
      </c>
      <c r="I704">
        <f t="shared" si="40"/>
        <v>6.4745</v>
      </c>
      <c r="J704">
        <f t="shared" si="41"/>
        <v>6.756</v>
      </c>
      <c r="K704">
        <f t="shared" si="42"/>
        <v>7.319</v>
      </c>
      <c r="L704">
        <f t="shared" si="43"/>
        <v>7.882</v>
      </c>
    </row>
    <row r="705" spans="1:12">
      <c r="A705" t="s">
        <v>13</v>
      </c>
      <c r="B705" s="14" t="s">
        <v>1409</v>
      </c>
      <c r="C705" s="20" t="s">
        <v>1410</v>
      </c>
      <c r="D705" s="20" t="s">
        <v>1410</v>
      </c>
      <c r="E705" s="20" t="s">
        <v>1410</v>
      </c>
      <c r="F705" s="20" t="s">
        <v>1410</v>
      </c>
      <c r="G705">
        <v>5.63</v>
      </c>
      <c r="H705" s="1">
        <v>12.48</v>
      </c>
      <c r="I705">
        <f t="shared" si="40"/>
        <v>6.4745</v>
      </c>
      <c r="J705">
        <f t="shared" si="41"/>
        <v>6.756</v>
      </c>
      <c r="K705">
        <f t="shared" si="42"/>
        <v>7.319</v>
      </c>
      <c r="L705">
        <f t="shared" si="43"/>
        <v>7.882</v>
      </c>
    </row>
    <row r="706" spans="1:12">
      <c r="A706" t="s">
        <v>13</v>
      </c>
      <c r="B706" s="14" t="s">
        <v>1411</v>
      </c>
      <c r="C706" s="20" t="s">
        <v>1412</v>
      </c>
      <c r="D706" s="20" t="s">
        <v>1412</v>
      </c>
      <c r="E706" s="20" t="s">
        <v>1412</v>
      </c>
      <c r="F706" s="20" t="s">
        <v>1412</v>
      </c>
      <c r="G706">
        <v>5.23</v>
      </c>
      <c r="H706" s="1">
        <v>9.96</v>
      </c>
      <c r="I706">
        <f t="shared" ref="I706:I769" si="44">G706*1.15</f>
        <v>6.0145</v>
      </c>
      <c r="J706">
        <f t="shared" ref="J706:J769" si="45">G706*1.2</f>
        <v>6.276</v>
      </c>
      <c r="K706">
        <f t="shared" ref="K706:K769" si="46">G706*1.3</f>
        <v>6.799</v>
      </c>
      <c r="L706">
        <f t="shared" ref="L706:L769" si="47">G706*1.4</f>
        <v>7.322</v>
      </c>
    </row>
    <row r="707" spans="1:12">
      <c r="A707" t="s">
        <v>13</v>
      </c>
      <c r="B707" s="14" t="s">
        <v>1413</v>
      </c>
      <c r="C707" s="20" t="s">
        <v>1414</v>
      </c>
      <c r="D707" s="20" t="s">
        <v>1414</v>
      </c>
      <c r="E707" s="20" t="s">
        <v>1414</v>
      </c>
      <c r="F707" s="20" t="s">
        <v>1414</v>
      </c>
      <c r="G707">
        <v>1.61</v>
      </c>
      <c r="H707" s="1">
        <v>3.57</v>
      </c>
      <c r="I707">
        <f t="shared" si="44"/>
        <v>1.8515</v>
      </c>
      <c r="J707">
        <f t="shared" si="45"/>
        <v>1.932</v>
      </c>
      <c r="K707">
        <f t="shared" si="46"/>
        <v>2.093</v>
      </c>
      <c r="L707">
        <f t="shared" si="47"/>
        <v>2.254</v>
      </c>
    </row>
    <row r="708" ht="28.5" spans="1:12">
      <c r="A708" t="s">
        <v>13</v>
      </c>
      <c r="B708" s="14" t="s">
        <v>1415</v>
      </c>
      <c r="C708" s="20" t="s">
        <v>1416</v>
      </c>
      <c r="D708" s="20" t="s">
        <v>1416</v>
      </c>
      <c r="E708" s="20" t="s">
        <v>1416</v>
      </c>
      <c r="F708" s="20" t="s">
        <v>1416</v>
      </c>
      <c r="G708">
        <v>10.96</v>
      </c>
      <c r="H708" s="1">
        <v>24.34</v>
      </c>
      <c r="I708">
        <f t="shared" si="44"/>
        <v>12.604</v>
      </c>
      <c r="J708">
        <f t="shared" si="45"/>
        <v>13.152</v>
      </c>
      <c r="K708">
        <f t="shared" si="46"/>
        <v>14.248</v>
      </c>
      <c r="L708">
        <f t="shared" si="47"/>
        <v>15.344</v>
      </c>
    </row>
    <row r="709" spans="1:12">
      <c r="A709" t="s">
        <v>13</v>
      </c>
      <c r="B709" s="14" t="s">
        <v>1417</v>
      </c>
      <c r="C709" s="20" t="s">
        <v>1418</v>
      </c>
      <c r="D709" s="20" t="s">
        <v>1418</v>
      </c>
      <c r="E709" s="20" t="s">
        <v>1418</v>
      </c>
      <c r="F709" s="20" t="s">
        <v>1418</v>
      </c>
      <c r="G709">
        <v>10.96</v>
      </c>
      <c r="H709" s="1">
        <v>24.34</v>
      </c>
      <c r="I709">
        <f t="shared" si="44"/>
        <v>12.604</v>
      </c>
      <c r="J709">
        <f t="shared" si="45"/>
        <v>13.152</v>
      </c>
      <c r="K709">
        <f t="shared" si="46"/>
        <v>14.248</v>
      </c>
      <c r="L709">
        <f t="shared" si="47"/>
        <v>15.344</v>
      </c>
    </row>
    <row r="710" spans="1:12">
      <c r="A710" t="s">
        <v>13</v>
      </c>
      <c r="B710" s="14" t="s">
        <v>1419</v>
      </c>
      <c r="C710" s="20" t="s">
        <v>1420</v>
      </c>
      <c r="D710" s="20" t="s">
        <v>1420</v>
      </c>
      <c r="E710" s="20" t="s">
        <v>1420</v>
      </c>
      <c r="F710" s="20" t="s">
        <v>1420</v>
      </c>
      <c r="G710">
        <v>15.01</v>
      </c>
      <c r="H710" s="1">
        <v>28.61</v>
      </c>
      <c r="I710">
        <f t="shared" si="44"/>
        <v>17.2615</v>
      </c>
      <c r="J710">
        <f t="shared" si="45"/>
        <v>18.012</v>
      </c>
      <c r="K710">
        <f t="shared" si="46"/>
        <v>19.513</v>
      </c>
      <c r="L710">
        <f t="shared" si="47"/>
        <v>21.014</v>
      </c>
    </row>
    <row r="711" spans="1:12">
      <c r="A711" t="s">
        <v>13</v>
      </c>
      <c r="B711" s="14" t="s">
        <v>1421</v>
      </c>
      <c r="C711" s="20" t="s">
        <v>1422</v>
      </c>
      <c r="D711" s="20" t="s">
        <v>1422</v>
      </c>
      <c r="E711" s="20" t="s">
        <v>1422</v>
      </c>
      <c r="F711" s="20" t="s">
        <v>1422</v>
      </c>
      <c r="G711">
        <v>10.96</v>
      </c>
      <c r="H711" s="1">
        <v>24.34</v>
      </c>
      <c r="I711">
        <f t="shared" si="44"/>
        <v>12.604</v>
      </c>
      <c r="J711">
        <f t="shared" si="45"/>
        <v>13.152</v>
      </c>
      <c r="K711">
        <f t="shared" si="46"/>
        <v>14.248</v>
      </c>
      <c r="L711">
        <f t="shared" si="47"/>
        <v>15.344</v>
      </c>
    </row>
    <row r="712" spans="1:12">
      <c r="A712" t="s">
        <v>13</v>
      </c>
      <c r="B712" s="14" t="s">
        <v>1423</v>
      </c>
      <c r="C712" s="20" t="s">
        <v>1424</v>
      </c>
      <c r="D712" s="20" t="s">
        <v>1424</v>
      </c>
      <c r="E712" s="20" t="s">
        <v>1424</v>
      </c>
      <c r="F712" s="20" t="s">
        <v>1424</v>
      </c>
      <c r="G712">
        <v>10.23</v>
      </c>
      <c r="H712" s="1">
        <v>19.49</v>
      </c>
      <c r="I712">
        <f t="shared" si="44"/>
        <v>11.7645</v>
      </c>
      <c r="J712">
        <f t="shared" si="45"/>
        <v>12.276</v>
      </c>
      <c r="K712">
        <f t="shared" si="46"/>
        <v>13.299</v>
      </c>
      <c r="L712">
        <f t="shared" si="47"/>
        <v>14.322</v>
      </c>
    </row>
    <row r="713" spans="1:12">
      <c r="A713" t="s">
        <v>13</v>
      </c>
      <c r="B713" s="14" t="s">
        <v>1425</v>
      </c>
      <c r="C713" s="20" t="s">
        <v>1426</v>
      </c>
      <c r="D713" s="20" t="s">
        <v>1426</v>
      </c>
      <c r="E713" s="20" t="s">
        <v>1426</v>
      </c>
      <c r="F713" s="20" t="s">
        <v>1426</v>
      </c>
      <c r="G713">
        <v>10.96</v>
      </c>
      <c r="H713" s="1">
        <v>24.34</v>
      </c>
      <c r="I713">
        <f t="shared" si="44"/>
        <v>12.604</v>
      </c>
      <c r="J713">
        <f t="shared" si="45"/>
        <v>13.152</v>
      </c>
      <c r="K713">
        <f t="shared" si="46"/>
        <v>14.248</v>
      </c>
      <c r="L713">
        <f t="shared" si="47"/>
        <v>15.344</v>
      </c>
    </row>
    <row r="714" ht="28.5" spans="1:12">
      <c r="A714" t="s">
        <v>13</v>
      </c>
      <c r="B714" s="14" t="s">
        <v>1427</v>
      </c>
      <c r="C714" s="20" t="s">
        <v>1428</v>
      </c>
      <c r="D714" s="20" t="s">
        <v>1428</v>
      </c>
      <c r="E714" s="20" t="s">
        <v>1428</v>
      </c>
      <c r="F714" s="20" t="s">
        <v>1428</v>
      </c>
      <c r="G714">
        <v>10.96</v>
      </c>
      <c r="H714" s="1">
        <v>24.34</v>
      </c>
      <c r="I714">
        <f t="shared" si="44"/>
        <v>12.604</v>
      </c>
      <c r="J714">
        <f t="shared" si="45"/>
        <v>13.152</v>
      </c>
      <c r="K714">
        <f t="shared" si="46"/>
        <v>14.248</v>
      </c>
      <c r="L714">
        <f t="shared" si="47"/>
        <v>15.344</v>
      </c>
    </row>
    <row r="715" ht="28.5" spans="1:12">
      <c r="A715" t="s">
        <v>13</v>
      </c>
      <c r="B715" s="14" t="s">
        <v>1429</v>
      </c>
      <c r="C715" s="20" t="s">
        <v>1430</v>
      </c>
      <c r="D715" s="20" t="s">
        <v>1430</v>
      </c>
      <c r="E715" s="20" t="s">
        <v>1430</v>
      </c>
      <c r="F715" s="20" t="s">
        <v>1430</v>
      </c>
      <c r="G715">
        <v>10.96</v>
      </c>
      <c r="H715" s="1">
        <v>24.34</v>
      </c>
      <c r="I715">
        <f t="shared" si="44"/>
        <v>12.604</v>
      </c>
      <c r="J715">
        <f t="shared" si="45"/>
        <v>13.152</v>
      </c>
      <c r="K715">
        <f t="shared" si="46"/>
        <v>14.248</v>
      </c>
      <c r="L715">
        <f t="shared" si="47"/>
        <v>15.344</v>
      </c>
    </row>
    <row r="716" spans="1:12">
      <c r="A716" t="s">
        <v>13</v>
      </c>
      <c r="B716" s="14" t="s">
        <v>1431</v>
      </c>
      <c r="C716" s="20" t="s">
        <v>1432</v>
      </c>
      <c r="D716" s="20" t="s">
        <v>1432</v>
      </c>
      <c r="E716" s="20" t="s">
        <v>1432</v>
      </c>
      <c r="F716" s="20" t="s">
        <v>1432</v>
      </c>
      <c r="G716">
        <v>10.96</v>
      </c>
      <c r="H716" s="1">
        <v>24.34</v>
      </c>
      <c r="I716">
        <f t="shared" si="44"/>
        <v>12.604</v>
      </c>
      <c r="J716">
        <f t="shared" si="45"/>
        <v>13.152</v>
      </c>
      <c r="K716">
        <f t="shared" si="46"/>
        <v>14.248</v>
      </c>
      <c r="L716">
        <f t="shared" si="47"/>
        <v>15.344</v>
      </c>
    </row>
    <row r="717" spans="1:12">
      <c r="A717" t="s">
        <v>13</v>
      </c>
      <c r="B717" s="14" t="s">
        <v>1433</v>
      </c>
      <c r="C717" s="20" t="s">
        <v>1434</v>
      </c>
      <c r="D717" s="20" t="s">
        <v>1434</v>
      </c>
      <c r="E717" s="20" t="s">
        <v>1434</v>
      </c>
      <c r="F717" s="20" t="s">
        <v>1434</v>
      </c>
      <c r="G717">
        <v>10.96</v>
      </c>
      <c r="H717" s="1">
        <v>24.34</v>
      </c>
      <c r="I717">
        <f t="shared" si="44"/>
        <v>12.604</v>
      </c>
      <c r="J717">
        <f t="shared" si="45"/>
        <v>13.152</v>
      </c>
      <c r="K717">
        <f t="shared" si="46"/>
        <v>14.248</v>
      </c>
      <c r="L717">
        <f t="shared" si="47"/>
        <v>15.344</v>
      </c>
    </row>
    <row r="718" spans="1:12">
      <c r="A718" t="s">
        <v>13</v>
      </c>
      <c r="B718" s="14" t="s">
        <v>1435</v>
      </c>
      <c r="C718" s="20" t="s">
        <v>1436</v>
      </c>
      <c r="D718" s="20" t="s">
        <v>1436</v>
      </c>
      <c r="E718" s="20" t="s">
        <v>1436</v>
      </c>
      <c r="F718" s="20" t="s">
        <v>1436</v>
      </c>
      <c r="G718">
        <v>10.96</v>
      </c>
      <c r="H718" s="1">
        <v>24.34</v>
      </c>
      <c r="I718">
        <f t="shared" si="44"/>
        <v>12.604</v>
      </c>
      <c r="J718">
        <f t="shared" si="45"/>
        <v>13.152</v>
      </c>
      <c r="K718">
        <f t="shared" si="46"/>
        <v>14.248</v>
      </c>
      <c r="L718">
        <f t="shared" si="47"/>
        <v>15.344</v>
      </c>
    </row>
    <row r="719" spans="1:12">
      <c r="A719" t="s">
        <v>13</v>
      </c>
      <c r="B719" s="14" t="s">
        <v>1437</v>
      </c>
      <c r="C719" s="20" t="s">
        <v>1438</v>
      </c>
      <c r="D719" s="20" t="s">
        <v>1438</v>
      </c>
      <c r="E719" s="20" t="s">
        <v>1438</v>
      </c>
      <c r="F719" s="20" t="s">
        <v>1438</v>
      </c>
      <c r="G719">
        <v>10.96</v>
      </c>
      <c r="H719" s="1">
        <v>24.34</v>
      </c>
      <c r="I719">
        <f t="shared" si="44"/>
        <v>12.604</v>
      </c>
      <c r="J719">
        <f t="shared" si="45"/>
        <v>13.152</v>
      </c>
      <c r="K719">
        <f t="shared" si="46"/>
        <v>14.248</v>
      </c>
      <c r="L719">
        <f t="shared" si="47"/>
        <v>15.344</v>
      </c>
    </row>
    <row r="720" spans="1:12">
      <c r="A720" t="s">
        <v>13</v>
      </c>
      <c r="B720" s="14" t="s">
        <v>1439</v>
      </c>
      <c r="C720" s="20" t="s">
        <v>1440</v>
      </c>
      <c r="D720" s="20" t="s">
        <v>1440</v>
      </c>
      <c r="E720" s="20" t="s">
        <v>1440</v>
      </c>
      <c r="F720" s="20" t="s">
        <v>1440</v>
      </c>
      <c r="G720">
        <v>15.65</v>
      </c>
      <c r="H720" s="1">
        <v>29.81</v>
      </c>
      <c r="I720">
        <f t="shared" si="44"/>
        <v>17.9975</v>
      </c>
      <c r="J720">
        <f t="shared" si="45"/>
        <v>18.78</v>
      </c>
      <c r="K720">
        <f t="shared" si="46"/>
        <v>20.345</v>
      </c>
      <c r="L720">
        <f t="shared" si="47"/>
        <v>21.91</v>
      </c>
    </row>
    <row r="721" spans="1:12">
      <c r="A721" t="s">
        <v>13</v>
      </c>
      <c r="B721" s="14" t="s">
        <v>1441</v>
      </c>
      <c r="C721" s="20" t="s">
        <v>1442</v>
      </c>
      <c r="D721" s="20" t="s">
        <v>1442</v>
      </c>
      <c r="E721" s="20" t="s">
        <v>1442</v>
      </c>
      <c r="F721" s="20" t="s">
        <v>1442</v>
      </c>
      <c r="G721">
        <v>10.98</v>
      </c>
      <c r="H721" s="1">
        <v>24.39</v>
      </c>
      <c r="I721">
        <f t="shared" si="44"/>
        <v>12.627</v>
      </c>
      <c r="J721">
        <f t="shared" si="45"/>
        <v>13.176</v>
      </c>
      <c r="K721">
        <f t="shared" si="46"/>
        <v>14.274</v>
      </c>
      <c r="L721">
        <f t="shared" si="47"/>
        <v>15.372</v>
      </c>
    </row>
    <row r="722" spans="1:12">
      <c r="A722" t="s">
        <v>13</v>
      </c>
      <c r="B722" s="14" t="s">
        <v>1443</v>
      </c>
      <c r="C722" s="20" t="s">
        <v>1444</v>
      </c>
      <c r="D722" s="20" t="s">
        <v>1444</v>
      </c>
      <c r="E722" s="20" t="s">
        <v>1444</v>
      </c>
      <c r="F722" s="20" t="s">
        <v>1444</v>
      </c>
      <c r="G722">
        <v>10.96</v>
      </c>
      <c r="H722" s="1">
        <v>24.34</v>
      </c>
      <c r="I722">
        <f t="shared" si="44"/>
        <v>12.604</v>
      </c>
      <c r="J722">
        <f t="shared" si="45"/>
        <v>13.152</v>
      </c>
      <c r="K722">
        <f t="shared" si="46"/>
        <v>14.248</v>
      </c>
      <c r="L722">
        <f t="shared" si="47"/>
        <v>15.344</v>
      </c>
    </row>
    <row r="723" spans="1:12">
      <c r="A723" t="s">
        <v>13</v>
      </c>
      <c r="B723" s="14" t="s">
        <v>1445</v>
      </c>
      <c r="C723" s="20" t="s">
        <v>1446</v>
      </c>
      <c r="D723" s="20" t="s">
        <v>1446</v>
      </c>
      <c r="E723" s="20" t="s">
        <v>1446</v>
      </c>
      <c r="F723" s="20" t="s">
        <v>1446</v>
      </c>
      <c r="G723">
        <v>10.96</v>
      </c>
      <c r="H723" s="1">
        <v>24.34</v>
      </c>
      <c r="I723">
        <f t="shared" si="44"/>
        <v>12.604</v>
      </c>
      <c r="J723">
        <f t="shared" si="45"/>
        <v>13.152</v>
      </c>
      <c r="K723">
        <f t="shared" si="46"/>
        <v>14.248</v>
      </c>
      <c r="L723">
        <f t="shared" si="47"/>
        <v>15.344</v>
      </c>
    </row>
    <row r="724" spans="1:12">
      <c r="A724" t="s">
        <v>13</v>
      </c>
      <c r="B724" s="14" t="s">
        <v>1447</v>
      </c>
      <c r="C724" s="20" t="s">
        <v>1448</v>
      </c>
      <c r="D724" s="20" t="s">
        <v>1448</v>
      </c>
      <c r="E724" s="20" t="s">
        <v>1448</v>
      </c>
      <c r="F724" s="20" t="s">
        <v>1448</v>
      </c>
      <c r="G724">
        <v>10.98</v>
      </c>
      <c r="H724" s="1">
        <v>24.39</v>
      </c>
      <c r="I724">
        <f t="shared" si="44"/>
        <v>12.627</v>
      </c>
      <c r="J724">
        <f t="shared" si="45"/>
        <v>13.176</v>
      </c>
      <c r="K724">
        <f t="shared" si="46"/>
        <v>14.274</v>
      </c>
      <c r="L724">
        <f t="shared" si="47"/>
        <v>15.372</v>
      </c>
    </row>
    <row r="725" spans="1:12">
      <c r="A725" t="s">
        <v>13</v>
      </c>
      <c r="B725" s="14" t="s">
        <v>1449</v>
      </c>
      <c r="C725" s="20" t="s">
        <v>1450</v>
      </c>
      <c r="D725" s="20" t="s">
        <v>1450</v>
      </c>
      <c r="E725" s="20" t="s">
        <v>1450</v>
      </c>
      <c r="F725" s="20" t="s">
        <v>1450</v>
      </c>
      <c r="G725">
        <v>61.75</v>
      </c>
      <c r="H725" s="1">
        <v>117.62</v>
      </c>
      <c r="I725">
        <f t="shared" si="44"/>
        <v>71.0125</v>
      </c>
      <c r="J725">
        <f t="shared" si="45"/>
        <v>74.1</v>
      </c>
      <c r="K725">
        <f t="shared" si="46"/>
        <v>80.275</v>
      </c>
      <c r="L725">
        <f t="shared" si="47"/>
        <v>86.45</v>
      </c>
    </row>
    <row r="726" spans="1:12">
      <c r="A726" t="s">
        <v>13</v>
      </c>
      <c r="B726" s="14" t="s">
        <v>1451</v>
      </c>
      <c r="C726" s="20" t="s">
        <v>1452</v>
      </c>
      <c r="D726" s="20" t="s">
        <v>1452</v>
      </c>
      <c r="E726" s="20" t="s">
        <v>1452</v>
      </c>
      <c r="F726" s="20" t="s">
        <v>1452</v>
      </c>
      <c r="G726">
        <v>42.77</v>
      </c>
      <c r="H726" s="1">
        <v>81.45</v>
      </c>
      <c r="I726">
        <f t="shared" si="44"/>
        <v>49.1855</v>
      </c>
      <c r="J726">
        <f t="shared" si="45"/>
        <v>51.324</v>
      </c>
      <c r="K726">
        <f t="shared" si="46"/>
        <v>55.601</v>
      </c>
      <c r="L726">
        <f t="shared" si="47"/>
        <v>59.878</v>
      </c>
    </row>
    <row r="727" spans="1:12">
      <c r="A727" t="s">
        <v>13</v>
      </c>
      <c r="B727" s="14" t="s">
        <v>1453</v>
      </c>
      <c r="C727" s="20" t="s">
        <v>1454</v>
      </c>
      <c r="D727" s="20" t="s">
        <v>1454</v>
      </c>
      <c r="E727" s="20" t="s">
        <v>1454</v>
      </c>
      <c r="F727" s="20" t="s">
        <v>1454</v>
      </c>
      <c r="G727">
        <v>80.07</v>
      </c>
      <c r="H727" s="1">
        <v>152.52</v>
      </c>
      <c r="I727">
        <f t="shared" si="44"/>
        <v>92.0805</v>
      </c>
      <c r="J727">
        <f t="shared" si="45"/>
        <v>96.084</v>
      </c>
      <c r="K727">
        <f t="shared" si="46"/>
        <v>104.091</v>
      </c>
      <c r="L727">
        <f t="shared" si="47"/>
        <v>112.098</v>
      </c>
    </row>
    <row r="728" spans="1:12">
      <c r="A728" t="s">
        <v>13</v>
      </c>
      <c r="B728" s="14" t="s">
        <v>1455</v>
      </c>
      <c r="C728" s="20" t="s">
        <v>1456</v>
      </c>
      <c r="D728" s="20" t="s">
        <v>1456</v>
      </c>
      <c r="E728" s="20" t="s">
        <v>1456</v>
      </c>
      <c r="F728" s="20" t="s">
        <v>1456</v>
      </c>
      <c r="G728">
        <v>41.34</v>
      </c>
      <c r="H728" s="1">
        <v>78.71</v>
      </c>
      <c r="I728">
        <f t="shared" si="44"/>
        <v>47.541</v>
      </c>
      <c r="J728">
        <f t="shared" si="45"/>
        <v>49.608</v>
      </c>
      <c r="K728">
        <f t="shared" si="46"/>
        <v>53.742</v>
      </c>
      <c r="L728">
        <f t="shared" si="47"/>
        <v>57.876</v>
      </c>
    </row>
    <row r="729" spans="1:12">
      <c r="A729" t="s">
        <v>13</v>
      </c>
      <c r="B729" s="14" t="s">
        <v>1457</v>
      </c>
      <c r="C729" s="20" t="s">
        <v>1458</v>
      </c>
      <c r="D729" s="20" t="s">
        <v>1458</v>
      </c>
      <c r="E729" s="20" t="s">
        <v>1458</v>
      </c>
      <c r="F729" s="20" t="s">
        <v>1458</v>
      </c>
      <c r="G729">
        <v>67.92</v>
      </c>
      <c r="H729" s="1">
        <v>129.37</v>
      </c>
      <c r="I729">
        <f t="shared" si="44"/>
        <v>78.108</v>
      </c>
      <c r="J729">
        <f t="shared" si="45"/>
        <v>81.504</v>
      </c>
      <c r="K729">
        <f t="shared" si="46"/>
        <v>88.296</v>
      </c>
      <c r="L729">
        <f t="shared" si="47"/>
        <v>95.088</v>
      </c>
    </row>
    <row r="730" spans="1:12">
      <c r="A730" t="s">
        <v>13</v>
      </c>
      <c r="B730" s="14" t="s">
        <v>1459</v>
      </c>
      <c r="C730" s="20" t="s">
        <v>1460</v>
      </c>
      <c r="D730" s="20" t="s">
        <v>1460</v>
      </c>
      <c r="E730" s="20" t="s">
        <v>1460</v>
      </c>
      <c r="F730" s="20" t="s">
        <v>1460</v>
      </c>
      <c r="G730">
        <v>41.34</v>
      </c>
      <c r="H730" s="1">
        <v>78.71</v>
      </c>
      <c r="I730">
        <f t="shared" si="44"/>
        <v>47.541</v>
      </c>
      <c r="J730">
        <f t="shared" si="45"/>
        <v>49.608</v>
      </c>
      <c r="K730">
        <f t="shared" si="46"/>
        <v>53.742</v>
      </c>
      <c r="L730">
        <f t="shared" si="47"/>
        <v>57.876</v>
      </c>
    </row>
    <row r="731" spans="1:12">
      <c r="A731" t="s">
        <v>13</v>
      </c>
      <c r="B731" s="14" t="s">
        <v>1461</v>
      </c>
      <c r="C731" s="20" t="s">
        <v>1462</v>
      </c>
      <c r="D731" s="20" t="s">
        <v>1462</v>
      </c>
      <c r="E731" s="20" t="s">
        <v>1462</v>
      </c>
      <c r="F731" s="20" t="s">
        <v>1462</v>
      </c>
      <c r="G731">
        <v>41.34</v>
      </c>
      <c r="H731" s="1">
        <v>78.71</v>
      </c>
      <c r="I731">
        <f t="shared" si="44"/>
        <v>47.541</v>
      </c>
      <c r="J731">
        <f t="shared" si="45"/>
        <v>49.608</v>
      </c>
      <c r="K731">
        <f t="shared" si="46"/>
        <v>53.742</v>
      </c>
      <c r="L731">
        <f t="shared" si="47"/>
        <v>57.876</v>
      </c>
    </row>
    <row r="732" spans="1:12">
      <c r="A732" t="s">
        <v>13</v>
      </c>
      <c r="B732" s="14" t="s">
        <v>1463</v>
      </c>
      <c r="C732" s="20" t="s">
        <v>1464</v>
      </c>
      <c r="D732" s="20" t="s">
        <v>1464</v>
      </c>
      <c r="E732" s="20" t="s">
        <v>1464</v>
      </c>
      <c r="F732" s="20" t="s">
        <v>1464</v>
      </c>
      <c r="G732">
        <v>61.75</v>
      </c>
      <c r="H732" s="1">
        <v>117.62</v>
      </c>
      <c r="I732">
        <f t="shared" si="44"/>
        <v>71.0125</v>
      </c>
      <c r="J732">
        <f t="shared" si="45"/>
        <v>74.1</v>
      </c>
      <c r="K732">
        <f t="shared" si="46"/>
        <v>80.275</v>
      </c>
      <c r="L732">
        <f t="shared" si="47"/>
        <v>86.45</v>
      </c>
    </row>
    <row r="733" spans="1:12">
      <c r="A733" t="s">
        <v>13</v>
      </c>
      <c r="B733" s="14" t="s">
        <v>1465</v>
      </c>
      <c r="C733" s="20" t="s">
        <v>1466</v>
      </c>
      <c r="D733" s="20" t="s">
        <v>1466</v>
      </c>
      <c r="E733" s="20" t="s">
        <v>1466</v>
      </c>
      <c r="F733" s="20" t="s">
        <v>1466</v>
      </c>
      <c r="G733">
        <v>80.07</v>
      </c>
      <c r="H733" s="1">
        <v>152.52</v>
      </c>
      <c r="I733">
        <f t="shared" si="44"/>
        <v>92.0805</v>
      </c>
      <c r="J733">
        <f t="shared" si="45"/>
        <v>96.084</v>
      </c>
      <c r="K733">
        <f t="shared" si="46"/>
        <v>104.091</v>
      </c>
      <c r="L733">
        <f t="shared" si="47"/>
        <v>112.098</v>
      </c>
    </row>
    <row r="734" spans="1:12">
      <c r="A734" t="s">
        <v>13</v>
      </c>
      <c r="B734" s="14" t="s">
        <v>1467</v>
      </c>
      <c r="C734" s="20" t="s">
        <v>1468</v>
      </c>
      <c r="D734" s="20" t="s">
        <v>1468</v>
      </c>
      <c r="E734" s="20" t="s">
        <v>1468</v>
      </c>
      <c r="F734" s="20" t="s">
        <v>1468</v>
      </c>
      <c r="G734">
        <v>33.98</v>
      </c>
      <c r="H734" s="1">
        <v>64.71</v>
      </c>
      <c r="I734">
        <f t="shared" si="44"/>
        <v>39.077</v>
      </c>
      <c r="J734">
        <f t="shared" si="45"/>
        <v>40.776</v>
      </c>
      <c r="K734">
        <f t="shared" si="46"/>
        <v>44.174</v>
      </c>
      <c r="L734">
        <f t="shared" si="47"/>
        <v>47.572</v>
      </c>
    </row>
    <row r="735" spans="1:12">
      <c r="A735" t="s">
        <v>13</v>
      </c>
      <c r="B735" s="14" t="s">
        <v>1469</v>
      </c>
      <c r="C735" s="20" t="s">
        <v>1470</v>
      </c>
      <c r="D735" s="20" t="s">
        <v>1470</v>
      </c>
      <c r="E735" s="20" t="s">
        <v>1470</v>
      </c>
      <c r="F735" s="20" t="s">
        <v>1470</v>
      </c>
      <c r="G735">
        <v>15</v>
      </c>
      <c r="H735" s="1">
        <v>28.59</v>
      </c>
      <c r="I735">
        <f t="shared" si="44"/>
        <v>17.25</v>
      </c>
      <c r="J735">
        <f t="shared" si="45"/>
        <v>18</v>
      </c>
      <c r="K735">
        <f t="shared" si="46"/>
        <v>19.5</v>
      </c>
      <c r="L735">
        <f t="shared" si="47"/>
        <v>21</v>
      </c>
    </row>
    <row r="736" spans="1:12">
      <c r="A736" t="s">
        <v>13</v>
      </c>
      <c r="B736" s="14" t="s">
        <v>1471</v>
      </c>
      <c r="C736" s="20" t="s">
        <v>1472</v>
      </c>
      <c r="D736" s="20" t="s">
        <v>1472</v>
      </c>
      <c r="E736" s="20" t="s">
        <v>1472</v>
      </c>
      <c r="F736" s="20" t="s">
        <v>1472</v>
      </c>
      <c r="G736">
        <v>14.55</v>
      </c>
      <c r="H736" s="1">
        <v>27.74</v>
      </c>
      <c r="I736">
        <f t="shared" si="44"/>
        <v>16.7325</v>
      </c>
      <c r="J736">
        <f t="shared" si="45"/>
        <v>17.46</v>
      </c>
      <c r="K736">
        <f t="shared" si="46"/>
        <v>18.915</v>
      </c>
      <c r="L736">
        <f t="shared" si="47"/>
        <v>20.37</v>
      </c>
    </row>
    <row r="737" spans="1:12">
      <c r="A737" t="s">
        <v>13</v>
      </c>
      <c r="B737" s="14" t="s">
        <v>1473</v>
      </c>
      <c r="C737" s="20" t="s">
        <v>1474</v>
      </c>
      <c r="D737" s="20" t="s">
        <v>1474</v>
      </c>
      <c r="E737" s="20" t="s">
        <v>1474</v>
      </c>
      <c r="F737" s="20" t="s">
        <v>1474</v>
      </c>
      <c r="G737">
        <v>33.98</v>
      </c>
      <c r="H737" s="1">
        <v>64.71</v>
      </c>
      <c r="I737">
        <f t="shared" si="44"/>
        <v>39.077</v>
      </c>
      <c r="J737">
        <f t="shared" si="45"/>
        <v>40.776</v>
      </c>
      <c r="K737">
        <f t="shared" si="46"/>
        <v>44.174</v>
      </c>
      <c r="L737">
        <f t="shared" si="47"/>
        <v>47.572</v>
      </c>
    </row>
    <row r="738" spans="1:12">
      <c r="A738" t="s">
        <v>13</v>
      </c>
      <c r="B738" s="14" t="s">
        <v>1475</v>
      </c>
      <c r="C738" s="20" t="s">
        <v>1476</v>
      </c>
      <c r="D738" s="20" t="s">
        <v>1476</v>
      </c>
      <c r="E738" s="20" t="s">
        <v>1476</v>
      </c>
      <c r="F738" s="20" t="s">
        <v>1476</v>
      </c>
      <c r="G738">
        <v>57.09</v>
      </c>
      <c r="H738" s="1">
        <v>108.73</v>
      </c>
      <c r="I738">
        <f t="shared" si="44"/>
        <v>65.6535</v>
      </c>
      <c r="J738">
        <f t="shared" si="45"/>
        <v>68.508</v>
      </c>
      <c r="K738">
        <f t="shared" si="46"/>
        <v>74.217</v>
      </c>
      <c r="L738">
        <f t="shared" si="47"/>
        <v>79.926</v>
      </c>
    </row>
    <row r="739" spans="1:12">
      <c r="A739" t="s">
        <v>13</v>
      </c>
      <c r="B739" s="14" t="s">
        <v>1477</v>
      </c>
      <c r="C739" s="20" t="s">
        <v>1478</v>
      </c>
      <c r="D739" s="20" t="s">
        <v>1478</v>
      </c>
      <c r="E739" s="20" t="s">
        <v>1478</v>
      </c>
      <c r="F739" s="20" t="s">
        <v>1478</v>
      </c>
      <c r="G739">
        <v>14.55</v>
      </c>
      <c r="H739" s="1">
        <v>27.74</v>
      </c>
      <c r="I739">
        <f t="shared" si="44"/>
        <v>16.7325</v>
      </c>
      <c r="J739">
        <f t="shared" si="45"/>
        <v>17.46</v>
      </c>
      <c r="K739">
        <f t="shared" si="46"/>
        <v>18.915</v>
      </c>
      <c r="L739">
        <f t="shared" si="47"/>
        <v>20.37</v>
      </c>
    </row>
    <row r="740" spans="1:12">
      <c r="A740" t="s">
        <v>13</v>
      </c>
      <c r="B740" s="14" t="s">
        <v>1479</v>
      </c>
      <c r="C740" s="20" t="s">
        <v>1480</v>
      </c>
      <c r="D740" s="20" t="s">
        <v>1480</v>
      </c>
      <c r="E740" s="20" t="s">
        <v>1480</v>
      </c>
      <c r="F740" s="20" t="s">
        <v>1480</v>
      </c>
      <c r="G740">
        <v>14.55</v>
      </c>
      <c r="H740" s="1">
        <v>27.74</v>
      </c>
      <c r="I740">
        <f t="shared" si="44"/>
        <v>16.7325</v>
      </c>
      <c r="J740">
        <f t="shared" si="45"/>
        <v>17.46</v>
      </c>
      <c r="K740">
        <f t="shared" si="46"/>
        <v>18.915</v>
      </c>
      <c r="L740">
        <f t="shared" si="47"/>
        <v>20.37</v>
      </c>
    </row>
    <row r="741" spans="1:12">
      <c r="A741" t="s">
        <v>13</v>
      </c>
      <c r="B741" s="14" t="s">
        <v>1481</v>
      </c>
      <c r="C741" s="20" t="s">
        <v>1482</v>
      </c>
      <c r="D741" s="20" t="s">
        <v>1482</v>
      </c>
      <c r="E741" s="20" t="s">
        <v>1482</v>
      </c>
      <c r="F741" s="20" t="s">
        <v>1482</v>
      </c>
      <c r="G741">
        <v>33.98</v>
      </c>
      <c r="H741" s="1">
        <v>64.71</v>
      </c>
      <c r="I741">
        <f t="shared" si="44"/>
        <v>39.077</v>
      </c>
      <c r="J741">
        <f t="shared" si="45"/>
        <v>40.776</v>
      </c>
      <c r="K741">
        <f t="shared" si="46"/>
        <v>44.174</v>
      </c>
      <c r="L741">
        <f t="shared" si="47"/>
        <v>47.572</v>
      </c>
    </row>
    <row r="742" spans="1:12">
      <c r="A742" t="s">
        <v>13</v>
      </c>
      <c r="B742" s="14" t="s">
        <v>1483</v>
      </c>
      <c r="C742" s="20" t="s">
        <v>1484</v>
      </c>
      <c r="D742" s="20" t="s">
        <v>1484</v>
      </c>
      <c r="E742" s="20" t="s">
        <v>1484</v>
      </c>
      <c r="F742" s="20" t="s">
        <v>1484</v>
      </c>
      <c r="G742">
        <v>57.09</v>
      </c>
      <c r="H742" s="1">
        <v>108.73</v>
      </c>
      <c r="I742">
        <f t="shared" si="44"/>
        <v>65.6535</v>
      </c>
      <c r="J742">
        <f t="shared" si="45"/>
        <v>68.508</v>
      </c>
      <c r="K742">
        <f t="shared" si="46"/>
        <v>74.217</v>
      </c>
      <c r="L742">
        <f t="shared" si="47"/>
        <v>79.926</v>
      </c>
    </row>
    <row r="743" spans="1:12">
      <c r="A743" t="s">
        <v>13</v>
      </c>
      <c r="B743" s="14" t="s">
        <v>1485</v>
      </c>
      <c r="C743" s="20" t="s">
        <v>1486</v>
      </c>
      <c r="D743" s="20" t="s">
        <v>1486</v>
      </c>
      <c r="E743" s="20" t="s">
        <v>1486</v>
      </c>
      <c r="F743" s="20" t="s">
        <v>1486</v>
      </c>
      <c r="G743">
        <v>14.55</v>
      </c>
      <c r="H743" s="1">
        <v>27.74</v>
      </c>
      <c r="I743">
        <f t="shared" si="44"/>
        <v>16.7325</v>
      </c>
      <c r="J743">
        <f t="shared" si="45"/>
        <v>17.46</v>
      </c>
      <c r="K743">
        <f t="shared" si="46"/>
        <v>18.915</v>
      </c>
      <c r="L743">
        <f t="shared" si="47"/>
        <v>20.37</v>
      </c>
    </row>
    <row r="744" spans="1:12">
      <c r="A744" t="s">
        <v>13</v>
      </c>
      <c r="B744" s="14" t="s">
        <v>1487</v>
      </c>
      <c r="C744" s="20" t="s">
        <v>1488</v>
      </c>
      <c r="D744" s="20" t="s">
        <v>1488</v>
      </c>
      <c r="E744" s="20" t="s">
        <v>1488</v>
      </c>
      <c r="F744" s="20" t="s">
        <v>1488</v>
      </c>
      <c r="G744">
        <v>33.98</v>
      </c>
      <c r="H744" s="1">
        <v>64.71</v>
      </c>
      <c r="I744">
        <f t="shared" si="44"/>
        <v>39.077</v>
      </c>
      <c r="J744">
        <f t="shared" si="45"/>
        <v>40.776</v>
      </c>
      <c r="K744">
        <f t="shared" si="46"/>
        <v>44.174</v>
      </c>
      <c r="L744">
        <f t="shared" si="47"/>
        <v>47.572</v>
      </c>
    </row>
    <row r="745" spans="1:12">
      <c r="A745" t="s">
        <v>13</v>
      </c>
      <c r="B745" s="14" t="s">
        <v>1489</v>
      </c>
      <c r="C745" s="20" t="s">
        <v>1490</v>
      </c>
      <c r="D745" s="20" t="s">
        <v>1490</v>
      </c>
      <c r="E745" s="20" t="s">
        <v>1490</v>
      </c>
      <c r="F745" s="20" t="s">
        <v>1490</v>
      </c>
      <c r="G745">
        <v>14.55</v>
      </c>
      <c r="H745" s="1">
        <v>27.74</v>
      </c>
      <c r="I745">
        <f t="shared" si="44"/>
        <v>16.7325</v>
      </c>
      <c r="J745">
        <f t="shared" si="45"/>
        <v>17.46</v>
      </c>
      <c r="K745">
        <f t="shared" si="46"/>
        <v>18.915</v>
      </c>
      <c r="L745">
        <f t="shared" si="47"/>
        <v>20.37</v>
      </c>
    </row>
    <row r="746" spans="1:12">
      <c r="A746" t="s">
        <v>13</v>
      </c>
      <c r="B746" s="14" t="s">
        <v>1491</v>
      </c>
      <c r="C746" s="20" t="s">
        <v>1492</v>
      </c>
      <c r="D746" s="20" t="s">
        <v>1492</v>
      </c>
      <c r="E746" s="20" t="s">
        <v>1492</v>
      </c>
      <c r="F746" s="20" t="s">
        <v>1492</v>
      </c>
      <c r="G746">
        <v>33.98</v>
      </c>
      <c r="H746" s="1">
        <v>64.71</v>
      </c>
      <c r="I746">
        <f t="shared" si="44"/>
        <v>39.077</v>
      </c>
      <c r="J746">
        <f t="shared" si="45"/>
        <v>40.776</v>
      </c>
      <c r="K746">
        <f t="shared" si="46"/>
        <v>44.174</v>
      </c>
      <c r="L746">
        <f t="shared" si="47"/>
        <v>47.572</v>
      </c>
    </row>
    <row r="747" spans="1:12">
      <c r="A747" t="s">
        <v>13</v>
      </c>
      <c r="B747" s="14" t="s">
        <v>1493</v>
      </c>
      <c r="C747" s="20" t="s">
        <v>1494</v>
      </c>
      <c r="D747" s="20" t="s">
        <v>1494</v>
      </c>
      <c r="E747" s="20" t="s">
        <v>1494</v>
      </c>
      <c r="F747" s="20" t="s">
        <v>1494</v>
      </c>
      <c r="G747">
        <v>57.09</v>
      </c>
      <c r="H747" s="1">
        <v>108.73</v>
      </c>
      <c r="I747">
        <f t="shared" si="44"/>
        <v>65.6535</v>
      </c>
      <c r="J747">
        <f t="shared" si="45"/>
        <v>68.508</v>
      </c>
      <c r="K747">
        <f t="shared" si="46"/>
        <v>74.217</v>
      </c>
      <c r="L747">
        <f t="shared" si="47"/>
        <v>79.926</v>
      </c>
    </row>
    <row r="748" spans="1:12">
      <c r="A748" t="s">
        <v>13</v>
      </c>
      <c r="B748" s="14" t="s">
        <v>1495</v>
      </c>
      <c r="C748" s="20" t="s">
        <v>1496</v>
      </c>
      <c r="D748" s="20" t="s">
        <v>1496</v>
      </c>
      <c r="E748" s="20" t="s">
        <v>1496</v>
      </c>
      <c r="F748" s="20" t="s">
        <v>1496</v>
      </c>
      <c r="G748">
        <v>14.55</v>
      </c>
      <c r="H748" s="1">
        <v>27.74</v>
      </c>
      <c r="I748">
        <f t="shared" si="44"/>
        <v>16.7325</v>
      </c>
      <c r="J748">
        <f t="shared" si="45"/>
        <v>17.46</v>
      </c>
      <c r="K748">
        <f t="shared" si="46"/>
        <v>18.915</v>
      </c>
      <c r="L748">
        <f t="shared" si="47"/>
        <v>20.37</v>
      </c>
    </row>
    <row r="749" spans="1:12">
      <c r="A749" t="s">
        <v>13</v>
      </c>
      <c r="B749" s="14" t="s">
        <v>1497</v>
      </c>
      <c r="C749" s="20" t="s">
        <v>1498</v>
      </c>
      <c r="D749" s="20" t="s">
        <v>1498</v>
      </c>
      <c r="E749" s="20" t="s">
        <v>1498</v>
      </c>
      <c r="F749" s="20" t="s">
        <v>1498</v>
      </c>
      <c r="G749">
        <v>49.06</v>
      </c>
      <c r="H749" s="1">
        <v>93.45</v>
      </c>
      <c r="I749">
        <f t="shared" si="44"/>
        <v>56.419</v>
      </c>
      <c r="J749">
        <f t="shared" si="45"/>
        <v>58.872</v>
      </c>
      <c r="K749">
        <f t="shared" si="46"/>
        <v>63.778</v>
      </c>
      <c r="L749">
        <f t="shared" si="47"/>
        <v>68.684</v>
      </c>
    </row>
    <row r="750" spans="1:12">
      <c r="A750" t="s">
        <v>13</v>
      </c>
      <c r="B750" s="14" t="s">
        <v>1499</v>
      </c>
      <c r="C750" s="20" t="s">
        <v>1500</v>
      </c>
      <c r="D750" s="20" t="s">
        <v>1500</v>
      </c>
      <c r="E750" s="20" t="s">
        <v>1500</v>
      </c>
      <c r="F750" s="20" t="s">
        <v>1500</v>
      </c>
      <c r="G750">
        <v>33.98</v>
      </c>
      <c r="H750" s="1">
        <v>64.71</v>
      </c>
      <c r="I750">
        <f t="shared" si="44"/>
        <v>39.077</v>
      </c>
      <c r="J750">
        <f t="shared" si="45"/>
        <v>40.776</v>
      </c>
      <c r="K750">
        <f t="shared" si="46"/>
        <v>44.174</v>
      </c>
      <c r="L750">
        <f t="shared" si="47"/>
        <v>47.572</v>
      </c>
    </row>
    <row r="751" spans="1:12">
      <c r="A751" t="s">
        <v>13</v>
      </c>
      <c r="B751" s="14" t="s">
        <v>1501</v>
      </c>
      <c r="C751" s="20" t="s">
        <v>1502</v>
      </c>
      <c r="D751" s="20" t="s">
        <v>1502</v>
      </c>
      <c r="E751" s="20" t="s">
        <v>1502</v>
      </c>
      <c r="F751" s="20" t="s">
        <v>1502</v>
      </c>
      <c r="G751">
        <v>14.55</v>
      </c>
      <c r="H751" s="1">
        <v>27.74</v>
      </c>
      <c r="I751">
        <f t="shared" si="44"/>
        <v>16.7325</v>
      </c>
      <c r="J751">
        <f t="shared" si="45"/>
        <v>17.46</v>
      </c>
      <c r="K751">
        <f t="shared" si="46"/>
        <v>18.915</v>
      </c>
      <c r="L751">
        <f t="shared" si="47"/>
        <v>20.37</v>
      </c>
    </row>
    <row r="752" spans="1:12">
      <c r="A752" t="s">
        <v>13</v>
      </c>
      <c r="B752" s="14" t="s">
        <v>1503</v>
      </c>
      <c r="C752" s="20" t="s">
        <v>1504</v>
      </c>
      <c r="D752" s="20" t="s">
        <v>1504</v>
      </c>
      <c r="E752" s="20" t="s">
        <v>1504</v>
      </c>
      <c r="F752" s="20" t="s">
        <v>1504</v>
      </c>
      <c r="G752">
        <v>33.98</v>
      </c>
      <c r="H752" s="1">
        <v>64.71</v>
      </c>
      <c r="I752">
        <f t="shared" si="44"/>
        <v>39.077</v>
      </c>
      <c r="J752">
        <f t="shared" si="45"/>
        <v>40.776</v>
      </c>
      <c r="K752">
        <f t="shared" si="46"/>
        <v>44.174</v>
      </c>
      <c r="L752">
        <f t="shared" si="47"/>
        <v>47.572</v>
      </c>
    </row>
    <row r="753" spans="1:12">
      <c r="A753" t="s">
        <v>13</v>
      </c>
      <c r="B753" s="14" t="s">
        <v>1505</v>
      </c>
      <c r="C753" s="20" t="s">
        <v>1506</v>
      </c>
      <c r="D753" s="20" t="s">
        <v>1506</v>
      </c>
      <c r="E753" s="20" t="s">
        <v>1506</v>
      </c>
      <c r="F753" s="20" t="s">
        <v>1506</v>
      </c>
      <c r="G753">
        <v>57.09</v>
      </c>
      <c r="H753" s="1">
        <v>108.73</v>
      </c>
      <c r="I753">
        <f t="shared" si="44"/>
        <v>65.6535</v>
      </c>
      <c r="J753">
        <f t="shared" si="45"/>
        <v>68.508</v>
      </c>
      <c r="K753">
        <f t="shared" si="46"/>
        <v>74.217</v>
      </c>
      <c r="L753">
        <f t="shared" si="47"/>
        <v>79.926</v>
      </c>
    </row>
    <row r="754" spans="1:12">
      <c r="A754" t="s">
        <v>13</v>
      </c>
      <c r="B754" s="14" t="s">
        <v>1507</v>
      </c>
      <c r="C754" s="20" t="s">
        <v>1508</v>
      </c>
      <c r="D754" s="20" t="s">
        <v>1508</v>
      </c>
      <c r="E754" s="20" t="s">
        <v>1508</v>
      </c>
      <c r="F754" s="20" t="s">
        <v>1508</v>
      </c>
      <c r="G754">
        <v>14.55</v>
      </c>
      <c r="H754" s="1">
        <v>27.74</v>
      </c>
      <c r="I754">
        <f t="shared" si="44"/>
        <v>16.7325</v>
      </c>
      <c r="J754">
        <f t="shared" si="45"/>
        <v>17.46</v>
      </c>
      <c r="K754">
        <f t="shared" si="46"/>
        <v>18.915</v>
      </c>
      <c r="L754">
        <f t="shared" si="47"/>
        <v>20.37</v>
      </c>
    </row>
    <row r="755" spans="1:12">
      <c r="A755" t="s">
        <v>13</v>
      </c>
      <c r="B755" s="14" t="s">
        <v>1509</v>
      </c>
      <c r="C755" s="20" t="s">
        <v>1510</v>
      </c>
      <c r="D755" s="20" t="s">
        <v>1510</v>
      </c>
      <c r="E755" s="20" t="s">
        <v>1510</v>
      </c>
      <c r="F755" s="20" t="s">
        <v>1510</v>
      </c>
      <c r="G755">
        <v>14.55</v>
      </c>
      <c r="H755" s="1">
        <v>27.74</v>
      </c>
      <c r="I755">
        <f t="shared" si="44"/>
        <v>16.7325</v>
      </c>
      <c r="J755">
        <f t="shared" si="45"/>
        <v>17.46</v>
      </c>
      <c r="K755">
        <f t="shared" si="46"/>
        <v>18.915</v>
      </c>
      <c r="L755">
        <f t="shared" si="47"/>
        <v>20.37</v>
      </c>
    </row>
    <row r="756" spans="1:12">
      <c r="A756" t="s">
        <v>13</v>
      </c>
      <c r="B756" s="14" t="s">
        <v>1511</v>
      </c>
      <c r="C756" s="20" t="s">
        <v>1512</v>
      </c>
      <c r="D756" s="20" t="s">
        <v>1512</v>
      </c>
      <c r="E756" s="20" t="s">
        <v>1512</v>
      </c>
      <c r="F756" s="20" t="s">
        <v>1512</v>
      </c>
      <c r="G756">
        <v>49.06</v>
      </c>
      <c r="H756" s="1">
        <v>93.45</v>
      </c>
      <c r="I756">
        <f t="shared" si="44"/>
        <v>56.419</v>
      </c>
      <c r="J756">
        <f t="shared" si="45"/>
        <v>58.872</v>
      </c>
      <c r="K756">
        <f t="shared" si="46"/>
        <v>63.778</v>
      </c>
      <c r="L756">
        <f t="shared" si="47"/>
        <v>68.684</v>
      </c>
    </row>
    <row r="757" spans="1:12">
      <c r="A757" t="s">
        <v>13</v>
      </c>
      <c r="B757" s="14" t="s">
        <v>1513</v>
      </c>
      <c r="C757" s="20" t="s">
        <v>1514</v>
      </c>
      <c r="D757" s="20" t="s">
        <v>1514</v>
      </c>
      <c r="E757" s="20" t="s">
        <v>1514</v>
      </c>
      <c r="F757" s="20" t="s">
        <v>1514</v>
      </c>
      <c r="G757">
        <v>33.98</v>
      </c>
      <c r="H757" s="1">
        <v>64.71</v>
      </c>
      <c r="I757">
        <f t="shared" si="44"/>
        <v>39.077</v>
      </c>
      <c r="J757">
        <f t="shared" si="45"/>
        <v>40.776</v>
      </c>
      <c r="K757">
        <f t="shared" si="46"/>
        <v>44.174</v>
      </c>
      <c r="L757">
        <f t="shared" si="47"/>
        <v>47.572</v>
      </c>
    </row>
    <row r="758" spans="1:12">
      <c r="A758" t="s">
        <v>13</v>
      </c>
      <c r="B758" s="14" t="s">
        <v>1515</v>
      </c>
      <c r="C758" s="20" t="s">
        <v>1516</v>
      </c>
      <c r="D758" s="20" t="s">
        <v>1516</v>
      </c>
      <c r="E758" s="20" t="s">
        <v>1516</v>
      </c>
      <c r="F758" s="20" t="s">
        <v>1516</v>
      </c>
      <c r="G758">
        <v>14.55</v>
      </c>
      <c r="H758" s="1">
        <v>27.74</v>
      </c>
      <c r="I758">
        <f t="shared" si="44"/>
        <v>16.7325</v>
      </c>
      <c r="J758">
        <f t="shared" si="45"/>
        <v>17.46</v>
      </c>
      <c r="K758">
        <f t="shared" si="46"/>
        <v>18.915</v>
      </c>
      <c r="L758">
        <f t="shared" si="47"/>
        <v>20.37</v>
      </c>
    </row>
    <row r="759" spans="1:12">
      <c r="A759" t="s">
        <v>13</v>
      </c>
      <c r="B759" s="14" t="s">
        <v>1517</v>
      </c>
      <c r="C759" s="20" t="s">
        <v>1518</v>
      </c>
      <c r="D759" s="20" t="s">
        <v>1518</v>
      </c>
      <c r="E759" s="20" t="s">
        <v>1518</v>
      </c>
      <c r="F759" s="20" t="s">
        <v>1518</v>
      </c>
      <c r="G759">
        <v>3.89</v>
      </c>
      <c r="H759" s="1">
        <v>7.4</v>
      </c>
      <c r="I759">
        <f t="shared" si="44"/>
        <v>4.4735</v>
      </c>
      <c r="J759">
        <f t="shared" si="45"/>
        <v>4.668</v>
      </c>
      <c r="K759">
        <f t="shared" si="46"/>
        <v>5.057</v>
      </c>
      <c r="L759">
        <f t="shared" si="47"/>
        <v>5.446</v>
      </c>
    </row>
    <row r="760" spans="1:12">
      <c r="A760" t="s">
        <v>13</v>
      </c>
      <c r="B760" s="14" t="s">
        <v>1519</v>
      </c>
      <c r="C760" s="20" t="s">
        <v>1520</v>
      </c>
      <c r="D760" s="20" t="s">
        <v>1520</v>
      </c>
      <c r="E760" s="20" t="s">
        <v>1520</v>
      </c>
      <c r="F760" s="20" t="s">
        <v>1520</v>
      </c>
      <c r="G760">
        <v>24.92</v>
      </c>
      <c r="H760" s="1">
        <v>55.37</v>
      </c>
      <c r="I760">
        <f t="shared" si="44"/>
        <v>28.658</v>
      </c>
      <c r="J760">
        <f t="shared" si="45"/>
        <v>29.904</v>
      </c>
      <c r="K760">
        <f t="shared" si="46"/>
        <v>32.396</v>
      </c>
      <c r="L760">
        <f t="shared" si="47"/>
        <v>34.888</v>
      </c>
    </row>
    <row r="761" spans="1:12">
      <c r="A761" t="s">
        <v>13</v>
      </c>
      <c r="B761" s="14" t="s">
        <v>1521</v>
      </c>
      <c r="C761" s="20" t="s">
        <v>1522</v>
      </c>
      <c r="D761" s="20" t="s">
        <v>1522</v>
      </c>
      <c r="E761" s="20" t="s">
        <v>1522</v>
      </c>
      <c r="F761" s="20" t="s">
        <v>1522</v>
      </c>
      <c r="G761">
        <v>30.21</v>
      </c>
      <c r="H761" s="1">
        <v>67.15</v>
      </c>
      <c r="I761">
        <f t="shared" si="44"/>
        <v>34.7415</v>
      </c>
      <c r="J761">
        <f t="shared" si="45"/>
        <v>36.252</v>
      </c>
      <c r="K761">
        <f t="shared" si="46"/>
        <v>39.273</v>
      </c>
      <c r="L761">
        <f t="shared" si="47"/>
        <v>42.294</v>
      </c>
    </row>
    <row r="762" spans="1:12">
      <c r="A762" t="s">
        <v>13</v>
      </c>
      <c r="B762" s="14" t="s">
        <v>1523</v>
      </c>
      <c r="C762" s="20" t="s">
        <v>1524</v>
      </c>
      <c r="D762" s="20" t="s">
        <v>1524</v>
      </c>
      <c r="E762" s="20" t="s">
        <v>1524</v>
      </c>
      <c r="F762" s="20" t="s">
        <v>1524</v>
      </c>
      <c r="G762">
        <v>34.56</v>
      </c>
      <c r="H762" s="1">
        <v>76.8</v>
      </c>
      <c r="I762">
        <f t="shared" si="44"/>
        <v>39.744</v>
      </c>
      <c r="J762">
        <f t="shared" si="45"/>
        <v>41.472</v>
      </c>
      <c r="K762">
        <f t="shared" si="46"/>
        <v>44.928</v>
      </c>
      <c r="L762">
        <f t="shared" si="47"/>
        <v>48.384</v>
      </c>
    </row>
    <row r="763" spans="1:12">
      <c r="A763" t="s">
        <v>13</v>
      </c>
      <c r="B763" s="14" t="s">
        <v>1525</v>
      </c>
      <c r="C763" s="20" t="s">
        <v>1526</v>
      </c>
      <c r="D763" s="20" t="s">
        <v>1526</v>
      </c>
      <c r="E763" s="20" t="s">
        <v>1526</v>
      </c>
      <c r="F763" s="20" t="s">
        <v>1526</v>
      </c>
      <c r="G763">
        <v>135.67</v>
      </c>
      <c r="H763" s="1">
        <v>301.49</v>
      </c>
      <c r="I763">
        <f t="shared" si="44"/>
        <v>156.0205</v>
      </c>
      <c r="J763">
        <f t="shared" si="45"/>
        <v>162.804</v>
      </c>
      <c r="K763">
        <f t="shared" si="46"/>
        <v>176.371</v>
      </c>
      <c r="L763">
        <f t="shared" si="47"/>
        <v>189.938</v>
      </c>
    </row>
    <row r="764" spans="1:12">
      <c r="A764" t="s">
        <v>13</v>
      </c>
      <c r="B764" s="14" t="s">
        <v>1527</v>
      </c>
      <c r="C764" s="20" t="s">
        <v>1528</v>
      </c>
      <c r="D764" s="20" t="s">
        <v>1528</v>
      </c>
      <c r="E764" s="20" t="s">
        <v>1528</v>
      </c>
      <c r="F764" s="20" t="s">
        <v>1528</v>
      </c>
      <c r="G764">
        <v>225.74</v>
      </c>
      <c r="H764" s="1">
        <v>501.65</v>
      </c>
      <c r="I764">
        <f t="shared" si="44"/>
        <v>259.601</v>
      </c>
      <c r="J764">
        <f t="shared" si="45"/>
        <v>270.888</v>
      </c>
      <c r="K764">
        <f t="shared" si="46"/>
        <v>293.462</v>
      </c>
      <c r="L764">
        <f t="shared" si="47"/>
        <v>316.036</v>
      </c>
    </row>
    <row r="765" spans="1:12">
      <c r="A765" t="s">
        <v>13</v>
      </c>
      <c r="B765" s="14" t="s">
        <v>1529</v>
      </c>
      <c r="C765" s="20" t="s">
        <v>1530</v>
      </c>
      <c r="D765" s="20" t="s">
        <v>1530</v>
      </c>
      <c r="E765" s="20" t="s">
        <v>1530</v>
      </c>
      <c r="F765" s="20" t="s">
        <v>1530</v>
      </c>
      <c r="G765">
        <v>339.22</v>
      </c>
      <c r="H765" s="1">
        <v>753.8</v>
      </c>
      <c r="I765">
        <f t="shared" si="44"/>
        <v>390.103</v>
      </c>
      <c r="J765">
        <f t="shared" si="45"/>
        <v>407.064</v>
      </c>
      <c r="K765">
        <f t="shared" si="46"/>
        <v>440.986</v>
      </c>
      <c r="L765">
        <f t="shared" si="47"/>
        <v>474.908</v>
      </c>
    </row>
    <row r="766" spans="1:12">
      <c r="A766" t="s">
        <v>13</v>
      </c>
      <c r="B766" s="14" t="s">
        <v>1531</v>
      </c>
      <c r="C766" s="20" t="s">
        <v>1532</v>
      </c>
      <c r="D766" s="20" t="s">
        <v>1532</v>
      </c>
      <c r="E766" s="20" t="s">
        <v>1532</v>
      </c>
      <c r="F766" s="20" t="s">
        <v>1532</v>
      </c>
      <c r="G766">
        <v>175.3</v>
      </c>
      <c r="H766" s="1">
        <v>389.55</v>
      </c>
      <c r="I766">
        <f t="shared" si="44"/>
        <v>201.595</v>
      </c>
      <c r="J766">
        <f t="shared" si="45"/>
        <v>210.36</v>
      </c>
      <c r="K766">
        <f t="shared" si="46"/>
        <v>227.89</v>
      </c>
      <c r="L766">
        <f t="shared" si="47"/>
        <v>245.42</v>
      </c>
    </row>
    <row r="767" spans="1:12">
      <c r="A767" t="s">
        <v>13</v>
      </c>
      <c r="B767" s="14" t="s">
        <v>1533</v>
      </c>
      <c r="C767" s="20" t="s">
        <v>1534</v>
      </c>
      <c r="D767" s="20" t="s">
        <v>1534</v>
      </c>
      <c r="E767" s="20" t="s">
        <v>1534</v>
      </c>
      <c r="F767" s="20" t="s">
        <v>1534</v>
      </c>
      <c r="G767">
        <v>130.87</v>
      </c>
      <c r="H767" s="1">
        <v>290.82</v>
      </c>
      <c r="I767">
        <f t="shared" si="44"/>
        <v>150.5005</v>
      </c>
      <c r="J767">
        <f t="shared" si="45"/>
        <v>157.044</v>
      </c>
      <c r="K767">
        <f t="shared" si="46"/>
        <v>170.131</v>
      </c>
      <c r="L767">
        <f t="shared" si="47"/>
        <v>183.218</v>
      </c>
    </row>
    <row r="768" spans="1:12">
      <c r="A768" t="s">
        <v>13</v>
      </c>
      <c r="B768" s="14" t="s">
        <v>1535</v>
      </c>
      <c r="C768" s="20" t="s">
        <v>1536</v>
      </c>
      <c r="D768" s="20" t="s">
        <v>1536</v>
      </c>
      <c r="E768" s="20" t="s">
        <v>1536</v>
      </c>
      <c r="F768" s="20" t="s">
        <v>1536</v>
      </c>
      <c r="G768">
        <v>24.44</v>
      </c>
      <c r="H768" s="1">
        <v>54.32</v>
      </c>
      <c r="I768">
        <f t="shared" si="44"/>
        <v>28.106</v>
      </c>
      <c r="J768">
        <f t="shared" si="45"/>
        <v>29.328</v>
      </c>
      <c r="K768">
        <f t="shared" si="46"/>
        <v>31.772</v>
      </c>
      <c r="L768">
        <f t="shared" si="47"/>
        <v>34.216</v>
      </c>
    </row>
    <row r="769" spans="1:12">
      <c r="A769" t="s">
        <v>13</v>
      </c>
      <c r="B769" s="14" t="s">
        <v>1537</v>
      </c>
      <c r="C769" s="20" t="s">
        <v>1538</v>
      </c>
      <c r="D769" s="20" t="s">
        <v>1538</v>
      </c>
      <c r="E769" s="20" t="s">
        <v>1538</v>
      </c>
      <c r="F769" s="20" t="s">
        <v>1538</v>
      </c>
      <c r="G769">
        <v>11.17</v>
      </c>
      <c r="H769" s="1">
        <v>24.78</v>
      </c>
      <c r="I769">
        <f t="shared" si="44"/>
        <v>12.8455</v>
      </c>
      <c r="J769">
        <f t="shared" si="45"/>
        <v>13.404</v>
      </c>
      <c r="K769">
        <f t="shared" si="46"/>
        <v>14.521</v>
      </c>
      <c r="L769">
        <f t="shared" si="47"/>
        <v>15.638</v>
      </c>
    </row>
    <row r="770" spans="1:12">
      <c r="A770" t="s">
        <v>13</v>
      </c>
      <c r="B770" s="14" t="s">
        <v>1539</v>
      </c>
      <c r="C770" s="20" t="s">
        <v>1540</v>
      </c>
      <c r="D770" s="20" t="s">
        <v>1540</v>
      </c>
      <c r="E770" s="20" t="s">
        <v>1540</v>
      </c>
      <c r="F770" s="20" t="s">
        <v>1540</v>
      </c>
      <c r="G770">
        <v>33.64</v>
      </c>
      <c r="H770" s="1">
        <v>74.73</v>
      </c>
      <c r="I770">
        <f t="shared" ref="I770:I833" si="48">G770*1.15</f>
        <v>38.686</v>
      </c>
      <c r="J770">
        <f t="shared" ref="J770:J833" si="49">G770*1.2</f>
        <v>40.368</v>
      </c>
      <c r="K770">
        <f t="shared" ref="K770:K833" si="50">G770*1.3</f>
        <v>43.732</v>
      </c>
      <c r="L770">
        <f t="shared" ref="L770:L833" si="51">G770*1.4</f>
        <v>47.096</v>
      </c>
    </row>
    <row r="771" ht="28.5" spans="1:12">
      <c r="A771" t="s">
        <v>13</v>
      </c>
      <c r="B771" s="14" t="s">
        <v>1541</v>
      </c>
      <c r="C771" s="20" t="s">
        <v>1542</v>
      </c>
      <c r="D771" s="20" t="s">
        <v>1542</v>
      </c>
      <c r="E771" s="20" t="s">
        <v>1542</v>
      </c>
      <c r="F771" s="20" t="s">
        <v>1542</v>
      </c>
      <c r="G771">
        <v>36.65</v>
      </c>
      <c r="H771" s="1">
        <v>81.45</v>
      </c>
      <c r="I771">
        <f t="shared" si="48"/>
        <v>42.1475</v>
      </c>
      <c r="J771">
        <f t="shared" si="49"/>
        <v>43.98</v>
      </c>
      <c r="K771">
        <f t="shared" si="50"/>
        <v>47.645</v>
      </c>
      <c r="L771">
        <f t="shared" si="51"/>
        <v>51.31</v>
      </c>
    </row>
    <row r="772" spans="1:12">
      <c r="A772" t="s">
        <v>13</v>
      </c>
      <c r="B772" s="14" t="s">
        <v>1543</v>
      </c>
      <c r="C772" s="20" t="s">
        <v>1544</v>
      </c>
      <c r="D772" s="20" t="s">
        <v>1544</v>
      </c>
      <c r="E772" s="20" t="s">
        <v>1544</v>
      </c>
      <c r="F772" s="20" t="s">
        <v>1544</v>
      </c>
      <c r="G772">
        <v>40.08</v>
      </c>
      <c r="H772" s="1">
        <v>89.07</v>
      </c>
      <c r="I772">
        <f t="shared" si="48"/>
        <v>46.092</v>
      </c>
      <c r="J772">
        <f t="shared" si="49"/>
        <v>48.096</v>
      </c>
      <c r="K772">
        <f t="shared" si="50"/>
        <v>52.104</v>
      </c>
      <c r="L772">
        <f t="shared" si="51"/>
        <v>56.112</v>
      </c>
    </row>
    <row r="773" spans="1:12">
      <c r="A773" t="s">
        <v>13</v>
      </c>
      <c r="B773" s="14" t="s">
        <v>1545</v>
      </c>
      <c r="C773" s="20" t="s">
        <v>1546</v>
      </c>
      <c r="D773" s="20" t="s">
        <v>1546</v>
      </c>
      <c r="E773" s="20" t="s">
        <v>1546</v>
      </c>
      <c r="F773" s="20" t="s">
        <v>1546</v>
      </c>
      <c r="G773">
        <v>39.95</v>
      </c>
      <c r="H773" s="1">
        <v>88.78</v>
      </c>
      <c r="I773">
        <f t="shared" si="48"/>
        <v>45.9425</v>
      </c>
      <c r="J773">
        <f t="shared" si="49"/>
        <v>47.94</v>
      </c>
      <c r="K773">
        <f t="shared" si="50"/>
        <v>51.935</v>
      </c>
      <c r="L773">
        <f t="shared" si="51"/>
        <v>55.93</v>
      </c>
    </row>
    <row r="774" ht="28.5" spans="1:12">
      <c r="A774" t="s">
        <v>13</v>
      </c>
      <c r="B774" s="14" t="s">
        <v>1547</v>
      </c>
      <c r="C774" s="20" t="s">
        <v>1548</v>
      </c>
      <c r="D774" s="20" t="s">
        <v>1548</v>
      </c>
      <c r="E774" s="20" t="s">
        <v>1548</v>
      </c>
      <c r="F774" s="20" t="s">
        <v>1548</v>
      </c>
      <c r="G774">
        <v>41.68</v>
      </c>
      <c r="H774" s="1">
        <v>92.61</v>
      </c>
      <c r="I774">
        <f t="shared" si="48"/>
        <v>47.932</v>
      </c>
      <c r="J774">
        <f t="shared" si="49"/>
        <v>50.016</v>
      </c>
      <c r="K774">
        <f t="shared" si="50"/>
        <v>54.184</v>
      </c>
      <c r="L774">
        <f t="shared" si="51"/>
        <v>58.352</v>
      </c>
    </row>
    <row r="775" spans="1:12">
      <c r="A775" t="s">
        <v>13</v>
      </c>
      <c r="B775" s="14" t="s">
        <v>1549</v>
      </c>
      <c r="C775" s="20" t="s">
        <v>1550</v>
      </c>
      <c r="D775" s="20" t="s">
        <v>1550</v>
      </c>
      <c r="E775" s="20" t="s">
        <v>1550</v>
      </c>
      <c r="F775" s="20" t="s">
        <v>1550</v>
      </c>
      <c r="G775">
        <v>40.98</v>
      </c>
      <c r="H775" s="1">
        <v>91.07</v>
      </c>
      <c r="I775">
        <f t="shared" si="48"/>
        <v>47.127</v>
      </c>
      <c r="J775">
        <f t="shared" si="49"/>
        <v>49.176</v>
      </c>
      <c r="K775">
        <f t="shared" si="50"/>
        <v>53.274</v>
      </c>
      <c r="L775">
        <f t="shared" si="51"/>
        <v>57.372</v>
      </c>
    </row>
    <row r="776" ht="28.5" spans="1:12">
      <c r="A776" t="s">
        <v>13</v>
      </c>
      <c r="B776" s="14" t="s">
        <v>1551</v>
      </c>
      <c r="C776" s="20" t="s">
        <v>1552</v>
      </c>
      <c r="D776" s="20" t="s">
        <v>1552</v>
      </c>
      <c r="E776" s="20" t="s">
        <v>1552</v>
      </c>
      <c r="F776" s="20" t="s">
        <v>1552</v>
      </c>
      <c r="G776">
        <v>35.36</v>
      </c>
      <c r="H776" s="1">
        <v>78.57</v>
      </c>
      <c r="I776">
        <f t="shared" si="48"/>
        <v>40.664</v>
      </c>
      <c r="J776">
        <f t="shared" si="49"/>
        <v>42.432</v>
      </c>
      <c r="K776">
        <f t="shared" si="50"/>
        <v>45.968</v>
      </c>
      <c r="L776">
        <f t="shared" si="51"/>
        <v>49.504</v>
      </c>
    </row>
    <row r="777" spans="1:12">
      <c r="A777" t="s">
        <v>13</v>
      </c>
      <c r="B777" s="14" t="s">
        <v>1553</v>
      </c>
      <c r="C777" s="20" t="s">
        <v>1554</v>
      </c>
      <c r="D777" s="20" t="s">
        <v>1554</v>
      </c>
      <c r="E777" s="20" t="s">
        <v>1554</v>
      </c>
      <c r="F777" s="20" t="s">
        <v>1554</v>
      </c>
      <c r="G777">
        <v>50.73</v>
      </c>
      <c r="H777" s="1">
        <v>112.74</v>
      </c>
      <c r="I777">
        <f t="shared" si="48"/>
        <v>58.3395</v>
      </c>
      <c r="J777">
        <f t="shared" si="49"/>
        <v>60.876</v>
      </c>
      <c r="K777">
        <f t="shared" si="50"/>
        <v>65.949</v>
      </c>
      <c r="L777">
        <f t="shared" si="51"/>
        <v>71.022</v>
      </c>
    </row>
    <row r="778" ht="28.5" spans="1:12">
      <c r="A778" t="s">
        <v>13</v>
      </c>
      <c r="B778" s="14" t="s">
        <v>1555</v>
      </c>
      <c r="C778" s="20" t="s">
        <v>1556</v>
      </c>
      <c r="D778" s="20" t="s">
        <v>1556</v>
      </c>
      <c r="E778" s="20" t="s">
        <v>1556</v>
      </c>
      <c r="F778" s="20" t="s">
        <v>1556</v>
      </c>
      <c r="G778">
        <v>46.94</v>
      </c>
      <c r="H778" s="1">
        <v>104.32</v>
      </c>
      <c r="I778">
        <f t="shared" si="48"/>
        <v>53.981</v>
      </c>
      <c r="J778">
        <f t="shared" si="49"/>
        <v>56.328</v>
      </c>
      <c r="K778">
        <f t="shared" si="50"/>
        <v>61.022</v>
      </c>
      <c r="L778">
        <f t="shared" si="51"/>
        <v>65.716</v>
      </c>
    </row>
    <row r="779" ht="28.5" spans="1:12">
      <c r="A779" t="s">
        <v>13</v>
      </c>
      <c r="B779" s="14" t="s">
        <v>1557</v>
      </c>
      <c r="C779" s="20" t="s">
        <v>1558</v>
      </c>
      <c r="D779" s="20" t="s">
        <v>1558</v>
      </c>
      <c r="E779" s="20" t="s">
        <v>1558</v>
      </c>
      <c r="F779" s="20" t="s">
        <v>1558</v>
      </c>
      <c r="G779">
        <v>40.98</v>
      </c>
      <c r="H779" s="1">
        <v>91.07</v>
      </c>
      <c r="I779">
        <f t="shared" si="48"/>
        <v>47.127</v>
      </c>
      <c r="J779">
        <f t="shared" si="49"/>
        <v>49.176</v>
      </c>
      <c r="K779">
        <f t="shared" si="50"/>
        <v>53.274</v>
      </c>
      <c r="L779">
        <f t="shared" si="51"/>
        <v>57.372</v>
      </c>
    </row>
    <row r="780" spans="1:12">
      <c r="A780" t="s">
        <v>13</v>
      </c>
      <c r="B780" s="14" t="s">
        <v>1559</v>
      </c>
      <c r="C780" s="20" t="s">
        <v>1560</v>
      </c>
      <c r="D780" s="20" t="s">
        <v>1560</v>
      </c>
      <c r="E780" s="20" t="s">
        <v>1560</v>
      </c>
      <c r="F780" s="20" t="s">
        <v>1560</v>
      </c>
      <c r="G780">
        <v>49.79</v>
      </c>
      <c r="H780" s="1">
        <v>110.63</v>
      </c>
      <c r="I780">
        <f t="shared" si="48"/>
        <v>57.2585</v>
      </c>
      <c r="J780">
        <f t="shared" si="49"/>
        <v>59.748</v>
      </c>
      <c r="K780">
        <f t="shared" si="50"/>
        <v>64.727</v>
      </c>
      <c r="L780">
        <f t="shared" si="51"/>
        <v>69.706</v>
      </c>
    </row>
    <row r="781" spans="1:12">
      <c r="A781" t="s">
        <v>13</v>
      </c>
      <c r="B781" s="14" t="s">
        <v>1561</v>
      </c>
      <c r="C781" s="20" t="s">
        <v>1562</v>
      </c>
      <c r="D781" s="20" t="s">
        <v>1562</v>
      </c>
      <c r="E781" s="20" t="s">
        <v>1562</v>
      </c>
      <c r="F781" s="20" t="s">
        <v>1562</v>
      </c>
      <c r="G781">
        <v>44.22</v>
      </c>
      <c r="H781" s="1">
        <v>98.28</v>
      </c>
      <c r="I781">
        <f t="shared" si="48"/>
        <v>50.853</v>
      </c>
      <c r="J781">
        <f t="shared" si="49"/>
        <v>53.064</v>
      </c>
      <c r="K781">
        <f t="shared" si="50"/>
        <v>57.486</v>
      </c>
      <c r="L781">
        <f t="shared" si="51"/>
        <v>61.908</v>
      </c>
    </row>
    <row r="782" ht="28.5" spans="1:12">
      <c r="A782" t="s">
        <v>13</v>
      </c>
      <c r="B782" s="14" t="s">
        <v>1563</v>
      </c>
      <c r="C782" s="20" t="s">
        <v>1564</v>
      </c>
      <c r="D782" s="20" t="s">
        <v>1564</v>
      </c>
      <c r="E782" s="20" t="s">
        <v>1564</v>
      </c>
      <c r="F782" s="20" t="s">
        <v>1564</v>
      </c>
      <c r="G782">
        <v>46.29</v>
      </c>
      <c r="H782" s="1">
        <v>102.87</v>
      </c>
      <c r="I782">
        <f t="shared" si="48"/>
        <v>53.2335</v>
      </c>
      <c r="J782">
        <f t="shared" si="49"/>
        <v>55.548</v>
      </c>
      <c r="K782">
        <f t="shared" si="50"/>
        <v>60.177</v>
      </c>
      <c r="L782">
        <f t="shared" si="51"/>
        <v>64.806</v>
      </c>
    </row>
    <row r="783" spans="1:12">
      <c r="A783" t="s">
        <v>13</v>
      </c>
      <c r="B783" s="14" t="s">
        <v>1565</v>
      </c>
      <c r="C783" s="20" t="s">
        <v>1566</v>
      </c>
      <c r="D783" s="20" t="s">
        <v>1566</v>
      </c>
      <c r="E783" s="20" t="s">
        <v>1566</v>
      </c>
      <c r="F783" s="20" t="s">
        <v>1566</v>
      </c>
      <c r="G783">
        <v>54.55</v>
      </c>
      <c r="H783" s="1">
        <v>121.22</v>
      </c>
      <c r="I783">
        <f t="shared" si="48"/>
        <v>62.7325</v>
      </c>
      <c r="J783">
        <f t="shared" si="49"/>
        <v>65.46</v>
      </c>
      <c r="K783">
        <f t="shared" si="50"/>
        <v>70.915</v>
      </c>
      <c r="L783">
        <f t="shared" si="51"/>
        <v>76.37</v>
      </c>
    </row>
    <row r="784" ht="28.5" spans="1:12">
      <c r="A784" t="s">
        <v>13</v>
      </c>
      <c r="B784" s="14" t="s">
        <v>1567</v>
      </c>
      <c r="C784" s="20" t="s">
        <v>1568</v>
      </c>
      <c r="D784" s="20" t="s">
        <v>1568</v>
      </c>
      <c r="E784" s="20" t="s">
        <v>1568</v>
      </c>
      <c r="F784" s="20" t="s">
        <v>1568</v>
      </c>
      <c r="G784">
        <v>54.55</v>
      </c>
      <c r="H784" s="1">
        <v>121.22</v>
      </c>
      <c r="I784">
        <f t="shared" si="48"/>
        <v>62.7325</v>
      </c>
      <c r="J784">
        <f t="shared" si="49"/>
        <v>65.46</v>
      </c>
      <c r="K784">
        <f t="shared" si="50"/>
        <v>70.915</v>
      </c>
      <c r="L784">
        <f t="shared" si="51"/>
        <v>76.37</v>
      </c>
    </row>
    <row r="785" ht="28.5" spans="1:12">
      <c r="A785" t="s">
        <v>13</v>
      </c>
      <c r="B785" s="14" t="s">
        <v>1569</v>
      </c>
      <c r="C785" s="20" t="s">
        <v>1570</v>
      </c>
      <c r="D785" s="20" t="s">
        <v>1570</v>
      </c>
      <c r="E785" s="20" t="s">
        <v>1570</v>
      </c>
      <c r="F785" s="20" t="s">
        <v>1570</v>
      </c>
      <c r="G785">
        <v>47.42</v>
      </c>
      <c r="H785" s="1">
        <v>105.36</v>
      </c>
      <c r="I785">
        <f t="shared" si="48"/>
        <v>54.533</v>
      </c>
      <c r="J785">
        <f t="shared" si="49"/>
        <v>56.904</v>
      </c>
      <c r="K785">
        <f t="shared" si="50"/>
        <v>61.646</v>
      </c>
      <c r="L785">
        <f t="shared" si="51"/>
        <v>66.388</v>
      </c>
    </row>
    <row r="786" spans="1:12">
      <c r="A786" t="s">
        <v>13</v>
      </c>
      <c r="B786" s="14" t="s">
        <v>1571</v>
      </c>
      <c r="C786" s="20" t="s">
        <v>1572</v>
      </c>
      <c r="D786" s="20" t="s">
        <v>1572</v>
      </c>
      <c r="E786" s="20" t="s">
        <v>1572</v>
      </c>
      <c r="F786" s="20" t="s">
        <v>1572</v>
      </c>
      <c r="G786">
        <v>3.35</v>
      </c>
      <c r="H786" s="1">
        <v>6.39</v>
      </c>
      <c r="I786">
        <f t="shared" si="48"/>
        <v>3.8525</v>
      </c>
      <c r="J786">
        <f t="shared" si="49"/>
        <v>4.02</v>
      </c>
      <c r="K786">
        <f t="shared" si="50"/>
        <v>4.355</v>
      </c>
      <c r="L786">
        <f t="shared" si="51"/>
        <v>4.69</v>
      </c>
    </row>
    <row r="787" spans="1:12">
      <c r="A787" t="s">
        <v>13</v>
      </c>
      <c r="B787" s="14" t="s">
        <v>1573</v>
      </c>
      <c r="C787" s="20" t="s">
        <v>1574</v>
      </c>
      <c r="D787" s="20" t="s">
        <v>1574</v>
      </c>
      <c r="E787" s="20" t="s">
        <v>1574</v>
      </c>
      <c r="F787" s="20" t="s">
        <v>1574</v>
      </c>
      <c r="G787">
        <v>6.11</v>
      </c>
      <c r="H787" s="1">
        <v>11.64</v>
      </c>
      <c r="I787">
        <f t="shared" si="48"/>
        <v>7.0265</v>
      </c>
      <c r="J787">
        <f t="shared" si="49"/>
        <v>7.332</v>
      </c>
      <c r="K787">
        <f t="shared" si="50"/>
        <v>7.943</v>
      </c>
      <c r="L787">
        <f t="shared" si="51"/>
        <v>8.554</v>
      </c>
    </row>
    <row r="788" spans="1:12">
      <c r="A788" t="s">
        <v>13</v>
      </c>
      <c r="B788" s="14" t="s">
        <v>1575</v>
      </c>
      <c r="C788" s="20" t="s">
        <v>1576</v>
      </c>
      <c r="D788" s="20" t="s">
        <v>1576</v>
      </c>
      <c r="E788" s="20" t="s">
        <v>1576</v>
      </c>
      <c r="F788" s="20" t="s">
        <v>1576</v>
      </c>
      <c r="G788">
        <v>3.35</v>
      </c>
      <c r="H788" s="1">
        <v>6.39</v>
      </c>
      <c r="I788">
        <f t="shared" si="48"/>
        <v>3.8525</v>
      </c>
      <c r="J788">
        <f t="shared" si="49"/>
        <v>4.02</v>
      </c>
      <c r="K788">
        <f t="shared" si="50"/>
        <v>4.355</v>
      </c>
      <c r="L788">
        <f t="shared" si="51"/>
        <v>4.69</v>
      </c>
    </row>
    <row r="789" spans="1:12">
      <c r="A789" t="s">
        <v>13</v>
      </c>
      <c r="B789" s="14" t="s">
        <v>1577</v>
      </c>
      <c r="C789" s="20" t="s">
        <v>1578</v>
      </c>
      <c r="D789" s="20" t="s">
        <v>1578</v>
      </c>
      <c r="E789" s="20" t="s">
        <v>1578</v>
      </c>
      <c r="F789" s="20" t="s">
        <v>1578</v>
      </c>
      <c r="G789">
        <v>7.14</v>
      </c>
      <c r="H789" s="1">
        <v>13.58</v>
      </c>
      <c r="I789">
        <f t="shared" si="48"/>
        <v>8.211</v>
      </c>
      <c r="J789">
        <f t="shared" si="49"/>
        <v>8.568</v>
      </c>
      <c r="K789">
        <f t="shared" si="50"/>
        <v>9.282</v>
      </c>
      <c r="L789">
        <f t="shared" si="51"/>
        <v>9.996</v>
      </c>
    </row>
    <row r="790" spans="1:12">
      <c r="A790" t="s">
        <v>13</v>
      </c>
      <c r="B790" s="14" t="s">
        <v>1579</v>
      </c>
      <c r="C790" s="20" t="s">
        <v>1580</v>
      </c>
      <c r="D790" s="20" t="s">
        <v>1580</v>
      </c>
      <c r="E790" s="20" t="s">
        <v>1580</v>
      </c>
      <c r="F790" s="20" t="s">
        <v>1580</v>
      </c>
      <c r="G790">
        <v>3.59</v>
      </c>
      <c r="H790" s="1">
        <v>6.85</v>
      </c>
      <c r="I790">
        <f t="shared" si="48"/>
        <v>4.1285</v>
      </c>
      <c r="J790">
        <f t="shared" si="49"/>
        <v>4.308</v>
      </c>
      <c r="K790">
        <f t="shared" si="50"/>
        <v>4.667</v>
      </c>
      <c r="L790">
        <f t="shared" si="51"/>
        <v>5.026</v>
      </c>
    </row>
    <row r="791" spans="1:12">
      <c r="A791" t="s">
        <v>13</v>
      </c>
      <c r="B791" s="14" t="s">
        <v>1581</v>
      </c>
      <c r="C791" s="20" t="s">
        <v>1582</v>
      </c>
      <c r="D791" s="20" t="s">
        <v>1582</v>
      </c>
      <c r="E791" s="20" t="s">
        <v>1582</v>
      </c>
      <c r="F791" s="20" t="s">
        <v>1582</v>
      </c>
      <c r="G791">
        <v>6.16</v>
      </c>
      <c r="H791" s="1">
        <v>11.75</v>
      </c>
      <c r="I791">
        <f t="shared" si="48"/>
        <v>7.084</v>
      </c>
      <c r="J791">
        <f t="shared" si="49"/>
        <v>7.392</v>
      </c>
      <c r="K791">
        <f t="shared" si="50"/>
        <v>8.008</v>
      </c>
      <c r="L791">
        <f t="shared" si="51"/>
        <v>8.624</v>
      </c>
    </row>
    <row r="792" spans="1:12">
      <c r="A792" t="s">
        <v>13</v>
      </c>
      <c r="B792" s="14" t="s">
        <v>1583</v>
      </c>
      <c r="C792" s="20" t="s">
        <v>1584</v>
      </c>
      <c r="D792" s="20" t="s">
        <v>1584</v>
      </c>
      <c r="E792" s="20" t="s">
        <v>1584</v>
      </c>
      <c r="F792" s="20" t="s">
        <v>1584</v>
      </c>
      <c r="G792">
        <v>3.71</v>
      </c>
      <c r="H792" s="1">
        <v>7.08</v>
      </c>
      <c r="I792">
        <f t="shared" si="48"/>
        <v>4.2665</v>
      </c>
      <c r="J792">
        <f t="shared" si="49"/>
        <v>4.452</v>
      </c>
      <c r="K792">
        <f t="shared" si="50"/>
        <v>4.823</v>
      </c>
      <c r="L792">
        <f t="shared" si="51"/>
        <v>5.194</v>
      </c>
    </row>
    <row r="793" spans="1:12">
      <c r="A793" t="s">
        <v>13</v>
      </c>
      <c r="B793" s="14" t="s">
        <v>1585</v>
      </c>
      <c r="C793" s="20" t="s">
        <v>1586</v>
      </c>
      <c r="D793" s="20" t="s">
        <v>1586</v>
      </c>
      <c r="E793" s="20" t="s">
        <v>1586</v>
      </c>
      <c r="F793" s="20" t="s">
        <v>1586</v>
      </c>
      <c r="G793">
        <v>6.29</v>
      </c>
      <c r="H793" s="1">
        <v>11.98</v>
      </c>
      <c r="I793">
        <f t="shared" si="48"/>
        <v>7.2335</v>
      </c>
      <c r="J793">
        <f t="shared" si="49"/>
        <v>7.548</v>
      </c>
      <c r="K793">
        <f t="shared" si="50"/>
        <v>8.177</v>
      </c>
      <c r="L793">
        <f t="shared" si="51"/>
        <v>8.806</v>
      </c>
    </row>
    <row r="794" spans="1:12">
      <c r="A794" t="s">
        <v>13</v>
      </c>
      <c r="B794" s="14" t="s">
        <v>1587</v>
      </c>
      <c r="C794" s="20" t="s">
        <v>1588</v>
      </c>
      <c r="D794" s="20" t="s">
        <v>1588</v>
      </c>
      <c r="E794" s="20" t="s">
        <v>1588</v>
      </c>
      <c r="F794" s="20" t="s">
        <v>1588</v>
      </c>
      <c r="G794">
        <v>3.64</v>
      </c>
      <c r="H794" s="1">
        <v>6.96</v>
      </c>
      <c r="I794">
        <f t="shared" si="48"/>
        <v>4.186</v>
      </c>
      <c r="J794">
        <f t="shared" si="49"/>
        <v>4.368</v>
      </c>
      <c r="K794">
        <f t="shared" si="50"/>
        <v>4.732</v>
      </c>
      <c r="L794">
        <f t="shared" si="51"/>
        <v>5.096</v>
      </c>
    </row>
    <row r="795" spans="1:12">
      <c r="A795" t="s">
        <v>13</v>
      </c>
      <c r="B795" s="14" t="s">
        <v>1589</v>
      </c>
      <c r="C795" s="20" t="s">
        <v>1590</v>
      </c>
      <c r="D795" s="20" t="s">
        <v>1590</v>
      </c>
      <c r="E795" s="20" t="s">
        <v>1590</v>
      </c>
      <c r="F795" s="20" t="s">
        <v>1590</v>
      </c>
      <c r="G795">
        <v>6.22</v>
      </c>
      <c r="H795" s="1">
        <v>11.85</v>
      </c>
      <c r="I795">
        <f t="shared" si="48"/>
        <v>7.153</v>
      </c>
      <c r="J795">
        <f t="shared" si="49"/>
        <v>7.464</v>
      </c>
      <c r="K795">
        <f t="shared" si="50"/>
        <v>8.086</v>
      </c>
      <c r="L795">
        <f t="shared" si="51"/>
        <v>8.708</v>
      </c>
    </row>
    <row r="796" spans="1:12">
      <c r="A796" t="s">
        <v>13</v>
      </c>
      <c r="B796" s="14" t="s">
        <v>1591</v>
      </c>
      <c r="C796" s="20" t="s">
        <v>1592</v>
      </c>
      <c r="D796" s="20" t="s">
        <v>1592</v>
      </c>
      <c r="E796" s="20" t="s">
        <v>1592</v>
      </c>
      <c r="F796" s="20" t="s">
        <v>1592</v>
      </c>
      <c r="G796">
        <v>3.35</v>
      </c>
      <c r="H796" s="1">
        <v>6.39</v>
      </c>
      <c r="I796">
        <f t="shared" si="48"/>
        <v>3.8525</v>
      </c>
      <c r="J796">
        <f t="shared" si="49"/>
        <v>4.02</v>
      </c>
      <c r="K796">
        <f t="shared" si="50"/>
        <v>4.355</v>
      </c>
      <c r="L796">
        <f t="shared" si="51"/>
        <v>4.69</v>
      </c>
    </row>
    <row r="797" spans="1:12">
      <c r="A797" t="s">
        <v>13</v>
      </c>
      <c r="B797" s="14" t="s">
        <v>1593</v>
      </c>
      <c r="C797" s="20" t="s">
        <v>1594</v>
      </c>
      <c r="D797" s="20" t="s">
        <v>1594</v>
      </c>
      <c r="E797" s="20" t="s">
        <v>1594</v>
      </c>
      <c r="F797" s="20" t="s">
        <v>1594</v>
      </c>
      <c r="G797">
        <v>6.11</v>
      </c>
      <c r="H797" s="1">
        <v>11.64</v>
      </c>
      <c r="I797">
        <f t="shared" si="48"/>
        <v>7.0265</v>
      </c>
      <c r="J797">
        <f t="shared" si="49"/>
        <v>7.332</v>
      </c>
      <c r="K797">
        <f t="shared" si="50"/>
        <v>7.943</v>
      </c>
      <c r="L797">
        <f t="shared" si="51"/>
        <v>8.554</v>
      </c>
    </row>
    <row r="798" spans="1:12">
      <c r="A798" t="s">
        <v>13</v>
      </c>
      <c r="B798" s="14" t="s">
        <v>1595</v>
      </c>
      <c r="C798" s="20" t="s">
        <v>1596</v>
      </c>
      <c r="D798" s="20" t="s">
        <v>1596</v>
      </c>
      <c r="E798" s="20" t="s">
        <v>1596</v>
      </c>
      <c r="F798" s="20" t="s">
        <v>1596</v>
      </c>
      <c r="G798">
        <v>3.35</v>
      </c>
      <c r="H798" s="1">
        <v>6.39</v>
      </c>
      <c r="I798">
        <f t="shared" si="48"/>
        <v>3.8525</v>
      </c>
      <c r="J798">
        <f t="shared" si="49"/>
        <v>4.02</v>
      </c>
      <c r="K798">
        <f t="shared" si="50"/>
        <v>4.355</v>
      </c>
      <c r="L798">
        <f t="shared" si="51"/>
        <v>4.69</v>
      </c>
    </row>
    <row r="799" spans="1:12">
      <c r="A799" t="s">
        <v>13</v>
      </c>
      <c r="B799" s="14" t="s">
        <v>1597</v>
      </c>
      <c r="C799" s="20" t="s">
        <v>1598</v>
      </c>
      <c r="D799" s="20" t="s">
        <v>1598</v>
      </c>
      <c r="E799" s="20" t="s">
        <v>1598</v>
      </c>
      <c r="F799" s="20" t="s">
        <v>1598</v>
      </c>
      <c r="G799">
        <v>6.11</v>
      </c>
      <c r="H799" s="1">
        <v>11.64</v>
      </c>
      <c r="I799">
        <f t="shared" si="48"/>
        <v>7.0265</v>
      </c>
      <c r="J799">
        <f t="shared" si="49"/>
        <v>7.332</v>
      </c>
      <c r="K799">
        <f t="shared" si="50"/>
        <v>7.943</v>
      </c>
      <c r="L799">
        <f t="shared" si="51"/>
        <v>8.554</v>
      </c>
    </row>
    <row r="800" spans="1:12">
      <c r="A800" t="s">
        <v>13</v>
      </c>
      <c r="B800" s="14" t="s">
        <v>1599</v>
      </c>
      <c r="C800" s="20" t="s">
        <v>1600</v>
      </c>
      <c r="D800" s="20" t="s">
        <v>1600</v>
      </c>
      <c r="E800" s="20" t="s">
        <v>1600</v>
      </c>
      <c r="F800" s="20" t="s">
        <v>1600</v>
      </c>
      <c r="G800">
        <v>3.35</v>
      </c>
      <c r="H800" s="1">
        <v>6.39</v>
      </c>
      <c r="I800">
        <f t="shared" si="48"/>
        <v>3.8525</v>
      </c>
      <c r="J800">
        <f t="shared" si="49"/>
        <v>4.02</v>
      </c>
      <c r="K800">
        <f t="shared" si="50"/>
        <v>4.355</v>
      </c>
      <c r="L800">
        <f t="shared" si="51"/>
        <v>4.69</v>
      </c>
    </row>
    <row r="801" spans="1:12">
      <c r="A801" t="s">
        <v>13</v>
      </c>
      <c r="B801" s="14" t="s">
        <v>1601</v>
      </c>
      <c r="C801" s="20" t="s">
        <v>1602</v>
      </c>
      <c r="D801" s="20" t="s">
        <v>1602</v>
      </c>
      <c r="E801" s="20" t="s">
        <v>1602</v>
      </c>
      <c r="F801" s="20" t="s">
        <v>1602</v>
      </c>
      <c r="G801">
        <v>6.11</v>
      </c>
      <c r="H801" s="1">
        <v>11.64</v>
      </c>
      <c r="I801">
        <f t="shared" si="48"/>
        <v>7.0265</v>
      </c>
      <c r="J801">
        <f t="shared" si="49"/>
        <v>7.332</v>
      </c>
      <c r="K801">
        <f t="shared" si="50"/>
        <v>7.943</v>
      </c>
      <c r="L801">
        <f t="shared" si="51"/>
        <v>8.554</v>
      </c>
    </row>
    <row r="802" spans="1:12">
      <c r="A802" t="s">
        <v>13</v>
      </c>
      <c r="B802" s="14" t="s">
        <v>1603</v>
      </c>
      <c r="C802" s="20" t="s">
        <v>1604</v>
      </c>
      <c r="D802" s="20" t="s">
        <v>1604</v>
      </c>
      <c r="E802" s="20" t="s">
        <v>1604</v>
      </c>
      <c r="F802" s="20" t="s">
        <v>1604</v>
      </c>
      <c r="G802">
        <v>1.73</v>
      </c>
      <c r="H802" s="1">
        <v>3.31</v>
      </c>
      <c r="I802">
        <f t="shared" si="48"/>
        <v>1.9895</v>
      </c>
      <c r="J802">
        <f t="shared" si="49"/>
        <v>2.076</v>
      </c>
      <c r="K802">
        <f t="shared" si="50"/>
        <v>2.249</v>
      </c>
      <c r="L802">
        <f t="shared" si="51"/>
        <v>2.422</v>
      </c>
    </row>
    <row r="803" spans="1:12">
      <c r="A803" t="s">
        <v>13</v>
      </c>
      <c r="B803" s="14" t="s">
        <v>1605</v>
      </c>
      <c r="C803" s="20" t="s">
        <v>1606</v>
      </c>
      <c r="D803" s="20" t="s">
        <v>1606</v>
      </c>
      <c r="E803" s="20" t="s">
        <v>1606</v>
      </c>
      <c r="F803" s="20" t="s">
        <v>1606</v>
      </c>
      <c r="G803">
        <v>47.07</v>
      </c>
      <c r="H803" s="1">
        <v>104.59</v>
      </c>
      <c r="I803">
        <f t="shared" si="48"/>
        <v>54.1305</v>
      </c>
      <c r="J803">
        <f t="shared" si="49"/>
        <v>56.484</v>
      </c>
      <c r="K803">
        <f t="shared" si="50"/>
        <v>61.191</v>
      </c>
      <c r="L803">
        <f t="shared" si="51"/>
        <v>65.898</v>
      </c>
    </row>
    <row r="804" spans="1:12">
      <c r="A804" t="s">
        <v>13</v>
      </c>
      <c r="B804" s="14" t="s">
        <v>1607</v>
      </c>
      <c r="C804" s="20" t="s">
        <v>1608</v>
      </c>
      <c r="D804" s="20" t="s">
        <v>1608</v>
      </c>
      <c r="E804" s="20" t="s">
        <v>1608</v>
      </c>
      <c r="F804" s="20" t="s">
        <v>1608</v>
      </c>
      <c r="G804">
        <v>45.34</v>
      </c>
      <c r="H804" s="1">
        <v>100.78</v>
      </c>
      <c r="I804">
        <f t="shared" si="48"/>
        <v>52.141</v>
      </c>
      <c r="J804">
        <f t="shared" si="49"/>
        <v>54.408</v>
      </c>
      <c r="K804">
        <f t="shared" si="50"/>
        <v>58.942</v>
      </c>
      <c r="L804">
        <f t="shared" si="51"/>
        <v>63.476</v>
      </c>
    </row>
    <row r="805" spans="1:12">
      <c r="A805" t="s">
        <v>13</v>
      </c>
      <c r="B805" s="14" t="s">
        <v>1609</v>
      </c>
      <c r="C805" s="20" t="s">
        <v>1610</v>
      </c>
      <c r="D805" s="20" t="s">
        <v>1610</v>
      </c>
      <c r="E805" s="20" t="s">
        <v>1610</v>
      </c>
      <c r="F805" s="20" t="s">
        <v>1610</v>
      </c>
      <c r="G805">
        <v>60.74</v>
      </c>
      <c r="H805" s="1">
        <v>134.99</v>
      </c>
      <c r="I805">
        <f t="shared" si="48"/>
        <v>69.851</v>
      </c>
      <c r="J805">
        <f t="shared" si="49"/>
        <v>72.888</v>
      </c>
      <c r="K805">
        <f t="shared" si="50"/>
        <v>78.962</v>
      </c>
      <c r="L805">
        <f t="shared" si="51"/>
        <v>85.036</v>
      </c>
    </row>
    <row r="806" spans="1:12">
      <c r="A806" t="s">
        <v>13</v>
      </c>
      <c r="B806" s="14" t="s">
        <v>1611</v>
      </c>
      <c r="C806" s="20" t="s">
        <v>1612</v>
      </c>
      <c r="D806" s="20" t="s">
        <v>1612</v>
      </c>
      <c r="E806" s="20" t="s">
        <v>1612</v>
      </c>
      <c r="F806" s="20" t="s">
        <v>1612</v>
      </c>
      <c r="G806">
        <v>56.86</v>
      </c>
      <c r="H806" s="1">
        <v>126.37</v>
      </c>
      <c r="I806">
        <f t="shared" si="48"/>
        <v>65.389</v>
      </c>
      <c r="J806">
        <f t="shared" si="49"/>
        <v>68.232</v>
      </c>
      <c r="K806">
        <f t="shared" si="50"/>
        <v>73.918</v>
      </c>
      <c r="L806">
        <f t="shared" si="51"/>
        <v>79.604</v>
      </c>
    </row>
    <row r="807" spans="1:12">
      <c r="A807" t="s">
        <v>13</v>
      </c>
      <c r="B807" s="14" t="s">
        <v>1613</v>
      </c>
      <c r="C807" s="20" t="s">
        <v>1614</v>
      </c>
      <c r="D807" s="20" t="s">
        <v>1614</v>
      </c>
      <c r="E807" s="20" t="s">
        <v>1614</v>
      </c>
      <c r="F807" s="20" t="s">
        <v>1614</v>
      </c>
      <c r="G807">
        <v>82.06</v>
      </c>
      <c r="H807" s="1">
        <v>182.37</v>
      </c>
      <c r="I807">
        <f t="shared" si="48"/>
        <v>94.369</v>
      </c>
      <c r="J807">
        <f t="shared" si="49"/>
        <v>98.472</v>
      </c>
      <c r="K807">
        <f t="shared" si="50"/>
        <v>106.678</v>
      </c>
      <c r="L807">
        <f t="shared" si="51"/>
        <v>114.884</v>
      </c>
    </row>
    <row r="808" spans="1:12">
      <c r="A808" t="s">
        <v>13</v>
      </c>
      <c r="B808" s="14" t="s">
        <v>1615</v>
      </c>
      <c r="C808" s="20" t="s">
        <v>1616</v>
      </c>
      <c r="D808" s="20" t="s">
        <v>1616</v>
      </c>
      <c r="E808" s="20" t="s">
        <v>1616</v>
      </c>
      <c r="F808" s="20" t="s">
        <v>1616</v>
      </c>
      <c r="G808">
        <v>14</v>
      </c>
      <c r="H808" s="1">
        <v>31.12</v>
      </c>
      <c r="I808">
        <f t="shared" si="48"/>
        <v>16.1</v>
      </c>
      <c r="J808">
        <f t="shared" si="49"/>
        <v>16.8</v>
      </c>
      <c r="K808">
        <f t="shared" si="50"/>
        <v>18.2</v>
      </c>
      <c r="L808">
        <f t="shared" si="51"/>
        <v>19.6</v>
      </c>
    </row>
    <row r="809" spans="1:12">
      <c r="A809" t="s">
        <v>13</v>
      </c>
      <c r="B809" s="14" t="s">
        <v>1617</v>
      </c>
      <c r="C809" s="20" t="s">
        <v>1618</v>
      </c>
      <c r="D809" s="20" t="s">
        <v>1618</v>
      </c>
      <c r="E809" s="20" t="s">
        <v>1618</v>
      </c>
      <c r="F809" s="20" t="s">
        <v>1618</v>
      </c>
      <c r="G809">
        <v>33.1</v>
      </c>
      <c r="H809" s="1">
        <v>73.54</v>
      </c>
      <c r="I809">
        <f t="shared" si="48"/>
        <v>38.065</v>
      </c>
      <c r="J809">
        <f t="shared" si="49"/>
        <v>39.72</v>
      </c>
      <c r="K809">
        <f t="shared" si="50"/>
        <v>43.03</v>
      </c>
      <c r="L809">
        <f t="shared" si="51"/>
        <v>46.34</v>
      </c>
    </row>
    <row r="810" spans="1:12">
      <c r="A810" t="s">
        <v>13</v>
      </c>
      <c r="B810" s="14" t="s">
        <v>1619</v>
      </c>
      <c r="C810" s="20" t="s">
        <v>1620</v>
      </c>
      <c r="D810" s="20" t="s">
        <v>1620</v>
      </c>
      <c r="E810" s="20" t="s">
        <v>1620</v>
      </c>
      <c r="F810" s="20" t="s">
        <v>1620</v>
      </c>
      <c r="G810">
        <v>11.99</v>
      </c>
      <c r="H810" s="1">
        <v>22.86</v>
      </c>
      <c r="I810">
        <f t="shared" si="48"/>
        <v>13.7885</v>
      </c>
      <c r="J810">
        <f t="shared" si="49"/>
        <v>14.388</v>
      </c>
      <c r="K810">
        <f t="shared" si="50"/>
        <v>15.587</v>
      </c>
      <c r="L810">
        <f t="shared" si="51"/>
        <v>16.786</v>
      </c>
    </row>
    <row r="811" spans="1:12">
      <c r="A811" t="s">
        <v>13</v>
      </c>
      <c r="B811" s="14" t="s">
        <v>1621</v>
      </c>
      <c r="C811" s="20" t="s">
        <v>1622</v>
      </c>
      <c r="D811" s="20" t="s">
        <v>1622</v>
      </c>
      <c r="E811" s="20" t="s">
        <v>1622</v>
      </c>
      <c r="F811" s="20" t="s">
        <v>1622</v>
      </c>
      <c r="G811">
        <v>24.74</v>
      </c>
      <c r="H811" s="1">
        <v>54.99</v>
      </c>
      <c r="I811">
        <f t="shared" si="48"/>
        <v>28.451</v>
      </c>
      <c r="J811">
        <f t="shared" si="49"/>
        <v>29.688</v>
      </c>
      <c r="K811">
        <f t="shared" si="50"/>
        <v>32.162</v>
      </c>
      <c r="L811">
        <f t="shared" si="51"/>
        <v>34.636</v>
      </c>
    </row>
    <row r="812" spans="1:12">
      <c r="A812" t="s">
        <v>13</v>
      </c>
      <c r="B812" s="14" t="s">
        <v>1623</v>
      </c>
      <c r="C812" s="20" t="s">
        <v>1624</v>
      </c>
      <c r="D812" s="20" t="s">
        <v>1624</v>
      </c>
      <c r="E812" s="20" t="s">
        <v>1624</v>
      </c>
      <c r="F812" s="20" t="s">
        <v>1624</v>
      </c>
      <c r="G812">
        <v>18.76</v>
      </c>
      <c r="H812" s="1">
        <v>35.75</v>
      </c>
      <c r="I812">
        <f t="shared" si="48"/>
        <v>21.574</v>
      </c>
      <c r="J812">
        <f t="shared" si="49"/>
        <v>22.512</v>
      </c>
      <c r="K812">
        <f t="shared" si="50"/>
        <v>24.388</v>
      </c>
      <c r="L812">
        <f t="shared" si="51"/>
        <v>26.264</v>
      </c>
    </row>
    <row r="813" spans="1:12">
      <c r="A813" t="s">
        <v>13</v>
      </c>
      <c r="B813" s="14" t="s">
        <v>1625</v>
      </c>
      <c r="C813" s="20" t="s">
        <v>1626</v>
      </c>
      <c r="D813" s="20" t="s">
        <v>1626</v>
      </c>
      <c r="E813" s="20" t="s">
        <v>1626</v>
      </c>
      <c r="F813" s="20" t="s">
        <v>1626</v>
      </c>
      <c r="G813">
        <v>1.39</v>
      </c>
      <c r="H813" s="1">
        <v>2.65</v>
      </c>
      <c r="I813">
        <f t="shared" si="48"/>
        <v>1.5985</v>
      </c>
      <c r="J813">
        <f t="shared" si="49"/>
        <v>1.668</v>
      </c>
      <c r="K813">
        <f t="shared" si="50"/>
        <v>1.807</v>
      </c>
      <c r="L813">
        <f t="shared" si="51"/>
        <v>1.946</v>
      </c>
    </row>
    <row r="814" spans="1:12">
      <c r="A814" t="s">
        <v>13</v>
      </c>
      <c r="B814" s="14" t="s">
        <v>1627</v>
      </c>
      <c r="C814" s="20" t="s">
        <v>1628</v>
      </c>
      <c r="D814" s="20" t="s">
        <v>1628</v>
      </c>
      <c r="E814" s="20" t="s">
        <v>1628</v>
      </c>
      <c r="F814" s="20" t="s">
        <v>1628</v>
      </c>
      <c r="G814">
        <v>3.78</v>
      </c>
      <c r="H814" s="1">
        <v>7.17</v>
      </c>
      <c r="I814">
        <f t="shared" si="48"/>
        <v>4.347</v>
      </c>
      <c r="J814">
        <f t="shared" si="49"/>
        <v>4.536</v>
      </c>
      <c r="K814">
        <f t="shared" si="50"/>
        <v>4.914</v>
      </c>
      <c r="L814">
        <f t="shared" si="51"/>
        <v>5.292</v>
      </c>
    </row>
    <row r="815" spans="1:12">
      <c r="A815" t="s">
        <v>13</v>
      </c>
      <c r="B815" s="14" t="s">
        <v>1629</v>
      </c>
      <c r="C815" s="20" t="s">
        <v>1630</v>
      </c>
      <c r="D815" s="20" t="s">
        <v>1630</v>
      </c>
      <c r="E815" s="20" t="s">
        <v>1630</v>
      </c>
      <c r="F815" s="20" t="s">
        <v>1630</v>
      </c>
      <c r="G815">
        <v>5.76</v>
      </c>
      <c r="H815" s="1">
        <v>10.99</v>
      </c>
      <c r="I815">
        <f t="shared" si="48"/>
        <v>6.624</v>
      </c>
      <c r="J815">
        <f t="shared" si="49"/>
        <v>6.912</v>
      </c>
      <c r="K815">
        <f t="shared" si="50"/>
        <v>7.488</v>
      </c>
      <c r="L815">
        <f t="shared" si="51"/>
        <v>8.064</v>
      </c>
    </row>
    <row r="816" spans="1:12">
      <c r="A816" t="s">
        <v>13</v>
      </c>
      <c r="B816" s="14" t="s">
        <v>1631</v>
      </c>
      <c r="C816" s="20" t="s">
        <v>1632</v>
      </c>
      <c r="D816" s="20" t="s">
        <v>1632</v>
      </c>
      <c r="E816" s="20" t="s">
        <v>1632</v>
      </c>
      <c r="F816" s="20" t="s">
        <v>1632</v>
      </c>
      <c r="G816">
        <v>13.55</v>
      </c>
      <c r="H816" s="1">
        <v>25.81</v>
      </c>
      <c r="I816">
        <f t="shared" si="48"/>
        <v>15.5825</v>
      </c>
      <c r="J816">
        <f t="shared" si="49"/>
        <v>16.26</v>
      </c>
      <c r="K816">
        <f t="shared" si="50"/>
        <v>17.615</v>
      </c>
      <c r="L816">
        <f t="shared" si="51"/>
        <v>18.97</v>
      </c>
    </row>
    <row r="817" spans="1:12">
      <c r="A817" t="s">
        <v>13</v>
      </c>
      <c r="B817" s="14" t="s">
        <v>1633</v>
      </c>
      <c r="C817" s="20" t="s">
        <v>1634</v>
      </c>
      <c r="D817" s="20" t="s">
        <v>1634</v>
      </c>
      <c r="E817" s="20" t="s">
        <v>1634</v>
      </c>
      <c r="F817" s="20" t="s">
        <v>1634</v>
      </c>
      <c r="G817">
        <v>9.31</v>
      </c>
      <c r="H817" s="1">
        <v>17.71</v>
      </c>
      <c r="I817">
        <f t="shared" si="48"/>
        <v>10.7065</v>
      </c>
      <c r="J817">
        <f t="shared" si="49"/>
        <v>11.172</v>
      </c>
      <c r="K817">
        <f t="shared" si="50"/>
        <v>12.103</v>
      </c>
      <c r="L817">
        <f t="shared" si="51"/>
        <v>13.034</v>
      </c>
    </row>
    <row r="818" spans="1:12">
      <c r="A818" t="s">
        <v>13</v>
      </c>
      <c r="B818" s="14" t="s">
        <v>1635</v>
      </c>
      <c r="C818" s="20" t="s">
        <v>1636</v>
      </c>
      <c r="D818" s="20" t="s">
        <v>1636</v>
      </c>
      <c r="E818" s="20" t="s">
        <v>1636</v>
      </c>
      <c r="F818" s="20" t="s">
        <v>1636</v>
      </c>
      <c r="G818">
        <v>25.43</v>
      </c>
      <c r="H818" s="1">
        <v>48.43</v>
      </c>
      <c r="I818">
        <f t="shared" si="48"/>
        <v>29.2445</v>
      </c>
      <c r="J818">
        <f t="shared" si="49"/>
        <v>30.516</v>
      </c>
      <c r="K818">
        <f t="shared" si="50"/>
        <v>33.059</v>
      </c>
      <c r="L818">
        <f t="shared" si="51"/>
        <v>35.602</v>
      </c>
    </row>
    <row r="819" spans="1:12">
      <c r="A819" t="s">
        <v>13</v>
      </c>
      <c r="B819" s="14" t="s">
        <v>1637</v>
      </c>
      <c r="C819" s="20" t="s">
        <v>1638</v>
      </c>
      <c r="D819" s="20" t="s">
        <v>1638</v>
      </c>
      <c r="E819" s="20" t="s">
        <v>1638</v>
      </c>
      <c r="F819" s="20" t="s">
        <v>1638</v>
      </c>
      <c r="G819">
        <v>1.47</v>
      </c>
      <c r="H819" s="1">
        <v>3.7</v>
      </c>
      <c r="I819">
        <f t="shared" si="48"/>
        <v>1.6905</v>
      </c>
      <c r="J819">
        <f t="shared" si="49"/>
        <v>1.764</v>
      </c>
      <c r="K819">
        <f t="shared" si="50"/>
        <v>1.911</v>
      </c>
      <c r="L819">
        <f t="shared" si="51"/>
        <v>2.058</v>
      </c>
    </row>
    <row r="820" spans="1:12">
      <c r="A820" t="s">
        <v>13</v>
      </c>
      <c r="B820" s="14" t="s">
        <v>1639</v>
      </c>
      <c r="C820" s="20" t="s">
        <v>1640</v>
      </c>
      <c r="D820" s="20" t="s">
        <v>1640</v>
      </c>
      <c r="E820" s="20" t="s">
        <v>1640</v>
      </c>
      <c r="F820" s="20" t="s">
        <v>1640</v>
      </c>
      <c r="G820">
        <v>2.6</v>
      </c>
      <c r="H820" s="1">
        <v>4.98</v>
      </c>
      <c r="I820">
        <f t="shared" si="48"/>
        <v>2.99</v>
      </c>
      <c r="J820">
        <f t="shared" si="49"/>
        <v>3.12</v>
      </c>
      <c r="K820">
        <f t="shared" si="50"/>
        <v>3.38</v>
      </c>
      <c r="L820">
        <f t="shared" si="51"/>
        <v>3.64</v>
      </c>
    </row>
    <row r="821" ht="28.5" spans="1:12">
      <c r="A821" t="s">
        <v>13</v>
      </c>
      <c r="B821" s="14" t="s">
        <v>1641</v>
      </c>
      <c r="C821" s="20" t="s">
        <v>1642</v>
      </c>
      <c r="D821" s="20" t="s">
        <v>1642</v>
      </c>
      <c r="E821" s="20" t="s">
        <v>1642</v>
      </c>
      <c r="F821" s="20" t="s">
        <v>1642</v>
      </c>
      <c r="G821">
        <v>2.79</v>
      </c>
      <c r="H821" s="1">
        <v>5.3</v>
      </c>
      <c r="I821">
        <f t="shared" si="48"/>
        <v>3.2085</v>
      </c>
      <c r="J821">
        <f t="shared" si="49"/>
        <v>3.348</v>
      </c>
      <c r="K821">
        <f t="shared" si="50"/>
        <v>3.627</v>
      </c>
      <c r="L821">
        <f t="shared" si="51"/>
        <v>3.906</v>
      </c>
    </row>
    <row r="822" spans="1:12">
      <c r="A822" t="s">
        <v>13</v>
      </c>
      <c r="B822" s="14" t="s">
        <v>1643</v>
      </c>
      <c r="C822" s="20" t="s">
        <v>1644</v>
      </c>
      <c r="D822" s="20" t="s">
        <v>1644</v>
      </c>
      <c r="E822" s="20" t="s">
        <v>1644</v>
      </c>
      <c r="F822" s="20" t="s">
        <v>1644</v>
      </c>
      <c r="G822">
        <v>17.69</v>
      </c>
      <c r="H822" s="1">
        <v>33.72</v>
      </c>
      <c r="I822">
        <f t="shared" si="48"/>
        <v>20.3435</v>
      </c>
      <c r="J822">
        <f t="shared" si="49"/>
        <v>21.228</v>
      </c>
      <c r="K822">
        <f t="shared" si="50"/>
        <v>22.997</v>
      </c>
      <c r="L822">
        <f t="shared" si="51"/>
        <v>24.766</v>
      </c>
    </row>
    <row r="823" spans="1:12">
      <c r="A823" t="s">
        <v>13</v>
      </c>
      <c r="B823" s="14" t="s">
        <v>1645</v>
      </c>
      <c r="C823" s="20" t="s">
        <v>1646</v>
      </c>
      <c r="D823" s="20" t="s">
        <v>1646</v>
      </c>
      <c r="E823" s="20" t="s">
        <v>1646</v>
      </c>
      <c r="F823" s="20" t="s">
        <v>1646</v>
      </c>
      <c r="G823">
        <v>17.69</v>
      </c>
      <c r="H823" s="1">
        <v>33.72</v>
      </c>
      <c r="I823">
        <f t="shared" si="48"/>
        <v>20.3435</v>
      </c>
      <c r="J823">
        <f t="shared" si="49"/>
        <v>21.228</v>
      </c>
      <c r="K823">
        <f t="shared" si="50"/>
        <v>22.997</v>
      </c>
      <c r="L823">
        <f t="shared" si="51"/>
        <v>24.766</v>
      </c>
    </row>
    <row r="824" spans="1:12">
      <c r="A824" t="s">
        <v>13</v>
      </c>
      <c r="B824" s="14" t="s">
        <v>1647</v>
      </c>
      <c r="C824" s="20" t="s">
        <v>1648</v>
      </c>
      <c r="D824" s="20" t="s">
        <v>1648</v>
      </c>
      <c r="E824" s="20" t="s">
        <v>1648</v>
      </c>
      <c r="F824" s="20" t="s">
        <v>1648</v>
      </c>
      <c r="G824">
        <v>17.69</v>
      </c>
      <c r="H824" s="1">
        <v>33.72</v>
      </c>
      <c r="I824">
        <f t="shared" si="48"/>
        <v>20.3435</v>
      </c>
      <c r="J824">
        <f t="shared" si="49"/>
        <v>21.228</v>
      </c>
      <c r="K824">
        <f t="shared" si="50"/>
        <v>22.997</v>
      </c>
      <c r="L824">
        <f t="shared" si="51"/>
        <v>24.766</v>
      </c>
    </row>
    <row r="825" ht="28.5" spans="1:12">
      <c r="A825" t="s">
        <v>13</v>
      </c>
      <c r="B825" s="14" t="s">
        <v>1649</v>
      </c>
      <c r="C825" s="20" t="s">
        <v>1650</v>
      </c>
      <c r="D825" s="20" t="s">
        <v>1650</v>
      </c>
      <c r="E825" s="20" t="s">
        <v>1650</v>
      </c>
      <c r="F825" s="20" t="s">
        <v>1650</v>
      </c>
      <c r="G825">
        <v>150.44</v>
      </c>
      <c r="H825" s="1">
        <v>334.29</v>
      </c>
      <c r="I825">
        <f t="shared" si="48"/>
        <v>173.006</v>
      </c>
      <c r="J825">
        <f t="shared" si="49"/>
        <v>180.528</v>
      </c>
      <c r="K825">
        <f t="shared" si="50"/>
        <v>195.572</v>
      </c>
      <c r="L825">
        <f t="shared" si="51"/>
        <v>210.616</v>
      </c>
    </row>
    <row r="826" spans="1:12">
      <c r="A826" t="s">
        <v>13</v>
      </c>
      <c r="B826" s="14" t="s">
        <v>1651</v>
      </c>
      <c r="C826" s="20" t="s">
        <v>1652</v>
      </c>
      <c r="D826" s="20" t="s">
        <v>1652</v>
      </c>
      <c r="E826" s="20" t="s">
        <v>1652</v>
      </c>
      <c r="F826" s="20" t="s">
        <v>1652</v>
      </c>
      <c r="G826">
        <v>8.57</v>
      </c>
      <c r="H826" s="1">
        <v>16.31</v>
      </c>
      <c r="I826">
        <f t="shared" si="48"/>
        <v>9.8555</v>
      </c>
      <c r="J826">
        <f t="shared" si="49"/>
        <v>10.284</v>
      </c>
      <c r="K826">
        <f t="shared" si="50"/>
        <v>11.141</v>
      </c>
      <c r="L826">
        <f t="shared" si="51"/>
        <v>11.998</v>
      </c>
    </row>
    <row r="827" spans="1:12">
      <c r="A827" t="s">
        <v>13</v>
      </c>
      <c r="B827" s="14" t="s">
        <v>1653</v>
      </c>
      <c r="C827" s="20" t="s">
        <v>1654</v>
      </c>
      <c r="D827" s="20" t="s">
        <v>1654</v>
      </c>
      <c r="E827" s="20" t="s">
        <v>1654</v>
      </c>
      <c r="F827" s="20" t="s">
        <v>1654</v>
      </c>
      <c r="G827">
        <v>3.47</v>
      </c>
      <c r="H827" s="1">
        <v>6.61</v>
      </c>
      <c r="I827">
        <f t="shared" si="48"/>
        <v>3.9905</v>
      </c>
      <c r="J827">
        <f t="shared" si="49"/>
        <v>4.164</v>
      </c>
      <c r="K827">
        <f t="shared" si="50"/>
        <v>4.511</v>
      </c>
      <c r="L827">
        <f t="shared" si="51"/>
        <v>4.858</v>
      </c>
    </row>
    <row r="828" spans="1:12">
      <c r="A828" t="s">
        <v>13</v>
      </c>
      <c r="B828" s="14" t="s">
        <v>1655</v>
      </c>
      <c r="C828" s="20" t="s">
        <v>1656</v>
      </c>
      <c r="D828" s="20" t="s">
        <v>1656</v>
      </c>
      <c r="E828" s="20" t="s">
        <v>1656</v>
      </c>
      <c r="F828" s="20" t="s">
        <v>1656</v>
      </c>
      <c r="G828">
        <v>13.87</v>
      </c>
      <c r="H828" s="1">
        <v>26.42</v>
      </c>
      <c r="I828">
        <f t="shared" si="48"/>
        <v>15.9505</v>
      </c>
      <c r="J828">
        <f t="shared" si="49"/>
        <v>16.644</v>
      </c>
      <c r="K828">
        <f t="shared" si="50"/>
        <v>18.031</v>
      </c>
      <c r="L828">
        <f t="shared" si="51"/>
        <v>19.418</v>
      </c>
    </row>
    <row r="829" spans="1:12">
      <c r="A829" t="s">
        <v>13</v>
      </c>
      <c r="B829" s="14" t="s">
        <v>1657</v>
      </c>
      <c r="C829" s="20" t="s">
        <v>1658</v>
      </c>
      <c r="D829" s="20" t="s">
        <v>1658</v>
      </c>
      <c r="E829" s="20" t="s">
        <v>1658</v>
      </c>
      <c r="F829" s="20" t="s">
        <v>1658</v>
      </c>
      <c r="G829">
        <v>38.99</v>
      </c>
      <c r="H829" s="1">
        <v>74.23</v>
      </c>
      <c r="I829">
        <f t="shared" si="48"/>
        <v>44.8385</v>
      </c>
      <c r="J829">
        <f t="shared" si="49"/>
        <v>46.788</v>
      </c>
      <c r="K829">
        <f t="shared" si="50"/>
        <v>50.687</v>
      </c>
      <c r="L829">
        <f t="shared" si="51"/>
        <v>54.586</v>
      </c>
    </row>
    <row r="830" spans="1:12">
      <c r="A830" t="s">
        <v>13</v>
      </c>
      <c r="B830" s="14" t="s">
        <v>1659</v>
      </c>
      <c r="C830" s="20" t="s">
        <v>1660</v>
      </c>
      <c r="D830" s="20" t="s">
        <v>1660</v>
      </c>
      <c r="E830" s="20" t="s">
        <v>1660</v>
      </c>
      <c r="F830" s="20" t="s">
        <v>1660</v>
      </c>
      <c r="G830">
        <v>27.41</v>
      </c>
      <c r="H830" s="1">
        <v>52.2</v>
      </c>
      <c r="I830">
        <f t="shared" si="48"/>
        <v>31.5215</v>
      </c>
      <c r="J830">
        <f t="shared" si="49"/>
        <v>32.892</v>
      </c>
      <c r="K830">
        <f t="shared" si="50"/>
        <v>35.633</v>
      </c>
      <c r="L830">
        <f t="shared" si="51"/>
        <v>38.374</v>
      </c>
    </row>
    <row r="831" spans="1:12">
      <c r="A831" t="s">
        <v>13</v>
      </c>
      <c r="B831" s="14" t="s">
        <v>1661</v>
      </c>
      <c r="C831" s="20" t="s">
        <v>1662</v>
      </c>
      <c r="D831" s="20" t="s">
        <v>1662</v>
      </c>
      <c r="E831" s="20" t="s">
        <v>1662</v>
      </c>
      <c r="F831" s="20" t="s">
        <v>1662</v>
      </c>
      <c r="G831">
        <v>32.62</v>
      </c>
      <c r="H831" s="1">
        <v>72.46</v>
      </c>
      <c r="I831">
        <f t="shared" si="48"/>
        <v>37.513</v>
      </c>
      <c r="J831">
        <f t="shared" si="49"/>
        <v>39.144</v>
      </c>
      <c r="K831">
        <f t="shared" si="50"/>
        <v>42.406</v>
      </c>
      <c r="L831">
        <f t="shared" si="51"/>
        <v>45.668</v>
      </c>
    </row>
    <row r="832" spans="1:12">
      <c r="A832" t="s">
        <v>13</v>
      </c>
      <c r="B832" s="14" t="s">
        <v>1663</v>
      </c>
      <c r="C832" s="20" t="s">
        <v>1664</v>
      </c>
      <c r="D832" s="20" t="s">
        <v>1664</v>
      </c>
      <c r="E832" s="20" t="s">
        <v>1664</v>
      </c>
      <c r="F832" s="20" t="s">
        <v>1664</v>
      </c>
      <c r="G832">
        <v>20.35</v>
      </c>
      <c r="H832" s="1">
        <v>38.76</v>
      </c>
      <c r="I832">
        <f t="shared" si="48"/>
        <v>23.4025</v>
      </c>
      <c r="J832">
        <f t="shared" si="49"/>
        <v>24.42</v>
      </c>
      <c r="K832">
        <f t="shared" si="50"/>
        <v>26.455</v>
      </c>
      <c r="L832">
        <f t="shared" si="51"/>
        <v>28.49</v>
      </c>
    </row>
    <row r="833" spans="1:12">
      <c r="A833" t="s">
        <v>13</v>
      </c>
      <c r="B833" s="14" t="s">
        <v>1665</v>
      </c>
      <c r="C833" s="20" t="s">
        <v>1666</v>
      </c>
      <c r="D833" s="20" t="s">
        <v>1666</v>
      </c>
      <c r="E833" s="20" t="s">
        <v>1666</v>
      </c>
      <c r="F833" s="20" t="s">
        <v>1666</v>
      </c>
      <c r="G833">
        <v>38.04</v>
      </c>
      <c r="H833" s="1">
        <v>72.46</v>
      </c>
      <c r="I833">
        <f t="shared" si="48"/>
        <v>43.746</v>
      </c>
      <c r="J833">
        <f t="shared" si="49"/>
        <v>45.648</v>
      </c>
      <c r="K833">
        <f t="shared" si="50"/>
        <v>49.452</v>
      </c>
      <c r="L833">
        <f t="shared" si="51"/>
        <v>53.256</v>
      </c>
    </row>
    <row r="834" spans="1:12">
      <c r="A834" t="s">
        <v>13</v>
      </c>
      <c r="B834" s="14" t="s">
        <v>1667</v>
      </c>
      <c r="C834" s="20" t="s">
        <v>1668</v>
      </c>
      <c r="D834" s="20" t="s">
        <v>1668</v>
      </c>
      <c r="E834" s="20" t="s">
        <v>1668</v>
      </c>
      <c r="F834" s="20" t="s">
        <v>1668</v>
      </c>
      <c r="G834">
        <v>37.81</v>
      </c>
      <c r="H834" s="1">
        <v>72.03</v>
      </c>
      <c r="I834">
        <f t="shared" ref="I834:I897" si="52">G834*1.15</f>
        <v>43.4815</v>
      </c>
      <c r="J834">
        <f t="shared" ref="J834:J897" si="53">G834*1.2</f>
        <v>45.372</v>
      </c>
      <c r="K834">
        <f t="shared" ref="K834:K897" si="54">G834*1.3</f>
        <v>49.153</v>
      </c>
      <c r="L834">
        <f t="shared" ref="L834:L897" si="55">G834*1.4</f>
        <v>52.934</v>
      </c>
    </row>
    <row r="835" spans="1:12">
      <c r="A835" t="s">
        <v>13</v>
      </c>
      <c r="B835" s="14" t="s">
        <v>1669</v>
      </c>
      <c r="C835" s="20" t="s">
        <v>1670</v>
      </c>
      <c r="D835" s="20" t="s">
        <v>1670</v>
      </c>
      <c r="E835" s="20" t="s">
        <v>1670</v>
      </c>
      <c r="F835" s="20" t="s">
        <v>1670</v>
      </c>
      <c r="G835">
        <v>39.32</v>
      </c>
      <c r="H835" s="1">
        <v>74.91</v>
      </c>
      <c r="I835">
        <f t="shared" si="52"/>
        <v>45.218</v>
      </c>
      <c r="J835">
        <f t="shared" si="53"/>
        <v>47.184</v>
      </c>
      <c r="K835">
        <f t="shared" si="54"/>
        <v>51.116</v>
      </c>
      <c r="L835">
        <f t="shared" si="55"/>
        <v>55.048</v>
      </c>
    </row>
    <row r="836" spans="1:12">
      <c r="A836" t="s">
        <v>13</v>
      </c>
      <c r="B836" s="14" t="s">
        <v>1671</v>
      </c>
      <c r="C836" s="20" t="s">
        <v>1672</v>
      </c>
      <c r="D836" s="20" t="s">
        <v>1672</v>
      </c>
      <c r="E836" s="20" t="s">
        <v>1672</v>
      </c>
      <c r="F836" s="20" t="s">
        <v>1672</v>
      </c>
      <c r="G836">
        <v>38.04</v>
      </c>
      <c r="H836" s="1">
        <v>72.46</v>
      </c>
      <c r="I836">
        <f t="shared" si="52"/>
        <v>43.746</v>
      </c>
      <c r="J836">
        <f t="shared" si="53"/>
        <v>45.648</v>
      </c>
      <c r="K836">
        <f t="shared" si="54"/>
        <v>49.452</v>
      </c>
      <c r="L836">
        <f t="shared" si="55"/>
        <v>53.256</v>
      </c>
    </row>
    <row r="837" spans="1:12">
      <c r="A837" t="s">
        <v>13</v>
      </c>
      <c r="B837" s="14" t="s">
        <v>1673</v>
      </c>
      <c r="C837" s="20" t="s">
        <v>1674</v>
      </c>
      <c r="D837" s="20" t="s">
        <v>1674</v>
      </c>
      <c r="E837" s="20" t="s">
        <v>1674</v>
      </c>
      <c r="F837" s="20" t="s">
        <v>1674</v>
      </c>
      <c r="G837">
        <v>38.04</v>
      </c>
      <c r="H837" s="1">
        <v>72.46</v>
      </c>
      <c r="I837">
        <f t="shared" si="52"/>
        <v>43.746</v>
      </c>
      <c r="J837">
        <f t="shared" si="53"/>
        <v>45.648</v>
      </c>
      <c r="K837">
        <f t="shared" si="54"/>
        <v>49.452</v>
      </c>
      <c r="L837">
        <f t="shared" si="55"/>
        <v>53.256</v>
      </c>
    </row>
    <row r="838" spans="1:12">
      <c r="A838" t="s">
        <v>13</v>
      </c>
      <c r="B838" s="14" t="s">
        <v>1675</v>
      </c>
      <c r="C838" s="20" t="s">
        <v>1676</v>
      </c>
      <c r="D838" s="20" t="s">
        <v>1676</v>
      </c>
      <c r="E838" s="20" t="s">
        <v>1676</v>
      </c>
      <c r="F838" s="20" t="s">
        <v>1676</v>
      </c>
      <c r="G838">
        <v>61.78</v>
      </c>
      <c r="H838" s="1">
        <v>117.69</v>
      </c>
      <c r="I838">
        <f t="shared" si="52"/>
        <v>71.047</v>
      </c>
      <c r="J838">
        <f t="shared" si="53"/>
        <v>74.136</v>
      </c>
      <c r="K838">
        <f t="shared" si="54"/>
        <v>80.314</v>
      </c>
      <c r="L838">
        <f t="shared" si="55"/>
        <v>86.492</v>
      </c>
    </row>
    <row r="839" spans="1:12">
      <c r="A839" t="s">
        <v>13</v>
      </c>
      <c r="B839" s="14" t="s">
        <v>1677</v>
      </c>
      <c r="C839" s="20" t="s">
        <v>1678</v>
      </c>
      <c r="D839" s="20" t="s">
        <v>1678</v>
      </c>
      <c r="E839" s="20" t="s">
        <v>1678</v>
      </c>
      <c r="F839" s="20" t="s">
        <v>1678</v>
      </c>
      <c r="G839">
        <v>62.16</v>
      </c>
      <c r="H839" s="1">
        <v>118.41</v>
      </c>
      <c r="I839">
        <f t="shared" si="52"/>
        <v>71.484</v>
      </c>
      <c r="J839">
        <f t="shared" si="53"/>
        <v>74.592</v>
      </c>
      <c r="K839">
        <f t="shared" si="54"/>
        <v>80.808</v>
      </c>
      <c r="L839">
        <f t="shared" si="55"/>
        <v>87.024</v>
      </c>
    </row>
    <row r="840" spans="1:12">
      <c r="A840" t="s">
        <v>13</v>
      </c>
      <c r="B840" s="14" t="s">
        <v>1679</v>
      </c>
      <c r="C840" s="20" t="s">
        <v>1680</v>
      </c>
      <c r="D840" s="20" t="s">
        <v>1680</v>
      </c>
      <c r="E840" s="20" t="s">
        <v>1680</v>
      </c>
      <c r="F840" s="20" t="s">
        <v>1680</v>
      </c>
      <c r="G840">
        <v>62.16</v>
      </c>
      <c r="H840" s="1">
        <v>118.41</v>
      </c>
      <c r="I840">
        <f t="shared" si="52"/>
        <v>71.484</v>
      </c>
      <c r="J840">
        <f t="shared" si="53"/>
        <v>74.592</v>
      </c>
      <c r="K840">
        <f t="shared" si="54"/>
        <v>80.808</v>
      </c>
      <c r="L840">
        <f t="shared" si="55"/>
        <v>87.024</v>
      </c>
    </row>
    <row r="841" spans="1:12">
      <c r="A841" t="s">
        <v>13</v>
      </c>
      <c r="B841" s="14" t="s">
        <v>1681</v>
      </c>
      <c r="C841" s="20" t="s">
        <v>1682</v>
      </c>
      <c r="D841" s="20" t="s">
        <v>1682</v>
      </c>
      <c r="E841" s="20" t="s">
        <v>1682</v>
      </c>
      <c r="F841" s="20" t="s">
        <v>1682</v>
      </c>
      <c r="G841">
        <v>17.67</v>
      </c>
      <c r="H841" s="1">
        <v>33.66</v>
      </c>
      <c r="I841">
        <f t="shared" si="52"/>
        <v>20.3205</v>
      </c>
      <c r="J841">
        <f t="shared" si="53"/>
        <v>21.204</v>
      </c>
      <c r="K841">
        <f t="shared" si="54"/>
        <v>22.971</v>
      </c>
      <c r="L841">
        <f t="shared" si="55"/>
        <v>24.738</v>
      </c>
    </row>
    <row r="842" spans="1:12">
      <c r="A842" t="s">
        <v>13</v>
      </c>
      <c r="B842" s="14" t="s">
        <v>1683</v>
      </c>
      <c r="C842" s="20" t="s">
        <v>1684</v>
      </c>
      <c r="D842" s="20" t="s">
        <v>1684</v>
      </c>
      <c r="E842" s="20" t="s">
        <v>1684</v>
      </c>
      <c r="F842" s="20" t="s">
        <v>1684</v>
      </c>
      <c r="G842">
        <v>7.4</v>
      </c>
      <c r="H842" s="1">
        <v>14.12</v>
      </c>
      <c r="I842">
        <f t="shared" si="52"/>
        <v>8.51</v>
      </c>
      <c r="J842">
        <f t="shared" si="53"/>
        <v>8.88</v>
      </c>
      <c r="K842">
        <f t="shared" si="54"/>
        <v>9.62</v>
      </c>
      <c r="L842">
        <f t="shared" si="55"/>
        <v>10.36</v>
      </c>
    </row>
    <row r="843" spans="1:12">
      <c r="A843" t="s">
        <v>13</v>
      </c>
      <c r="B843" s="14" t="s">
        <v>1685</v>
      </c>
      <c r="C843" s="20" t="s">
        <v>1686</v>
      </c>
      <c r="D843" s="20" t="s">
        <v>1686</v>
      </c>
      <c r="E843" s="20" t="s">
        <v>1686</v>
      </c>
      <c r="F843" s="20" t="s">
        <v>1686</v>
      </c>
      <c r="G843">
        <v>5.5</v>
      </c>
      <c r="H843" s="1">
        <v>10.49</v>
      </c>
      <c r="I843">
        <f t="shared" si="52"/>
        <v>6.325</v>
      </c>
      <c r="J843">
        <f t="shared" si="53"/>
        <v>6.6</v>
      </c>
      <c r="K843">
        <f t="shared" si="54"/>
        <v>7.15</v>
      </c>
      <c r="L843">
        <f t="shared" si="55"/>
        <v>7.7</v>
      </c>
    </row>
    <row r="844" spans="1:12">
      <c r="A844" t="s">
        <v>13</v>
      </c>
      <c r="B844" s="14" t="s">
        <v>1687</v>
      </c>
      <c r="C844" s="20" t="s">
        <v>1688</v>
      </c>
      <c r="D844" s="20" t="s">
        <v>1688</v>
      </c>
      <c r="E844" s="20" t="s">
        <v>1688</v>
      </c>
      <c r="F844" s="20" t="s">
        <v>1688</v>
      </c>
      <c r="G844">
        <v>12.57</v>
      </c>
      <c r="H844" s="1">
        <v>23.94</v>
      </c>
      <c r="I844">
        <f t="shared" si="52"/>
        <v>14.4555</v>
      </c>
      <c r="J844">
        <f t="shared" si="53"/>
        <v>15.084</v>
      </c>
      <c r="K844">
        <f t="shared" si="54"/>
        <v>16.341</v>
      </c>
      <c r="L844">
        <f t="shared" si="55"/>
        <v>17.598</v>
      </c>
    </row>
    <row r="845" spans="1:12">
      <c r="A845" t="s">
        <v>13</v>
      </c>
      <c r="B845" s="14" t="s">
        <v>1689</v>
      </c>
      <c r="C845" s="20" t="s">
        <v>1690</v>
      </c>
      <c r="D845" s="20" t="s">
        <v>1690</v>
      </c>
      <c r="E845" s="20" t="s">
        <v>1690</v>
      </c>
      <c r="F845" s="20" t="s">
        <v>1690</v>
      </c>
      <c r="G845">
        <v>9.58</v>
      </c>
      <c r="H845" s="1">
        <v>18.23</v>
      </c>
      <c r="I845">
        <f t="shared" si="52"/>
        <v>11.017</v>
      </c>
      <c r="J845">
        <f t="shared" si="53"/>
        <v>11.496</v>
      </c>
      <c r="K845">
        <f t="shared" si="54"/>
        <v>12.454</v>
      </c>
      <c r="L845">
        <f t="shared" si="55"/>
        <v>13.412</v>
      </c>
    </row>
    <row r="846" spans="1:12">
      <c r="A846" t="s">
        <v>13</v>
      </c>
      <c r="B846" s="14" t="s">
        <v>1691</v>
      </c>
      <c r="C846" s="20" t="s">
        <v>1692</v>
      </c>
      <c r="D846" s="20" t="s">
        <v>1692</v>
      </c>
      <c r="E846" s="20" t="s">
        <v>1692</v>
      </c>
      <c r="F846" s="20" t="s">
        <v>1692</v>
      </c>
      <c r="G846">
        <v>11.67</v>
      </c>
      <c r="H846" s="1">
        <v>22.23</v>
      </c>
      <c r="I846">
        <f t="shared" si="52"/>
        <v>13.4205</v>
      </c>
      <c r="J846">
        <f t="shared" si="53"/>
        <v>14.004</v>
      </c>
      <c r="K846">
        <f t="shared" si="54"/>
        <v>15.171</v>
      </c>
      <c r="L846">
        <f t="shared" si="55"/>
        <v>16.338</v>
      </c>
    </row>
    <row r="847" spans="1:12">
      <c r="A847" t="s">
        <v>13</v>
      </c>
      <c r="B847" s="14" t="s">
        <v>1693</v>
      </c>
      <c r="C847" s="20" t="s">
        <v>1694</v>
      </c>
      <c r="D847" s="20" t="s">
        <v>1694</v>
      </c>
      <c r="E847" s="20" t="s">
        <v>1694</v>
      </c>
      <c r="F847" s="20" t="s">
        <v>1694</v>
      </c>
      <c r="G847">
        <v>9.14</v>
      </c>
      <c r="H847" s="1">
        <v>17.4</v>
      </c>
      <c r="I847">
        <f t="shared" si="52"/>
        <v>10.511</v>
      </c>
      <c r="J847">
        <f t="shared" si="53"/>
        <v>10.968</v>
      </c>
      <c r="K847">
        <f t="shared" si="54"/>
        <v>11.882</v>
      </c>
      <c r="L847">
        <f t="shared" si="55"/>
        <v>12.796</v>
      </c>
    </row>
    <row r="848" spans="1:12">
      <c r="A848" t="s">
        <v>13</v>
      </c>
      <c r="B848" s="14" t="s">
        <v>1695</v>
      </c>
      <c r="C848" s="20" t="s">
        <v>1696</v>
      </c>
      <c r="D848" s="20" t="s">
        <v>1696</v>
      </c>
      <c r="E848" s="20" t="s">
        <v>1696</v>
      </c>
      <c r="F848" s="20" t="s">
        <v>1696</v>
      </c>
      <c r="G848">
        <v>9.14</v>
      </c>
      <c r="H848" s="1">
        <v>17.4</v>
      </c>
      <c r="I848">
        <f t="shared" si="52"/>
        <v>10.511</v>
      </c>
      <c r="J848">
        <f t="shared" si="53"/>
        <v>10.968</v>
      </c>
      <c r="K848">
        <f t="shared" si="54"/>
        <v>11.882</v>
      </c>
      <c r="L848">
        <f t="shared" si="55"/>
        <v>12.796</v>
      </c>
    </row>
    <row r="849" spans="1:12">
      <c r="A849" t="s">
        <v>13</v>
      </c>
      <c r="B849" s="14" t="s">
        <v>1697</v>
      </c>
      <c r="C849" s="20" t="s">
        <v>1698</v>
      </c>
      <c r="D849" s="20" t="s">
        <v>1698</v>
      </c>
      <c r="E849" s="20" t="s">
        <v>1698</v>
      </c>
      <c r="F849" s="20" t="s">
        <v>1698</v>
      </c>
      <c r="G849">
        <v>11.44</v>
      </c>
      <c r="H849" s="1">
        <v>21.77</v>
      </c>
      <c r="I849">
        <f t="shared" si="52"/>
        <v>13.156</v>
      </c>
      <c r="J849">
        <f t="shared" si="53"/>
        <v>13.728</v>
      </c>
      <c r="K849">
        <f t="shared" si="54"/>
        <v>14.872</v>
      </c>
      <c r="L849">
        <f t="shared" si="55"/>
        <v>16.016</v>
      </c>
    </row>
    <row r="850" spans="1:12">
      <c r="A850" t="s">
        <v>13</v>
      </c>
      <c r="B850" s="14" t="s">
        <v>1699</v>
      </c>
      <c r="C850" s="20" t="s">
        <v>1700</v>
      </c>
      <c r="D850" s="20" t="s">
        <v>1700</v>
      </c>
      <c r="E850" s="20" t="s">
        <v>1700</v>
      </c>
      <c r="F850" s="20" t="s">
        <v>1700</v>
      </c>
      <c r="G850">
        <v>9.14</v>
      </c>
      <c r="H850" s="1">
        <v>17.4</v>
      </c>
      <c r="I850">
        <f t="shared" si="52"/>
        <v>10.511</v>
      </c>
      <c r="J850">
        <f t="shared" si="53"/>
        <v>10.968</v>
      </c>
      <c r="K850">
        <f t="shared" si="54"/>
        <v>11.882</v>
      </c>
      <c r="L850">
        <f t="shared" si="55"/>
        <v>12.796</v>
      </c>
    </row>
    <row r="851" spans="1:12">
      <c r="A851" t="s">
        <v>13</v>
      </c>
      <c r="B851" s="14" t="s">
        <v>1701</v>
      </c>
      <c r="C851" s="20" t="s">
        <v>1702</v>
      </c>
      <c r="D851" s="20" t="s">
        <v>1702</v>
      </c>
      <c r="E851" s="20" t="s">
        <v>1702</v>
      </c>
      <c r="F851" s="20" t="s">
        <v>1702</v>
      </c>
      <c r="G851">
        <v>9.58</v>
      </c>
      <c r="H851" s="1">
        <v>18.23</v>
      </c>
      <c r="I851">
        <f t="shared" si="52"/>
        <v>11.017</v>
      </c>
      <c r="J851">
        <f t="shared" si="53"/>
        <v>11.496</v>
      </c>
      <c r="K851">
        <f t="shared" si="54"/>
        <v>12.454</v>
      </c>
      <c r="L851">
        <f t="shared" si="55"/>
        <v>13.412</v>
      </c>
    </row>
    <row r="852" spans="1:12">
      <c r="A852" t="s">
        <v>13</v>
      </c>
      <c r="B852" s="14" t="s">
        <v>1703</v>
      </c>
      <c r="C852" s="20" t="s">
        <v>1704</v>
      </c>
      <c r="D852" s="20" t="s">
        <v>1704</v>
      </c>
      <c r="E852" s="20" t="s">
        <v>1704</v>
      </c>
      <c r="F852" s="20" t="s">
        <v>1704</v>
      </c>
      <c r="G852">
        <v>11.69</v>
      </c>
      <c r="H852" s="1">
        <v>22.25</v>
      </c>
      <c r="I852">
        <f t="shared" si="52"/>
        <v>13.4435</v>
      </c>
      <c r="J852">
        <f t="shared" si="53"/>
        <v>14.028</v>
      </c>
      <c r="K852">
        <f t="shared" si="54"/>
        <v>15.197</v>
      </c>
      <c r="L852">
        <f t="shared" si="55"/>
        <v>16.366</v>
      </c>
    </row>
    <row r="853" spans="1:12">
      <c r="A853" t="s">
        <v>13</v>
      </c>
      <c r="B853" s="14" t="s">
        <v>1705</v>
      </c>
      <c r="C853" s="20" t="s">
        <v>1706</v>
      </c>
      <c r="D853" s="20" t="s">
        <v>1706</v>
      </c>
      <c r="E853" s="20" t="s">
        <v>1706</v>
      </c>
      <c r="F853" s="20" t="s">
        <v>1706</v>
      </c>
      <c r="G853">
        <v>9.58</v>
      </c>
      <c r="H853" s="1">
        <v>18.23</v>
      </c>
      <c r="I853">
        <f t="shared" si="52"/>
        <v>11.017</v>
      </c>
      <c r="J853">
        <f t="shared" si="53"/>
        <v>11.496</v>
      </c>
      <c r="K853">
        <f t="shared" si="54"/>
        <v>12.454</v>
      </c>
      <c r="L853">
        <f t="shared" si="55"/>
        <v>13.412</v>
      </c>
    </row>
    <row r="854" spans="1:12">
      <c r="A854" t="s">
        <v>13</v>
      </c>
      <c r="B854" s="14" t="s">
        <v>1707</v>
      </c>
      <c r="C854" s="20" t="s">
        <v>1708</v>
      </c>
      <c r="D854" s="20" t="s">
        <v>1708</v>
      </c>
      <c r="E854" s="20" t="s">
        <v>1708</v>
      </c>
      <c r="F854" s="20" t="s">
        <v>1708</v>
      </c>
      <c r="G854">
        <v>11.69</v>
      </c>
      <c r="H854" s="1">
        <v>22.25</v>
      </c>
      <c r="I854">
        <f t="shared" si="52"/>
        <v>13.4435</v>
      </c>
      <c r="J854">
        <f t="shared" si="53"/>
        <v>14.028</v>
      </c>
      <c r="K854">
        <f t="shared" si="54"/>
        <v>15.197</v>
      </c>
      <c r="L854">
        <f t="shared" si="55"/>
        <v>16.366</v>
      </c>
    </row>
    <row r="855" spans="1:12">
      <c r="A855" t="s">
        <v>13</v>
      </c>
      <c r="B855" s="14" t="s">
        <v>1709</v>
      </c>
      <c r="C855" s="20" t="s">
        <v>1710</v>
      </c>
      <c r="D855" s="20" t="s">
        <v>1710</v>
      </c>
      <c r="E855" s="20" t="s">
        <v>1710</v>
      </c>
      <c r="F855" s="20" t="s">
        <v>1710</v>
      </c>
      <c r="G855">
        <v>9.14</v>
      </c>
      <c r="H855" s="1">
        <v>17.4</v>
      </c>
      <c r="I855">
        <f t="shared" si="52"/>
        <v>10.511</v>
      </c>
      <c r="J855">
        <f t="shared" si="53"/>
        <v>10.968</v>
      </c>
      <c r="K855">
        <f t="shared" si="54"/>
        <v>11.882</v>
      </c>
      <c r="L855">
        <f t="shared" si="55"/>
        <v>12.796</v>
      </c>
    </row>
    <row r="856" spans="1:12">
      <c r="A856" t="s">
        <v>13</v>
      </c>
      <c r="B856" s="14" t="s">
        <v>1711</v>
      </c>
      <c r="C856" s="20" t="s">
        <v>1712</v>
      </c>
      <c r="D856" s="20" t="s">
        <v>1712</v>
      </c>
      <c r="E856" s="20" t="s">
        <v>1712</v>
      </c>
      <c r="F856" s="20" t="s">
        <v>1712</v>
      </c>
      <c r="G856">
        <v>11.4</v>
      </c>
      <c r="H856" s="1">
        <v>21.69</v>
      </c>
      <c r="I856">
        <f t="shared" si="52"/>
        <v>13.11</v>
      </c>
      <c r="J856">
        <f t="shared" si="53"/>
        <v>13.68</v>
      </c>
      <c r="K856">
        <f t="shared" si="54"/>
        <v>14.82</v>
      </c>
      <c r="L856">
        <f t="shared" si="55"/>
        <v>15.96</v>
      </c>
    </row>
    <row r="857" spans="1:12">
      <c r="A857" t="s">
        <v>13</v>
      </c>
      <c r="B857" s="14" t="s">
        <v>1713</v>
      </c>
      <c r="C857" s="20" t="s">
        <v>1714</v>
      </c>
      <c r="D857" s="20" t="s">
        <v>1714</v>
      </c>
      <c r="E857" s="20" t="s">
        <v>1714</v>
      </c>
      <c r="F857" s="20" t="s">
        <v>1714</v>
      </c>
      <c r="G857">
        <v>9.28</v>
      </c>
      <c r="H857" s="1">
        <v>17.67</v>
      </c>
      <c r="I857">
        <f t="shared" si="52"/>
        <v>10.672</v>
      </c>
      <c r="J857">
        <f t="shared" si="53"/>
        <v>11.136</v>
      </c>
      <c r="K857">
        <f t="shared" si="54"/>
        <v>12.064</v>
      </c>
      <c r="L857">
        <f t="shared" si="55"/>
        <v>12.992</v>
      </c>
    </row>
    <row r="858" spans="1:12">
      <c r="A858" t="s">
        <v>13</v>
      </c>
      <c r="B858" s="14" t="s">
        <v>1715</v>
      </c>
      <c r="C858" s="20" t="s">
        <v>1716</v>
      </c>
      <c r="D858" s="20" t="s">
        <v>1716</v>
      </c>
      <c r="E858" s="20" t="s">
        <v>1716</v>
      </c>
      <c r="F858" s="20" t="s">
        <v>1716</v>
      </c>
      <c r="G858">
        <v>10.86</v>
      </c>
      <c r="H858" s="1">
        <v>20.69</v>
      </c>
      <c r="I858">
        <f t="shared" si="52"/>
        <v>12.489</v>
      </c>
      <c r="J858">
        <f t="shared" si="53"/>
        <v>13.032</v>
      </c>
      <c r="K858">
        <f t="shared" si="54"/>
        <v>14.118</v>
      </c>
      <c r="L858">
        <f t="shared" si="55"/>
        <v>15.204</v>
      </c>
    </row>
    <row r="859" spans="1:12">
      <c r="A859" t="s">
        <v>13</v>
      </c>
      <c r="B859" s="14" t="s">
        <v>1717</v>
      </c>
      <c r="C859" s="20" t="s">
        <v>1718</v>
      </c>
      <c r="D859" s="20" t="s">
        <v>1718</v>
      </c>
      <c r="E859" s="20" t="s">
        <v>1718</v>
      </c>
      <c r="F859" s="20" t="s">
        <v>1718</v>
      </c>
      <c r="G859">
        <v>9.58</v>
      </c>
      <c r="H859" s="1">
        <v>18.23</v>
      </c>
      <c r="I859">
        <f t="shared" si="52"/>
        <v>11.017</v>
      </c>
      <c r="J859">
        <f t="shared" si="53"/>
        <v>11.496</v>
      </c>
      <c r="K859">
        <f t="shared" si="54"/>
        <v>12.454</v>
      </c>
      <c r="L859">
        <f t="shared" si="55"/>
        <v>13.412</v>
      </c>
    </row>
    <row r="860" spans="1:12">
      <c r="A860" t="s">
        <v>13</v>
      </c>
      <c r="B860" s="14" t="s">
        <v>1719</v>
      </c>
      <c r="C860" s="20" t="s">
        <v>1720</v>
      </c>
      <c r="D860" s="20" t="s">
        <v>1720</v>
      </c>
      <c r="E860" s="20" t="s">
        <v>1720</v>
      </c>
      <c r="F860" s="20" t="s">
        <v>1720</v>
      </c>
      <c r="G860">
        <v>9.13</v>
      </c>
      <c r="H860" s="1">
        <v>17.39</v>
      </c>
      <c r="I860">
        <f t="shared" si="52"/>
        <v>10.4995</v>
      </c>
      <c r="J860">
        <f t="shared" si="53"/>
        <v>10.956</v>
      </c>
      <c r="K860">
        <f t="shared" si="54"/>
        <v>11.869</v>
      </c>
      <c r="L860">
        <f t="shared" si="55"/>
        <v>12.782</v>
      </c>
    </row>
    <row r="861" spans="1:12">
      <c r="A861" t="s">
        <v>13</v>
      </c>
      <c r="B861" s="14" t="s">
        <v>1721</v>
      </c>
      <c r="C861" s="20" t="s">
        <v>1722</v>
      </c>
      <c r="D861" s="20" t="s">
        <v>1722</v>
      </c>
      <c r="E861" s="20" t="s">
        <v>1722</v>
      </c>
      <c r="F861" s="20" t="s">
        <v>1722</v>
      </c>
      <c r="G861">
        <v>11.37</v>
      </c>
      <c r="H861" s="1">
        <v>21.65</v>
      </c>
      <c r="I861">
        <f t="shared" si="52"/>
        <v>13.0755</v>
      </c>
      <c r="J861">
        <f t="shared" si="53"/>
        <v>13.644</v>
      </c>
      <c r="K861">
        <f t="shared" si="54"/>
        <v>14.781</v>
      </c>
      <c r="L861">
        <f t="shared" si="55"/>
        <v>15.918</v>
      </c>
    </row>
    <row r="862" spans="1:12">
      <c r="A862" t="s">
        <v>13</v>
      </c>
      <c r="B862" s="14" t="s">
        <v>1723</v>
      </c>
      <c r="C862" s="20" t="s">
        <v>1724</v>
      </c>
      <c r="D862" s="20" t="s">
        <v>1724</v>
      </c>
      <c r="E862" s="20" t="s">
        <v>1724</v>
      </c>
      <c r="F862" s="20" t="s">
        <v>1724</v>
      </c>
      <c r="G862">
        <v>9.58</v>
      </c>
      <c r="H862" s="1">
        <v>18.23</v>
      </c>
      <c r="I862">
        <f t="shared" si="52"/>
        <v>11.017</v>
      </c>
      <c r="J862">
        <f t="shared" si="53"/>
        <v>11.496</v>
      </c>
      <c r="K862">
        <f t="shared" si="54"/>
        <v>12.454</v>
      </c>
      <c r="L862">
        <f t="shared" si="55"/>
        <v>13.412</v>
      </c>
    </row>
    <row r="863" spans="1:12">
      <c r="A863" t="s">
        <v>13</v>
      </c>
      <c r="B863" s="14" t="s">
        <v>1725</v>
      </c>
      <c r="C863" s="20" t="s">
        <v>1726</v>
      </c>
      <c r="D863" s="20" t="s">
        <v>1726</v>
      </c>
      <c r="E863" s="20" t="s">
        <v>1726</v>
      </c>
      <c r="F863" s="20" t="s">
        <v>1726</v>
      </c>
      <c r="G863">
        <v>9.13</v>
      </c>
      <c r="H863" s="1">
        <v>17.39</v>
      </c>
      <c r="I863">
        <f t="shared" si="52"/>
        <v>10.4995</v>
      </c>
      <c r="J863">
        <f t="shared" si="53"/>
        <v>10.956</v>
      </c>
      <c r="K863">
        <f t="shared" si="54"/>
        <v>11.869</v>
      </c>
      <c r="L863">
        <f t="shared" si="55"/>
        <v>12.782</v>
      </c>
    </row>
    <row r="864" spans="1:12">
      <c r="A864" t="s">
        <v>13</v>
      </c>
      <c r="B864" s="14" t="s">
        <v>1727</v>
      </c>
      <c r="C864" s="20" t="s">
        <v>1728</v>
      </c>
      <c r="D864" s="20" t="s">
        <v>1728</v>
      </c>
      <c r="E864" s="20" t="s">
        <v>1728</v>
      </c>
      <c r="F864" s="20" t="s">
        <v>1728</v>
      </c>
      <c r="G864">
        <v>11.39</v>
      </c>
      <c r="H864" s="1">
        <v>21.67</v>
      </c>
      <c r="I864">
        <f t="shared" si="52"/>
        <v>13.0985</v>
      </c>
      <c r="J864">
        <f t="shared" si="53"/>
        <v>13.668</v>
      </c>
      <c r="K864">
        <f t="shared" si="54"/>
        <v>14.807</v>
      </c>
      <c r="L864">
        <f t="shared" si="55"/>
        <v>15.946</v>
      </c>
    </row>
    <row r="865" spans="1:12">
      <c r="A865" t="s">
        <v>13</v>
      </c>
      <c r="B865" s="14" t="s">
        <v>1729</v>
      </c>
      <c r="C865" s="20" t="s">
        <v>1730</v>
      </c>
      <c r="D865" s="20" t="s">
        <v>1730</v>
      </c>
      <c r="E865" s="20" t="s">
        <v>1730</v>
      </c>
      <c r="F865" s="20" t="s">
        <v>1730</v>
      </c>
      <c r="G865">
        <v>11.69</v>
      </c>
      <c r="H865" s="1">
        <v>22.25</v>
      </c>
      <c r="I865">
        <f t="shared" si="52"/>
        <v>13.4435</v>
      </c>
      <c r="J865">
        <f t="shared" si="53"/>
        <v>14.028</v>
      </c>
      <c r="K865">
        <f t="shared" si="54"/>
        <v>15.197</v>
      </c>
      <c r="L865">
        <f t="shared" si="55"/>
        <v>16.366</v>
      </c>
    </row>
    <row r="866" spans="1:12">
      <c r="A866" t="s">
        <v>13</v>
      </c>
      <c r="B866" s="14" t="s">
        <v>1731</v>
      </c>
      <c r="C866" s="20" t="s">
        <v>1732</v>
      </c>
      <c r="D866" s="20" t="s">
        <v>1732</v>
      </c>
      <c r="E866" s="20" t="s">
        <v>1732</v>
      </c>
      <c r="F866" s="20" t="s">
        <v>1732</v>
      </c>
      <c r="G866">
        <v>9.14</v>
      </c>
      <c r="H866" s="1">
        <v>17.4</v>
      </c>
      <c r="I866">
        <f t="shared" si="52"/>
        <v>10.511</v>
      </c>
      <c r="J866">
        <f t="shared" si="53"/>
        <v>10.968</v>
      </c>
      <c r="K866">
        <f t="shared" si="54"/>
        <v>11.882</v>
      </c>
      <c r="L866">
        <f t="shared" si="55"/>
        <v>12.796</v>
      </c>
    </row>
    <row r="867" spans="1:12">
      <c r="A867" t="s">
        <v>13</v>
      </c>
      <c r="B867" s="14" t="s">
        <v>1733</v>
      </c>
      <c r="C867" s="20" t="s">
        <v>1734</v>
      </c>
      <c r="D867" s="20" t="s">
        <v>1734</v>
      </c>
      <c r="E867" s="20" t="s">
        <v>1734</v>
      </c>
      <c r="F867" s="20" t="s">
        <v>1734</v>
      </c>
      <c r="G867">
        <v>11.45</v>
      </c>
      <c r="H867" s="1">
        <v>21.8</v>
      </c>
      <c r="I867">
        <f t="shared" si="52"/>
        <v>13.1675</v>
      </c>
      <c r="J867">
        <f t="shared" si="53"/>
        <v>13.74</v>
      </c>
      <c r="K867">
        <f t="shared" si="54"/>
        <v>14.885</v>
      </c>
      <c r="L867">
        <f t="shared" si="55"/>
        <v>16.03</v>
      </c>
    </row>
    <row r="868" spans="1:12">
      <c r="A868" t="s">
        <v>13</v>
      </c>
      <c r="B868" s="14" t="s">
        <v>1735</v>
      </c>
      <c r="C868" s="20" t="s">
        <v>1736</v>
      </c>
      <c r="D868" s="20" t="s">
        <v>1736</v>
      </c>
      <c r="E868" s="20" t="s">
        <v>1736</v>
      </c>
      <c r="F868" s="20" t="s">
        <v>1736</v>
      </c>
      <c r="G868">
        <v>9.33</v>
      </c>
      <c r="H868" s="1">
        <v>17.77</v>
      </c>
      <c r="I868">
        <f t="shared" si="52"/>
        <v>10.7295</v>
      </c>
      <c r="J868">
        <f t="shared" si="53"/>
        <v>11.196</v>
      </c>
      <c r="K868">
        <f t="shared" si="54"/>
        <v>12.129</v>
      </c>
      <c r="L868">
        <f t="shared" si="55"/>
        <v>13.062</v>
      </c>
    </row>
    <row r="869" spans="1:12">
      <c r="A869" t="s">
        <v>13</v>
      </c>
      <c r="B869" s="14" t="s">
        <v>1737</v>
      </c>
      <c r="C869" s="20" t="s">
        <v>1738</v>
      </c>
      <c r="D869" s="20" t="s">
        <v>1738</v>
      </c>
      <c r="E869" s="20" t="s">
        <v>1738</v>
      </c>
      <c r="F869" s="20" t="s">
        <v>1738</v>
      </c>
      <c r="G869">
        <v>11.46</v>
      </c>
      <c r="H869" s="1">
        <v>21.82</v>
      </c>
      <c r="I869">
        <f t="shared" si="52"/>
        <v>13.179</v>
      </c>
      <c r="J869">
        <f t="shared" si="53"/>
        <v>13.752</v>
      </c>
      <c r="K869">
        <f t="shared" si="54"/>
        <v>14.898</v>
      </c>
      <c r="L869">
        <f t="shared" si="55"/>
        <v>16.044</v>
      </c>
    </row>
    <row r="870" spans="1:12">
      <c r="A870" t="s">
        <v>13</v>
      </c>
      <c r="B870" s="14" t="s">
        <v>1739</v>
      </c>
      <c r="C870" s="20" t="s">
        <v>1740</v>
      </c>
      <c r="D870" s="20" t="s">
        <v>1740</v>
      </c>
      <c r="E870" s="20" t="s">
        <v>1740</v>
      </c>
      <c r="F870" s="20" t="s">
        <v>1740</v>
      </c>
      <c r="G870">
        <v>4.95</v>
      </c>
      <c r="H870" s="1">
        <v>11.03</v>
      </c>
      <c r="I870">
        <f t="shared" si="52"/>
        <v>5.6925</v>
      </c>
      <c r="J870">
        <f t="shared" si="53"/>
        <v>5.94</v>
      </c>
      <c r="K870">
        <f t="shared" si="54"/>
        <v>6.435</v>
      </c>
      <c r="L870">
        <f t="shared" si="55"/>
        <v>6.93</v>
      </c>
    </row>
    <row r="871" ht="28.5" spans="1:12">
      <c r="A871" t="s">
        <v>13</v>
      </c>
      <c r="B871" s="14" t="s">
        <v>1741</v>
      </c>
      <c r="C871" s="20" t="s">
        <v>1742</v>
      </c>
      <c r="D871" s="20" t="s">
        <v>1742</v>
      </c>
      <c r="E871" s="20" t="s">
        <v>1742</v>
      </c>
      <c r="F871" s="20" t="s">
        <v>1742</v>
      </c>
      <c r="G871">
        <v>6.4</v>
      </c>
      <c r="H871" s="1">
        <v>14.23</v>
      </c>
      <c r="I871">
        <f t="shared" si="52"/>
        <v>7.36</v>
      </c>
      <c r="J871">
        <f t="shared" si="53"/>
        <v>7.68</v>
      </c>
      <c r="K871">
        <f t="shared" si="54"/>
        <v>8.32</v>
      </c>
      <c r="L871">
        <f t="shared" si="55"/>
        <v>8.96</v>
      </c>
    </row>
    <row r="872" spans="1:12">
      <c r="A872" t="s">
        <v>13</v>
      </c>
      <c r="B872" s="14" t="s">
        <v>1743</v>
      </c>
      <c r="C872" s="20" t="s">
        <v>1744</v>
      </c>
      <c r="D872" s="20" t="s">
        <v>1744</v>
      </c>
      <c r="E872" s="20" t="s">
        <v>1744</v>
      </c>
      <c r="F872" s="20" t="s">
        <v>1744</v>
      </c>
      <c r="G872">
        <v>4.94</v>
      </c>
      <c r="H872" s="1">
        <v>10.99</v>
      </c>
      <c r="I872">
        <f t="shared" si="52"/>
        <v>5.681</v>
      </c>
      <c r="J872">
        <f t="shared" si="53"/>
        <v>5.928</v>
      </c>
      <c r="K872">
        <f t="shared" si="54"/>
        <v>6.422</v>
      </c>
      <c r="L872">
        <f t="shared" si="55"/>
        <v>6.916</v>
      </c>
    </row>
    <row r="873" spans="1:12">
      <c r="A873" t="s">
        <v>13</v>
      </c>
      <c r="B873" s="14" t="s">
        <v>1745</v>
      </c>
      <c r="C873" s="20" t="s">
        <v>1746</v>
      </c>
      <c r="D873" s="20" t="s">
        <v>1746</v>
      </c>
      <c r="E873" s="20" t="s">
        <v>1746</v>
      </c>
      <c r="F873" s="20" t="s">
        <v>1746</v>
      </c>
      <c r="G873">
        <v>7.4</v>
      </c>
      <c r="H873" s="1">
        <v>16.47</v>
      </c>
      <c r="I873">
        <f t="shared" si="52"/>
        <v>8.51</v>
      </c>
      <c r="J873">
        <f t="shared" si="53"/>
        <v>8.88</v>
      </c>
      <c r="K873">
        <f t="shared" si="54"/>
        <v>9.62</v>
      </c>
      <c r="L873">
        <f t="shared" si="55"/>
        <v>10.36</v>
      </c>
    </row>
    <row r="874" spans="1:12">
      <c r="A874" t="s">
        <v>13</v>
      </c>
      <c r="B874" s="14" t="s">
        <v>1747</v>
      </c>
      <c r="C874" s="20" t="s">
        <v>1748</v>
      </c>
      <c r="D874" s="20" t="s">
        <v>1748</v>
      </c>
      <c r="E874" s="20" t="s">
        <v>1748</v>
      </c>
      <c r="F874" s="20" t="s">
        <v>1748</v>
      </c>
      <c r="G874">
        <v>10.53</v>
      </c>
      <c r="H874" s="1">
        <v>23.41</v>
      </c>
      <c r="I874">
        <f t="shared" si="52"/>
        <v>12.1095</v>
      </c>
      <c r="J874">
        <f t="shared" si="53"/>
        <v>12.636</v>
      </c>
      <c r="K874">
        <f t="shared" si="54"/>
        <v>13.689</v>
      </c>
      <c r="L874">
        <f t="shared" si="55"/>
        <v>14.742</v>
      </c>
    </row>
    <row r="875" spans="1:12">
      <c r="A875" t="s">
        <v>13</v>
      </c>
      <c r="B875" s="14" t="s">
        <v>1749</v>
      </c>
      <c r="C875" s="20" t="s">
        <v>1750</v>
      </c>
      <c r="D875" s="20" t="s">
        <v>1750</v>
      </c>
      <c r="E875" s="20" t="s">
        <v>1750</v>
      </c>
      <c r="F875" s="20" t="s">
        <v>1750</v>
      </c>
      <c r="G875">
        <v>8.71</v>
      </c>
      <c r="H875" s="1">
        <v>19.33</v>
      </c>
      <c r="I875">
        <f t="shared" si="52"/>
        <v>10.0165</v>
      </c>
      <c r="J875">
        <f t="shared" si="53"/>
        <v>10.452</v>
      </c>
      <c r="K875">
        <f t="shared" si="54"/>
        <v>11.323</v>
      </c>
      <c r="L875">
        <f t="shared" si="55"/>
        <v>12.194</v>
      </c>
    </row>
    <row r="876" spans="1:12">
      <c r="A876" t="s">
        <v>13</v>
      </c>
      <c r="B876" s="14" t="s">
        <v>1751</v>
      </c>
      <c r="C876" s="20" t="s">
        <v>1752</v>
      </c>
      <c r="D876" s="20" t="s">
        <v>1752</v>
      </c>
      <c r="E876" s="20" t="s">
        <v>1752</v>
      </c>
      <c r="F876" s="20" t="s">
        <v>1752</v>
      </c>
      <c r="G876">
        <v>2</v>
      </c>
      <c r="H876" s="1">
        <v>4.47</v>
      </c>
      <c r="I876">
        <f t="shared" si="52"/>
        <v>2.3</v>
      </c>
      <c r="J876">
        <f t="shared" si="53"/>
        <v>2.4</v>
      </c>
      <c r="K876">
        <f t="shared" si="54"/>
        <v>2.6</v>
      </c>
      <c r="L876">
        <f t="shared" si="55"/>
        <v>2.8</v>
      </c>
    </row>
    <row r="877" spans="1:12">
      <c r="A877" t="s">
        <v>13</v>
      </c>
      <c r="B877" s="14" t="s">
        <v>1753</v>
      </c>
      <c r="C877" s="20" t="s">
        <v>1754</v>
      </c>
      <c r="D877" s="20" t="s">
        <v>1754</v>
      </c>
      <c r="E877" s="20" t="s">
        <v>1754</v>
      </c>
      <c r="F877" s="20" t="s">
        <v>1754</v>
      </c>
      <c r="G877">
        <v>5.86</v>
      </c>
      <c r="H877" s="1">
        <v>12.99</v>
      </c>
      <c r="I877">
        <f t="shared" si="52"/>
        <v>6.739</v>
      </c>
      <c r="J877">
        <f t="shared" si="53"/>
        <v>7.032</v>
      </c>
      <c r="K877">
        <f t="shared" si="54"/>
        <v>7.618</v>
      </c>
      <c r="L877">
        <f t="shared" si="55"/>
        <v>8.204</v>
      </c>
    </row>
    <row r="878" spans="1:12">
      <c r="A878" t="s">
        <v>13</v>
      </c>
      <c r="B878" s="14" t="s">
        <v>1755</v>
      </c>
      <c r="C878" s="20" t="s">
        <v>1756</v>
      </c>
      <c r="D878" s="20" t="s">
        <v>1756</v>
      </c>
      <c r="E878" s="20" t="s">
        <v>1756</v>
      </c>
      <c r="F878" s="20" t="s">
        <v>1756</v>
      </c>
      <c r="G878">
        <v>2</v>
      </c>
      <c r="H878" s="1">
        <v>4.47</v>
      </c>
      <c r="I878">
        <f t="shared" si="52"/>
        <v>2.3</v>
      </c>
      <c r="J878">
        <f t="shared" si="53"/>
        <v>2.4</v>
      </c>
      <c r="K878">
        <f t="shared" si="54"/>
        <v>2.6</v>
      </c>
      <c r="L878">
        <f t="shared" si="55"/>
        <v>2.8</v>
      </c>
    </row>
    <row r="879" spans="1:12">
      <c r="A879" t="s">
        <v>13</v>
      </c>
      <c r="B879" s="14" t="s">
        <v>1757</v>
      </c>
      <c r="C879" s="20" t="s">
        <v>1758</v>
      </c>
      <c r="D879" s="20" t="s">
        <v>1758</v>
      </c>
      <c r="E879" s="20" t="s">
        <v>1758</v>
      </c>
      <c r="F879" s="20" t="s">
        <v>1758</v>
      </c>
      <c r="G879">
        <v>5.81</v>
      </c>
      <c r="H879" s="1">
        <v>12.9</v>
      </c>
      <c r="I879">
        <f t="shared" si="52"/>
        <v>6.6815</v>
      </c>
      <c r="J879">
        <f t="shared" si="53"/>
        <v>6.972</v>
      </c>
      <c r="K879">
        <f t="shared" si="54"/>
        <v>7.553</v>
      </c>
      <c r="L879">
        <f t="shared" si="55"/>
        <v>8.134</v>
      </c>
    </row>
    <row r="880" spans="1:12">
      <c r="A880" t="s">
        <v>13</v>
      </c>
      <c r="B880" s="14" t="s">
        <v>1759</v>
      </c>
      <c r="C880" s="20" t="s">
        <v>1760</v>
      </c>
      <c r="D880" s="20" t="s">
        <v>1760</v>
      </c>
      <c r="E880" s="20" t="s">
        <v>1760</v>
      </c>
      <c r="F880" s="20" t="s">
        <v>1760</v>
      </c>
      <c r="G880">
        <v>2.9</v>
      </c>
      <c r="H880" s="1">
        <v>6.46</v>
      </c>
      <c r="I880">
        <f t="shared" si="52"/>
        <v>3.335</v>
      </c>
      <c r="J880">
        <f t="shared" si="53"/>
        <v>3.48</v>
      </c>
      <c r="K880">
        <f t="shared" si="54"/>
        <v>3.77</v>
      </c>
      <c r="L880">
        <f t="shared" si="55"/>
        <v>4.06</v>
      </c>
    </row>
    <row r="881" spans="1:12">
      <c r="A881" t="s">
        <v>13</v>
      </c>
      <c r="B881" s="14" t="s">
        <v>1761</v>
      </c>
      <c r="C881" s="20" t="s">
        <v>1762</v>
      </c>
      <c r="D881" s="20" t="s">
        <v>1762</v>
      </c>
      <c r="E881" s="20" t="s">
        <v>1762</v>
      </c>
      <c r="F881" s="20" t="s">
        <v>1762</v>
      </c>
      <c r="G881">
        <v>6.93</v>
      </c>
      <c r="H881" s="1">
        <v>15.4</v>
      </c>
      <c r="I881">
        <f t="shared" si="52"/>
        <v>7.9695</v>
      </c>
      <c r="J881">
        <f t="shared" si="53"/>
        <v>8.316</v>
      </c>
      <c r="K881">
        <f t="shared" si="54"/>
        <v>9.009</v>
      </c>
      <c r="L881">
        <f t="shared" si="55"/>
        <v>9.702</v>
      </c>
    </row>
    <row r="882" spans="1:12">
      <c r="A882" t="s">
        <v>13</v>
      </c>
      <c r="B882" s="14" t="s">
        <v>1763</v>
      </c>
      <c r="C882" s="20" t="s">
        <v>1764</v>
      </c>
      <c r="D882" s="20" t="s">
        <v>1764</v>
      </c>
      <c r="E882" s="20" t="s">
        <v>1764</v>
      </c>
      <c r="F882" s="20" t="s">
        <v>1764</v>
      </c>
      <c r="G882">
        <v>5.34</v>
      </c>
      <c r="H882" s="1">
        <v>11.84</v>
      </c>
      <c r="I882">
        <f t="shared" si="52"/>
        <v>6.141</v>
      </c>
      <c r="J882">
        <f t="shared" si="53"/>
        <v>6.408</v>
      </c>
      <c r="K882">
        <f t="shared" si="54"/>
        <v>6.942</v>
      </c>
      <c r="L882">
        <f t="shared" si="55"/>
        <v>7.476</v>
      </c>
    </row>
    <row r="883" spans="1:12">
      <c r="A883" t="s">
        <v>13</v>
      </c>
      <c r="B883" s="14" t="s">
        <v>1765</v>
      </c>
      <c r="C883" s="20" t="s">
        <v>1766</v>
      </c>
      <c r="D883" s="20" t="s">
        <v>1766</v>
      </c>
      <c r="E883" s="20" t="s">
        <v>1766</v>
      </c>
      <c r="F883" s="20" t="s">
        <v>1766</v>
      </c>
      <c r="G883">
        <v>5.35</v>
      </c>
      <c r="H883" s="1">
        <v>11.89</v>
      </c>
      <c r="I883">
        <f t="shared" si="52"/>
        <v>6.1525</v>
      </c>
      <c r="J883">
        <f t="shared" si="53"/>
        <v>6.42</v>
      </c>
      <c r="K883">
        <f t="shared" si="54"/>
        <v>6.955</v>
      </c>
      <c r="L883">
        <f t="shared" si="55"/>
        <v>7.49</v>
      </c>
    </row>
    <row r="884" spans="1:12">
      <c r="A884" t="s">
        <v>13</v>
      </c>
      <c r="B884" s="14" t="s">
        <v>1767</v>
      </c>
      <c r="C884" s="20" t="s">
        <v>1768</v>
      </c>
      <c r="D884" s="20" t="s">
        <v>1768</v>
      </c>
      <c r="E884" s="20" t="s">
        <v>1768</v>
      </c>
      <c r="F884" s="20" t="s">
        <v>1768</v>
      </c>
      <c r="G884">
        <v>1.86</v>
      </c>
      <c r="H884" s="1">
        <v>4.14</v>
      </c>
      <c r="I884">
        <f t="shared" si="52"/>
        <v>2.139</v>
      </c>
      <c r="J884">
        <f t="shared" si="53"/>
        <v>2.232</v>
      </c>
      <c r="K884">
        <f t="shared" si="54"/>
        <v>2.418</v>
      </c>
      <c r="L884">
        <f t="shared" si="55"/>
        <v>2.604</v>
      </c>
    </row>
    <row r="885" spans="1:12">
      <c r="A885" t="s">
        <v>13</v>
      </c>
      <c r="B885" s="14" t="s">
        <v>1769</v>
      </c>
      <c r="C885" s="20" t="s">
        <v>1770</v>
      </c>
      <c r="D885" s="20" t="s">
        <v>1770</v>
      </c>
      <c r="E885" s="20" t="s">
        <v>1770</v>
      </c>
      <c r="F885" s="20" t="s">
        <v>1770</v>
      </c>
      <c r="G885">
        <v>0.07</v>
      </c>
      <c r="H885" s="1">
        <v>0.17</v>
      </c>
      <c r="I885">
        <f t="shared" si="52"/>
        <v>0.0805</v>
      </c>
      <c r="J885">
        <f t="shared" si="53"/>
        <v>0.084</v>
      </c>
      <c r="K885">
        <f t="shared" si="54"/>
        <v>0.091</v>
      </c>
      <c r="L885">
        <f t="shared" si="55"/>
        <v>0.098</v>
      </c>
    </row>
    <row r="886" spans="1:12">
      <c r="A886" t="s">
        <v>13</v>
      </c>
      <c r="B886" s="14" t="s">
        <v>1771</v>
      </c>
      <c r="C886" s="20" t="s">
        <v>1772</v>
      </c>
      <c r="D886" s="20" t="s">
        <v>1772</v>
      </c>
      <c r="E886" s="20" t="s">
        <v>1772</v>
      </c>
      <c r="F886" s="20" t="s">
        <v>1772</v>
      </c>
      <c r="G886">
        <v>1.86</v>
      </c>
      <c r="H886" s="1">
        <v>4.14</v>
      </c>
      <c r="I886">
        <f t="shared" si="52"/>
        <v>2.139</v>
      </c>
      <c r="J886">
        <f t="shared" si="53"/>
        <v>2.232</v>
      </c>
      <c r="K886">
        <f t="shared" si="54"/>
        <v>2.418</v>
      </c>
      <c r="L886">
        <f t="shared" si="55"/>
        <v>2.604</v>
      </c>
    </row>
    <row r="887" spans="1:12">
      <c r="A887" t="s">
        <v>13</v>
      </c>
      <c r="B887" s="14" t="s">
        <v>1773</v>
      </c>
      <c r="C887" s="20" t="s">
        <v>1774</v>
      </c>
      <c r="D887" s="20" t="s">
        <v>1774</v>
      </c>
      <c r="E887" s="20" t="s">
        <v>1774</v>
      </c>
      <c r="F887" s="20" t="s">
        <v>1774</v>
      </c>
      <c r="G887">
        <v>1.86</v>
      </c>
      <c r="H887" s="1">
        <v>4.14</v>
      </c>
      <c r="I887">
        <f t="shared" si="52"/>
        <v>2.139</v>
      </c>
      <c r="J887">
        <f t="shared" si="53"/>
        <v>2.232</v>
      </c>
      <c r="K887">
        <f t="shared" si="54"/>
        <v>2.418</v>
      </c>
      <c r="L887">
        <f t="shared" si="55"/>
        <v>2.604</v>
      </c>
    </row>
    <row r="888" spans="1:12">
      <c r="A888" t="s">
        <v>13</v>
      </c>
      <c r="B888" s="14" t="s">
        <v>1775</v>
      </c>
      <c r="C888" s="20" t="s">
        <v>1776</v>
      </c>
      <c r="D888" s="20" t="s">
        <v>1776</v>
      </c>
      <c r="E888" s="20" t="s">
        <v>1776</v>
      </c>
      <c r="F888" s="20" t="s">
        <v>1776</v>
      </c>
      <c r="G888">
        <v>1.94</v>
      </c>
      <c r="H888" s="1">
        <v>4.33</v>
      </c>
      <c r="I888">
        <f t="shared" si="52"/>
        <v>2.231</v>
      </c>
      <c r="J888">
        <f t="shared" si="53"/>
        <v>2.328</v>
      </c>
      <c r="K888">
        <f t="shared" si="54"/>
        <v>2.522</v>
      </c>
      <c r="L888">
        <f t="shared" si="55"/>
        <v>2.716</v>
      </c>
    </row>
    <row r="889" spans="1:12">
      <c r="A889" t="s">
        <v>13</v>
      </c>
      <c r="B889" s="14" t="s">
        <v>1777</v>
      </c>
      <c r="C889" s="20" t="s">
        <v>1778</v>
      </c>
      <c r="D889" s="20" t="s">
        <v>1778</v>
      </c>
      <c r="E889" s="20" t="s">
        <v>1778</v>
      </c>
      <c r="F889" s="20" t="s">
        <v>1778</v>
      </c>
      <c r="G889">
        <v>8.69</v>
      </c>
      <c r="H889" s="1">
        <v>19.33</v>
      </c>
      <c r="I889">
        <f t="shared" si="52"/>
        <v>9.9935</v>
      </c>
      <c r="J889">
        <f t="shared" si="53"/>
        <v>10.428</v>
      </c>
      <c r="K889">
        <f t="shared" si="54"/>
        <v>11.297</v>
      </c>
      <c r="L889">
        <f t="shared" si="55"/>
        <v>12.166</v>
      </c>
    </row>
    <row r="890" spans="1:12">
      <c r="A890" t="s">
        <v>13</v>
      </c>
      <c r="B890" s="14" t="s">
        <v>1779</v>
      </c>
      <c r="C890" s="20" t="s">
        <v>1780</v>
      </c>
      <c r="D890" s="20" t="s">
        <v>1780</v>
      </c>
      <c r="E890" s="20" t="s">
        <v>1780</v>
      </c>
      <c r="F890" s="20" t="s">
        <v>1780</v>
      </c>
      <c r="G890">
        <v>7.24</v>
      </c>
      <c r="H890" s="1">
        <v>16.1</v>
      </c>
      <c r="I890">
        <f t="shared" si="52"/>
        <v>8.326</v>
      </c>
      <c r="J890">
        <f t="shared" si="53"/>
        <v>8.688</v>
      </c>
      <c r="K890">
        <f t="shared" si="54"/>
        <v>9.412</v>
      </c>
      <c r="L890">
        <f t="shared" si="55"/>
        <v>10.136</v>
      </c>
    </row>
    <row r="891" ht="28.5" spans="1:12">
      <c r="A891" t="s">
        <v>13</v>
      </c>
      <c r="B891" s="14" t="s">
        <v>1781</v>
      </c>
      <c r="C891" s="20" t="s">
        <v>1782</v>
      </c>
      <c r="D891" s="20" t="s">
        <v>1782</v>
      </c>
      <c r="E891" s="20" t="s">
        <v>1782</v>
      </c>
      <c r="F891" s="20" t="s">
        <v>1782</v>
      </c>
      <c r="G891">
        <v>14.9</v>
      </c>
      <c r="H891" s="1">
        <v>33.11</v>
      </c>
      <c r="I891">
        <f t="shared" si="52"/>
        <v>17.135</v>
      </c>
      <c r="J891">
        <f t="shared" si="53"/>
        <v>17.88</v>
      </c>
      <c r="K891">
        <f t="shared" si="54"/>
        <v>19.37</v>
      </c>
      <c r="L891">
        <f t="shared" si="55"/>
        <v>20.86</v>
      </c>
    </row>
    <row r="892" ht="28.5" spans="1:12">
      <c r="A892" t="s">
        <v>13</v>
      </c>
      <c r="B892" s="14" t="s">
        <v>1783</v>
      </c>
      <c r="C892" s="20" t="s">
        <v>1784</v>
      </c>
      <c r="D892" s="20" t="s">
        <v>1784</v>
      </c>
      <c r="E892" s="20" t="s">
        <v>1784</v>
      </c>
      <c r="F892" s="20" t="s">
        <v>1784</v>
      </c>
      <c r="G892">
        <v>12.63</v>
      </c>
      <c r="H892" s="1">
        <v>28.06</v>
      </c>
      <c r="I892">
        <f t="shared" si="52"/>
        <v>14.5245</v>
      </c>
      <c r="J892">
        <f t="shared" si="53"/>
        <v>15.156</v>
      </c>
      <c r="K892">
        <f t="shared" si="54"/>
        <v>16.419</v>
      </c>
      <c r="L892">
        <f t="shared" si="55"/>
        <v>17.682</v>
      </c>
    </row>
    <row r="893" spans="1:12">
      <c r="A893" t="s">
        <v>13</v>
      </c>
      <c r="B893" s="14" t="s">
        <v>1785</v>
      </c>
      <c r="C893" s="20" t="s">
        <v>1786</v>
      </c>
      <c r="D893" s="20" t="s">
        <v>1786</v>
      </c>
      <c r="E893" s="20" t="s">
        <v>1786</v>
      </c>
      <c r="F893" s="20" t="s">
        <v>1786</v>
      </c>
      <c r="G893">
        <v>14.32</v>
      </c>
      <c r="H893" s="1">
        <v>31.81</v>
      </c>
      <c r="I893">
        <f t="shared" si="52"/>
        <v>16.468</v>
      </c>
      <c r="J893">
        <f t="shared" si="53"/>
        <v>17.184</v>
      </c>
      <c r="K893">
        <f t="shared" si="54"/>
        <v>18.616</v>
      </c>
      <c r="L893">
        <f t="shared" si="55"/>
        <v>20.048</v>
      </c>
    </row>
    <row r="894" spans="1:12">
      <c r="A894" t="s">
        <v>13</v>
      </c>
      <c r="B894" s="14" t="s">
        <v>1787</v>
      </c>
      <c r="C894" s="20" t="s">
        <v>1788</v>
      </c>
      <c r="D894" s="20" t="s">
        <v>1788</v>
      </c>
      <c r="E894" s="20" t="s">
        <v>1788</v>
      </c>
      <c r="F894" s="20" t="s">
        <v>1788</v>
      </c>
      <c r="G894">
        <v>12.47</v>
      </c>
      <c r="H894" s="1">
        <v>27.71</v>
      </c>
      <c r="I894">
        <f t="shared" si="52"/>
        <v>14.3405</v>
      </c>
      <c r="J894">
        <f t="shared" si="53"/>
        <v>14.964</v>
      </c>
      <c r="K894">
        <f t="shared" si="54"/>
        <v>16.211</v>
      </c>
      <c r="L894">
        <f t="shared" si="55"/>
        <v>17.458</v>
      </c>
    </row>
    <row r="895" spans="1:12">
      <c r="A895" t="s">
        <v>13</v>
      </c>
      <c r="B895" s="14" t="s">
        <v>1789</v>
      </c>
      <c r="C895" s="20" t="s">
        <v>1790</v>
      </c>
      <c r="D895" s="20" t="s">
        <v>1790</v>
      </c>
      <c r="E895" s="20" t="s">
        <v>1790</v>
      </c>
      <c r="F895" s="20" t="s">
        <v>1790</v>
      </c>
      <c r="G895">
        <v>13.97</v>
      </c>
      <c r="H895" s="1">
        <v>31.03</v>
      </c>
      <c r="I895">
        <f t="shared" si="52"/>
        <v>16.0655</v>
      </c>
      <c r="J895">
        <f t="shared" si="53"/>
        <v>16.764</v>
      </c>
      <c r="K895">
        <f t="shared" si="54"/>
        <v>18.161</v>
      </c>
      <c r="L895">
        <f t="shared" si="55"/>
        <v>19.558</v>
      </c>
    </row>
    <row r="896" spans="1:12">
      <c r="A896" t="s">
        <v>13</v>
      </c>
      <c r="B896" s="14" t="s">
        <v>1791</v>
      </c>
      <c r="C896" s="20" t="s">
        <v>1792</v>
      </c>
      <c r="D896" s="20" t="s">
        <v>1792</v>
      </c>
      <c r="E896" s="20" t="s">
        <v>1792</v>
      </c>
      <c r="F896" s="20" t="s">
        <v>1792</v>
      </c>
      <c r="G896">
        <v>12.19</v>
      </c>
      <c r="H896" s="1">
        <v>27.07</v>
      </c>
      <c r="I896">
        <f t="shared" si="52"/>
        <v>14.0185</v>
      </c>
      <c r="J896">
        <f t="shared" si="53"/>
        <v>14.628</v>
      </c>
      <c r="K896">
        <f t="shared" si="54"/>
        <v>15.847</v>
      </c>
      <c r="L896">
        <f t="shared" si="55"/>
        <v>17.066</v>
      </c>
    </row>
    <row r="897" spans="1:12">
      <c r="A897" t="s">
        <v>13</v>
      </c>
      <c r="B897" s="14" t="s">
        <v>1793</v>
      </c>
      <c r="C897" s="20" t="s">
        <v>1794</v>
      </c>
      <c r="D897" s="20" t="s">
        <v>1794</v>
      </c>
      <c r="E897" s="20" t="s">
        <v>1794</v>
      </c>
      <c r="F897" s="20" t="s">
        <v>1794</v>
      </c>
      <c r="G897">
        <v>8.58</v>
      </c>
      <c r="H897" s="1">
        <v>19.07</v>
      </c>
      <c r="I897">
        <f t="shared" si="52"/>
        <v>9.867</v>
      </c>
      <c r="J897">
        <f t="shared" si="53"/>
        <v>10.296</v>
      </c>
      <c r="K897">
        <f t="shared" si="54"/>
        <v>11.154</v>
      </c>
      <c r="L897">
        <f t="shared" si="55"/>
        <v>12.012</v>
      </c>
    </row>
    <row r="898" spans="1:12">
      <c r="A898" t="s">
        <v>13</v>
      </c>
      <c r="B898" s="14" t="s">
        <v>1795</v>
      </c>
      <c r="C898" s="20" t="s">
        <v>1796</v>
      </c>
      <c r="D898" s="20" t="s">
        <v>1796</v>
      </c>
      <c r="E898" s="20" t="s">
        <v>1796</v>
      </c>
      <c r="F898" s="20" t="s">
        <v>1796</v>
      </c>
      <c r="G898">
        <v>7.1</v>
      </c>
      <c r="H898" s="1">
        <v>15.77</v>
      </c>
      <c r="I898">
        <f t="shared" ref="I898:I961" si="56">G898*1.15</f>
        <v>8.165</v>
      </c>
      <c r="J898">
        <f t="shared" ref="J898:J961" si="57">G898*1.2</f>
        <v>8.52</v>
      </c>
      <c r="K898">
        <f t="shared" ref="K898:K961" si="58">G898*1.3</f>
        <v>9.23</v>
      </c>
      <c r="L898">
        <f t="shared" ref="L898:L961" si="59">G898*1.4</f>
        <v>9.94</v>
      </c>
    </row>
    <row r="899" ht="28.5" spans="1:12">
      <c r="A899" t="s">
        <v>13</v>
      </c>
      <c r="B899" s="14" t="s">
        <v>1797</v>
      </c>
      <c r="C899" s="20" t="s">
        <v>1798</v>
      </c>
      <c r="D899" s="20" t="s">
        <v>1798</v>
      </c>
      <c r="E899" s="20" t="s">
        <v>1798</v>
      </c>
      <c r="F899" s="20" t="s">
        <v>1798</v>
      </c>
      <c r="G899">
        <v>14.42</v>
      </c>
      <c r="H899" s="1">
        <v>32.01</v>
      </c>
      <c r="I899">
        <f t="shared" si="56"/>
        <v>16.583</v>
      </c>
      <c r="J899">
        <f t="shared" si="57"/>
        <v>17.304</v>
      </c>
      <c r="K899">
        <f t="shared" si="58"/>
        <v>18.746</v>
      </c>
      <c r="L899">
        <f t="shared" si="59"/>
        <v>20.188</v>
      </c>
    </row>
    <row r="900" ht="28.5" spans="1:12">
      <c r="A900" t="s">
        <v>13</v>
      </c>
      <c r="B900" s="14" t="s">
        <v>1799</v>
      </c>
      <c r="C900" s="20" t="s">
        <v>1800</v>
      </c>
      <c r="D900" s="20" t="s">
        <v>1800</v>
      </c>
      <c r="E900" s="20" t="s">
        <v>1800</v>
      </c>
      <c r="F900" s="20" t="s">
        <v>1800</v>
      </c>
      <c r="G900">
        <v>12.47</v>
      </c>
      <c r="H900" s="1">
        <v>27.71</v>
      </c>
      <c r="I900">
        <f t="shared" si="56"/>
        <v>14.3405</v>
      </c>
      <c r="J900">
        <f t="shared" si="57"/>
        <v>14.964</v>
      </c>
      <c r="K900">
        <f t="shared" si="58"/>
        <v>16.211</v>
      </c>
      <c r="L900">
        <f t="shared" si="59"/>
        <v>17.458</v>
      </c>
    </row>
    <row r="901" spans="1:12">
      <c r="A901" t="s">
        <v>13</v>
      </c>
      <c r="B901" s="14" t="s">
        <v>1801</v>
      </c>
      <c r="C901" s="20" t="s">
        <v>1802</v>
      </c>
      <c r="D901" s="20" t="s">
        <v>1802</v>
      </c>
      <c r="E901" s="20" t="s">
        <v>1802</v>
      </c>
      <c r="F901" s="20" t="s">
        <v>1802</v>
      </c>
      <c r="G901">
        <v>13.71</v>
      </c>
      <c r="H901" s="1">
        <v>30.45</v>
      </c>
      <c r="I901">
        <f t="shared" si="56"/>
        <v>15.7665</v>
      </c>
      <c r="J901">
        <f t="shared" si="57"/>
        <v>16.452</v>
      </c>
      <c r="K901">
        <f t="shared" si="58"/>
        <v>17.823</v>
      </c>
      <c r="L901">
        <f t="shared" si="59"/>
        <v>19.194</v>
      </c>
    </row>
    <row r="902" spans="1:12">
      <c r="A902" t="s">
        <v>13</v>
      </c>
      <c r="B902" s="14" t="s">
        <v>1803</v>
      </c>
      <c r="C902" s="20" t="s">
        <v>1804</v>
      </c>
      <c r="D902" s="20" t="s">
        <v>1804</v>
      </c>
      <c r="E902" s="20" t="s">
        <v>1804</v>
      </c>
      <c r="F902" s="20" t="s">
        <v>1804</v>
      </c>
      <c r="G902">
        <v>11.99</v>
      </c>
      <c r="H902" s="1">
        <v>26.65</v>
      </c>
      <c r="I902">
        <f t="shared" si="56"/>
        <v>13.7885</v>
      </c>
      <c r="J902">
        <f t="shared" si="57"/>
        <v>14.388</v>
      </c>
      <c r="K902">
        <f t="shared" si="58"/>
        <v>15.587</v>
      </c>
      <c r="L902">
        <f t="shared" si="59"/>
        <v>16.786</v>
      </c>
    </row>
    <row r="903" spans="1:12">
      <c r="A903" t="s">
        <v>13</v>
      </c>
      <c r="B903" s="14" t="s">
        <v>1805</v>
      </c>
      <c r="C903" s="20" t="s">
        <v>1806</v>
      </c>
      <c r="D903" s="20" t="s">
        <v>1806</v>
      </c>
      <c r="E903" s="20" t="s">
        <v>1806</v>
      </c>
      <c r="F903" s="20" t="s">
        <v>1806</v>
      </c>
      <c r="G903">
        <v>0.99</v>
      </c>
      <c r="H903" s="1">
        <v>1.89</v>
      </c>
      <c r="I903">
        <f t="shared" si="56"/>
        <v>1.1385</v>
      </c>
      <c r="J903">
        <f t="shared" si="57"/>
        <v>1.188</v>
      </c>
      <c r="K903">
        <f t="shared" si="58"/>
        <v>1.287</v>
      </c>
      <c r="L903">
        <f t="shared" si="59"/>
        <v>1.386</v>
      </c>
    </row>
    <row r="904" spans="1:12">
      <c r="A904" t="s">
        <v>13</v>
      </c>
      <c r="B904" s="14" t="s">
        <v>1807</v>
      </c>
      <c r="C904" s="20" t="s">
        <v>1808</v>
      </c>
      <c r="D904" s="20" t="s">
        <v>1808</v>
      </c>
      <c r="E904" s="20" t="s">
        <v>1808</v>
      </c>
      <c r="F904" s="20" t="s">
        <v>1808</v>
      </c>
      <c r="G904">
        <v>0.2</v>
      </c>
      <c r="H904" s="1">
        <v>0.37</v>
      </c>
      <c r="I904">
        <f t="shared" si="56"/>
        <v>0.23</v>
      </c>
      <c r="J904">
        <f t="shared" si="57"/>
        <v>0.24</v>
      </c>
      <c r="K904">
        <f t="shared" si="58"/>
        <v>0.26</v>
      </c>
      <c r="L904">
        <f t="shared" si="59"/>
        <v>0.28</v>
      </c>
    </row>
    <row r="905" spans="1:12">
      <c r="A905" t="s">
        <v>13</v>
      </c>
      <c r="B905" s="14" t="s">
        <v>1809</v>
      </c>
      <c r="C905" s="20" t="s">
        <v>1810</v>
      </c>
      <c r="D905" s="20" t="s">
        <v>1810</v>
      </c>
      <c r="E905" s="20" t="s">
        <v>1810</v>
      </c>
      <c r="F905" s="20" t="s">
        <v>1810</v>
      </c>
      <c r="G905">
        <v>0.2</v>
      </c>
      <c r="H905" s="1">
        <v>0.37</v>
      </c>
      <c r="I905">
        <f t="shared" si="56"/>
        <v>0.23</v>
      </c>
      <c r="J905">
        <f t="shared" si="57"/>
        <v>0.24</v>
      </c>
      <c r="K905">
        <f t="shared" si="58"/>
        <v>0.26</v>
      </c>
      <c r="L905">
        <f t="shared" si="59"/>
        <v>0.28</v>
      </c>
    </row>
    <row r="906" spans="1:12">
      <c r="A906" t="s">
        <v>13</v>
      </c>
      <c r="B906" s="14" t="s">
        <v>1811</v>
      </c>
      <c r="C906" s="20" t="s">
        <v>1812</v>
      </c>
      <c r="D906" s="20" t="s">
        <v>1812</v>
      </c>
      <c r="E906" s="20" t="s">
        <v>1812</v>
      </c>
      <c r="F906" s="20" t="s">
        <v>1812</v>
      </c>
      <c r="G906">
        <v>0.2</v>
      </c>
      <c r="H906" s="1">
        <v>0.38</v>
      </c>
      <c r="I906">
        <f t="shared" si="56"/>
        <v>0.23</v>
      </c>
      <c r="J906">
        <f t="shared" si="57"/>
        <v>0.24</v>
      </c>
      <c r="K906">
        <f t="shared" si="58"/>
        <v>0.26</v>
      </c>
      <c r="L906">
        <f t="shared" si="59"/>
        <v>0.28</v>
      </c>
    </row>
    <row r="907" spans="1:12">
      <c r="A907" t="s">
        <v>13</v>
      </c>
      <c r="B907" s="14" t="s">
        <v>1813</v>
      </c>
      <c r="C907" s="20" t="s">
        <v>1814</v>
      </c>
      <c r="D907" s="20" t="s">
        <v>1814</v>
      </c>
      <c r="E907" s="20" t="s">
        <v>1814</v>
      </c>
      <c r="F907" s="20" t="s">
        <v>1814</v>
      </c>
      <c r="G907">
        <v>0.2</v>
      </c>
      <c r="H907" s="1">
        <v>0.38</v>
      </c>
      <c r="I907">
        <f t="shared" si="56"/>
        <v>0.23</v>
      </c>
      <c r="J907">
        <f t="shared" si="57"/>
        <v>0.24</v>
      </c>
      <c r="K907">
        <f t="shared" si="58"/>
        <v>0.26</v>
      </c>
      <c r="L907">
        <f t="shared" si="59"/>
        <v>0.28</v>
      </c>
    </row>
    <row r="908" spans="1:12">
      <c r="A908" t="s">
        <v>13</v>
      </c>
      <c r="B908" s="14" t="s">
        <v>1815</v>
      </c>
      <c r="C908" s="20" t="s">
        <v>1816</v>
      </c>
      <c r="D908" s="20" t="s">
        <v>1816</v>
      </c>
      <c r="E908" s="20" t="s">
        <v>1816</v>
      </c>
      <c r="F908" s="20" t="s">
        <v>1816</v>
      </c>
      <c r="G908">
        <v>0.2</v>
      </c>
      <c r="H908" s="1">
        <v>0.38</v>
      </c>
      <c r="I908">
        <f t="shared" si="56"/>
        <v>0.23</v>
      </c>
      <c r="J908">
        <f t="shared" si="57"/>
        <v>0.24</v>
      </c>
      <c r="K908">
        <f t="shared" si="58"/>
        <v>0.26</v>
      </c>
      <c r="L908">
        <f t="shared" si="59"/>
        <v>0.28</v>
      </c>
    </row>
    <row r="909" spans="1:12">
      <c r="A909" t="s">
        <v>13</v>
      </c>
      <c r="B909" s="14" t="s">
        <v>1817</v>
      </c>
      <c r="C909" s="20" t="s">
        <v>1818</v>
      </c>
      <c r="D909" s="20" t="s">
        <v>1818</v>
      </c>
      <c r="E909" s="20" t="s">
        <v>1818</v>
      </c>
      <c r="F909" s="20" t="s">
        <v>1818</v>
      </c>
      <c r="G909">
        <v>0.2</v>
      </c>
      <c r="H909" s="1">
        <v>0.38</v>
      </c>
      <c r="I909">
        <f t="shared" si="56"/>
        <v>0.23</v>
      </c>
      <c r="J909">
        <f t="shared" si="57"/>
        <v>0.24</v>
      </c>
      <c r="K909">
        <f t="shared" si="58"/>
        <v>0.26</v>
      </c>
      <c r="L909">
        <f t="shared" si="59"/>
        <v>0.28</v>
      </c>
    </row>
    <row r="910" spans="1:12">
      <c r="A910" t="s">
        <v>13</v>
      </c>
      <c r="B910" s="14" t="s">
        <v>1819</v>
      </c>
      <c r="C910" s="20" t="s">
        <v>1820</v>
      </c>
      <c r="D910" s="20" t="s">
        <v>1820</v>
      </c>
      <c r="E910" s="20" t="s">
        <v>1820</v>
      </c>
      <c r="F910" s="20" t="s">
        <v>1820</v>
      </c>
      <c r="G910">
        <v>0.2</v>
      </c>
      <c r="H910" s="1">
        <v>0.38</v>
      </c>
      <c r="I910">
        <f t="shared" si="56"/>
        <v>0.23</v>
      </c>
      <c r="J910">
        <f t="shared" si="57"/>
        <v>0.24</v>
      </c>
      <c r="K910">
        <f t="shared" si="58"/>
        <v>0.26</v>
      </c>
      <c r="L910">
        <f t="shared" si="59"/>
        <v>0.28</v>
      </c>
    </row>
    <row r="911" spans="1:12">
      <c r="A911" t="s">
        <v>13</v>
      </c>
      <c r="B911" s="14" t="s">
        <v>1821</v>
      </c>
      <c r="C911" s="20" t="s">
        <v>1822</v>
      </c>
      <c r="D911" s="20" t="s">
        <v>1822</v>
      </c>
      <c r="E911" s="20" t="s">
        <v>1822</v>
      </c>
      <c r="F911" s="20" t="s">
        <v>1822</v>
      </c>
      <c r="G911">
        <v>0.2</v>
      </c>
      <c r="H911" s="1">
        <v>0.38</v>
      </c>
      <c r="I911">
        <f t="shared" si="56"/>
        <v>0.23</v>
      </c>
      <c r="J911">
        <f t="shared" si="57"/>
        <v>0.24</v>
      </c>
      <c r="K911">
        <f t="shared" si="58"/>
        <v>0.26</v>
      </c>
      <c r="L911">
        <f t="shared" si="59"/>
        <v>0.28</v>
      </c>
    </row>
    <row r="912" spans="1:12">
      <c r="A912" t="s">
        <v>13</v>
      </c>
      <c r="B912" s="14" t="s">
        <v>1823</v>
      </c>
      <c r="C912" s="20" t="s">
        <v>1824</v>
      </c>
      <c r="D912" s="20" t="s">
        <v>1824</v>
      </c>
      <c r="E912" s="20" t="s">
        <v>1824</v>
      </c>
      <c r="F912" s="20" t="s">
        <v>1824</v>
      </c>
      <c r="G912">
        <v>0.2</v>
      </c>
      <c r="H912" s="1">
        <v>0.38</v>
      </c>
      <c r="I912">
        <f t="shared" si="56"/>
        <v>0.23</v>
      </c>
      <c r="J912">
        <f t="shared" si="57"/>
        <v>0.24</v>
      </c>
      <c r="K912">
        <f t="shared" si="58"/>
        <v>0.26</v>
      </c>
      <c r="L912">
        <f t="shared" si="59"/>
        <v>0.28</v>
      </c>
    </row>
    <row r="913" spans="1:12">
      <c r="A913" t="s">
        <v>13</v>
      </c>
      <c r="B913" s="14" t="s">
        <v>1825</v>
      </c>
      <c r="C913" s="20" t="s">
        <v>1826</v>
      </c>
      <c r="D913" s="20" t="s">
        <v>1826</v>
      </c>
      <c r="E913" s="20" t="s">
        <v>1826</v>
      </c>
      <c r="F913" s="20" t="s">
        <v>1826</v>
      </c>
      <c r="G913">
        <v>0.2</v>
      </c>
      <c r="H913" s="1">
        <v>0.38</v>
      </c>
      <c r="I913">
        <f t="shared" si="56"/>
        <v>0.23</v>
      </c>
      <c r="J913">
        <f t="shared" si="57"/>
        <v>0.24</v>
      </c>
      <c r="K913">
        <f t="shared" si="58"/>
        <v>0.26</v>
      </c>
      <c r="L913">
        <f t="shared" si="59"/>
        <v>0.28</v>
      </c>
    </row>
    <row r="914" ht="28.5" spans="1:12">
      <c r="A914" t="s">
        <v>13</v>
      </c>
      <c r="B914" s="14" t="s">
        <v>1827</v>
      </c>
      <c r="C914" s="20" t="s">
        <v>1828</v>
      </c>
      <c r="D914" s="20" t="s">
        <v>1828</v>
      </c>
      <c r="E914" s="20" t="s">
        <v>1828</v>
      </c>
      <c r="F914" s="20" t="s">
        <v>1828</v>
      </c>
      <c r="G914">
        <v>4.16</v>
      </c>
      <c r="H914" s="1">
        <v>9.24</v>
      </c>
      <c r="I914">
        <f t="shared" si="56"/>
        <v>4.784</v>
      </c>
      <c r="J914">
        <f t="shared" si="57"/>
        <v>4.992</v>
      </c>
      <c r="K914">
        <f t="shared" si="58"/>
        <v>5.408</v>
      </c>
      <c r="L914">
        <f t="shared" si="59"/>
        <v>5.824</v>
      </c>
    </row>
    <row r="915" spans="1:12">
      <c r="A915" t="s">
        <v>13</v>
      </c>
      <c r="B915" s="14" t="s">
        <v>1829</v>
      </c>
      <c r="C915" s="20" t="s">
        <v>1830</v>
      </c>
      <c r="D915" s="20" t="s">
        <v>1830</v>
      </c>
      <c r="E915" s="20" t="s">
        <v>1830</v>
      </c>
      <c r="F915" s="20" t="s">
        <v>1830</v>
      </c>
      <c r="G915">
        <v>0.73</v>
      </c>
      <c r="H915" s="1">
        <v>1.8</v>
      </c>
      <c r="I915">
        <f t="shared" si="56"/>
        <v>0.8395</v>
      </c>
      <c r="J915">
        <f t="shared" si="57"/>
        <v>0.876</v>
      </c>
      <c r="K915">
        <f t="shared" si="58"/>
        <v>0.949</v>
      </c>
      <c r="L915">
        <f t="shared" si="59"/>
        <v>1.022</v>
      </c>
    </row>
    <row r="916" spans="1:12">
      <c r="A916" t="s">
        <v>13</v>
      </c>
      <c r="B916" s="14" t="s">
        <v>1831</v>
      </c>
      <c r="C916" s="20" t="s">
        <v>1832</v>
      </c>
      <c r="D916" s="20" t="s">
        <v>1832</v>
      </c>
      <c r="E916" s="20" t="s">
        <v>1832</v>
      </c>
      <c r="F916" s="20" t="s">
        <v>1832</v>
      </c>
      <c r="G916">
        <v>0.74</v>
      </c>
      <c r="H916" s="1">
        <v>1.84</v>
      </c>
      <c r="I916">
        <f t="shared" si="56"/>
        <v>0.851</v>
      </c>
      <c r="J916">
        <f t="shared" si="57"/>
        <v>0.888</v>
      </c>
      <c r="K916">
        <f t="shared" si="58"/>
        <v>0.962</v>
      </c>
      <c r="L916">
        <f t="shared" si="59"/>
        <v>1.036</v>
      </c>
    </row>
    <row r="917" spans="1:12">
      <c r="A917" t="s">
        <v>13</v>
      </c>
      <c r="B917" s="14" t="s">
        <v>1833</v>
      </c>
      <c r="C917" s="20" t="s">
        <v>1834</v>
      </c>
      <c r="D917" s="20" t="s">
        <v>1834</v>
      </c>
      <c r="E917" s="20" t="s">
        <v>1834</v>
      </c>
      <c r="F917" s="20" t="s">
        <v>1834</v>
      </c>
      <c r="G917">
        <v>0.74</v>
      </c>
      <c r="H917" s="1">
        <v>1.83</v>
      </c>
      <c r="I917">
        <f t="shared" si="56"/>
        <v>0.851</v>
      </c>
      <c r="J917">
        <f t="shared" si="57"/>
        <v>0.888</v>
      </c>
      <c r="K917">
        <f t="shared" si="58"/>
        <v>0.962</v>
      </c>
      <c r="L917">
        <f t="shared" si="59"/>
        <v>1.036</v>
      </c>
    </row>
    <row r="918" spans="1:12">
      <c r="A918" t="s">
        <v>13</v>
      </c>
      <c r="B918" s="14" t="s">
        <v>1835</v>
      </c>
      <c r="C918" s="20" t="s">
        <v>1836</v>
      </c>
      <c r="D918" s="20" t="s">
        <v>1836</v>
      </c>
      <c r="E918" s="20" t="s">
        <v>1836</v>
      </c>
      <c r="F918" s="20" t="s">
        <v>1836</v>
      </c>
      <c r="G918">
        <v>0.73</v>
      </c>
      <c r="H918" s="1">
        <v>1.8</v>
      </c>
      <c r="I918">
        <f t="shared" si="56"/>
        <v>0.8395</v>
      </c>
      <c r="J918">
        <f t="shared" si="57"/>
        <v>0.876</v>
      </c>
      <c r="K918">
        <f t="shared" si="58"/>
        <v>0.949</v>
      </c>
      <c r="L918">
        <f t="shared" si="59"/>
        <v>1.022</v>
      </c>
    </row>
    <row r="919" spans="1:12">
      <c r="A919" t="s">
        <v>13</v>
      </c>
      <c r="B919" s="14" t="s">
        <v>1837</v>
      </c>
      <c r="C919" s="20" t="s">
        <v>1838</v>
      </c>
      <c r="D919" s="20" t="s">
        <v>1838</v>
      </c>
      <c r="E919" s="20" t="s">
        <v>1838</v>
      </c>
      <c r="F919" s="20" t="s">
        <v>1838</v>
      </c>
      <c r="G919">
        <v>0.73</v>
      </c>
      <c r="H919" s="1">
        <v>1.8</v>
      </c>
      <c r="I919">
        <f t="shared" si="56"/>
        <v>0.8395</v>
      </c>
      <c r="J919">
        <f t="shared" si="57"/>
        <v>0.876</v>
      </c>
      <c r="K919">
        <f t="shared" si="58"/>
        <v>0.949</v>
      </c>
      <c r="L919">
        <f t="shared" si="59"/>
        <v>1.022</v>
      </c>
    </row>
    <row r="920" spans="1:12">
      <c r="A920" t="s">
        <v>13</v>
      </c>
      <c r="B920" s="14" t="s">
        <v>1839</v>
      </c>
      <c r="C920" s="20" t="s">
        <v>1840</v>
      </c>
      <c r="D920" s="20" t="s">
        <v>1840</v>
      </c>
      <c r="E920" s="20" t="s">
        <v>1840</v>
      </c>
      <c r="F920" s="20" t="s">
        <v>1840</v>
      </c>
      <c r="G920">
        <v>1.14</v>
      </c>
      <c r="H920" s="1">
        <v>2.84</v>
      </c>
      <c r="I920">
        <f t="shared" si="56"/>
        <v>1.311</v>
      </c>
      <c r="J920">
        <f t="shared" si="57"/>
        <v>1.368</v>
      </c>
      <c r="K920">
        <f t="shared" si="58"/>
        <v>1.482</v>
      </c>
      <c r="L920">
        <f t="shared" si="59"/>
        <v>1.596</v>
      </c>
    </row>
    <row r="921" spans="1:12">
      <c r="A921" t="s">
        <v>13</v>
      </c>
      <c r="B921" s="14" t="s">
        <v>1841</v>
      </c>
      <c r="C921" s="20" t="s">
        <v>1842</v>
      </c>
      <c r="D921" s="20" t="s">
        <v>1842</v>
      </c>
      <c r="E921" s="20" t="s">
        <v>1842</v>
      </c>
      <c r="F921" s="20" t="s">
        <v>1842</v>
      </c>
      <c r="G921">
        <v>1.15</v>
      </c>
      <c r="H921" s="1">
        <v>2.86</v>
      </c>
      <c r="I921">
        <f t="shared" si="56"/>
        <v>1.3225</v>
      </c>
      <c r="J921">
        <f t="shared" si="57"/>
        <v>1.38</v>
      </c>
      <c r="K921">
        <f t="shared" si="58"/>
        <v>1.495</v>
      </c>
      <c r="L921">
        <f t="shared" si="59"/>
        <v>1.61</v>
      </c>
    </row>
    <row r="922" spans="1:12">
      <c r="A922" t="s">
        <v>13</v>
      </c>
      <c r="B922" s="14" t="s">
        <v>1843</v>
      </c>
      <c r="C922" s="20" t="s">
        <v>1844</v>
      </c>
      <c r="D922" s="20" t="s">
        <v>1844</v>
      </c>
      <c r="E922" s="20" t="s">
        <v>1844</v>
      </c>
      <c r="F922" s="20" t="s">
        <v>1844</v>
      </c>
      <c r="G922">
        <v>1.14</v>
      </c>
      <c r="H922" s="1">
        <v>2.84</v>
      </c>
      <c r="I922">
        <f t="shared" si="56"/>
        <v>1.311</v>
      </c>
      <c r="J922">
        <f t="shared" si="57"/>
        <v>1.368</v>
      </c>
      <c r="K922">
        <f t="shared" si="58"/>
        <v>1.482</v>
      </c>
      <c r="L922">
        <f t="shared" si="59"/>
        <v>1.596</v>
      </c>
    </row>
    <row r="923" spans="1:12">
      <c r="A923" t="s">
        <v>13</v>
      </c>
      <c r="B923" s="14" t="s">
        <v>1845</v>
      </c>
      <c r="C923" s="20" t="s">
        <v>1846</v>
      </c>
      <c r="D923" s="20" t="s">
        <v>1846</v>
      </c>
      <c r="E923" s="20" t="s">
        <v>1846</v>
      </c>
      <c r="F923" s="20" t="s">
        <v>1846</v>
      </c>
      <c r="G923">
        <v>1.12</v>
      </c>
      <c r="H923" s="1">
        <v>2.8</v>
      </c>
      <c r="I923">
        <f t="shared" si="56"/>
        <v>1.288</v>
      </c>
      <c r="J923">
        <f t="shared" si="57"/>
        <v>1.344</v>
      </c>
      <c r="K923">
        <f t="shared" si="58"/>
        <v>1.456</v>
      </c>
      <c r="L923">
        <f t="shared" si="59"/>
        <v>1.568</v>
      </c>
    </row>
    <row r="924" spans="1:12">
      <c r="A924" t="s">
        <v>13</v>
      </c>
      <c r="B924" s="14" t="s">
        <v>1847</v>
      </c>
      <c r="C924" s="20" t="s">
        <v>1848</v>
      </c>
      <c r="D924" s="20" t="s">
        <v>1848</v>
      </c>
      <c r="E924" s="20" t="s">
        <v>1848</v>
      </c>
      <c r="F924" s="20" t="s">
        <v>1848</v>
      </c>
      <c r="G924">
        <v>1.85</v>
      </c>
      <c r="H924" s="1">
        <v>4.63</v>
      </c>
      <c r="I924">
        <f t="shared" si="56"/>
        <v>2.1275</v>
      </c>
      <c r="J924">
        <f t="shared" si="57"/>
        <v>2.22</v>
      </c>
      <c r="K924">
        <f t="shared" si="58"/>
        <v>2.405</v>
      </c>
      <c r="L924">
        <f t="shared" si="59"/>
        <v>2.59</v>
      </c>
    </row>
    <row r="925" spans="1:12">
      <c r="A925" t="s">
        <v>13</v>
      </c>
      <c r="B925" s="14" t="s">
        <v>1849</v>
      </c>
      <c r="C925" s="20" t="s">
        <v>1850</v>
      </c>
      <c r="D925" s="20" t="s">
        <v>1850</v>
      </c>
      <c r="E925" s="20" t="s">
        <v>1850</v>
      </c>
      <c r="F925" s="20" t="s">
        <v>1850</v>
      </c>
      <c r="G925">
        <v>1.82</v>
      </c>
      <c r="H925" s="1">
        <v>4.56</v>
      </c>
      <c r="I925">
        <f t="shared" si="56"/>
        <v>2.093</v>
      </c>
      <c r="J925">
        <f t="shared" si="57"/>
        <v>2.184</v>
      </c>
      <c r="K925">
        <f t="shared" si="58"/>
        <v>2.366</v>
      </c>
      <c r="L925">
        <f t="shared" si="59"/>
        <v>2.548</v>
      </c>
    </row>
    <row r="926" spans="1:12">
      <c r="A926" t="s">
        <v>13</v>
      </c>
      <c r="B926" s="14" t="s">
        <v>1851</v>
      </c>
      <c r="C926" s="20" t="s">
        <v>1852</v>
      </c>
      <c r="D926" s="20" t="s">
        <v>1852</v>
      </c>
      <c r="E926" s="20" t="s">
        <v>1852</v>
      </c>
      <c r="F926" s="20" t="s">
        <v>1852</v>
      </c>
      <c r="G926">
        <v>1.85</v>
      </c>
      <c r="H926" s="1">
        <v>4.63</v>
      </c>
      <c r="I926">
        <f t="shared" si="56"/>
        <v>2.1275</v>
      </c>
      <c r="J926">
        <f t="shared" si="57"/>
        <v>2.22</v>
      </c>
      <c r="K926">
        <f t="shared" si="58"/>
        <v>2.405</v>
      </c>
      <c r="L926">
        <f t="shared" si="59"/>
        <v>2.59</v>
      </c>
    </row>
    <row r="927" spans="1:12">
      <c r="A927" t="s">
        <v>13</v>
      </c>
      <c r="B927" s="14" t="s">
        <v>1853</v>
      </c>
      <c r="C927" s="20" t="s">
        <v>1854</v>
      </c>
      <c r="D927" s="20" t="s">
        <v>1854</v>
      </c>
      <c r="E927" s="20" t="s">
        <v>1854</v>
      </c>
      <c r="F927" s="20" t="s">
        <v>1854</v>
      </c>
      <c r="G927">
        <v>1.82</v>
      </c>
      <c r="H927" s="1">
        <v>4.56</v>
      </c>
      <c r="I927">
        <f t="shared" si="56"/>
        <v>2.093</v>
      </c>
      <c r="J927">
        <f t="shared" si="57"/>
        <v>2.184</v>
      </c>
      <c r="K927">
        <f t="shared" si="58"/>
        <v>2.366</v>
      </c>
      <c r="L927">
        <f t="shared" si="59"/>
        <v>2.548</v>
      </c>
    </row>
    <row r="928" spans="1:12">
      <c r="A928" t="s">
        <v>13</v>
      </c>
      <c r="B928" s="14" t="s">
        <v>1855</v>
      </c>
      <c r="C928" s="20" t="s">
        <v>1856</v>
      </c>
      <c r="D928" s="20" t="s">
        <v>1856</v>
      </c>
      <c r="E928" s="20" t="s">
        <v>1856</v>
      </c>
      <c r="F928" s="20" t="s">
        <v>1856</v>
      </c>
      <c r="G928">
        <v>2.28</v>
      </c>
      <c r="H928" s="1">
        <v>5.7</v>
      </c>
      <c r="I928">
        <f t="shared" si="56"/>
        <v>2.622</v>
      </c>
      <c r="J928">
        <f t="shared" si="57"/>
        <v>2.736</v>
      </c>
      <c r="K928">
        <f t="shared" si="58"/>
        <v>2.964</v>
      </c>
      <c r="L928">
        <f t="shared" si="59"/>
        <v>3.192</v>
      </c>
    </row>
    <row r="929" spans="1:12">
      <c r="A929" t="s">
        <v>13</v>
      </c>
      <c r="B929" s="14" t="s">
        <v>1857</v>
      </c>
      <c r="C929" s="20" t="s">
        <v>1858</v>
      </c>
      <c r="D929" s="20" t="s">
        <v>1858</v>
      </c>
      <c r="E929" s="20" t="s">
        <v>1858</v>
      </c>
      <c r="F929" s="20" t="s">
        <v>1858</v>
      </c>
      <c r="G929">
        <v>2.27</v>
      </c>
      <c r="H929" s="1">
        <v>5.67</v>
      </c>
      <c r="I929">
        <f t="shared" si="56"/>
        <v>2.6105</v>
      </c>
      <c r="J929">
        <f t="shared" si="57"/>
        <v>2.724</v>
      </c>
      <c r="K929">
        <f t="shared" si="58"/>
        <v>2.951</v>
      </c>
      <c r="L929">
        <f t="shared" si="59"/>
        <v>3.178</v>
      </c>
    </row>
    <row r="930" spans="1:12">
      <c r="A930" t="s">
        <v>13</v>
      </c>
      <c r="B930" s="14" t="s">
        <v>1859</v>
      </c>
      <c r="C930" s="20" t="s">
        <v>1860</v>
      </c>
      <c r="D930" s="20" t="s">
        <v>1860</v>
      </c>
      <c r="E930" s="20" t="s">
        <v>1860</v>
      </c>
      <c r="F930" s="20" t="s">
        <v>1860</v>
      </c>
      <c r="G930">
        <v>0.48</v>
      </c>
      <c r="H930" s="1">
        <v>1.18</v>
      </c>
      <c r="I930">
        <f t="shared" si="56"/>
        <v>0.552</v>
      </c>
      <c r="J930">
        <f t="shared" si="57"/>
        <v>0.576</v>
      </c>
      <c r="K930">
        <f t="shared" si="58"/>
        <v>0.624</v>
      </c>
      <c r="L930">
        <f t="shared" si="59"/>
        <v>0.672</v>
      </c>
    </row>
    <row r="931" spans="1:12">
      <c r="A931" t="s">
        <v>13</v>
      </c>
      <c r="B931" s="14" t="s">
        <v>1861</v>
      </c>
      <c r="C931" s="20" t="s">
        <v>1862</v>
      </c>
      <c r="D931" s="20" t="s">
        <v>1862</v>
      </c>
      <c r="E931" s="20" t="s">
        <v>1862</v>
      </c>
      <c r="F931" s="20" t="s">
        <v>1862</v>
      </c>
      <c r="G931">
        <v>0.46</v>
      </c>
      <c r="H931" s="1">
        <v>1.13</v>
      </c>
      <c r="I931">
        <f t="shared" si="56"/>
        <v>0.529</v>
      </c>
      <c r="J931">
        <f t="shared" si="57"/>
        <v>0.552</v>
      </c>
      <c r="K931">
        <f t="shared" si="58"/>
        <v>0.598</v>
      </c>
      <c r="L931">
        <f t="shared" si="59"/>
        <v>0.644</v>
      </c>
    </row>
    <row r="932" spans="1:12">
      <c r="A932" t="s">
        <v>13</v>
      </c>
      <c r="B932" s="14" t="s">
        <v>1863</v>
      </c>
      <c r="C932" s="20" t="s">
        <v>1864</v>
      </c>
      <c r="D932" s="20" t="s">
        <v>1864</v>
      </c>
      <c r="E932" s="20" t="s">
        <v>1864</v>
      </c>
      <c r="F932" s="20" t="s">
        <v>1864</v>
      </c>
      <c r="G932">
        <v>0.46</v>
      </c>
      <c r="H932" s="1">
        <v>1.13</v>
      </c>
      <c r="I932">
        <f t="shared" si="56"/>
        <v>0.529</v>
      </c>
      <c r="J932">
        <f t="shared" si="57"/>
        <v>0.552</v>
      </c>
      <c r="K932">
        <f t="shared" si="58"/>
        <v>0.598</v>
      </c>
      <c r="L932">
        <f t="shared" si="59"/>
        <v>0.644</v>
      </c>
    </row>
    <row r="933" spans="1:12">
      <c r="A933" t="s">
        <v>13</v>
      </c>
      <c r="B933" s="14" t="s">
        <v>1865</v>
      </c>
      <c r="C933" s="20" t="s">
        <v>1866</v>
      </c>
      <c r="D933" s="20" t="s">
        <v>1866</v>
      </c>
      <c r="E933" s="20" t="s">
        <v>1866</v>
      </c>
      <c r="F933" s="20" t="s">
        <v>1866</v>
      </c>
      <c r="G933">
        <v>0.46</v>
      </c>
      <c r="H933" s="1">
        <v>1.13</v>
      </c>
      <c r="I933">
        <f t="shared" si="56"/>
        <v>0.529</v>
      </c>
      <c r="J933">
        <f t="shared" si="57"/>
        <v>0.552</v>
      </c>
      <c r="K933">
        <f t="shared" si="58"/>
        <v>0.598</v>
      </c>
      <c r="L933">
        <f t="shared" si="59"/>
        <v>0.644</v>
      </c>
    </row>
    <row r="934" spans="1:12">
      <c r="A934" t="s">
        <v>13</v>
      </c>
      <c r="B934" s="14" t="s">
        <v>1867</v>
      </c>
      <c r="C934" s="20" t="s">
        <v>1868</v>
      </c>
      <c r="D934" s="20" t="s">
        <v>1868</v>
      </c>
      <c r="E934" s="20" t="s">
        <v>1868</v>
      </c>
      <c r="F934" s="20" t="s">
        <v>1868</v>
      </c>
      <c r="G934">
        <v>202.81</v>
      </c>
      <c r="H934" s="1">
        <v>450.69</v>
      </c>
      <c r="I934">
        <f t="shared" si="56"/>
        <v>233.2315</v>
      </c>
      <c r="J934">
        <f t="shared" si="57"/>
        <v>243.372</v>
      </c>
      <c r="K934">
        <f t="shared" si="58"/>
        <v>263.653</v>
      </c>
      <c r="L934">
        <f t="shared" si="59"/>
        <v>283.934</v>
      </c>
    </row>
    <row r="935" spans="1:12">
      <c r="A935" t="s">
        <v>13</v>
      </c>
      <c r="B935" s="14" t="s">
        <v>1869</v>
      </c>
      <c r="C935" s="20" t="s">
        <v>1870</v>
      </c>
      <c r="D935" s="20" t="s">
        <v>1870</v>
      </c>
      <c r="E935" s="20" t="s">
        <v>1870</v>
      </c>
      <c r="F935" s="20" t="s">
        <v>1870</v>
      </c>
      <c r="G935">
        <v>61.74</v>
      </c>
      <c r="H935" s="1">
        <v>137.2</v>
      </c>
      <c r="I935">
        <f t="shared" si="56"/>
        <v>71.001</v>
      </c>
      <c r="J935">
        <f t="shared" si="57"/>
        <v>74.088</v>
      </c>
      <c r="K935">
        <f t="shared" si="58"/>
        <v>80.262</v>
      </c>
      <c r="L935">
        <f t="shared" si="59"/>
        <v>86.436</v>
      </c>
    </row>
    <row r="936" spans="1:12">
      <c r="A936" t="s">
        <v>13</v>
      </c>
      <c r="B936" s="14" t="s">
        <v>1871</v>
      </c>
      <c r="C936" s="20" t="s">
        <v>1872</v>
      </c>
      <c r="D936" s="20" t="s">
        <v>1872</v>
      </c>
      <c r="E936" s="20" t="s">
        <v>1872</v>
      </c>
      <c r="F936" s="20" t="s">
        <v>1872</v>
      </c>
      <c r="G936">
        <v>0.57</v>
      </c>
      <c r="H936" s="1">
        <v>1.11</v>
      </c>
      <c r="I936">
        <f t="shared" si="56"/>
        <v>0.6555</v>
      </c>
      <c r="J936">
        <f t="shared" si="57"/>
        <v>0.684</v>
      </c>
      <c r="K936">
        <f t="shared" si="58"/>
        <v>0.741</v>
      </c>
      <c r="L936">
        <f t="shared" si="59"/>
        <v>0.798</v>
      </c>
    </row>
    <row r="937" spans="1:12">
      <c r="A937" t="s">
        <v>13</v>
      </c>
      <c r="B937" s="14" t="s">
        <v>1873</v>
      </c>
      <c r="C937" s="20" t="s">
        <v>1874</v>
      </c>
      <c r="D937" s="20" t="s">
        <v>1874</v>
      </c>
      <c r="E937" s="20" t="s">
        <v>1874</v>
      </c>
      <c r="F937" s="20" t="s">
        <v>1874</v>
      </c>
      <c r="G937">
        <v>6.89</v>
      </c>
      <c r="H937" s="1">
        <v>13.12</v>
      </c>
      <c r="I937">
        <f t="shared" si="56"/>
        <v>7.9235</v>
      </c>
      <c r="J937">
        <f t="shared" si="57"/>
        <v>8.268</v>
      </c>
      <c r="K937">
        <f t="shared" si="58"/>
        <v>8.957</v>
      </c>
      <c r="L937">
        <f t="shared" si="59"/>
        <v>9.646</v>
      </c>
    </row>
    <row r="938" spans="1:12">
      <c r="A938" t="s">
        <v>13</v>
      </c>
      <c r="B938" s="14" t="s">
        <v>1875</v>
      </c>
      <c r="C938" s="20" t="s">
        <v>1876</v>
      </c>
      <c r="D938" s="20" t="s">
        <v>1876</v>
      </c>
      <c r="E938" s="20" t="s">
        <v>1876</v>
      </c>
      <c r="F938" s="20" t="s">
        <v>1876</v>
      </c>
      <c r="G938">
        <v>4.25</v>
      </c>
      <c r="H938" s="1">
        <v>8.08</v>
      </c>
      <c r="I938">
        <f t="shared" si="56"/>
        <v>4.8875</v>
      </c>
      <c r="J938">
        <f t="shared" si="57"/>
        <v>5.1</v>
      </c>
      <c r="K938">
        <f t="shared" si="58"/>
        <v>5.525</v>
      </c>
      <c r="L938">
        <f t="shared" si="59"/>
        <v>5.95</v>
      </c>
    </row>
    <row r="939" spans="1:12">
      <c r="A939" t="s">
        <v>13</v>
      </c>
      <c r="B939" s="14" t="s">
        <v>1877</v>
      </c>
      <c r="C939" s="20" t="s">
        <v>1878</v>
      </c>
      <c r="D939" s="20" t="s">
        <v>1878</v>
      </c>
      <c r="E939" s="20" t="s">
        <v>1878</v>
      </c>
      <c r="F939" s="20" t="s">
        <v>1878</v>
      </c>
      <c r="G939">
        <v>5.86</v>
      </c>
      <c r="H939" s="1">
        <v>11.16</v>
      </c>
      <c r="I939">
        <f t="shared" si="56"/>
        <v>6.739</v>
      </c>
      <c r="J939">
        <f t="shared" si="57"/>
        <v>7.032</v>
      </c>
      <c r="K939">
        <f t="shared" si="58"/>
        <v>7.618</v>
      </c>
      <c r="L939">
        <f t="shared" si="59"/>
        <v>8.204</v>
      </c>
    </row>
    <row r="940" spans="1:12">
      <c r="A940" t="s">
        <v>13</v>
      </c>
      <c r="B940" s="14" t="s">
        <v>1879</v>
      </c>
      <c r="C940" s="20" t="s">
        <v>1880</v>
      </c>
      <c r="D940" s="20" t="s">
        <v>1880</v>
      </c>
      <c r="E940" s="20" t="s">
        <v>1880</v>
      </c>
      <c r="F940" s="20" t="s">
        <v>1880</v>
      </c>
      <c r="G940">
        <v>4.68</v>
      </c>
      <c r="H940" s="1">
        <v>8.91</v>
      </c>
      <c r="I940">
        <f t="shared" si="56"/>
        <v>5.382</v>
      </c>
      <c r="J940">
        <f t="shared" si="57"/>
        <v>5.616</v>
      </c>
      <c r="K940">
        <f t="shared" si="58"/>
        <v>6.084</v>
      </c>
      <c r="L940">
        <f t="shared" si="59"/>
        <v>6.552</v>
      </c>
    </row>
    <row r="941" spans="1:12">
      <c r="A941" t="s">
        <v>13</v>
      </c>
      <c r="B941" s="14" t="s">
        <v>1881</v>
      </c>
      <c r="C941" s="20" t="s">
        <v>1882</v>
      </c>
      <c r="D941" s="20" t="s">
        <v>1882</v>
      </c>
      <c r="E941" s="20" t="s">
        <v>1882</v>
      </c>
      <c r="F941" s="20" t="s">
        <v>1882</v>
      </c>
      <c r="G941">
        <v>2.89</v>
      </c>
      <c r="H941" s="1">
        <v>5.51</v>
      </c>
      <c r="I941">
        <f t="shared" si="56"/>
        <v>3.3235</v>
      </c>
      <c r="J941">
        <f t="shared" si="57"/>
        <v>3.468</v>
      </c>
      <c r="K941">
        <f t="shared" si="58"/>
        <v>3.757</v>
      </c>
      <c r="L941">
        <f t="shared" si="59"/>
        <v>4.046</v>
      </c>
    </row>
    <row r="942" spans="1:12">
      <c r="A942" t="s">
        <v>13</v>
      </c>
      <c r="B942" s="14" t="s">
        <v>1883</v>
      </c>
      <c r="C942" s="20" t="s">
        <v>1884</v>
      </c>
      <c r="D942" s="20" t="s">
        <v>1884</v>
      </c>
      <c r="E942" s="20" t="s">
        <v>1884</v>
      </c>
      <c r="F942" s="20" t="s">
        <v>1884</v>
      </c>
      <c r="G942">
        <v>4.68</v>
      </c>
      <c r="H942" s="1">
        <v>8.91</v>
      </c>
      <c r="I942">
        <f t="shared" si="56"/>
        <v>5.382</v>
      </c>
      <c r="J942">
        <f t="shared" si="57"/>
        <v>5.616</v>
      </c>
      <c r="K942">
        <f t="shared" si="58"/>
        <v>6.084</v>
      </c>
      <c r="L942">
        <f t="shared" si="59"/>
        <v>6.552</v>
      </c>
    </row>
    <row r="943" spans="1:12">
      <c r="A943" t="s">
        <v>13</v>
      </c>
      <c r="B943" s="14" t="s">
        <v>1885</v>
      </c>
      <c r="C943" s="20" t="s">
        <v>1886</v>
      </c>
      <c r="D943" s="20" t="s">
        <v>1886</v>
      </c>
      <c r="E943" s="20" t="s">
        <v>1886</v>
      </c>
      <c r="F943" s="20" t="s">
        <v>1886</v>
      </c>
      <c r="G943">
        <v>2.77</v>
      </c>
      <c r="H943" s="1">
        <v>5.28</v>
      </c>
      <c r="I943">
        <f t="shared" si="56"/>
        <v>3.1855</v>
      </c>
      <c r="J943">
        <f t="shared" si="57"/>
        <v>3.324</v>
      </c>
      <c r="K943">
        <f t="shared" si="58"/>
        <v>3.601</v>
      </c>
      <c r="L943">
        <f t="shared" si="59"/>
        <v>3.878</v>
      </c>
    </row>
    <row r="944" spans="1:12">
      <c r="A944" t="s">
        <v>13</v>
      </c>
      <c r="B944" s="14" t="s">
        <v>1887</v>
      </c>
      <c r="C944" s="20" t="s">
        <v>1888</v>
      </c>
      <c r="D944" s="20" t="s">
        <v>1888</v>
      </c>
      <c r="E944" s="20" t="s">
        <v>1888</v>
      </c>
      <c r="F944" s="20" t="s">
        <v>1888</v>
      </c>
      <c r="G944">
        <v>3.81</v>
      </c>
      <c r="H944" s="1">
        <v>7.26</v>
      </c>
      <c r="I944">
        <f t="shared" si="56"/>
        <v>4.3815</v>
      </c>
      <c r="J944">
        <f t="shared" si="57"/>
        <v>4.572</v>
      </c>
      <c r="K944">
        <f t="shared" si="58"/>
        <v>4.953</v>
      </c>
      <c r="L944">
        <f t="shared" si="59"/>
        <v>5.334</v>
      </c>
    </row>
    <row r="945" spans="1:12">
      <c r="A945" t="s">
        <v>13</v>
      </c>
      <c r="B945" s="14" t="s">
        <v>1887</v>
      </c>
      <c r="C945" s="20" t="s">
        <v>1888</v>
      </c>
      <c r="D945" s="20" t="s">
        <v>1888</v>
      </c>
      <c r="E945" s="20" t="s">
        <v>1888</v>
      </c>
      <c r="F945" s="20" t="s">
        <v>1888</v>
      </c>
      <c r="G945">
        <v>4.37</v>
      </c>
      <c r="H945" s="1">
        <v>7.26</v>
      </c>
      <c r="I945">
        <f t="shared" si="56"/>
        <v>5.0255</v>
      </c>
      <c r="J945">
        <f t="shared" si="57"/>
        <v>5.244</v>
      </c>
      <c r="K945">
        <f t="shared" si="58"/>
        <v>5.681</v>
      </c>
      <c r="L945">
        <f t="shared" si="59"/>
        <v>6.118</v>
      </c>
    </row>
    <row r="946" spans="1:12">
      <c r="A946" t="s">
        <v>13</v>
      </c>
      <c r="B946" s="14" t="s">
        <v>1887</v>
      </c>
      <c r="C946" s="20" t="s">
        <v>1888</v>
      </c>
      <c r="D946" s="20" t="s">
        <v>1888</v>
      </c>
      <c r="E946" s="20" t="s">
        <v>1888</v>
      </c>
      <c r="F946" s="20" t="s">
        <v>1888</v>
      </c>
      <c r="G946">
        <v>5.45</v>
      </c>
      <c r="H946" s="1">
        <v>7.26</v>
      </c>
      <c r="I946">
        <f t="shared" si="56"/>
        <v>6.2675</v>
      </c>
      <c r="J946">
        <f t="shared" si="57"/>
        <v>6.54</v>
      </c>
      <c r="K946">
        <f t="shared" si="58"/>
        <v>7.085</v>
      </c>
      <c r="L946">
        <f t="shared" si="59"/>
        <v>7.63</v>
      </c>
    </row>
    <row r="947" spans="1:12">
      <c r="A947" t="s">
        <v>13</v>
      </c>
      <c r="B947" s="14" t="s">
        <v>1889</v>
      </c>
      <c r="C947" s="20" t="s">
        <v>1890</v>
      </c>
      <c r="D947" s="20" t="s">
        <v>1890</v>
      </c>
      <c r="E947" s="20" t="s">
        <v>1890</v>
      </c>
      <c r="F947" s="20" t="s">
        <v>1890</v>
      </c>
      <c r="G947">
        <v>1.01</v>
      </c>
      <c r="H947" s="1">
        <v>1.91</v>
      </c>
      <c r="I947">
        <f t="shared" si="56"/>
        <v>1.1615</v>
      </c>
      <c r="J947">
        <f t="shared" si="57"/>
        <v>1.212</v>
      </c>
      <c r="K947">
        <f t="shared" si="58"/>
        <v>1.313</v>
      </c>
      <c r="L947">
        <f t="shared" si="59"/>
        <v>1.414</v>
      </c>
    </row>
    <row r="948" spans="1:12">
      <c r="A948" t="s">
        <v>13</v>
      </c>
      <c r="B948" s="14" t="s">
        <v>1891</v>
      </c>
      <c r="C948" s="20" t="s">
        <v>1892</v>
      </c>
      <c r="D948" s="20" t="s">
        <v>1892</v>
      </c>
      <c r="E948" s="20" t="s">
        <v>1892</v>
      </c>
      <c r="F948" s="20" t="s">
        <v>1892</v>
      </c>
      <c r="G948">
        <v>0.27</v>
      </c>
      <c r="H948" s="1">
        <v>0.53</v>
      </c>
      <c r="I948">
        <f t="shared" si="56"/>
        <v>0.3105</v>
      </c>
      <c r="J948">
        <f t="shared" si="57"/>
        <v>0.324</v>
      </c>
      <c r="K948">
        <f t="shared" si="58"/>
        <v>0.351</v>
      </c>
      <c r="L948">
        <f t="shared" si="59"/>
        <v>0.378</v>
      </c>
    </row>
    <row r="949" spans="1:12">
      <c r="A949" t="s">
        <v>13</v>
      </c>
      <c r="B949" s="14" t="s">
        <v>1893</v>
      </c>
      <c r="C949" s="20" t="s">
        <v>1894</v>
      </c>
      <c r="D949" s="20" t="s">
        <v>1894</v>
      </c>
      <c r="E949" s="20" t="s">
        <v>1894</v>
      </c>
      <c r="F949" s="20" t="s">
        <v>1894</v>
      </c>
      <c r="G949">
        <v>2.94</v>
      </c>
      <c r="H949" s="1">
        <v>5.61</v>
      </c>
      <c r="I949">
        <f t="shared" si="56"/>
        <v>3.381</v>
      </c>
      <c r="J949">
        <f t="shared" si="57"/>
        <v>3.528</v>
      </c>
      <c r="K949">
        <f t="shared" si="58"/>
        <v>3.822</v>
      </c>
      <c r="L949">
        <f t="shared" si="59"/>
        <v>4.116</v>
      </c>
    </row>
    <row r="950" spans="1:12">
      <c r="A950" t="s">
        <v>13</v>
      </c>
      <c r="B950" s="14" t="s">
        <v>1895</v>
      </c>
      <c r="C950" s="20" t="s">
        <v>1896</v>
      </c>
      <c r="D950" s="20" t="s">
        <v>1896</v>
      </c>
      <c r="E950" s="20" t="s">
        <v>1896</v>
      </c>
      <c r="F950" s="20" t="s">
        <v>1896</v>
      </c>
      <c r="G950">
        <v>2.95</v>
      </c>
      <c r="H950" s="1">
        <v>5.63</v>
      </c>
      <c r="I950">
        <f t="shared" si="56"/>
        <v>3.3925</v>
      </c>
      <c r="J950">
        <f t="shared" si="57"/>
        <v>3.54</v>
      </c>
      <c r="K950">
        <f t="shared" si="58"/>
        <v>3.835</v>
      </c>
      <c r="L950">
        <f t="shared" si="59"/>
        <v>4.13</v>
      </c>
    </row>
    <row r="951" spans="1:12">
      <c r="A951" t="s">
        <v>13</v>
      </c>
      <c r="B951" s="14" t="s">
        <v>1897</v>
      </c>
      <c r="C951" s="20" t="s">
        <v>1898</v>
      </c>
      <c r="D951" s="20" t="s">
        <v>1898</v>
      </c>
      <c r="E951" s="20" t="s">
        <v>1898</v>
      </c>
      <c r="F951" s="20" t="s">
        <v>1898</v>
      </c>
      <c r="G951">
        <v>0.64</v>
      </c>
      <c r="H951" s="1">
        <v>1.64</v>
      </c>
      <c r="I951">
        <f t="shared" si="56"/>
        <v>0.736</v>
      </c>
      <c r="J951">
        <f t="shared" si="57"/>
        <v>0.768</v>
      </c>
      <c r="K951">
        <f t="shared" si="58"/>
        <v>0.832</v>
      </c>
      <c r="L951">
        <f t="shared" si="59"/>
        <v>0.896</v>
      </c>
    </row>
    <row r="952" spans="1:12">
      <c r="A952" t="s">
        <v>13</v>
      </c>
      <c r="B952" s="14" t="s">
        <v>1899</v>
      </c>
      <c r="C952" s="20" t="s">
        <v>1900</v>
      </c>
      <c r="D952" s="20" t="s">
        <v>1900</v>
      </c>
      <c r="E952" s="20" t="s">
        <v>1900</v>
      </c>
      <c r="F952" s="20" t="s">
        <v>1900</v>
      </c>
      <c r="G952">
        <v>0.95</v>
      </c>
      <c r="H952" s="1">
        <v>2.4</v>
      </c>
      <c r="I952">
        <f t="shared" si="56"/>
        <v>1.0925</v>
      </c>
      <c r="J952">
        <f t="shared" si="57"/>
        <v>1.14</v>
      </c>
      <c r="K952">
        <f t="shared" si="58"/>
        <v>1.235</v>
      </c>
      <c r="L952">
        <f t="shared" si="59"/>
        <v>1.33</v>
      </c>
    </row>
    <row r="953" spans="1:12">
      <c r="A953" t="s">
        <v>13</v>
      </c>
      <c r="B953" s="14" t="s">
        <v>1901</v>
      </c>
      <c r="C953" s="20" t="s">
        <v>1902</v>
      </c>
      <c r="D953" s="20" t="s">
        <v>1902</v>
      </c>
      <c r="E953" s="20" t="s">
        <v>1902</v>
      </c>
      <c r="F953" s="20" t="s">
        <v>1902</v>
      </c>
      <c r="G953">
        <v>1.03</v>
      </c>
      <c r="H953" s="1">
        <v>2.56</v>
      </c>
      <c r="I953">
        <f t="shared" si="56"/>
        <v>1.1845</v>
      </c>
      <c r="J953">
        <f t="shared" si="57"/>
        <v>1.236</v>
      </c>
      <c r="K953">
        <f t="shared" si="58"/>
        <v>1.339</v>
      </c>
      <c r="L953">
        <f t="shared" si="59"/>
        <v>1.442</v>
      </c>
    </row>
    <row r="954" spans="1:12">
      <c r="A954" t="s">
        <v>13</v>
      </c>
      <c r="B954" s="14" t="s">
        <v>1903</v>
      </c>
      <c r="C954" s="20" t="s">
        <v>1904</v>
      </c>
      <c r="D954" s="20" t="s">
        <v>1904</v>
      </c>
      <c r="E954" s="20" t="s">
        <v>1904</v>
      </c>
      <c r="F954" s="20" t="s">
        <v>1904</v>
      </c>
      <c r="G954">
        <v>1.1</v>
      </c>
      <c r="H954" s="1">
        <v>2.74</v>
      </c>
      <c r="I954">
        <f t="shared" si="56"/>
        <v>1.265</v>
      </c>
      <c r="J954">
        <f t="shared" si="57"/>
        <v>1.32</v>
      </c>
      <c r="K954">
        <f t="shared" si="58"/>
        <v>1.43</v>
      </c>
      <c r="L954">
        <f t="shared" si="59"/>
        <v>1.54</v>
      </c>
    </row>
    <row r="955" spans="1:12">
      <c r="A955" t="s">
        <v>13</v>
      </c>
      <c r="B955" s="14" t="s">
        <v>1905</v>
      </c>
      <c r="C955" s="20" t="s">
        <v>1906</v>
      </c>
      <c r="D955" s="20" t="s">
        <v>1906</v>
      </c>
      <c r="E955" s="20" t="s">
        <v>1906</v>
      </c>
      <c r="F955" s="20" t="s">
        <v>1906</v>
      </c>
      <c r="G955">
        <v>1.17</v>
      </c>
      <c r="H955" s="1">
        <v>2.93</v>
      </c>
      <c r="I955">
        <f t="shared" si="56"/>
        <v>1.3455</v>
      </c>
      <c r="J955">
        <f t="shared" si="57"/>
        <v>1.404</v>
      </c>
      <c r="K955">
        <f t="shared" si="58"/>
        <v>1.521</v>
      </c>
      <c r="L955">
        <f t="shared" si="59"/>
        <v>1.638</v>
      </c>
    </row>
    <row r="956" spans="1:12">
      <c r="A956" t="s">
        <v>13</v>
      </c>
      <c r="B956" s="14" t="s">
        <v>1907</v>
      </c>
      <c r="C956" s="20" t="s">
        <v>1908</v>
      </c>
      <c r="D956" s="20" t="s">
        <v>1908</v>
      </c>
      <c r="E956" s="20" t="s">
        <v>1908</v>
      </c>
      <c r="F956" s="20" t="s">
        <v>1908</v>
      </c>
      <c r="G956">
        <v>1.82</v>
      </c>
      <c r="H956" s="1">
        <v>4.55</v>
      </c>
      <c r="I956">
        <f t="shared" si="56"/>
        <v>2.093</v>
      </c>
      <c r="J956">
        <f t="shared" si="57"/>
        <v>2.184</v>
      </c>
      <c r="K956">
        <f t="shared" si="58"/>
        <v>2.366</v>
      </c>
      <c r="L956">
        <f t="shared" si="59"/>
        <v>2.548</v>
      </c>
    </row>
    <row r="957" ht="28.5" spans="1:12">
      <c r="A957" t="s">
        <v>13</v>
      </c>
      <c r="B957" s="14" t="s">
        <v>1909</v>
      </c>
      <c r="C957" s="20" t="s">
        <v>1910</v>
      </c>
      <c r="D957" s="20" t="s">
        <v>1910</v>
      </c>
      <c r="E957" s="20" t="s">
        <v>1910</v>
      </c>
      <c r="F957" s="20" t="s">
        <v>1910</v>
      </c>
      <c r="G957">
        <v>18.24</v>
      </c>
      <c r="H957" s="1">
        <v>40.51</v>
      </c>
      <c r="I957">
        <f t="shared" si="56"/>
        <v>20.976</v>
      </c>
      <c r="J957">
        <f t="shared" si="57"/>
        <v>21.888</v>
      </c>
      <c r="K957">
        <f t="shared" si="58"/>
        <v>23.712</v>
      </c>
      <c r="L957">
        <f t="shared" si="59"/>
        <v>25.536</v>
      </c>
    </row>
    <row r="958" spans="1:12">
      <c r="A958" t="s">
        <v>13</v>
      </c>
      <c r="B958" s="14" t="s">
        <v>1911</v>
      </c>
      <c r="C958" s="20" t="s">
        <v>1912</v>
      </c>
      <c r="D958" s="20" t="s">
        <v>1912</v>
      </c>
      <c r="E958" s="20" t="s">
        <v>1912</v>
      </c>
      <c r="F958" s="20" t="s">
        <v>1912</v>
      </c>
      <c r="G958">
        <v>829.68</v>
      </c>
      <c r="H958" s="1">
        <v>1843.73</v>
      </c>
      <c r="I958">
        <f t="shared" si="56"/>
        <v>954.132</v>
      </c>
      <c r="J958">
        <f t="shared" si="57"/>
        <v>995.616</v>
      </c>
      <c r="K958">
        <f t="shared" si="58"/>
        <v>1078.584</v>
      </c>
      <c r="L958">
        <f t="shared" si="59"/>
        <v>1161.552</v>
      </c>
    </row>
    <row r="959" spans="1:12">
      <c r="A959" t="s">
        <v>13</v>
      </c>
      <c r="B959" s="14" t="s">
        <v>1913</v>
      </c>
      <c r="C959" s="20" t="s">
        <v>1914</v>
      </c>
      <c r="D959" s="20" t="s">
        <v>1914</v>
      </c>
      <c r="E959" s="20" t="s">
        <v>1914</v>
      </c>
      <c r="F959" s="20" t="s">
        <v>1914</v>
      </c>
      <c r="G959">
        <v>1029.72</v>
      </c>
      <c r="H959" s="1">
        <v>2288.26</v>
      </c>
      <c r="I959">
        <f t="shared" si="56"/>
        <v>1184.178</v>
      </c>
      <c r="J959">
        <f t="shared" si="57"/>
        <v>1235.664</v>
      </c>
      <c r="K959">
        <f t="shared" si="58"/>
        <v>1338.636</v>
      </c>
      <c r="L959">
        <f t="shared" si="59"/>
        <v>1441.608</v>
      </c>
    </row>
    <row r="960" spans="1:12">
      <c r="A960" t="s">
        <v>13</v>
      </c>
      <c r="B960" s="14" t="s">
        <v>1915</v>
      </c>
      <c r="C960" s="20" t="s">
        <v>1170</v>
      </c>
      <c r="D960" s="20" t="s">
        <v>1170</v>
      </c>
      <c r="E960" s="20" t="s">
        <v>1170</v>
      </c>
      <c r="F960" s="20" t="s">
        <v>1170</v>
      </c>
      <c r="G960">
        <v>1244.16</v>
      </c>
      <c r="H960" s="1">
        <v>2764.78</v>
      </c>
      <c r="I960">
        <f t="shared" si="56"/>
        <v>1430.784</v>
      </c>
      <c r="J960">
        <f t="shared" si="57"/>
        <v>1492.992</v>
      </c>
      <c r="K960">
        <f t="shared" si="58"/>
        <v>1617.408</v>
      </c>
      <c r="L960">
        <f t="shared" si="59"/>
        <v>1741.824</v>
      </c>
    </row>
    <row r="961" spans="1:12">
      <c r="A961" t="s">
        <v>13</v>
      </c>
      <c r="B961" s="14" t="s">
        <v>1916</v>
      </c>
      <c r="C961" s="20" t="s">
        <v>1917</v>
      </c>
      <c r="D961" s="20" t="s">
        <v>1917</v>
      </c>
      <c r="E961" s="20" t="s">
        <v>1917</v>
      </c>
      <c r="F961" s="20" t="s">
        <v>1917</v>
      </c>
      <c r="G961">
        <v>1483.4</v>
      </c>
      <c r="H961" s="1">
        <v>3296.45</v>
      </c>
      <c r="I961">
        <f t="shared" si="56"/>
        <v>1705.91</v>
      </c>
      <c r="J961">
        <f t="shared" si="57"/>
        <v>1780.08</v>
      </c>
      <c r="K961">
        <f t="shared" si="58"/>
        <v>1928.42</v>
      </c>
      <c r="L961">
        <f t="shared" si="59"/>
        <v>2076.76</v>
      </c>
    </row>
    <row r="962" spans="1:12">
      <c r="A962" t="s">
        <v>13</v>
      </c>
      <c r="B962" s="14" t="s">
        <v>1918</v>
      </c>
      <c r="C962" s="20" t="s">
        <v>1919</v>
      </c>
      <c r="D962" s="20" t="s">
        <v>1919</v>
      </c>
      <c r="E962" s="20" t="s">
        <v>1919</v>
      </c>
      <c r="F962" s="20" t="s">
        <v>1919</v>
      </c>
      <c r="G962">
        <v>1482.63</v>
      </c>
      <c r="H962" s="1">
        <v>3294.72</v>
      </c>
      <c r="I962">
        <f t="shared" ref="I962:I1025" si="60">G962*1.15</f>
        <v>1705.0245</v>
      </c>
      <c r="J962">
        <f t="shared" ref="J962:J1025" si="61">G962*1.2</f>
        <v>1779.156</v>
      </c>
      <c r="K962">
        <f t="shared" ref="K962:K1025" si="62">G962*1.3</f>
        <v>1927.419</v>
      </c>
      <c r="L962">
        <f t="shared" ref="L962:L1025" si="63">G962*1.4</f>
        <v>2075.682</v>
      </c>
    </row>
    <row r="963" spans="1:12">
      <c r="A963" t="s">
        <v>13</v>
      </c>
      <c r="B963" s="14" t="s">
        <v>1920</v>
      </c>
      <c r="C963" s="20" t="s">
        <v>1921</v>
      </c>
      <c r="D963" s="20" t="s">
        <v>1921</v>
      </c>
      <c r="E963" s="20" t="s">
        <v>1921</v>
      </c>
      <c r="F963" s="20" t="s">
        <v>1921</v>
      </c>
      <c r="G963">
        <v>1727.06</v>
      </c>
      <c r="H963" s="1">
        <v>3837.89</v>
      </c>
      <c r="I963">
        <f t="shared" si="60"/>
        <v>1986.119</v>
      </c>
      <c r="J963">
        <f t="shared" si="61"/>
        <v>2072.472</v>
      </c>
      <c r="K963">
        <f t="shared" si="62"/>
        <v>2245.178</v>
      </c>
      <c r="L963">
        <f t="shared" si="63"/>
        <v>2417.884</v>
      </c>
    </row>
    <row r="964" spans="1:12">
      <c r="A964" t="s">
        <v>13</v>
      </c>
      <c r="B964" s="14" t="s">
        <v>1922</v>
      </c>
      <c r="C964" s="20" t="s">
        <v>1923</v>
      </c>
      <c r="D964" s="20" t="s">
        <v>1923</v>
      </c>
      <c r="E964" s="20" t="s">
        <v>1923</v>
      </c>
      <c r="F964" s="20" t="s">
        <v>1923</v>
      </c>
      <c r="G964">
        <v>55.97</v>
      </c>
      <c r="H964" s="1">
        <v>106.62</v>
      </c>
      <c r="I964">
        <f t="shared" si="60"/>
        <v>64.3655</v>
      </c>
      <c r="J964">
        <f t="shared" si="61"/>
        <v>67.164</v>
      </c>
      <c r="K964">
        <f t="shared" si="62"/>
        <v>72.761</v>
      </c>
      <c r="L964">
        <f t="shared" si="63"/>
        <v>78.358</v>
      </c>
    </row>
    <row r="965" spans="1:12">
      <c r="A965" t="s">
        <v>13</v>
      </c>
      <c r="B965" s="14" t="s">
        <v>1924</v>
      </c>
      <c r="C965" s="20" t="s">
        <v>1925</v>
      </c>
      <c r="D965" s="20" t="s">
        <v>1925</v>
      </c>
      <c r="E965" s="20" t="s">
        <v>1925</v>
      </c>
      <c r="F965" s="20" t="s">
        <v>1925</v>
      </c>
      <c r="G965">
        <v>60.39</v>
      </c>
      <c r="H965" s="1">
        <v>115</v>
      </c>
      <c r="I965">
        <f t="shared" si="60"/>
        <v>69.4485</v>
      </c>
      <c r="J965">
        <f t="shared" si="61"/>
        <v>72.468</v>
      </c>
      <c r="K965">
        <f t="shared" si="62"/>
        <v>78.507</v>
      </c>
      <c r="L965">
        <f t="shared" si="63"/>
        <v>84.546</v>
      </c>
    </row>
    <row r="966" spans="1:12">
      <c r="A966" t="s">
        <v>13</v>
      </c>
      <c r="B966" s="14" t="s">
        <v>1926</v>
      </c>
      <c r="C966" s="20" t="s">
        <v>1927</v>
      </c>
      <c r="D966" s="20" t="s">
        <v>1927</v>
      </c>
      <c r="E966" s="20" t="s">
        <v>1927</v>
      </c>
      <c r="F966" s="20" t="s">
        <v>1927</v>
      </c>
      <c r="G966">
        <v>35.59</v>
      </c>
      <c r="H966" s="1">
        <v>79.12</v>
      </c>
      <c r="I966">
        <f t="shared" si="60"/>
        <v>40.9285</v>
      </c>
      <c r="J966">
        <f t="shared" si="61"/>
        <v>42.708</v>
      </c>
      <c r="K966">
        <f t="shared" si="62"/>
        <v>46.267</v>
      </c>
      <c r="L966">
        <f t="shared" si="63"/>
        <v>49.826</v>
      </c>
    </row>
    <row r="967" spans="1:12">
      <c r="A967" t="s">
        <v>13</v>
      </c>
      <c r="B967" s="14" t="s">
        <v>1928</v>
      </c>
      <c r="C967" s="20" t="s">
        <v>1929</v>
      </c>
      <c r="D967" s="20" t="s">
        <v>1929</v>
      </c>
      <c r="E967" s="20" t="s">
        <v>1929</v>
      </c>
      <c r="F967" s="20" t="s">
        <v>1929</v>
      </c>
      <c r="G967">
        <v>21.85</v>
      </c>
      <c r="H967" s="1">
        <v>48.55</v>
      </c>
      <c r="I967">
        <f t="shared" si="60"/>
        <v>25.1275</v>
      </c>
      <c r="J967">
        <f t="shared" si="61"/>
        <v>26.22</v>
      </c>
      <c r="K967">
        <f t="shared" si="62"/>
        <v>28.405</v>
      </c>
      <c r="L967">
        <f t="shared" si="63"/>
        <v>30.59</v>
      </c>
    </row>
    <row r="968" spans="1:12">
      <c r="A968" t="s">
        <v>13</v>
      </c>
      <c r="B968" s="14" t="s">
        <v>1930</v>
      </c>
      <c r="C968" s="20" t="s">
        <v>1931</v>
      </c>
      <c r="D968" s="20" t="s">
        <v>1931</v>
      </c>
      <c r="E968" s="20" t="s">
        <v>1931</v>
      </c>
      <c r="F968" s="20" t="s">
        <v>1931</v>
      </c>
      <c r="G968">
        <v>12.11</v>
      </c>
      <c r="H968" s="1">
        <v>26.89</v>
      </c>
      <c r="I968">
        <f t="shared" si="60"/>
        <v>13.9265</v>
      </c>
      <c r="J968">
        <f t="shared" si="61"/>
        <v>14.532</v>
      </c>
      <c r="K968">
        <f t="shared" si="62"/>
        <v>15.743</v>
      </c>
      <c r="L968">
        <f t="shared" si="63"/>
        <v>16.954</v>
      </c>
    </row>
    <row r="969" spans="1:12">
      <c r="A969" t="s">
        <v>13</v>
      </c>
      <c r="B969" s="14" t="s">
        <v>1932</v>
      </c>
      <c r="C969" s="20" t="s">
        <v>1933</v>
      </c>
      <c r="D969" s="20" t="s">
        <v>1933</v>
      </c>
      <c r="E969" s="20" t="s">
        <v>1933</v>
      </c>
      <c r="F969" s="20" t="s">
        <v>1933</v>
      </c>
      <c r="G969">
        <v>8.4</v>
      </c>
      <c r="H969" s="1">
        <v>18.66</v>
      </c>
      <c r="I969">
        <f t="shared" si="60"/>
        <v>9.66</v>
      </c>
      <c r="J969">
        <f t="shared" si="61"/>
        <v>10.08</v>
      </c>
      <c r="K969">
        <f t="shared" si="62"/>
        <v>10.92</v>
      </c>
      <c r="L969">
        <f t="shared" si="63"/>
        <v>11.76</v>
      </c>
    </row>
    <row r="970" spans="1:12">
      <c r="A970" t="s">
        <v>13</v>
      </c>
      <c r="B970" s="14" t="s">
        <v>1934</v>
      </c>
      <c r="C970" s="20" t="s">
        <v>1935</v>
      </c>
      <c r="D970" s="20" t="s">
        <v>1935</v>
      </c>
      <c r="E970" s="20" t="s">
        <v>1935</v>
      </c>
      <c r="F970" s="20" t="s">
        <v>1935</v>
      </c>
      <c r="G970">
        <v>11.94</v>
      </c>
      <c r="H970" s="1">
        <v>26.54</v>
      </c>
      <c r="I970">
        <f t="shared" si="60"/>
        <v>13.731</v>
      </c>
      <c r="J970">
        <f t="shared" si="61"/>
        <v>14.328</v>
      </c>
      <c r="K970">
        <f t="shared" si="62"/>
        <v>15.522</v>
      </c>
      <c r="L970">
        <f t="shared" si="63"/>
        <v>16.716</v>
      </c>
    </row>
    <row r="971" spans="1:12">
      <c r="A971" t="s">
        <v>13</v>
      </c>
      <c r="B971" s="14" t="s">
        <v>1936</v>
      </c>
      <c r="C971" s="20" t="s">
        <v>1937</v>
      </c>
      <c r="D971" s="20" t="s">
        <v>1937</v>
      </c>
      <c r="E971" s="20" t="s">
        <v>1937</v>
      </c>
      <c r="F971" s="20" t="s">
        <v>1937</v>
      </c>
      <c r="G971">
        <v>8.18</v>
      </c>
      <c r="H971" s="1">
        <v>18.17</v>
      </c>
      <c r="I971">
        <f t="shared" si="60"/>
        <v>9.407</v>
      </c>
      <c r="J971">
        <f t="shared" si="61"/>
        <v>9.816</v>
      </c>
      <c r="K971">
        <f t="shared" si="62"/>
        <v>10.634</v>
      </c>
      <c r="L971">
        <f t="shared" si="63"/>
        <v>11.452</v>
      </c>
    </row>
    <row r="972" spans="1:12">
      <c r="A972" t="s">
        <v>13</v>
      </c>
      <c r="B972" s="14" t="s">
        <v>1938</v>
      </c>
      <c r="C972" s="20" t="s">
        <v>1939</v>
      </c>
      <c r="D972" s="20" t="s">
        <v>1939</v>
      </c>
      <c r="E972" s="20" t="s">
        <v>1939</v>
      </c>
      <c r="F972" s="20" t="s">
        <v>1939</v>
      </c>
      <c r="G972">
        <v>11.94</v>
      </c>
      <c r="H972" s="1">
        <v>26.54</v>
      </c>
      <c r="I972">
        <f t="shared" si="60"/>
        <v>13.731</v>
      </c>
      <c r="J972">
        <f t="shared" si="61"/>
        <v>14.328</v>
      </c>
      <c r="K972">
        <f t="shared" si="62"/>
        <v>15.522</v>
      </c>
      <c r="L972">
        <f t="shared" si="63"/>
        <v>16.716</v>
      </c>
    </row>
    <row r="973" spans="1:12">
      <c r="A973" t="s">
        <v>13</v>
      </c>
      <c r="B973" s="14" t="s">
        <v>1940</v>
      </c>
      <c r="C973" s="20" t="s">
        <v>1941</v>
      </c>
      <c r="D973" s="20" t="s">
        <v>1941</v>
      </c>
      <c r="E973" s="20" t="s">
        <v>1941</v>
      </c>
      <c r="F973" s="20" t="s">
        <v>1941</v>
      </c>
      <c r="G973">
        <v>8.2</v>
      </c>
      <c r="H973" s="1">
        <v>18.21</v>
      </c>
      <c r="I973">
        <f t="shared" si="60"/>
        <v>9.43</v>
      </c>
      <c r="J973">
        <f t="shared" si="61"/>
        <v>9.84</v>
      </c>
      <c r="K973">
        <f t="shared" si="62"/>
        <v>10.66</v>
      </c>
      <c r="L973">
        <f t="shared" si="63"/>
        <v>11.48</v>
      </c>
    </row>
    <row r="974" spans="1:12">
      <c r="A974" t="s">
        <v>13</v>
      </c>
      <c r="B974" s="14" t="s">
        <v>1942</v>
      </c>
      <c r="C974" s="20" t="s">
        <v>1943</v>
      </c>
      <c r="D974" s="20" t="s">
        <v>1943</v>
      </c>
      <c r="E974" s="20" t="s">
        <v>1943</v>
      </c>
      <c r="F974" s="20" t="s">
        <v>1943</v>
      </c>
      <c r="G974">
        <v>12.12</v>
      </c>
      <c r="H974" s="1">
        <v>26.91</v>
      </c>
      <c r="I974">
        <f t="shared" si="60"/>
        <v>13.938</v>
      </c>
      <c r="J974">
        <f t="shared" si="61"/>
        <v>14.544</v>
      </c>
      <c r="K974">
        <f t="shared" si="62"/>
        <v>15.756</v>
      </c>
      <c r="L974">
        <f t="shared" si="63"/>
        <v>16.968</v>
      </c>
    </row>
    <row r="975" spans="1:12">
      <c r="A975" t="s">
        <v>13</v>
      </c>
      <c r="B975" s="14" t="s">
        <v>1944</v>
      </c>
      <c r="C975" s="20" t="s">
        <v>1945</v>
      </c>
      <c r="D975" s="20" t="s">
        <v>1945</v>
      </c>
      <c r="E975" s="20" t="s">
        <v>1945</v>
      </c>
      <c r="F975" s="20" t="s">
        <v>1945</v>
      </c>
      <c r="G975">
        <v>8.42</v>
      </c>
      <c r="H975" s="1">
        <v>18.72</v>
      </c>
      <c r="I975">
        <f t="shared" si="60"/>
        <v>9.683</v>
      </c>
      <c r="J975">
        <f t="shared" si="61"/>
        <v>10.104</v>
      </c>
      <c r="K975">
        <f t="shared" si="62"/>
        <v>10.946</v>
      </c>
      <c r="L975">
        <f t="shared" si="63"/>
        <v>11.788</v>
      </c>
    </row>
    <row r="976" spans="1:12">
      <c r="A976" t="s">
        <v>13</v>
      </c>
      <c r="B976" s="14" t="s">
        <v>1946</v>
      </c>
      <c r="C976" s="20" t="s">
        <v>1947</v>
      </c>
      <c r="D976" s="20" t="s">
        <v>1947</v>
      </c>
      <c r="E976" s="20" t="s">
        <v>1947</v>
      </c>
      <c r="F976" s="20" t="s">
        <v>1947</v>
      </c>
      <c r="G976">
        <v>8.2</v>
      </c>
      <c r="H976" s="1">
        <v>18.21</v>
      </c>
      <c r="I976">
        <f t="shared" si="60"/>
        <v>9.43</v>
      </c>
      <c r="J976">
        <f t="shared" si="61"/>
        <v>9.84</v>
      </c>
      <c r="K976">
        <f t="shared" si="62"/>
        <v>10.66</v>
      </c>
      <c r="L976">
        <f t="shared" si="63"/>
        <v>11.48</v>
      </c>
    </row>
    <row r="977" spans="1:12">
      <c r="A977" t="s">
        <v>13</v>
      </c>
      <c r="B977" s="14" t="s">
        <v>1948</v>
      </c>
      <c r="C977" s="20" t="s">
        <v>1949</v>
      </c>
      <c r="D977" s="20" t="s">
        <v>1949</v>
      </c>
      <c r="E977" s="20" t="s">
        <v>1949</v>
      </c>
      <c r="F977" s="20" t="s">
        <v>1949</v>
      </c>
      <c r="G977">
        <v>12.12</v>
      </c>
      <c r="H977" s="1">
        <v>26.91</v>
      </c>
      <c r="I977">
        <f t="shared" si="60"/>
        <v>13.938</v>
      </c>
      <c r="J977">
        <f t="shared" si="61"/>
        <v>14.544</v>
      </c>
      <c r="K977">
        <f t="shared" si="62"/>
        <v>15.756</v>
      </c>
      <c r="L977">
        <f t="shared" si="63"/>
        <v>16.968</v>
      </c>
    </row>
    <row r="978" spans="1:12">
      <c r="A978" t="s">
        <v>13</v>
      </c>
      <c r="B978" s="14" t="s">
        <v>1950</v>
      </c>
      <c r="C978" s="20" t="s">
        <v>1951</v>
      </c>
      <c r="D978" s="20" t="s">
        <v>1951</v>
      </c>
      <c r="E978" s="20" t="s">
        <v>1951</v>
      </c>
      <c r="F978" s="20" t="s">
        <v>1951</v>
      </c>
      <c r="G978">
        <v>8.42</v>
      </c>
      <c r="H978" s="1">
        <v>18.72</v>
      </c>
      <c r="I978">
        <f t="shared" si="60"/>
        <v>9.683</v>
      </c>
      <c r="J978">
        <f t="shared" si="61"/>
        <v>10.104</v>
      </c>
      <c r="K978">
        <f t="shared" si="62"/>
        <v>10.946</v>
      </c>
      <c r="L978">
        <f t="shared" si="63"/>
        <v>11.788</v>
      </c>
    </row>
    <row r="979" spans="1:12">
      <c r="A979" t="s">
        <v>13</v>
      </c>
      <c r="B979" s="14" t="s">
        <v>1952</v>
      </c>
      <c r="C979" s="20" t="s">
        <v>1953</v>
      </c>
      <c r="D979" s="20" t="s">
        <v>1953</v>
      </c>
      <c r="E979" s="20" t="s">
        <v>1953</v>
      </c>
      <c r="F979" s="20" t="s">
        <v>1953</v>
      </c>
      <c r="G979">
        <v>11.94</v>
      </c>
      <c r="H979" s="1">
        <v>26.54</v>
      </c>
      <c r="I979">
        <f t="shared" si="60"/>
        <v>13.731</v>
      </c>
      <c r="J979">
        <f t="shared" si="61"/>
        <v>14.328</v>
      </c>
      <c r="K979">
        <f t="shared" si="62"/>
        <v>15.522</v>
      </c>
      <c r="L979">
        <f t="shared" si="63"/>
        <v>16.716</v>
      </c>
    </row>
    <row r="980" spans="1:12">
      <c r="A980" t="s">
        <v>13</v>
      </c>
      <c r="B980" s="14" t="s">
        <v>1954</v>
      </c>
      <c r="C980" s="20" t="s">
        <v>1955</v>
      </c>
      <c r="D980" s="20" t="s">
        <v>1955</v>
      </c>
      <c r="E980" s="20" t="s">
        <v>1955</v>
      </c>
      <c r="F980" s="20" t="s">
        <v>1955</v>
      </c>
      <c r="G980">
        <v>8.2</v>
      </c>
      <c r="H980" s="1">
        <v>18.21</v>
      </c>
      <c r="I980">
        <f t="shared" si="60"/>
        <v>9.43</v>
      </c>
      <c r="J980">
        <f t="shared" si="61"/>
        <v>9.84</v>
      </c>
      <c r="K980">
        <f t="shared" si="62"/>
        <v>10.66</v>
      </c>
      <c r="L980">
        <f t="shared" si="63"/>
        <v>11.48</v>
      </c>
    </row>
    <row r="981" spans="1:12">
      <c r="A981" t="s">
        <v>13</v>
      </c>
      <c r="B981" s="14" t="s">
        <v>1956</v>
      </c>
      <c r="C981" s="20" t="s">
        <v>1957</v>
      </c>
      <c r="D981" s="20" t="s">
        <v>1957</v>
      </c>
      <c r="E981" s="20" t="s">
        <v>1957</v>
      </c>
      <c r="F981" s="20" t="s">
        <v>1957</v>
      </c>
      <c r="G981">
        <v>11.94</v>
      </c>
      <c r="H981" s="1">
        <v>26.54</v>
      </c>
      <c r="I981">
        <f t="shared" si="60"/>
        <v>13.731</v>
      </c>
      <c r="J981">
        <f t="shared" si="61"/>
        <v>14.328</v>
      </c>
      <c r="K981">
        <f t="shared" si="62"/>
        <v>15.522</v>
      </c>
      <c r="L981">
        <f t="shared" si="63"/>
        <v>16.716</v>
      </c>
    </row>
    <row r="982" spans="1:12">
      <c r="A982" t="s">
        <v>13</v>
      </c>
      <c r="B982" s="14" t="s">
        <v>1958</v>
      </c>
      <c r="C982" s="20" t="s">
        <v>1959</v>
      </c>
      <c r="D982" s="20" t="s">
        <v>1959</v>
      </c>
      <c r="E982" s="20" t="s">
        <v>1959</v>
      </c>
      <c r="F982" s="20" t="s">
        <v>1959</v>
      </c>
      <c r="G982">
        <v>8.2</v>
      </c>
      <c r="H982" s="1">
        <v>18.21</v>
      </c>
      <c r="I982">
        <f t="shared" si="60"/>
        <v>9.43</v>
      </c>
      <c r="J982">
        <f t="shared" si="61"/>
        <v>9.84</v>
      </c>
      <c r="K982">
        <f t="shared" si="62"/>
        <v>10.66</v>
      </c>
      <c r="L982">
        <f t="shared" si="63"/>
        <v>11.48</v>
      </c>
    </row>
    <row r="983" ht="28.5" spans="1:12">
      <c r="A983" t="s">
        <v>13</v>
      </c>
      <c r="B983" s="14" t="s">
        <v>1960</v>
      </c>
      <c r="C983" s="20" t="s">
        <v>1961</v>
      </c>
      <c r="D983" s="20" t="s">
        <v>1961</v>
      </c>
      <c r="E983" s="20" t="s">
        <v>1961</v>
      </c>
      <c r="F983" s="20" t="s">
        <v>1961</v>
      </c>
      <c r="G983">
        <v>16.71</v>
      </c>
      <c r="H983" s="1">
        <v>37.13</v>
      </c>
      <c r="I983">
        <f t="shared" si="60"/>
        <v>19.2165</v>
      </c>
      <c r="J983">
        <f t="shared" si="61"/>
        <v>20.052</v>
      </c>
      <c r="K983">
        <f t="shared" si="62"/>
        <v>21.723</v>
      </c>
      <c r="L983">
        <f t="shared" si="63"/>
        <v>23.394</v>
      </c>
    </row>
    <row r="984" spans="1:12">
      <c r="A984" t="s">
        <v>13</v>
      </c>
      <c r="B984" s="14" t="s">
        <v>1962</v>
      </c>
      <c r="C984" s="20" t="s">
        <v>1963</v>
      </c>
      <c r="D984" s="20" t="s">
        <v>1963</v>
      </c>
      <c r="E984" s="20" t="s">
        <v>1963</v>
      </c>
      <c r="F984" s="20" t="s">
        <v>1963</v>
      </c>
      <c r="G984">
        <v>78.71</v>
      </c>
      <c r="H984" s="1">
        <v>174.91</v>
      </c>
      <c r="I984">
        <f t="shared" si="60"/>
        <v>90.5165</v>
      </c>
      <c r="J984">
        <f t="shared" si="61"/>
        <v>94.452</v>
      </c>
      <c r="K984">
        <f t="shared" si="62"/>
        <v>102.323</v>
      </c>
      <c r="L984">
        <f t="shared" si="63"/>
        <v>110.194</v>
      </c>
    </row>
    <row r="985" spans="1:12">
      <c r="A985" t="s">
        <v>13</v>
      </c>
      <c r="B985" s="14" t="s">
        <v>1964</v>
      </c>
      <c r="C985" s="20" t="s">
        <v>1965</v>
      </c>
      <c r="D985" s="20" t="s">
        <v>1965</v>
      </c>
      <c r="E985" s="20" t="s">
        <v>1965</v>
      </c>
      <c r="F985" s="20" t="s">
        <v>1965</v>
      </c>
      <c r="G985">
        <v>74.7</v>
      </c>
      <c r="H985" s="1">
        <v>166.02</v>
      </c>
      <c r="I985">
        <f t="shared" si="60"/>
        <v>85.905</v>
      </c>
      <c r="J985">
        <f t="shared" si="61"/>
        <v>89.64</v>
      </c>
      <c r="K985">
        <f t="shared" si="62"/>
        <v>97.11</v>
      </c>
      <c r="L985">
        <f t="shared" si="63"/>
        <v>104.58</v>
      </c>
    </row>
    <row r="986" spans="1:12">
      <c r="A986" t="s">
        <v>13</v>
      </c>
      <c r="B986" s="14" t="s">
        <v>1966</v>
      </c>
      <c r="C986" s="20" t="s">
        <v>1967</v>
      </c>
      <c r="D986" s="20" t="s">
        <v>1967</v>
      </c>
      <c r="E986" s="20" t="s">
        <v>1967</v>
      </c>
      <c r="F986" s="20" t="s">
        <v>1967</v>
      </c>
      <c r="G986">
        <v>77.3</v>
      </c>
      <c r="H986" s="1">
        <v>171.77</v>
      </c>
      <c r="I986">
        <f t="shared" si="60"/>
        <v>88.895</v>
      </c>
      <c r="J986">
        <f t="shared" si="61"/>
        <v>92.76</v>
      </c>
      <c r="K986">
        <f t="shared" si="62"/>
        <v>100.49</v>
      </c>
      <c r="L986">
        <f t="shared" si="63"/>
        <v>108.22</v>
      </c>
    </row>
    <row r="987" spans="1:12">
      <c r="A987" t="s">
        <v>13</v>
      </c>
      <c r="B987" s="14" t="s">
        <v>1968</v>
      </c>
      <c r="C987" s="20" t="s">
        <v>1969</v>
      </c>
      <c r="D987" s="20" t="s">
        <v>1969</v>
      </c>
      <c r="E987" s="20" t="s">
        <v>1969</v>
      </c>
      <c r="F987" s="20" t="s">
        <v>1969</v>
      </c>
      <c r="G987">
        <v>72.76</v>
      </c>
      <c r="H987" s="1">
        <v>161.69</v>
      </c>
      <c r="I987">
        <f t="shared" si="60"/>
        <v>83.674</v>
      </c>
      <c r="J987">
        <f t="shared" si="61"/>
        <v>87.312</v>
      </c>
      <c r="K987">
        <f t="shared" si="62"/>
        <v>94.588</v>
      </c>
      <c r="L987">
        <f t="shared" si="63"/>
        <v>101.864</v>
      </c>
    </row>
    <row r="988" spans="1:12">
      <c r="A988" t="s">
        <v>13</v>
      </c>
      <c r="B988" s="14" t="s">
        <v>1970</v>
      </c>
      <c r="C988" s="20" t="s">
        <v>1971</v>
      </c>
      <c r="D988" s="20" t="s">
        <v>1971</v>
      </c>
      <c r="E988" s="20" t="s">
        <v>1971</v>
      </c>
      <c r="F988" s="20" t="s">
        <v>1971</v>
      </c>
      <c r="G988">
        <v>0.65</v>
      </c>
      <c r="H988" s="1">
        <v>1.23</v>
      </c>
      <c r="I988">
        <f t="shared" si="60"/>
        <v>0.7475</v>
      </c>
      <c r="J988">
        <f t="shared" si="61"/>
        <v>0.78</v>
      </c>
      <c r="K988">
        <f t="shared" si="62"/>
        <v>0.845</v>
      </c>
      <c r="L988">
        <f t="shared" si="63"/>
        <v>0.91</v>
      </c>
    </row>
    <row r="989" spans="1:12">
      <c r="A989" t="s">
        <v>13</v>
      </c>
      <c r="B989" s="14" t="s">
        <v>1972</v>
      </c>
      <c r="C989" s="20" t="s">
        <v>1973</v>
      </c>
      <c r="D989" s="20" t="s">
        <v>1973</v>
      </c>
      <c r="E989" s="20" t="s">
        <v>1973</v>
      </c>
      <c r="F989" s="20" t="s">
        <v>1973</v>
      </c>
      <c r="G989">
        <v>5.07</v>
      </c>
      <c r="H989" s="1">
        <v>9.69</v>
      </c>
      <c r="I989">
        <f t="shared" si="60"/>
        <v>5.8305</v>
      </c>
      <c r="J989">
        <f t="shared" si="61"/>
        <v>6.084</v>
      </c>
      <c r="K989">
        <f t="shared" si="62"/>
        <v>6.591</v>
      </c>
      <c r="L989">
        <f t="shared" si="63"/>
        <v>7.098</v>
      </c>
    </row>
    <row r="990" spans="1:12">
      <c r="A990" t="s">
        <v>13</v>
      </c>
      <c r="B990" s="14" t="s">
        <v>1974</v>
      </c>
      <c r="C990" s="20" t="s">
        <v>1975</v>
      </c>
      <c r="D990" s="20" t="s">
        <v>1975</v>
      </c>
      <c r="E990" s="20" t="s">
        <v>1975</v>
      </c>
      <c r="F990" s="20" t="s">
        <v>1975</v>
      </c>
      <c r="G990">
        <v>3.44</v>
      </c>
      <c r="H990" s="1">
        <v>6.57</v>
      </c>
      <c r="I990">
        <f t="shared" si="60"/>
        <v>3.956</v>
      </c>
      <c r="J990">
        <f t="shared" si="61"/>
        <v>4.128</v>
      </c>
      <c r="K990">
        <f t="shared" si="62"/>
        <v>4.472</v>
      </c>
      <c r="L990">
        <f t="shared" si="63"/>
        <v>4.816</v>
      </c>
    </row>
    <row r="991" spans="1:12">
      <c r="A991" t="s">
        <v>13</v>
      </c>
      <c r="B991" s="14" t="s">
        <v>1976</v>
      </c>
      <c r="C991" s="20" t="s">
        <v>1977</v>
      </c>
      <c r="D991" s="20" t="s">
        <v>1977</v>
      </c>
      <c r="E991" s="20" t="s">
        <v>1977</v>
      </c>
      <c r="F991" s="20" t="s">
        <v>1977</v>
      </c>
      <c r="G991">
        <v>4.34</v>
      </c>
      <c r="H991" s="1">
        <v>8.28</v>
      </c>
      <c r="I991">
        <f t="shared" si="60"/>
        <v>4.991</v>
      </c>
      <c r="J991">
        <f t="shared" si="61"/>
        <v>5.208</v>
      </c>
      <c r="K991">
        <f t="shared" si="62"/>
        <v>5.642</v>
      </c>
      <c r="L991">
        <f t="shared" si="63"/>
        <v>6.076</v>
      </c>
    </row>
    <row r="992" spans="1:12">
      <c r="A992" t="s">
        <v>13</v>
      </c>
      <c r="B992" s="14" t="s">
        <v>1978</v>
      </c>
      <c r="C992" s="20" t="s">
        <v>1979</v>
      </c>
      <c r="D992" s="20" t="s">
        <v>1979</v>
      </c>
      <c r="E992" s="20" t="s">
        <v>1979</v>
      </c>
      <c r="F992" s="20" t="s">
        <v>1979</v>
      </c>
      <c r="G992">
        <v>0.84</v>
      </c>
      <c r="H992" s="1">
        <v>1.59</v>
      </c>
      <c r="I992">
        <f t="shared" si="60"/>
        <v>0.966</v>
      </c>
      <c r="J992">
        <f t="shared" si="61"/>
        <v>1.008</v>
      </c>
      <c r="K992">
        <f t="shared" si="62"/>
        <v>1.092</v>
      </c>
      <c r="L992">
        <f t="shared" si="63"/>
        <v>1.176</v>
      </c>
    </row>
    <row r="993" spans="1:12">
      <c r="A993" t="s">
        <v>13</v>
      </c>
      <c r="B993" s="14" t="s">
        <v>1980</v>
      </c>
      <c r="C993" s="20" t="s">
        <v>1981</v>
      </c>
      <c r="D993" s="20" t="s">
        <v>1981</v>
      </c>
      <c r="E993" s="20" t="s">
        <v>1981</v>
      </c>
      <c r="F993" s="20" t="s">
        <v>1981</v>
      </c>
      <c r="G993">
        <v>30.91</v>
      </c>
      <c r="H993" s="1">
        <v>68.7</v>
      </c>
      <c r="I993">
        <f t="shared" si="60"/>
        <v>35.5465</v>
      </c>
      <c r="J993">
        <f t="shared" si="61"/>
        <v>37.092</v>
      </c>
      <c r="K993">
        <f t="shared" si="62"/>
        <v>40.183</v>
      </c>
      <c r="L993">
        <f t="shared" si="63"/>
        <v>43.274</v>
      </c>
    </row>
    <row r="994" spans="1:12">
      <c r="A994" t="s">
        <v>13</v>
      </c>
      <c r="B994" s="14" t="s">
        <v>1982</v>
      </c>
      <c r="C994" s="20" t="s">
        <v>1983</v>
      </c>
      <c r="D994" s="20" t="s">
        <v>1983</v>
      </c>
      <c r="E994" s="20" t="s">
        <v>1983</v>
      </c>
      <c r="F994" s="20" t="s">
        <v>1983</v>
      </c>
      <c r="G994">
        <v>30.91</v>
      </c>
      <c r="H994" s="1">
        <v>68.7</v>
      </c>
      <c r="I994">
        <f t="shared" si="60"/>
        <v>35.5465</v>
      </c>
      <c r="J994">
        <f t="shared" si="61"/>
        <v>37.092</v>
      </c>
      <c r="K994">
        <f t="shared" si="62"/>
        <v>40.183</v>
      </c>
      <c r="L994">
        <f t="shared" si="63"/>
        <v>43.274</v>
      </c>
    </row>
    <row r="995" spans="1:12">
      <c r="A995" t="s">
        <v>13</v>
      </c>
      <c r="B995" s="14" t="s">
        <v>1984</v>
      </c>
      <c r="C995" s="20" t="s">
        <v>1985</v>
      </c>
      <c r="D995" s="20" t="s">
        <v>1985</v>
      </c>
      <c r="E995" s="20" t="s">
        <v>1985</v>
      </c>
      <c r="F995" s="20" t="s">
        <v>1985</v>
      </c>
      <c r="G995">
        <v>34.94</v>
      </c>
      <c r="H995" s="1">
        <v>77.66</v>
      </c>
      <c r="I995">
        <f t="shared" si="60"/>
        <v>40.181</v>
      </c>
      <c r="J995">
        <f t="shared" si="61"/>
        <v>41.928</v>
      </c>
      <c r="K995">
        <f t="shared" si="62"/>
        <v>45.422</v>
      </c>
      <c r="L995">
        <f t="shared" si="63"/>
        <v>48.916</v>
      </c>
    </row>
    <row r="996" spans="1:12">
      <c r="A996" t="s">
        <v>13</v>
      </c>
      <c r="B996" s="14" t="s">
        <v>1986</v>
      </c>
      <c r="C996" s="20" t="s">
        <v>1987</v>
      </c>
      <c r="D996" s="20" t="s">
        <v>1987</v>
      </c>
      <c r="E996" s="20" t="s">
        <v>1987</v>
      </c>
      <c r="F996" s="20" t="s">
        <v>1987</v>
      </c>
      <c r="G996">
        <v>30.91</v>
      </c>
      <c r="H996" s="1">
        <v>68.7</v>
      </c>
      <c r="I996">
        <f t="shared" si="60"/>
        <v>35.5465</v>
      </c>
      <c r="J996">
        <f t="shared" si="61"/>
        <v>37.092</v>
      </c>
      <c r="K996">
        <f t="shared" si="62"/>
        <v>40.183</v>
      </c>
      <c r="L996">
        <f t="shared" si="63"/>
        <v>43.274</v>
      </c>
    </row>
    <row r="997" spans="1:12">
      <c r="A997" t="s">
        <v>13</v>
      </c>
      <c r="B997" s="14" t="s">
        <v>1988</v>
      </c>
      <c r="C997" s="20" t="s">
        <v>1989</v>
      </c>
      <c r="D997" s="20" t="s">
        <v>1989</v>
      </c>
      <c r="E997" s="20" t="s">
        <v>1989</v>
      </c>
      <c r="F997" s="20" t="s">
        <v>1989</v>
      </c>
      <c r="G997">
        <v>30.91</v>
      </c>
      <c r="H997" s="1">
        <v>68.7</v>
      </c>
      <c r="I997">
        <f t="shared" si="60"/>
        <v>35.5465</v>
      </c>
      <c r="J997">
        <f t="shared" si="61"/>
        <v>37.092</v>
      </c>
      <c r="K997">
        <f t="shared" si="62"/>
        <v>40.183</v>
      </c>
      <c r="L997">
        <f t="shared" si="63"/>
        <v>43.274</v>
      </c>
    </row>
    <row r="998" spans="1:12">
      <c r="A998" t="s">
        <v>13</v>
      </c>
      <c r="B998" s="14" t="s">
        <v>1990</v>
      </c>
      <c r="C998" s="20" t="s">
        <v>1991</v>
      </c>
      <c r="D998" s="20" t="s">
        <v>1991</v>
      </c>
      <c r="E998" s="20" t="s">
        <v>1991</v>
      </c>
      <c r="F998" s="20" t="s">
        <v>1991</v>
      </c>
      <c r="G998">
        <v>34.94</v>
      </c>
      <c r="H998" s="1">
        <v>77.66</v>
      </c>
      <c r="I998">
        <f t="shared" si="60"/>
        <v>40.181</v>
      </c>
      <c r="J998">
        <f t="shared" si="61"/>
        <v>41.928</v>
      </c>
      <c r="K998">
        <f t="shared" si="62"/>
        <v>45.422</v>
      </c>
      <c r="L998">
        <f t="shared" si="63"/>
        <v>48.916</v>
      </c>
    </row>
    <row r="999" spans="1:12">
      <c r="A999" t="s">
        <v>13</v>
      </c>
      <c r="B999" s="14" t="s">
        <v>1992</v>
      </c>
      <c r="C999" s="20" t="s">
        <v>1993</v>
      </c>
      <c r="D999" s="20" t="s">
        <v>1993</v>
      </c>
      <c r="E999" s="20" t="s">
        <v>1993</v>
      </c>
      <c r="F999" s="20" t="s">
        <v>1993</v>
      </c>
      <c r="G999">
        <v>30.91</v>
      </c>
      <c r="H999" s="1">
        <v>68.7</v>
      </c>
      <c r="I999">
        <f t="shared" si="60"/>
        <v>35.5465</v>
      </c>
      <c r="J999">
        <f t="shared" si="61"/>
        <v>37.092</v>
      </c>
      <c r="K999">
        <f t="shared" si="62"/>
        <v>40.183</v>
      </c>
      <c r="L999">
        <f t="shared" si="63"/>
        <v>43.274</v>
      </c>
    </row>
    <row r="1000" spans="1:12">
      <c r="A1000" t="s">
        <v>13</v>
      </c>
      <c r="B1000" s="14" t="s">
        <v>1994</v>
      </c>
      <c r="C1000" s="20" t="s">
        <v>1995</v>
      </c>
      <c r="D1000" s="20" t="s">
        <v>1995</v>
      </c>
      <c r="E1000" s="20" t="s">
        <v>1995</v>
      </c>
      <c r="F1000" s="20" t="s">
        <v>1995</v>
      </c>
      <c r="G1000">
        <v>27.43</v>
      </c>
      <c r="H1000" s="1">
        <v>60.95</v>
      </c>
      <c r="I1000">
        <f t="shared" si="60"/>
        <v>31.5445</v>
      </c>
      <c r="J1000">
        <f t="shared" si="61"/>
        <v>32.916</v>
      </c>
      <c r="K1000">
        <f t="shared" si="62"/>
        <v>35.659</v>
      </c>
      <c r="L1000">
        <f t="shared" si="63"/>
        <v>38.402</v>
      </c>
    </row>
    <row r="1001" spans="1:12">
      <c r="A1001" t="s">
        <v>13</v>
      </c>
      <c r="B1001" s="14" t="s">
        <v>1996</v>
      </c>
      <c r="C1001" s="20" t="s">
        <v>1997</v>
      </c>
      <c r="D1001" s="20" t="s">
        <v>1997</v>
      </c>
      <c r="E1001" s="20" t="s">
        <v>1997</v>
      </c>
      <c r="F1001" s="20" t="s">
        <v>1997</v>
      </c>
      <c r="G1001">
        <v>30.91</v>
      </c>
      <c r="H1001" s="1">
        <v>68.7</v>
      </c>
      <c r="I1001">
        <f t="shared" si="60"/>
        <v>35.5465</v>
      </c>
      <c r="J1001">
        <f t="shared" si="61"/>
        <v>37.092</v>
      </c>
      <c r="K1001">
        <f t="shared" si="62"/>
        <v>40.183</v>
      </c>
      <c r="L1001">
        <f t="shared" si="63"/>
        <v>43.274</v>
      </c>
    </row>
    <row r="1002" spans="1:12">
      <c r="A1002" t="s">
        <v>13</v>
      </c>
      <c r="B1002" s="14" t="s">
        <v>1998</v>
      </c>
      <c r="C1002" s="20" t="s">
        <v>1999</v>
      </c>
      <c r="D1002" s="20" t="s">
        <v>1999</v>
      </c>
      <c r="E1002" s="20" t="s">
        <v>1999</v>
      </c>
      <c r="F1002" s="20" t="s">
        <v>1999</v>
      </c>
      <c r="G1002">
        <v>34.18</v>
      </c>
      <c r="H1002" s="1">
        <v>75.95</v>
      </c>
      <c r="I1002">
        <f t="shared" si="60"/>
        <v>39.307</v>
      </c>
      <c r="J1002">
        <f t="shared" si="61"/>
        <v>41.016</v>
      </c>
      <c r="K1002">
        <f t="shared" si="62"/>
        <v>44.434</v>
      </c>
      <c r="L1002">
        <f t="shared" si="63"/>
        <v>47.852</v>
      </c>
    </row>
    <row r="1003" spans="1:12">
      <c r="A1003" t="s">
        <v>13</v>
      </c>
      <c r="B1003" s="14" t="s">
        <v>2000</v>
      </c>
      <c r="C1003" s="20" t="s">
        <v>2001</v>
      </c>
      <c r="D1003" s="20" t="s">
        <v>2001</v>
      </c>
      <c r="E1003" s="20" t="s">
        <v>2001</v>
      </c>
      <c r="F1003" s="20" t="s">
        <v>2001</v>
      </c>
      <c r="G1003">
        <v>35.59</v>
      </c>
      <c r="H1003" s="1">
        <v>79.12</v>
      </c>
      <c r="I1003">
        <f t="shared" si="60"/>
        <v>40.9285</v>
      </c>
      <c r="J1003">
        <f t="shared" si="61"/>
        <v>42.708</v>
      </c>
      <c r="K1003">
        <f t="shared" si="62"/>
        <v>46.267</v>
      </c>
      <c r="L1003">
        <f t="shared" si="63"/>
        <v>49.826</v>
      </c>
    </row>
    <row r="1004" spans="1:12">
      <c r="A1004" t="s">
        <v>13</v>
      </c>
      <c r="B1004" s="14" t="s">
        <v>2002</v>
      </c>
      <c r="C1004" s="20" t="s">
        <v>2003</v>
      </c>
      <c r="D1004" s="20" t="s">
        <v>2003</v>
      </c>
      <c r="E1004" s="20" t="s">
        <v>2003</v>
      </c>
      <c r="F1004" s="20" t="s">
        <v>2003</v>
      </c>
      <c r="G1004">
        <v>1133.63</v>
      </c>
      <c r="H1004" s="1">
        <v>2519.17</v>
      </c>
      <c r="I1004">
        <f t="shared" si="60"/>
        <v>1303.6745</v>
      </c>
      <c r="J1004">
        <f t="shared" si="61"/>
        <v>1360.356</v>
      </c>
      <c r="K1004">
        <f t="shared" si="62"/>
        <v>1473.719</v>
      </c>
      <c r="L1004">
        <f t="shared" si="63"/>
        <v>1587.082</v>
      </c>
    </row>
    <row r="1005" spans="1:12">
      <c r="A1005" t="s">
        <v>13</v>
      </c>
      <c r="B1005" s="14" t="s">
        <v>2004</v>
      </c>
      <c r="C1005" s="20" t="s">
        <v>2005</v>
      </c>
      <c r="D1005" s="20" t="s">
        <v>2005</v>
      </c>
      <c r="E1005" s="20" t="s">
        <v>2005</v>
      </c>
      <c r="F1005" s="20" t="s">
        <v>2005</v>
      </c>
      <c r="G1005">
        <v>1259.42</v>
      </c>
      <c r="H1005" s="1">
        <v>2798.71</v>
      </c>
      <c r="I1005">
        <f t="shared" si="60"/>
        <v>1448.333</v>
      </c>
      <c r="J1005">
        <f t="shared" si="61"/>
        <v>1511.304</v>
      </c>
      <c r="K1005">
        <f t="shared" si="62"/>
        <v>1637.246</v>
      </c>
      <c r="L1005">
        <f t="shared" si="63"/>
        <v>1763.188</v>
      </c>
    </row>
    <row r="1006" spans="1:12">
      <c r="A1006" t="s">
        <v>13</v>
      </c>
      <c r="B1006" s="14" t="s">
        <v>2006</v>
      </c>
      <c r="C1006" s="20" t="s">
        <v>2007</v>
      </c>
      <c r="D1006" s="20" t="s">
        <v>2007</v>
      </c>
      <c r="E1006" s="20" t="s">
        <v>2007</v>
      </c>
      <c r="F1006" s="20" t="s">
        <v>2007</v>
      </c>
      <c r="G1006">
        <v>956.23</v>
      </c>
      <c r="H1006" s="1">
        <v>2124.95</v>
      </c>
      <c r="I1006">
        <f t="shared" si="60"/>
        <v>1099.6645</v>
      </c>
      <c r="J1006">
        <f t="shared" si="61"/>
        <v>1147.476</v>
      </c>
      <c r="K1006">
        <f t="shared" si="62"/>
        <v>1243.099</v>
      </c>
      <c r="L1006">
        <f t="shared" si="63"/>
        <v>1338.722</v>
      </c>
    </row>
    <row r="1007" spans="1:12">
      <c r="A1007" t="s">
        <v>13</v>
      </c>
      <c r="B1007" s="14" t="s">
        <v>2008</v>
      </c>
      <c r="C1007" s="20" t="s">
        <v>2009</v>
      </c>
      <c r="D1007" s="20" t="s">
        <v>2009</v>
      </c>
      <c r="E1007" s="20" t="s">
        <v>2009</v>
      </c>
      <c r="F1007" s="20" t="s">
        <v>2009</v>
      </c>
      <c r="G1007">
        <v>1372.84</v>
      </c>
      <c r="H1007" s="1">
        <v>3050.73</v>
      </c>
      <c r="I1007">
        <f t="shared" si="60"/>
        <v>1578.766</v>
      </c>
      <c r="J1007">
        <f t="shared" si="61"/>
        <v>1647.408</v>
      </c>
      <c r="K1007">
        <f t="shared" si="62"/>
        <v>1784.692</v>
      </c>
      <c r="L1007">
        <f t="shared" si="63"/>
        <v>1921.976</v>
      </c>
    </row>
    <row r="1008" spans="1:12">
      <c r="A1008" t="s">
        <v>13</v>
      </c>
      <c r="B1008" s="14" t="s">
        <v>2010</v>
      </c>
      <c r="C1008" s="20" t="s">
        <v>2011</v>
      </c>
      <c r="D1008" s="20" t="s">
        <v>2011</v>
      </c>
      <c r="E1008" s="20" t="s">
        <v>2011</v>
      </c>
      <c r="F1008" s="20" t="s">
        <v>2011</v>
      </c>
      <c r="G1008">
        <v>876.41</v>
      </c>
      <c r="H1008" s="1">
        <v>1947.57</v>
      </c>
      <c r="I1008">
        <f t="shared" si="60"/>
        <v>1007.8715</v>
      </c>
      <c r="J1008">
        <f t="shared" si="61"/>
        <v>1051.692</v>
      </c>
      <c r="K1008">
        <f t="shared" si="62"/>
        <v>1139.333</v>
      </c>
      <c r="L1008">
        <f t="shared" si="63"/>
        <v>1226.974</v>
      </c>
    </row>
    <row r="1009" spans="1:12">
      <c r="A1009" t="s">
        <v>13</v>
      </c>
      <c r="B1009" s="14" t="s">
        <v>2012</v>
      </c>
      <c r="C1009" s="20" t="s">
        <v>2013</v>
      </c>
      <c r="D1009" s="20" t="s">
        <v>2013</v>
      </c>
      <c r="E1009" s="20" t="s">
        <v>2013</v>
      </c>
      <c r="F1009" s="20" t="s">
        <v>2013</v>
      </c>
      <c r="G1009">
        <v>4.83</v>
      </c>
      <c r="H1009" s="1">
        <v>9.21</v>
      </c>
      <c r="I1009">
        <f t="shared" si="60"/>
        <v>5.5545</v>
      </c>
      <c r="J1009">
        <f t="shared" si="61"/>
        <v>5.796</v>
      </c>
      <c r="K1009">
        <f t="shared" si="62"/>
        <v>6.279</v>
      </c>
      <c r="L1009">
        <f t="shared" si="63"/>
        <v>6.762</v>
      </c>
    </row>
    <row r="1010" spans="1:12">
      <c r="A1010" t="s">
        <v>13</v>
      </c>
      <c r="B1010" s="14" t="s">
        <v>2014</v>
      </c>
      <c r="C1010" s="20" t="s">
        <v>2015</v>
      </c>
      <c r="D1010" s="20" t="s">
        <v>2015</v>
      </c>
      <c r="E1010" s="20" t="s">
        <v>2015</v>
      </c>
      <c r="F1010" s="20" t="s">
        <v>2015</v>
      </c>
      <c r="G1010">
        <v>1.79</v>
      </c>
      <c r="H1010" s="1">
        <v>3.43</v>
      </c>
      <c r="I1010">
        <f t="shared" si="60"/>
        <v>2.0585</v>
      </c>
      <c r="J1010">
        <f t="shared" si="61"/>
        <v>2.148</v>
      </c>
      <c r="K1010">
        <f t="shared" si="62"/>
        <v>2.327</v>
      </c>
      <c r="L1010">
        <f t="shared" si="63"/>
        <v>2.506</v>
      </c>
    </row>
    <row r="1011" spans="1:12">
      <c r="A1011" t="s">
        <v>13</v>
      </c>
      <c r="B1011" s="14" t="s">
        <v>2016</v>
      </c>
      <c r="C1011" s="20" t="s">
        <v>2017</v>
      </c>
      <c r="D1011" s="20" t="s">
        <v>2017</v>
      </c>
      <c r="E1011" s="20" t="s">
        <v>2017</v>
      </c>
      <c r="F1011" s="20" t="s">
        <v>2017</v>
      </c>
      <c r="G1011">
        <v>1.53</v>
      </c>
      <c r="H1011" s="1">
        <v>2.93</v>
      </c>
      <c r="I1011">
        <f t="shared" si="60"/>
        <v>1.7595</v>
      </c>
      <c r="J1011">
        <f t="shared" si="61"/>
        <v>1.836</v>
      </c>
      <c r="K1011">
        <f t="shared" si="62"/>
        <v>1.989</v>
      </c>
      <c r="L1011">
        <f t="shared" si="63"/>
        <v>2.142</v>
      </c>
    </row>
    <row r="1012" spans="1:12">
      <c r="A1012" t="s">
        <v>13</v>
      </c>
      <c r="B1012" s="14" t="s">
        <v>2018</v>
      </c>
      <c r="C1012" s="20" t="s">
        <v>2019</v>
      </c>
      <c r="D1012" s="20" t="s">
        <v>2019</v>
      </c>
      <c r="E1012" s="20" t="s">
        <v>2019</v>
      </c>
      <c r="F1012" s="20" t="s">
        <v>2019</v>
      </c>
      <c r="G1012">
        <v>6.03</v>
      </c>
      <c r="H1012" s="1">
        <v>11.51</v>
      </c>
      <c r="I1012">
        <f t="shared" si="60"/>
        <v>6.9345</v>
      </c>
      <c r="J1012">
        <f t="shared" si="61"/>
        <v>7.236</v>
      </c>
      <c r="K1012">
        <f t="shared" si="62"/>
        <v>7.839</v>
      </c>
      <c r="L1012">
        <f t="shared" si="63"/>
        <v>8.442</v>
      </c>
    </row>
    <row r="1013" spans="1:12">
      <c r="A1013" t="s">
        <v>13</v>
      </c>
      <c r="B1013" s="14" t="s">
        <v>2020</v>
      </c>
      <c r="C1013" s="20" t="s">
        <v>2021</v>
      </c>
      <c r="D1013" s="20" t="s">
        <v>2021</v>
      </c>
      <c r="E1013" s="20" t="s">
        <v>2021</v>
      </c>
      <c r="F1013" s="20" t="s">
        <v>2021</v>
      </c>
      <c r="G1013">
        <v>33.24</v>
      </c>
      <c r="H1013" s="1">
        <v>63.29</v>
      </c>
      <c r="I1013">
        <f t="shared" si="60"/>
        <v>38.226</v>
      </c>
      <c r="J1013">
        <f t="shared" si="61"/>
        <v>39.888</v>
      </c>
      <c r="K1013">
        <f t="shared" si="62"/>
        <v>43.212</v>
      </c>
      <c r="L1013">
        <f t="shared" si="63"/>
        <v>46.536</v>
      </c>
    </row>
    <row r="1014" spans="1:12">
      <c r="A1014" t="s">
        <v>13</v>
      </c>
      <c r="B1014" s="14" t="s">
        <v>2022</v>
      </c>
      <c r="C1014" s="20" t="s">
        <v>2023</v>
      </c>
      <c r="D1014" s="20" t="s">
        <v>2023</v>
      </c>
      <c r="E1014" s="20" t="s">
        <v>2023</v>
      </c>
      <c r="F1014" s="20" t="s">
        <v>2023</v>
      </c>
      <c r="G1014">
        <v>33.42</v>
      </c>
      <c r="H1014" s="1">
        <v>63.63</v>
      </c>
      <c r="I1014">
        <f t="shared" si="60"/>
        <v>38.433</v>
      </c>
      <c r="J1014">
        <f t="shared" si="61"/>
        <v>40.104</v>
      </c>
      <c r="K1014">
        <f t="shared" si="62"/>
        <v>43.446</v>
      </c>
      <c r="L1014">
        <f t="shared" si="63"/>
        <v>46.788</v>
      </c>
    </row>
    <row r="1015" spans="1:12">
      <c r="A1015" t="s">
        <v>13</v>
      </c>
      <c r="B1015" s="14" t="s">
        <v>2024</v>
      </c>
      <c r="C1015" s="20" t="s">
        <v>2025</v>
      </c>
      <c r="D1015" s="20" t="s">
        <v>2025</v>
      </c>
      <c r="E1015" s="20" t="s">
        <v>2025</v>
      </c>
      <c r="F1015" s="20" t="s">
        <v>2025</v>
      </c>
      <c r="G1015">
        <v>10.57</v>
      </c>
      <c r="H1015" s="1">
        <v>20.14</v>
      </c>
      <c r="I1015">
        <f t="shared" si="60"/>
        <v>12.1555</v>
      </c>
      <c r="J1015">
        <f t="shared" si="61"/>
        <v>12.684</v>
      </c>
      <c r="K1015">
        <f t="shared" si="62"/>
        <v>13.741</v>
      </c>
      <c r="L1015">
        <f t="shared" si="63"/>
        <v>14.798</v>
      </c>
    </row>
    <row r="1016" spans="1:12">
      <c r="A1016" t="s">
        <v>13</v>
      </c>
      <c r="B1016" s="14" t="s">
        <v>2026</v>
      </c>
      <c r="C1016" s="20" t="s">
        <v>2027</v>
      </c>
      <c r="D1016" s="20" t="s">
        <v>2027</v>
      </c>
      <c r="E1016" s="20" t="s">
        <v>2027</v>
      </c>
      <c r="F1016" s="20" t="s">
        <v>2027</v>
      </c>
      <c r="G1016">
        <v>22.25</v>
      </c>
      <c r="H1016" s="1">
        <v>42.41</v>
      </c>
      <c r="I1016">
        <f t="shared" si="60"/>
        <v>25.5875</v>
      </c>
      <c r="J1016">
        <f t="shared" si="61"/>
        <v>26.7</v>
      </c>
      <c r="K1016">
        <f t="shared" si="62"/>
        <v>28.925</v>
      </c>
      <c r="L1016">
        <f t="shared" si="63"/>
        <v>31.15</v>
      </c>
    </row>
    <row r="1017" spans="1:12">
      <c r="A1017" t="s">
        <v>13</v>
      </c>
      <c r="B1017" s="14" t="s">
        <v>2028</v>
      </c>
      <c r="C1017" s="20" t="s">
        <v>2029</v>
      </c>
      <c r="D1017" s="20" t="s">
        <v>2029</v>
      </c>
      <c r="E1017" s="20" t="s">
        <v>2029</v>
      </c>
      <c r="F1017" s="20" t="s">
        <v>2029</v>
      </c>
      <c r="G1017">
        <v>38.73</v>
      </c>
      <c r="H1017" s="1">
        <v>73.77</v>
      </c>
      <c r="I1017">
        <f t="shared" si="60"/>
        <v>44.5395</v>
      </c>
      <c r="J1017">
        <f t="shared" si="61"/>
        <v>46.476</v>
      </c>
      <c r="K1017">
        <f t="shared" si="62"/>
        <v>50.349</v>
      </c>
      <c r="L1017">
        <f t="shared" si="63"/>
        <v>54.222</v>
      </c>
    </row>
    <row r="1018" spans="1:12">
      <c r="A1018" t="s">
        <v>13</v>
      </c>
      <c r="B1018" s="14" t="s">
        <v>2030</v>
      </c>
      <c r="C1018" s="20" t="s">
        <v>2031</v>
      </c>
      <c r="D1018" s="20" t="s">
        <v>2031</v>
      </c>
      <c r="E1018" s="20" t="s">
        <v>2031</v>
      </c>
      <c r="F1018" s="20" t="s">
        <v>2031</v>
      </c>
      <c r="G1018">
        <v>35.47</v>
      </c>
      <c r="H1018" s="1">
        <v>67.55</v>
      </c>
      <c r="I1018">
        <f t="shared" si="60"/>
        <v>40.7905</v>
      </c>
      <c r="J1018">
        <f t="shared" si="61"/>
        <v>42.564</v>
      </c>
      <c r="K1018">
        <f t="shared" si="62"/>
        <v>46.111</v>
      </c>
      <c r="L1018">
        <f t="shared" si="63"/>
        <v>49.658</v>
      </c>
    </row>
    <row r="1019" spans="1:12">
      <c r="A1019" t="s">
        <v>13</v>
      </c>
      <c r="B1019" s="14" t="s">
        <v>2032</v>
      </c>
      <c r="C1019" s="20" t="s">
        <v>2033</v>
      </c>
      <c r="D1019" s="20" t="s">
        <v>2033</v>
      </c>
      <c r="E1019" s="20" t="s">
        <v>2033</v>
      </c>
      <c r="F1019" s="20" t="s">
        <v>2033</v>
      </c>
      <c r="G1019">
        <v>19.63</v>
      </c>
      <c r="H1019" s="1">
        <v>37.4</v>
      </c>
      <c r="I1019">
        <f t="shared" si="60"/>
        <v>22.5745</v>
      </c>
      <c r="J1019">
        <f t="shared" si="61"/>
        <v>23.556</v>
      </c>
      <c r="K1019">
        <f t="shared" si="62"/>
        <v>25.519</v>
      </c>
      <c r="L1019">
        <f t="shared" si="63"/>
        <v>27.482</v>
      </c>
    </row>
    <row r="1020" spans="1:12">
      <c r="A1020" t="s">
        <v>13</v>
      </c>
      <c r="B1020" s="14" t="s">
        <v>2034</v>
      </c>
      <c r="C1020" s="20" t="s">
        <v>2035</v>
      </c>
      <c r="D1020" s="20" t="s">
        <v>2035</v>
      </c>
      <c r="E1020" s="20" t="s">
        <v>2035</v>
      </c>
      <c r="F1020" s="20" t="s">
        <v>2035</v>
      </c>
      <c r="G1020">
        <v>18.81</v>
      </c>
      <c r="H1020" s="1">
        <v>35.85</v>
      </c>
      <c r="I1020">
        <f t="shared" si="60"/>
        <v>21.6315</v>
      </c>
      <c r="J1020">
        <f t="shared" si="61"/>
        <v>22.572</v>
      </c>
      <c r="K1020">
        <f t="shared" si="62"/>
        <v>24.453</v>
      </c>
      <c r="L1020">
        <f t="shared" si="63"/>
        <v>26.334</v>
      </c>
    </row>
    <row r="1021" spans="1:12">
      <c r="A1021" t="s">
        <v>13</v>
      </c>
      <c r="B1021" s="14" t="s">
        <v>2036</v>
      </c>
      <c r="C1021" s="20" t="s">
        <v>2037</v>
      </c>
      <c r="D1021" s="20" t="s">
        <v>2037</v>
      </c>
      <c r="E1021" s="20" t="s">
        <v>2037</v>
      </c>
      <c r="F1021" s="20" t="s">
        <v>2037</v>
      </c>
      <c r="G1021">
        <v>15.28</v>
      </c>
      <c r="H1021" s="1">
        <v>29.08</v>
      </c>
      <c r="I1021">
        <f t="shared" si="60"/>
        <v>17.572</v>
      </c>
      <c r="J1021">
        <f t="shared" si="61"/>
        <v>18.336</v>
      </c>
      <c r="K1021">
        <f t="shared" si="62"/>
        <v>19.864</v>
      </c>
      <c r="L1021">
        <f t="shared" si="63"/>
        <v>21.392</v>
      </c>
    </row>
    <row r="1022" spans="1:12">
      <c r="A1022" t="s">
        <v>13</v>
      </c>
      <c r="B1022" s="14" t="s">
        <v>2038</v>
      </c>
      <c r="C1022" s="20" t="s">
        <v>2039</v>
      </c>
      <c r="D1022" s="20" t="s">
        <v>2039</v>
      </c>
      <c r="E1022" s="20" t="s">
        <v>2039</v>
      </c>
      <c r="F1022" s="20" t="s">
        <v>2039</v>
      </c>
      <c r="G1022">
        <v>29.96</v>
      </c>
      <c r="H1022" s="1">
        <v>57.06</v>
      </c>
      <c r="I1022">
        <f t="shared" si="60"/>
        <v>34.454</v>
      </c>
      <c r="J1022">
        <f t="shared" si="61"/>
        <v>35.952</v>
      </c>
      <c r="K1022">
        <f t="shared" si="62"/>
        <v>38.948</v>
      </c>
      <c r="L1022">
        <f t="shared" si="63"/>
        <v>41.944</v>
      </c>
    </row>
    <row r="1023" spans="1:12">
      <c r="A1023" t="s">
        <v>13</v>
      </c>
      <c r="B1023" s="14" t="s">
        <v>2040</v>
      </c>
      <c r="C1023" s="20" t="s">
        <v>2041</v>
      </c>
      <c r="D1023" s="20" t="s">
        <v>2041</v>
      </c>
      <c r="E1023" s="20" t="s">
        <v>2041</v>
      </c>
      <c r="F1023" s="20" t="s">
        <v>2041</v>
      </c>
      <c r="G1023">
        <v>29.05</v>
      </c>
      <c r="H1023" s="1">
        <v>55.34</v>
      </c>
      <c r="I1023">
        <f t="shared" si="60"/>
        <v>33.4075</v>
      </c>
      <c r="J1023">
        <f t="shared" si="61"/>
        <v>34.86</v>
      </c>
      <c r="K1023">
        <f t="shared" si="62"/>
        <v>37.765</v>
      </c>
      <c r="L1023">
        <f t="shared" si="63"/>
        <v>40.67</v>
      </c>
    </row>
    <row r="1024" spans="1:12">
      <c r="A1024" t="s">
        <v>13</v>
      </c>
      <c r="B1024" s="14" t="s">
        <v>2042</v>
      </c>
      <c r="C1024" s="20" t="s">
        <v>2043</v>
      </c>
      <c r="D1024" s="20" t="s">
        <v>2043</v>
      </c>
      <c r="E1024" s="20" t="s">
        <v>2043</v>
      </c>
      <c r="F1024" s="20" t="s">
        <v>2043</v>
      </c>
      <c r="G1024">
        <v>24.13</v>
      </c>
      <c r="H1024" s="1">
        <v>45.96</v>
      </c>
      <c r="I1024">
        <f t="shared" si="60"/>
        <v>27.7495</v>
      </c>
      <c r="J1024">
        <f t="shared" si="61"/>
        <v>28.956</v>
      </c>
      <c r="K1024">
        <f t="shared" si="62"/>
        <v>31.369</v>
      </c>
      <c r="L1024">
        <f t="shared" si="63"/>
        <v>33.782</v>
      </c>
    </row>
    <row r="1025" spans="1:12">
      <c r="A1025" t="s">
        <v>13</v>
      </c>
      <c r="B1025" s="14" t="s">
        <v>2044</v>
      </c>
      <c r="C1025" s="20" t="s">
        <v>2045</v>
      </c>
      <c r="D1025" s="20" t="s">
        <v>2045</v>
      </c>
      <c r="E1025" s="20" t="s">
        <v>2045</v>
      </c>
      <c r="F1025" s="20" t="s">
        <v>2045</v>
      </c>
      <c r="G1025">
        <v>32.84</v>
      </c>
      <c r="H1025" s="1">
        <v>62.55</v>
      </c>
      <c r="I1025">
        <f t="shared" si="60"/>
        <v>37.766</v>
      </c>
      <c r="J1025">
        <f t="shared" si="61"/>
        <v>39.408</v>
      </c>
      <c r="K1025">
        <f t="shared" si="62"/>
        <v>42.692</v>
      </c>
      <c r="L1025">
        <f t="shared" si="63"/>
        <v>45.976</v>
      </c>
    </row>
    <row r="1026" spans="1:12">
      <c r="A1026" t="s">
        <v>13</v>
      </c>
      <c r="B1026" s="14" t="s">
        <v>2046</v>
      </c>
      <c r="C1026" s="20" t="s">
        <v>2047</v>
      </c>
      <c r="D1026" s="20" t="s">
        <v>2047</v>
      </c>
      <c r="E1026" s="20" t="s">
        <v>2047</v>
      </c>
      <c r="F1026" s="20" t="s">
        <v>2047</v>
      </c>
      <c r="G1026">
        <v>32.84</v>
      </c>
      <c r="H1026" s="1">
        <v>62.55</v>
      </c>
      <c r="I1026">
        <f t="shared" ref="I1026:I1089" si="64">G1026*1.15</f>
        <v>37.766</v>
      </c>
      <c r="J1026">
        <f t="shared" ref="J1026:J1089" si="65">G1026*1.2</f>
        <v>39.408</v>
      </c>
      <c r="K1026">
        <f t="shared" ref="K1026:K1089" si="66">G1026*1.3</f>
        <v>42.692</v>
      </c>
      <c r="L1026">
        <f t="shared" ref="L1026:L1089" si="67">G1026*1.4</f>
        <v>45.976</v>
      </c>
    </row>
    <row r="1027" spans="1:12">
      <c r="A1027" t="s">
        <v>13</v>
      </c>
      <c r="B1027" s="14" t="s">
        <v>2048</v>
      </c>
      <c r="C1027" s="20" t="s">
        <v>2049</v>
      </c>
      <c r="D1027" s="20" t="s">
        <v>2049</v>
      </c>
      <c r="E1027" s="20" t="s">
        <v>2049</v>
      </c>
      <c r="F1027" s="20" t="s">
        <v>2049</v>
      </c>
      <c r="G1027">
        <v>0.34</v>
      </c>
      <c r="H1027" s="1">
        <v>0.68</v>
      </c>
      <c r="I1027">
        <f t="shared" si="64"/>
        <v>0.391</v>
      </c>
      <c r="J1027">
        <f t="shared" si="65"/>
        <v>0.408</v>
      </c>
      <c r="K1027">
        <f t="shared" si="66"/>
        <v>0.442</v>
      </c>
      <c r="L1027">
        <f t="shared" si="67"/>
        <v>0.476</v>
      </c>
    </row>
    <row r="1028" spans="1:12">
      <c r="A1028" t="s">
        <v>13</v>
      </c>
      <c r="B1028" s="14" t="s">
        <v>2050</v>
      </c>
      <c r="C1028" s="20" t="s">
        <v>2051</v>
      </c>
      <c r="D1028" s="20" t="s">
        <v>2051</v>
      </c>
      <c r="E1028" s="20" t="s">
        <v>2051</v>
      </c>
      <c r="F1028" s="20" t="s">
        <v>2051</v>
      </c>
      <c r="G1028">
        <v>1.74</v>
      </c>
      <c r="H1028" s="1">
        <v>3.31</v>
      </c>
      <c r="I1028">
        <f t="shared" si="64"/>
        <v>2.001</v>
      </c>
      <c r="J1028">
        <f t="shared" si="65"/>
        <v>2.088</v>
      </c>
      <c r="K1028">
        <f t="shared" si="66"/>
        <v>2.262</v>
      </c>
      <c r="L1028">
        <f t="shared" si="67"/>
        <v>2.436</v>
      </c>
    </row>
    <row r="1029" spans="1:12">
      <c r="A1029" t="s">
        <v>13</v>
      </c>
      <c r="B1029" s="14" t="s">
        <v>2052</v>
      </c>
      <c r="C1029" s="20" t="s">
        <v>2053</v>
      </c>
      <c r="D1029" s="20" t="s">
        <v>2053</v>
      </c>
      <c r="E1029" s="20" t="s">
        <v>2053</v>
      </c>
      <c r="F1029" s="20" t="s">
        <v>2053</v>
      </c>
      <c r="G1029">
        <v>0.78</v>
      </c>
      <c r="H1029" s="1">
        <v>1.49</v>
      </c>
      <c r="I1029">
        <f t="shared" si="64"/>
        <v>0.897</v>
      </c>
      <c r="J1029">
        <f t="shared" si="65"/>
        <v>0.936</v>
      </c>
      <c r="K1029">
        <f t="shared" si="66"/>
        <v>1.014</v>
      </c>
      <c r="L1029">
        <f t="shared" si="67"/>
        <v>1.092</v>
      </c>
    </row>
    <row r="1030" spans="1:12">
      <c r="A1030" t="s">
        <v>13</v>
      </c>
      <c r="B1030" s="14" t="s">
        <v>2054</v>
      </c>
      <c r="C1030" s="20" t="s">
        <v>2055</v>
      </c>
      <c r="D1030" s="20" t="s">
        <v>2055</v>
      </c>
      <c r="E1030" s="20" t="s">
        <v>2055</v>
      </c>
      <c r="F1030" s="20" t="s">
        <v>2055</v>
      </c>
      <c r="G1030">
        <v>1.45</v>
      </c>
      <c r="H1030" s="1">
        <v>2.77</v>
      </c>
      <c r="I1030">
        <f t="shared" si="64"/>
        <v>1.6675</v>
      </c>
      <c r="J1030">
        <f t="shared" si="65"/>
        <v>1.74</v>
      </c>
      <c r="K1030">
        <f t="shared" si="66"/>
        <v>1.885</v>
      </c>
      <c r="L1030">
        <f t="shared" si="67"/>
        <v>2.03</v>
      </c>
    </row>
    <row r="1031" spans="1:12">
      <c r="A1031" t="s">
        <v>13</v>
      </c>
      <c r="B1031" s="14" t="s">
        <v>2056</v>
      </c>
      <c r="C1031" s="20" t="s">
        <v>2057</v>
      </c>
      <c r="D1031" s="20" t="s">
        <v>2057</v>
      </c>
      <c r="E1031" s="20" t="s">
        <v>2057</v>
      </c>
      <c r="F1031" s="20" t="s">
        <v>2057</v>
      </c>
      <c r="G1031">
        <v>0.63</v>
      </c>
      <c r="H1031" s="1">
        <v>1.2</v>
      </c>
      <c r="I1031">
        <f t="shared" si="64"/>
        <v>0.7245</v>
      </c>
      <c r="J1031">
        <f t="shared" si="65"/>
        <v>0.756</v>
      </c>
      <c r="K1031">
        <f t="shared" si="66"/>
        <v>0.819</v>
      </c>
      <c r="L1031">
        <f t="shared" si="67"/>
        <v>0.882</v>
      </c>
    </row>
    <row r="1032" spans="1:12">
      <c r="A1032" t="s">
        <v>13</v>
      </c>
      <c r="B1032" s="14" t="s">
        <v>2058</v>
      </c>
      <c r="C1032" s="20" t="s">
        <v>2059</v>
      </c>
      <c r="D1032" s="20" t="s">
        <v>2059</v>
      </c>
      <c r="E1032" s="20" t="s">
        <v>2059</v>
      </c>
      <c r="F1032" s="20" t="s">
        <v>2059</v>
      </c>
      <c r="G1032">
        <v>1.15</v>
      </c>
      <c r="H1032" s="1">
        <v>2.19</v>
      </c>
      <c r="I1032">
        <f t="shared" si="64"/>
        <v>1.3225</v>
      </c>
      <c r="J1032">
        <f t="shared" si="65"/>
        <v>1.38</v>
      </c>
      <c r="K1032">
        <f t="shared" si="66"/>
        <v>1.495</v>
      </c>
      <c r="L1032">
        <f t="shared" si="67"/>
        <v>1.61</v>
      </c>
    </row>
    <row r="1033" spans="1:12">
      <c r="A1033" t="s">
        <v>13</v>
      </c>
      <c r="B1033" s="14" t="s">
        <v>2060</v>
      </c>
      <c r="C1033" s="20" t="s">
        <v>2061</v>
      </c>
      <c r="D1033" s="20" t="s">
        <v>2061</v>
      </c>
      <c r="E1033" s="20" t="s">
        <v>2061</v>
      </c>
      <c r="F1033" s="20" t="s">
        <v>2061</v>
      </c>
      <c r="G1033">
        <v>1.42</v>
      </c>
      <c r="H1033" s="1">
        <v>2.69</v>
      </c>
      <c r="I1033">
        <f t="shared" si="64"/>
        <v>1.633</v>
      </c>
      <c r="J1033">
        <f t="shared" si="65"/>
        <v>1.704</v>
      </c>
      <c r="K1033">
        <f t="shared" si="66"/>
        <v>1.846</v>
      </c>
      <c r="L1033">
        <f t="shared" si="67"/>
        <v>1.988</v>
      </c>
    </row>
    <row r="1034" spans="1:12">
      <c r="A1034" t="s">
        <v>13</v>
      </c>
      <c r="B1034" s="14" t="s">
        <v>2062</v>
      </c>
      <c r="C1034" s="20" t="s">
        <v>2063</v>
      </c>
      <c r="D1034" s="20" t="s">
        <v>2063</v>
      </c>
      <c r="E1034" s="20" t="s">
        <v>2063</v>
      </c>
      <c r="F1034" s="20" t="s">
        <v>2063</v>
      </c>
      <c r="G1034">
        <v>1.39</v>
      </c>
      <c r="H1034" s="1">
        <v>2.65</v>
      </c>
      <c r="I1034">
        <f t="shared" si="64"/>
        <v>1.5985</v>
      </c>
      <c r="J1034">
        <f t="shared" si="65"/>
        <v>1.668</v>
      </c>
      <c r="K1034">
        <f t="shared" si="66"/>
        <v>1.807</v>
      </c>
      <c r="L1034">
        <f t="shared" si="67"/>
        <v>1.946</v>
      </c>
    </row>
    <row r="1035" spans="1:12">
      <c r="A1035" t="s">
        <v>13</v>
      </c>
      <c r="B1035" s="14" t="s">
        <v>2064</v>
      </c>
      <c r="C1035" s="20" t="s">
        <v>2065</v>
      </c>
      <c r="D1035" s="20" t="s">
        <v>2065</v>
      </c>
      <c r="E1035" s="20" t="s">
        <v>2065</v>
      </c>
      <c r="F1035" s="20" t="s">
        <v>2065</v>
      </c>
      <c r="G1035">
        <v>3.6</v>
      </c>
      <c r="H1035" s="1">
        <v>6.86</v>
      </c>
      <c r="I1035">
        <f t="shared" si="64"/>
        <v>4.14</v>
      </c>
      <c r="J1035">
        <f t="shared" si="65"/>
        <v>4.32</v>
      </c>
      <c r="K1035">
        <f t="shared" si="66"/>
        <v>4.68</v>
      </c>
      <c r="L1035">
        <f t="shared" si="67"/>
        <v>5.04</v>
      </c>
    </row>
    <row r="1036" spans="1:12">
      <c r="A1036" t="s">
        <v>13</v>
      </c>
      <c r="B1036" s="14" t="s">
        <v>2066</v>
      </c>
      <c r="C1036" s="20" t="s">
        <v>2067</v>
      </c>
      <c r="D1036" s="20" t="s">
        <v>2067</v>
      </c>
      <c r="E1036" s="20" t="s">
        <v>2067</v>
      </c>
      <c r="F1036" s="20" t="s">
        <v>2067</v>
      </c>
      <c r="G1036">
        <v>4.06</v>
      </c>
      <c r="H1036" s="1">
        <v>7.75</v>
      </c>
      <c r="I1036">
        <f t="shared" si="64"/>
        <v>4.669</v>
      </c>
      <c r="J1036">
        <f t="shared" si="65"/>
        <v>4.872</v>
      </c>
      <c r="K1036">
        <f t="shared" si="66"/>
        <v>5.278</v>
      </c>
      <c r="L1036">
        <f t="shared" si="67"/>
        <v>5.684</v>
      </c>
    </row>
    <row r="1037" ht="28.5" spans="1:12">
      <c r="A1037" t="s">
        <v>13</v>
      </c>
      <c r="B1037" s="14" t="s">
        <v>2068</v>
      </c>
      <c r="C1037" s="20" t="s">
        <v>2069</v>
      </c>
      <c r="D1037" s="20" t="s">
        <v>2069</v>
      </c>
      <c r="E1037" s="20" t="s">
        <v>2069</v>
      </c>
      <c r="F1037" s="20" t="s">
        <v>2069</v>
      </c>
      <c r="G1037">
        <v>2.1</v>
      </c>
      <c r="H1037" s="1">
        <v>5.27</v>
      </c>
      <c r="I1037">
        <f t="shared" si="64"/>
        <v>2.415</v>
      </c>
      <c r="J1037">
        <f t="shared" si="65"/>
        <v>2.52</v>
      </c>
      <c r="K1037">
        <f t="shared" si="66"/>
        <v>2.73</v>
      </c>
      <c r="L1037">
        <f t="shared" si="67"/>
        <v>2.94</v>
      </c>
    </row>
    <row r="1038" spans="1:12">
      <c r="A1038" t="s">
        <v>13</v>
      </c>
      <c r="B1038" s="14" t="s">
        <v>2070</v>
      </c>
      <c r="C1038" s="20" t="s">
        <v>2071</v>
      </c>
      <c r="D1038" s="20" t="s">
        <v>2071</v>
      </c>
      <c r="E1038" s="20" t="s">
        <v>2071</v>
      </c>
      <c r="F1038" s="20" t="s">
        <v>2071</v>
      </c>
      <c r="G1038">
        <v>3.8</v>
      </c>
      <c r="H1038" s="1">
        <v>9.53</v>
      </c>
      <c r="I1038">
        <f t="shared" si="64"/>
        <v>4.37</v>
      </c>
      <c r="J1038">
        <f t="shared" si="65"/>
        <v>4.56</v>
      </c>
      <c r="K1038">
        <f t="shared" si="66"/>
        <v>4.94</v>
      </c>
      <c r="L1038">
        <f t="shared" si="67"/>
        <v>5.32</v>
      </c>
    </row>
    <row r="1039" spans="1:12">
      <c r="A1039" t="s">
        <v>13</v>
      </c>
      <c r="B1039" s="14" t="s">
        <v>2072</v>
      </c>
      <c r="C1039" s="20" t="s">
        <v>2073</v>
      </c>
      <c r="D1039" s="20" t="s">
        <v>2073</v>
      </c>
      <c r="E1039" s="20" t="s">
        <v>2073</v>
      </c>
      <c r="F1039" s="20" t="s">
        <v>2073</v>
      </c>
      <c r="G1039">
        <v>4.59</v>
      </c>
      <c r="H1039" s="1">
        <v>11.48</v>
      </c>
      <c r="I1039">
        <f t="shared" si="64"/>
        <v>5.2785</v>
      </c>
      <c r="J1039">
        <f t="shared" si="65"/>
        <v>5.508</v>
      </c>
      <c r="K1039">
        <f t="shared" si="66"/>
        <v>5.967</v>
      </c>
      <c r="L1039">
        <f t="shared" si="67"/>
        <v>6.426</v>
      </c>
    </row>
    <row r="1040" spans="1:12">
      <c r="A1040" t="s">
        <v>13</v>
      </c>
      <c r="B1040" s="14" t="s">
        <v>2074</v>
      </c>
      <c r="C1040" s="20" t="s">
        <v>2075</v>
      </c>
      <c r="D1040" s="20" t="s">
        <v>2075</v>
      </c>
      <c r="E1040" s="20" t="s">
        <v>2075</v>
      </c>
      <c r="F1040" s="20" t="s">
        <v>2075</v>
      </c>
      <c r="G1040">
        <v>4.63</v>
      </c>
      <c r="H1040" s="1">
        <v>11.61</v>
      </c>
      <c r="I1040">
        <f t="shared" si="64"/>
        <v>5.3245</v>
      </c>
      <c r="J1040">
        <f t="shared" si="65"/>
        <v>5.556</v>
      </c>
      <c r="K1040">
        <f t="shared" si="66"/>
        <v>6.019</v>
      </c>
      <c r="L1040">
        <f t="shared" si="67"/>
        <v>6.482</v>
      </c>
    </row>
    <row r="1041" spans="1:12">
      <c r="A1041" t="s">
        <v>13</v>
      </c>
      <c r="B1041" s="14" t="s">
        <v>2076</v>
      </c>
      <c r="C1041" s="20" t="s">
        <v>2077</v>
      </c>
      <c r="D1041" s="20" t="s">
        <v>2077</v>
      </c>
      <c r="E1041" s="20" t="s">
        <v>2077</v>
      </c>
      <c r="F1041" s="20" t="s">
        <v>2077</v>
      </c>
      <c r="G1041">
        <v>4.3</v>
      </c>
      <c r="H1041" s="1">
        <v>10.76</v>
      </c>
      <c r="I1041">
        <f t="shared" si="64"/>
        <v>4.945</v>
      </c>
      <c r="J1041">
        <f t="shared" si="65"/>
        <v>5.16</v>
      </c>
      <c r="K1041">
        <f t="shared" si="66"/>
        <v>5.59</v>
      </c>
      <c r="L1041">
        <f t="shared" si="67"/>
        <v>6.02</v>
      </c>
    </row>
    <row r="1042" spans="1:12">
      <c r="A1042" t="s">
        <v>13</v>
      </c>
      <c r="B1042" s="14" t="s">
        <v>2078</v>
      </c>
      <c r="C1042" s="20" t="s">
        <v>2079</v>
      </c>
      <c r="D1042" s="20" t="s">
        <v>2079</v>
      </c>
      <c r="E1042" s="20" t="s">
        <v>2079</v>
      </c>
      <c r="F1042" s="20" t="s">
        <v>2079</v>
      </c>
      <c r="G1042">
        <v>4.22</v>
      </c>
      <c r="H1042" s="1">
        <v>10.54</v>
      </c>
      <c r="I1042">
        <f t="shared" si="64"/>
        <v>4.853</v>
      </c>
      <c r="J1042">
        <f t="shared" si="65"/>
        <v>5.064</v>
      </c>
      <c r="K1042">
        <f t="shared" si="66"/>
        <v>5.486</v>
      </c>
      <c r="L1042">
        <f t="shared" si="67"/>
        <v>5.908</v>
      </c>
    </row>
    <row r="1043" spans="1:12">
      <c r="A1043" t="s">
        <v>13</v>
      </c>
      <c r="B1043" s="14" t="s">
        <v>2080</v>
      </c>
      <c r="C1043" s="20" t="s">
        <v>2081</v>
      </c>
      <c r="D1043" s="20" t="s">
        <v>2081</v>
      </c>
      <c r="E1043" s="20" t="s">
        <v>2081</v>
      </c>
      <c r="F1043" s="20" t="s">
        <v>2081</v>
      </c>
      <c r="G1043">
        <v>4.42</v>
      </c>
      <c r="H1043" s="1">
        <v>11.03</v>
      </c>
      <c r="I1043">
        <f t="shared" si="64"/>
        <v>5.083</v>
      </c>
      <c r="J1043">
        <f t="shared" si="65"/>
        <v>5.304</v>
      </c>
      <c r="K1043">
        <f t="shared" si="66"/>
        <v>5.746</v>
      </c>
      <c r="L1043">
        <f t="shared" si="67"/>
        <v>6.188</v>
      </c>
    </row>
    <row r="1044" spans="1:12">
      <c r="A1044" t="s">
        <v>13</v>
      </c>
      <c r="B1044" s="14" t="s">
        <v>2082</v>
      </c>
      <c r="C1044" s="20" t="s">
        <v>2083</v>
      </c>
      <c r="D1044" s="20" t="s">
        <v>2083</v>
      </c>
      <c r="E1044" s="20" t="s">
        <v>2083</v>
      </c>
      <c r="F1044" s="20" t="s">
        <v>2083</v>
      </c>
      <c r="G1044">
        <v>5.63</v>
      </c>
      <c r="H1044" s="1">
        <v>14.04</v>
      </c>
      <c r="I1044">
        <f t="shared" si="64"/>
        <v>6.4745</v>
      </c>
      <c r="J1044">
        <f t="shared" si="65"/>
        <v>6.756</v>
      </c>
      <c r="K1044">
        <f t="shared" si="66"/>
        <v>7.319</v>
      </c>
      <c r="L1044">
        <f t="shared" si="67"/>
        <v>7.882</v>
      </c>
    </row>
    <row r="1045" spans="1:12">
      <c r="A1045" t="s">
        <v>13</v>
      </c>
      <c r="B1045" s="14" t="s">
        <v>2084</v>
      </c>
      <c r="C1045" s="20" t="s">
        <v>2085</v>
      </c>
      <c r="D1045" s="20" t="s">
        <v>2085</v>
      </c>
      <c r="E1045" s="20" t="s">
        <v>2085</v>
      </c>
      <c r="F1045" s="20" t="s">
        <v>2085</v>
      </c>
      <c r="G1045">
        <v>6.28</v>
      </c>
      <c r="H1045" s="1">
        <v>15.7</v>
      </c>
      <c r="I1045">
        <f t="shared" si="64"/>
        <v>7.222</v>
      </c>
      <c r="J1045">
        <f t="shared" si="65"/>
        <v>7.536</v>
      </c>
      <c r="K1045">
        <f t="shared" si="66"/>
        <v>8.164</v>
      </c>
      <c r="L1045">
        <f t="shared" si="67"/>
        <v>8.792</v>
      </c>
    </row>
    <row r="1046" spans="1:12">
      <c r="A1046" t="s">
        <v>13</v>
      </c>
      <c r="B1046" s="14" t="s">
        <v>2086</v>
      </c>
      <c r="C1046" s="20" t="s">
        <v>2087</v>
      </c>
      <c r="D1046" s="20" t="s">
        <v>2087</v>
      </c>
      <c r="E1046" s="20" t="s">
        <v>2087</v>
      </c>
      <c r="F1046" s="20" t="s">
        <v>2087</v>
      </c>
      <c r="G1046">
        <v>6.3</v>
      </c>
      <c r="H1046" s="1">
        <v>15.77</v>
      </c>
      <c r="I1046">
        <f t="shared" si="64"/>
        <v>7.245</v>
      </c>
      <c r="J1046">
        <f t="shared" si="65"/>
        <v>7.56</v>
      </c>
      <c r="K1046">
        <f t="shared" si="66"/>
        <v>8.19</v>
      </c>
      <c r="L1046">
        <f t="shared" si="67"/>
        <v>8.82</v>
      </c>
    </row>
    <row r="1047" spans="1:12">
      <c r="A1047" t="s">
        <v>13</v>
      </c>
      <c r="B1047" s="14" t="s">
        <v>2088</v>
      </c>
      <c r="C1047" s="20" t="s">
        <v>2089</v>
      </c>
      <c r="D1047" s="20" t="s">
        <v>2089</v>
      </c>
      <c r="E1047" s="20" t="s">
        <v>2089</v>
      </c>
      <c r="F1047" s="20" t="s">
        <v>2089</v>
      </c>
      <c r="G1047">
        <v>8.22</v>
      </c>
      <c r="H1047" s="1">
        <v>20.53</v>
      </c>
      <c r="I1047">
        <f t="shared" si="64"/>
        <v>9.453</v>
      </c>
      <c r="J1047">
        <f t="shared" si="65"/>
        <v>9.864</v>
      </c>
      <c r="K1047">
        <f t="shared" si="66"/>
        <v>10.686</v>
      </c>
      <c r="L1047">
        <f t="shared" si="67"/>
        <v>11.508</v>
      </c>
    </row>
    <row r="1048" spans="1:12">
      <c r="A1048" t="s">
        <v>13</v>
      </c>
      <c r="B1048" s="14" t="s">
        <v>2090</v>
      </c>
      <c r="C1048" s="20" t="s">
        <v>2091</v>
      </c>
      <c r="D1048" s="20" t="s">
        <v>2091</v>
      </c>
      <c r="E1048" s="20" t="s">
        <v>2091</v>
      </c>
      <c r="F1048" s="20" t="s">
        <v>2091</v>
      </c>
      <c r="G1048">
        <v>10.04</v>
      </c>
      <c r="H1048" s="1">
        <v>25.1</v>
      </c>
      <c r="I1048">
        <f t="shared" si="64"/>
        <v>11.546</v>
      </c>
      <c r="J1048">
        <f t="shared" si="65"/>
        <v>12.048</v>
      </c>
      <c r="K1048">
        <f t="shared" si="66"/>
        <v>13.052</v>
      </c>
      <c r="L1048">
        <f t="shared" si="67"/>
        <v>14.056</v>
      </c>
    </row>
    <row r="1049" spans="1:12">
      <c r="A1049" t="s">
        <v>13</v>
      </c>
      <c r="B1049" s="14" t="s">
        <v>2092</v>
      </c>
      <c r="C1049" s="20" t="s">
        <v>2093</v>
      </c>
      <c r="D1049" s="20" t="s">
        <v>2093</v>
      </c>
      <c r="E1049" s="20" t="s">
        <v>2093</v>
      </c>
      <c r="F1049" s="20" t="s">
        <v>2093</v>
      </c>
      <c r="G1049">
        <v>7.75</v>
      </c>
      <c r="H1049" s="1">
        <v>19.37</v>
      </c>
      <c r="I1049">
        <f t="shared" si="64"/>
        <v>8.9125</v>
      </c>
      <c r="J1049">
        <f t="shared" si="65"/>
        <v>9.3</v>
      </c>
      <c r="K1049">
        <f t="shared" si="66"/>
        <v>10.075</v>
      </c>
      <c r="L1049">
        <f t="shared" si="67"/>
        <v>10.85</v>
      </c>
    </row>
    <row r="1050" spans="1:12">
      <c r="A1050" t="s">
        <v>13</v>
      </c>
      <c r="B1050" s="14" t="s">
        <v>2094</v>
      </c>
      <c r="C1050" s="20" t="s">
        <v>2095</v>
      </c>
      <c r="D1050" s="20" t="s">
        <v>2095</v>
      </c>
      <c r="E1050" s="20" t="s">
        <v>2095</v>
      </c>
      <c r="F1050" s="20" t="s">
        <v>2095</v>
      </c>
      <c r="G1050">
        <v>7.57</v>
      </c>
      <c r="H1050" s="1">
        <v>18.91</v>
      </c>
      <c r="I1050">
        <f t="shared" si="64"/>
        <v>8.7055</v>
      </c>
      <c r="J1050">
        <f t="shared" si="65"/>
        <v>9.084</v>
      </c>
      <c r="K1050">
        <f t="shared" si="66"/>
        <v>9.841</v>
      </c>
      <c r="L1050">
        <f t="shared" si="67"/>
        <v>10.598</v>
      </c>
    </row>
    <row r="1051" spans="1:12">
      <c r="A1051" t="s">
        <v>13</v>
      </c>
      <c r="B1051" s="14" t="s">
        <v>2096</v>
      </c>
      <c r="C1051" s="20" t="s">
        <v>2097</v>
      </c>
      <c r="D1051" s="20" t="s">
        <v>2097</v>
      </c>
      <c r="E1051" s="20" t="s">
        <v>2097</v>
      </c>
      <c r="F1051" s="20" t="s">
        <v>2097</v>
      </c>
      <c r="G1051">
        <v>8.11</v>
      </c>
      <c r="H1051" s="1">
        <v>20.26</v>
      </c>
      <c r="I1051">
        <f t="shared" si="64"/>
        <v>9.3265</v>
      </c>
      <c r="J1051">
        <f t="shared" si="65"/>
        <v>9.732</v>
      </c>
      <c r="K1051">
        <f t="shared" si="66"/>
        <v>10.543</v>
      </c>
      <c r="L1051">
        <f t="shared" si="67"/>
        <v>11.354</v>
      </c>
    </row>
    <row r="1052" spans="1:12">
      <c r="A1052" t="s">
        <v>13</v>
      </c>
      <c r="B1052" s="14" t="s">
        <v>2098</v>
      </c>
      <c r="C1052" s="20" t="s">
        <v>2099</v>
      </c>
      <c r="D1052" s="20" t="s">
        <v>2099</v>
      </c>
      <c r="E1052" s="20" t="s">
        <v>2099</v>
      </c>
      <c r="F1052" s="20" t="s">
        <v>2099</v>
      </c>
      <c r="G1052">
        <v>12.82</v>
      </c>
      <c r="H1052" s="1">
        <v>32.03</v>
      </c>
      <c r="I1052">
        <f t="shared" si="64"/>
        <v>14.743</v>
      </c>
      <c r="J1052">
        <f t="shared" si="65"/>
        <v>15.384</v>
      </c>
      <c r="K1052">
        <f t="shared" si="66"/>
        <v>16.666</v>
      </c>
      <c r="L1052">
        <f t="shared" si="67"/>
        <v>17.948</v>
      </c>
    </row>
    <row r="1053" spans="1:12">
      <c r="A1053" t="s">
        <v>13</v>
      </c>
      <c r="B1053" s="14" t="s">
        <v>2100</v>
      </c>
      <c r="C1053" s="20" t="s">
        <v>2101</v>
      </c>
      <c r="D1053" s="20" t="s">
        <v>2101</v>
      </c>
      <c r="E1053" s="20" t="s">
        <v>2101</v>
      </c>
      <c r="F1053" s="20" t="s">
        <v>2101</v>
      </c>
      <c r="G1053">
        <v>13.43</v>
      </c>
      <c r="H1053" s="1">
        <v>33.6</v>
      </c>
      <c r="I1053">
        <f t="shared" si="64"/>
        <v>15.4445</v>
      </c>
      <c r="J1053">
        <f t="shared" si="65"/>
        <v>16.116</v>
      </c>
      <c r="K1053">
        <f t="shared" si="66"/>
        <v>17.459</v>
      </c>
      <c r="L1053">
        <f t="shared" si="67"/>
        <v>18.802</v>
      </c>
    </row>
    <row r="1054" spans="1:12">
      <c r="A1054" t="s">
        <v>13</v>
      </c>
      <c r="B1054" s="14" t="s">
        <v>2102</v>
      </c>
      <c r="C1054" s="20" t="s">
        <v>2103</v>
      </c>
      <c r="D1054" s="20" t="s">
        <v>2103</v>
      </c>
      <c r="E1054" s="20" t="s">
        <v>2103</v>
      </c>
      <c r="F1054" s="20" t="s">
        <v>2103</v>
      </c>
      <c r="G1054">
        <v>9.02</v>
      </c>
      <c r="H1054" s="1">
        <v>22.53</v>
      </c>
      <c r="I1054">
        <f t="shared" si="64"/>
        <v>10.373</v>
      </c>
      <c r="J1054">
        <f t="shared" si="65"/>
        <v>10.824</v>
      </c>
      <c r="K1054">
        <f t="shared" si="66"/>
        <v>11.726</v>
      </c>
      <c r="L1054">
        <f t="shared" si="67"/>
        <v>12.628</v>
      </c>
    </row>
    <row r="1055" spans="1:12">
      <c r="A1055" t="s">
        <v>13</v>
      </c>
      <c r="B1055" s="14" t="s">
        <v>2104</v>
      </c>
      <c r="C1055" s="20" t="s">
        <v>2105</v>
      </c>
      <c r="D1055" s="20" t="s">
        <v>2105</v>
      </c>
      <c r="E1055" s="20" t="s">
        <v>2105</v>
      </c>
      <c r="F1055" s="20" t="s">
        <v>2105</v>
      </c>
      <c r="G1055">
        <v>16.66</v>
      </c>
      <c r="H1055" s="1">
        <v>41.64</v>
      </c>
      <c r="I1055">
        <f t="shared" si="64"/>
        <v>19.159</v>
      </c>
      <c r="J1055">
        <f t="shared" si="65"/>
        <v>19.992</v>
      </c>
      <c r="K1055">
        <f t="shared" si="66"/>
        <v>21.658</v>
      </c>
      <c r="L1055">
        <f t="shared" si="67"/>
        <v>23.324</v>
      </c>
    </row>
    <row r="1056" spans="1:12">
      <c r="A1056" t="s">
        <v>13</v>
      </c>
      <c r="B1056" s="14" t="s">
        <v>2106</v>
      </c>
      <c r="C1056" s="20" t="s">
        <v>2107</v>
      </c>
      <c r="D1056" s="20" t="s">
        <v>2107</v>
      </c>
      <c r="E1056" s="20" t="s">
        <v>2107</v>
      </c>
      <c r="F1056" s="20" t="s">
        <v>2107</v>
      </c>
      <c r="G1056">
        <v>10.78</v>
      </c>
      <c r="H1056" s="1">
        <v>26.95</v>
      </c>
      <c r="I1056">
        <f t="shared" si="64"/>
        <v>12.397</v>
      </c>
      <c r="J1056">
        <f t="shared" si="65"/>
        <v>12.936</v>
      </c>
      <c r="K1056">
        <f t="shared" si="66"/>
        <v>14.014</v>
      </c>
      <c r="L1056">
        <f t="shared" si="67"/>
        <v>15.092</v>
      </c>
    </row>
    <row r="1057" ht="28.5" spans="1:12">
      <c r="A1057" t="s">
        <v>13</v>
      </c>
      <c r="B1057" s="14" t="s">
        <v>2108</v>
      </c>
      <c r="C1057" s="20" t="s">
        <v>2109</v>
      </c>
      <c r="D1057" s="20" t="s">
        <v>2109</v>
      </c>
      <c r="E1057" s="20" t="s">
        <v>2109</v>
      </c>
      <c r="F1057" s="20" t="s">
        <v>2109</v>
      </c>
      <c r="G1057">
        <v>11.78</v>
      </c>
      <c r="H1057" s="1">
        <v>29.48</v>
      </c>
      <c r="I1057">
        <f t="shared" si="64"/>
        <v>13.547</v>
      </c>
      <c r="J1057">
        <f t="shared" si="65"/>
        <v>14.136</v>
      </c>
      <c r="K1057">
        <f t="shared" si="66"/>
        <v>15.314</v>
      </c>
      <c r="L1057">
        <f t="shared" si="67"/>
        <v>16.492</v>
      </c>
    </row>
    <row r="1058" ht="28.5" spans="1:12">
      <c r="A1058" t="s">
        <v>13</v>
      </c>
      <c r="B1058" s="14" t="s">
        <v>2110</v>
      </c>
      <c r="C1058" s="20" t="s">
        <v>2111</v>
      </c>
      <c r="D1058" s="20" t="s">
        <v>2111</v>
      </c>
      <c r="E1058" s="20" t="s">
        <v>2111</v>
      </c>
      <c r="F1058" s="20" t="s">
        <v>2111</v>
      </c>
      <c r="G1058">
        <v>10.17</v>
      </c>
      <c r="H1058" s="1">
        <v>25.42</v>
      </c>
      <c r="I1058">
        <f t="shared" si="64"/>
        <v>11.6955</v>
      </c>
      <c r="J1058">
        <f t="shared" si="65"/>
        <v>12.204</v>
      </c>
      <c r="K1058">
        <f t="shared" si="66"/>
        <v>13.221</v>
      </c>
      <c r="L1058">
        <f t="shared" si="67"/>
        <v>14.238</v>
      </c>
    </row>
    <row r="1059" ht="28.5" spans="1:12">
      <c r="A1059" t="s">
        <v>13</v>
      </c>
      <c r="B1059" s="14" t="s">
        <v>2112</v>
      </c>
      <c r="C1059" s="20" t="s">
        <v>2113</v>
      </c>
      <c r="D1059" s="20" t="s">
        <v>2113</v>
      </c>
      <c r="E1059" s="20" t="s">
        <v>2113</v>
      </c>
      <c r="F1059" s="20" t="s">
        <v>2113</v>
      </c>
      <c r="G1059">
        <v>15.15</v>
      </c>
      <c r="H1059" s="1">
        <v>37.88</v>
      </c>
      <c r="I1059">
        <f t="shared" si="64"/>
        <v>17.4225</v>
      </c>
      <c r="J1059">
        <f t="shared" si="65"/>
        <v>18.18</v>
      </c>
      <c r="K1059">
        <f t="shared" si="66"/>
        <v>19.695</v>
      </c>
      <c r="L1059">
        <f t="shared" si="67"/>
        <v>21.21</v>
      </c>
    </row>
    <row r="1060" ht="28.5" spans="1:12">
      <c r="A1060" t="s">
        <v>13</v>
      </c>
      <c r="B1060" s="14" t="s">
        <v>2114</v>
      </c>
      <c r="C1060" s="20" t="s">
        <v>2115</v>
      </c>
      <c r="D1060" s="20" t="s">
        <v>2115</v>
      </c>
      <c r="E1060" s="20" t="s">
        <v>2115</v>
      </c>
      <c r="F1060" s="20" t="s">
        <v>2115</v>
      </c>
      <c r="G1060">
        <v>17.71</v>
      </c>
      <c r="H1060" s="1">
        <v>44.25</v>
      </c>
      <c r="I1060">
        <f t="shared" si="64"/>
        <v>20.3665</v>
      </c>
      <c r="J1060">
        <f t="shared" si="65"/>
        <v>21.252</v>
      </c>
      <c r="K1060">
        <f t="shared" si="66"/>
        <v>23.023</v>
      </c>
      <c r="L1060">
        <f t="shared" si="67"/>
        <v>24.794</v>
      </c>
    </row>
    <row r="1061" spans="1:12">
      <c r="A1061" t="s">
        <v>13</v>
      </c>
      <c r="B1061" s="14" t="s">
        <v>2116</v>
      </c>
      <c r="C1061" s="20" t="s">
        <v>2117</v>
      </c>
      <c r="D1061" s="20" t="s">
        <v>2117</v>
      </c>
      <c r="E1061" s="20" t="s">
        <v>2117</v>
      </c>
      <c r="F1061" s="20" t="s">
        <v>2117</v>
      </c>
      <c r="G1061">
        <v>10.53</v>
      </c>
      <c r="H1061" s="1">
        <v>26.34</v>
      </c>
      <c r="I1061">
        <f t="shared" si="64"/>
        <v>12.1095</v>
      </c>
      <c r="J1061">
        <f t="shared" si="65"/>
        <v>12.636</v>
      </c>
      <c r="K1061">
        <f t="shared" si="66"/>
        <v>13.689</v>
      </c>
      <c r="L1061">
        <f t="shared" si="67"/>
        <v>14.742</v>
      </c>
    </row>
    <row r="1062" spans="1:12">
      <c r="A1062" t="s">
        <v>13</v>
      </c>
      <c r="B1062" s="14" t="s">
        <v>2118</v>
      </c>
      <c r="C1062" s="20" t="s">
        <v>2119</v>
      </c>
      <c r="D1062" s="20" t="s">
        <v>2119</v>
      </c>
      <c r="E1062" s="20" t="s">
        <v>2119</v>
      </c>
      <c r="F1062" s="20" t="s">
        <v>2119</v>
      </c>
      <c r="G1062">
        <v>13.23</v>
      </c>
      <c r="H1062" s="1">
        <v>33.1</v>
      </c>
      <c r="I1062">
        <f t="shared" si="64"/>
        <v>15.2145</v>
      </c>
      <c r="J1062">
        <f t="shared" si="65"/>
        <v>15.876</v>
      </c>
      <c r="K1062">
        <f t="shared" si="66"/>
        <v>17.199</v>
      </c>
      <c r="L1062">
        <f t="shared" si="67"/>
        <v>18.522</v>
      </c>
    </row>
    <row r="1063" spans="1:12">
      <c r="A1063" t="s">
        <v>13</v>
      </c>
      <c r="B1063" s="14" t="s">
        <v>2120</v>
      </c>
      <c r="C1063" s="20" t="s">
        <v>2121</v>
      </c>
      <c r="D1063" s="20" t="s">
        <v>2121</v>
      </c>
      <c r="E1063" s="20" t="s">
        <v>2121</v>
      </c>
      <c r="F1063" s="20" t="s">
        <v>2121</v>
      </c>
      <c r="G1063">
        <v>8.09</v>
      </c>
      <c r="H1063" s="1">
        <v>20.2</v>
      </c>
      <c r="I1063">
        <f t="shared" si="64"/>
        <v>9.3035</v>
      </c>
      <c r="J1063">
        <f t="shared" si="65"/>
        <v>9.708</v>
      </c>
      <c r="K1063">
        <f t="shared" si="66"/>
        <v>10.517</v>
      </c>
      <c r="L1063">
        <f t="shared" si="67"/>
        <v>11.326</v>
      </c>
    </row>
    <row r="1064" spans="1:12">
      <c r="A1064" t="s">
        <v>13</v>
      </c>
      <c r="B1064" s="14" t="s">
        <v>2122</v>
      </c>
      <c r="C1064" s="20" t="s">
        <v>2123</v>
      </c>
      <c r="D1064" s="20" t="s">
        <v>2123</v>
      </c>
      <c r="E1064" s="20" t="s">
        <v>2123</v>
      </c>
      <c r="F1064" s="20" t="s">
        <v>2123</v>
      </c>
      <c r="G1064">
        <v>8.06</v>
      </c>
      <c r="H1064" s="1">
        <v>20.13</v>
      </c>
      <c r="I1064">
        <f t="shared" si="64"/>
        <v>9.269</v>
      </c>
      <c r="J1064">
        <f t="shared" si="65"/>
        <v>9.672</v>
      </c>
      <c r="K1064">
        <f t="shared" si="66"/>
        <v>10.478</v>
      </c>
      <c r="L1064">
        <f t="shared" si="67"/>
        <v>11.284</v>
      </c>
    </row>
    <row r="1065" spans="1:12">
      <c r="A1065" t="s">
        <v>13</v>
      </c>
      <c r="B1065" s="14" t="s">
        <v>2124</v>
      </c>
      <c r="C1065" s="20" t="s">
        <v>2125</v>
      </c>
      <c r="D1065" s="20" t="s">
        <v>2125</v>
      </c>
      <c r="E1065" s="20" t="s">
        <v>2125</v>
      </c>
      <c r="F1065" s="20" t="s">
        <v>2125</v>
      </c>
      <c r="G1065">
        <v>10.44</v>
      </c>
      <c r="H1065" s="1">
        <v>26.1</v>
      </c>
      <c r="I1065">
        <f t="shared" si="64"/>
        <v>12.006</v>
      </c>
      <c r="J1065">
        <f t="shared" si="65"/>
        <v>12.528</v>
      </c>
      <c r="K1065">
        <f t="shared" si="66"/>
        <v>13.572</v>
      </c>
      <c r="L1065">
        <f t="shared" si="67"/>
        <v>14.616</v>
      </c>
    </row>
    <row r="1066" spans="1:12">
      <c r="A1066" t="s">
        <v>13</v>
      </c>
      <c r="B1066" s="14" t="s">
        <v>2126</v>
      </c>
      <c r="C1066" s="20" t="s">
        <v>2127</v>
      </c>
      <c r="D1066" s="20" t="s">
        <v>2127</v>
      </c>
      <c r="E1066" s="20" t="s">
        <v>2127</v>
      </c>
      <c r="F1066" s="20" t="s">
        <v>2127</v>
      </c>
      <c r="G1066">
        <v>11.14</v>
      </c>
      <c r="H1066" s="1">
        <v>27.86</v>
      </c>
      <c r="I1066">
        <f t="shared" si="64"/>
        <v>12.811</v>
      </c>
      <c r="J1066">
        <f t="shared" si="65"/>
        <v>13.368</v>
      </c>
      <c r="K1066">
        <f t="shared" si="66"/>
        <v>14.482</v>
      </c>
      <c r="L1066">
        <f t="shared" si="67"/>
        <v>15.596</v>
      </c>
    </row>
    <row r="1067" spans="1:12">
      <c r="A1067" t="s">
        <v>13</v>
      </c>
      <c r="B1067" s="14" t="s">
        <v>2128</v>
      </c>
      <c r="C1067" s="20" t="s">
        <v>2129</v>
      </c>
      <c r="D1067" s="20" t="s">
        <v>2129</v>
      </c>
      <c r="E1067" s="20" t="s">
        <v>2129</v>
      </c>
      <c r="F1067" s="20" t="s">
        <v>2129</v>
      </c>
      <c r="G1067">
        <v>12.52</v>
      </c>
      <c r="H1067" s="1">
        <v>31.3</v>
      </c>
      <c r="I1067">
        <f t="shared" si="64"/>
        <v>14.398</v>
      </c>
      <c r="J1067">
        <f t="shared" si="65"/>
        <v>15.024</v>
      </c>
      <c r="K1067">
        <f t="shared" si="66"/>
        <v>16.276</v>
      </c>
      <c r="L1067">
        <f t="shared" si="67"/>
        <v>17.528</v>
      </c>
    </row>
    <row r="1068" spans="1:12">
      <c r="A1068" t="s">
        <v>13</v>
      </c>
      <c r="B1068" s="14" t="s">
        <v>2130</v>
      </c>
      <c r="C1068" s="20" t="s">
        <v>2131</v>
      </c>
      <c r="D1068" s="20" t="s">
        <v>2131</v>
      </c>
      <c r="E1068" s="20" t="s">
        <v>2131</v>
      </c>
      <c r="F1068" s="20" t="s">
        <v>2131</v>
      </c>
      <c r="G1068">
        <v>15.47</v>
      </c>
      <c r="H1068" s="1">
        <v>38.66</v>
      </c>
      <c r="I1068">
        <f t="shared" si="64"/>
        <v>17.7905</v>
      </c>
      <c r="J1068">
        <f t="shared" si="65"/>
        <v>18.564</v>
      </c>
      <c r="K1068">
        <f t="shared" si="66"/>
        <v>20.111</v>
      </c>
      <c r="L1068">
        <f t="shared" si="67"/>
        <v>21.658</v>
      </c>
    </row>
    <row r="1069" spans="1:12">
      <c r="A1069" t="s">
        <v>13</v>
      </c>
      <c r="B1069" s="14" t="s">
        <v>2132</v>
      </c>
      <c r="C1069" s="20" t="s">
        <v>2133</v>
      </c>
      <c r="D1069" s="20" t="s">
        <v>2133</v>
      </c>
      <c r="E1069" s="20" t="s">
        <v>2133</v>
      </c>
      <c r="F1069" s="20" t="s">
        <v>2133</v>
      </c>
      <c r="G1069">
        <v>7.89</v>
      </c>
      <c r="H1069" s="1">
        <v>19.7</v>
      </c>
      <c r="I1069">
        <f t="shared" si="64"/>
        <v>9.0735</v>
      </c>
      <c r="J1069">
        <f t="shared" si="65"/>
        <v>9.468</v>
      </c>
      <c r="K1069">
        <f t="shared" si="66"/>
        <v>10.257</v>
      </c>
      <c r="L1069">
        <f t="shared" si="67"/>
        <v>11.046</v>
      </c>
    </row>
    <row r="1070" spans="1:12">
      <c r="A1070" t="s">
        <v>13</v>
      </c>
      <c r="B1070" s="14" t="s">
        <v>2134</v>
      </c>
      <c r="C1070" s="20" t="s">
        <v>2135</v>
      </c>
      <c r="D1070" s="20" t="s">
        <v>2135</v>
      </c>
      <c r="E1070" s="20" t="s">
        <v>2135</v>
      </c>
      <c r="F1070" s="20" t="s">
        <v>2135</v>
      </c>
      <c r="G1070">
        <v>8.91</v>
      </c>
      <c r="H1070" s="1">
        <v>22.31</v>
      </c>
      <c r="I1070">
        <f t="shared" si="64"/>
        <v>10.2465</v>
      </c>
      <c r="J1070">
        <f t="shared" si="65"/>
        <v>10.692</v>
      </c>
      <c r="K1070">
        <f t="shared" si="66"/>
        <v>11.583</v>
      </c>
      <c r="L1070">
        <f t="shared" si="67"/>
        <v>12.474</v>
      </c>
    </row>
    <row r="1071" spans="1:12">
      <c r="A1071" t="s">
        <v>13</v>
      </c>
      <c r="B1071" s="14" t="s">
        <v>2136</v>
      </c>
      <c r="C1071" s="20" t="s">
        <v>2137</v>
      </c>
      <c r="D1071" s="20" t="s">
        <v>2137</v>
      </c>
      <c r="E1071" s="20" t="s">
        <v>2137</v>
      </c>
      <c r="F1071" s="20" t="s">
        <v>2137</v>
      </c>
      <c r="G1071">
        <v>16.25</v>
      </c>
      <c r="H1071" s="1">
        <v>40.61</v>
      </c>
      <c r="I1071">
        <f t="shared" si="64"/>
        <v>18.6875</v>
      </c>
      <c r="J1071">
        <f t="shared" si="65"/>
        <v>19.5</v>
      </c>
      <c r="K1071">
        <f t="shared" si="66"/>
        <v>21.125</v>
      </c>
      <c r="L1071">
        <f t="shared" si="67"/>
        <v>22.75</v>
      </c>
    </row>
    <row r="1072" spans="1:12">
      <c r="A1072" t="s">
        <v>13</v>
      </c>
      <c r="B1072" s="14" t="s">
        <v>2138</v>
      </c>
      <c r="C1072" s="20" t="s">
        <v>2139</v>
      </c>
      <c r="D1072" s="20" t="s">
        <v>2139</v>
      </c>
      <c r="E1072" s="20" t="s">
        <v>2139</v>
      </c>
      <c r="F1072" s="20" t="s">
        <v>2139</v>
      </c>
      <c r="G1072">
        <v>10</v>
      </c>
      <c r="H1072" s="1">
        <v>25</v>
      </c>
      <c r="I1072">
        <f t="shared" si="64"/>
        <v>11.5</v>
      </c>
      <c r="J1072">
        <f t="shared" si="65"/>
        <v>12</v>
      </c>
      <c r="K1072">
        <f t="shared" si="66"/>
        <v>13</v>
      </c>
      <c r="L1072">
        <f t="shared" si="67"/>
        <v>14</v>
      </c>
    </row>
    <row r="1073" ht="28.5" spans="1:12">
      <c r="A1073" t="s">
        <v>13</v>
      </c>
      <c r="B1073" s="14" t="s">
        <v>2140</v>
      </c>
      <c r="C1073" s="20" t="s">
        <v>2141</v>
      </c>
      <c r="D1073" s="20" t="s">
        <v>2141</v>
      </c>
      <c r="E1073" s="20" t="s">
        <v>2141</v>
      </c>
      <c r="F1073" s="20" t="s">
        <v>2141</v>
      </c>
      <c r="G1073">
        <v>19.15</v>
      </c>
      <c r="H1073" s="1">
        <v>47.88</v>
      </c>
      <c r="I1073">
        <f t="shared" si="64"/>
        <v>22.0225</v>
      </c>
      <c r="J1073">
        <f t="shared" si="65"/>
        <v>22.98</v>
      </c>
      <c r="K1073">
        <f t="shared" si="66"/>
        <v>24.895</v>
      </c>
      <c r="L1073">
        <f t="shared" si="67"/>
        <v>26.81</v>
      </c>
    </row>
    <row r="1074" ht="28.5" spans="1:12">
      <c r="A1074" t="s">
        <v>13</v>
      </c>
      <c r="B1074" s="14" t="s">
        <v>2142</v>
      </c>
      <c r="C1074" s="20" t="s">
        <v>2143</v>
      </c>
      <c r="D1074" s="20" t="s">
        <v>2143</v>
      </c>
      <c r="E1074" s="20" t="s">
        <v>2143</v>
      </c>
      <c r="F1074" s="20" t="s">
        <v>2143</v>
      </c>
      <c r="G1074">
        <v>14.6</v>
      </c>
      <c r="H1074" s="1">
        <v>36.48</v>
      </c>
      <c r="I1074">
        <f t="shared" si="64"/>
        <v>16.79</v>
      </c>
      <c r="J1074">
        <f t="shared" si="65"/>
        <v>17.52</v>
      </c>
      <c r="K1074">
        <f t="shared" si="66"/>
        <v>18.98</v>
      </c>
      <c r="L1074">
        <f t="shared" si="67"/>
        <v>20.44</v>
      </c>
    </row>
    <row r="1075" spans="1:12">
      <c r="A1075" t="s">
        <v>13</v>
      </c>
      <c r="B1075" s="14" t="s">
        <v>2144</v>
      </c>
      <c r="C1075" s="20" t="s">
        <v>2145</v>
      </c>
      <c r="D1075" s="20" t="s">
        <v>2145</v>
      </c>
      <c r="E1075" s="20" t="s">
        <v>2145</v>
      </c>
      <c r="F1075" s="20" t="s">
        <v>2145</v>
      </c>
      <c r="G1075">
        <v>8.72</v>
      </c>
      <c r="H1075" s="1">
        <v>21.81</v>
      </c>
      <c r="I1075">
        <f t="shared" si="64"/>
        <v>10.028</v>
      </c>
      <c r="J1075">
        <f t="shared" si="65"/>
        <v>10.464</v>
      </c>
      <c r="K1075">
        <f t="shared" si="66"/>
        <v>11.336</v>
      </c>
      <c r="L1075">
        <f t="shared" si="67"/>
        <v>12.208</v>
      </c>
    </row>
    <row r="1076" spans="1:12">
      <c r="A1076" t="s">
        <v>13</v>
      </c>
      <c r="B1076" s="14" t="s">
        <v>2146</v>
      </c>
      <c r="C1076" s="20" t="s">
        <v>2147</v>
      </c>
      <c r="D1076" s="20" t="s">
        <v>2147</v>
      </c>
      <c r="E1076" s="20" t="s">
        <v>2147</v>
      </c>
      <c r="F1076" s="20" t="s">
        <v>2147</v>
      </c>
      <c r="G1076">
        <v>13.1</v>
      </c>
      <c r="H1076" s="1">
        <v>32.77</v>
      </c>
      <c r="I1076">
        <f t="shared" si="64"/>
        <v>15.065</v>
      </c>
      <c r="J1076">
        <f t="shared" si="65"/>
        <v>15.72</v>
      </c>
      <c r="K1076">
        <f t="shared" si="66"/>
        <v>17.03</v>
      </c>
      <c r="L1076">
        <f t="shared" si="67"/>
        <v>18.34</v>
      </c>
    </row>
    <row r="1077" spans="1:12">
      <c r="A1077" t="s">
        <v>13</v>
      </c>
      <c r="B1077" s="14" t="s">
        <v>2148</v>
      </c>
      <c r="C1077" s="20" t="s">
        <v>2149</v>
      </c>
      <c r="D1077" s="20" t="s">
        <v>2149</v>
      </c>
      <c r="E1077" s="20" t="s">
        <v>2149</v>
      </c>
      <c r="F1077" s="20" t="s">
        <v>2149</v>
      </c>
      <c r="G1077">
        <v>15.92</v>
      </c>
      <c r="H1077" s="1">
        <v>39.83</v>
      </c>
      <c r="I1077">
        <f t="shared" si="64"/>
        <v>18.308</v>
      </c>
      <c r="J1077">
        <f t="shared" si="65"/>
        <v>19.104</v>
      </c>
      <c r="K1077">
        <f t="shared" si="66"/>
        <v>20.696</v>
      </c>
      <c r="L1077">
        <f t="shared" si="67"/>
        <v>22.288</v>
      </c>
    </row>
    <row r="1078" spans="1:12">
      <c r="A1078" t="s">
        <v>13</v>
      </c>
      <c r="B1078" s="14" t="s">
        <v>2150</v>
      </c>
      <c r="C1078" s="20" t="s">
        <v>2151</v>
      </c>
      <c r="D1078" s="20" t="s">
        <v>2151</v>
      </c>
      <c r="E1078" s="20" t="s">
        <v>2151</v>
      </c>
      <c r="F1078" s="20" t="s">
        <v>2151</v>
      </c>
      <c r="G1078">
        <v>12.16</v>
      </c>
      <c r="H1078" s="1">
        <v>30.4</v>
      </c>
      <c r="I1078">
        <f t="shared" si="64"/>
        <v>13.984</v>
      </c>
      <c r="J1078">
        <f t="shared" si="65"/>
        <v>14.592</v>
      </c>
      <c r="K1078">
        <f t="shared" si="66"/>
        <v>15.808</v>
      </c>
      <c r="L1078">
        <f t="shared" si="67"/>
        <v>17.024</v>
      </c>
    </row>
    <row r="1079" spans="1:12">
      <c r="A1079" t="s">
        <v>13</v>
      </c>
      <c r="B1079" s="14" t="s">
        <v>2152</v>
      </c>
      <c r="C1079" s="20" t="s">
        <v>2153</v>
      </c>
      <c r="D1079" s="20" t="s">
        <v>2153</v>
      </c>
      <c r="E1079" s="20" t="s">
        <v>2153</v>
      </c>
      <c r="F1079" s="20" t="s">
        <v>2153</v>
      </c>
      <c r="G1079">
        <v>14.62</v>
      </c>
      <c r="H1079" s="1">
        <v>36.56</v>
      </c>
      <c r="I1079">
        <f t="shared" si="64"/>
        <v>16.813</v>
      </c>
      <c r="J1079">
        <f t="shared" si="65"/>
        <v>17.544</v>
      </c>
      <c r="K1079">
        <f t="shared" si="66"/>
        <v>19.006</v>
      </c>
      <c r="L1079">
        <f t="shared" si="67"/>
        <v>20.468</v>
      </c>
    </row>
    <row r="1080" spans="1:12">
      <c r="A1080" t="s">
        <v>13</v>
      </c>
      <c r="B1080" s="14" t="s">
        <v>2154</v>
      </c>
      <c r="C1080" s="20" t="s">
        <v>2155</v>
      </c>
      <c r="D1080" s="20" t="s">
        <v>2155</v>
      </c>
      <c r="E1080" s="20" t="s">
        <v>2155</v>
      </c>
      <c r="F1080" s="20" t="s">
        <v>2155</v>
      </c>
      <c r="G1080">
        <v>18.08</v>
      </c>
      <c r="H1080" s="1">
        <v>45.18</v>
      </c>
      <c r="I1080">
        <f t="shared" si="64"/>
        <v>20.792</v>
      </c>
      <c r="J1080">
        <f t="shared" si="65"/>
        <v>21.696</v>
      </c>
      <c r="K1080">
        <f t="shared" si="66"/>
        <v>23.504</v>
      </c>
      <c r="L1080">
        <f t="shared" si="67"/>
        <v>25.312</v>
      </c>
    </row>
    <row r="1081" spans="1:12">
      <c r="A1081" t="s">
        <v>13</v>
      </c>
      <c r="B1081" s="14" t="s">
        <v>2156</v>
      </c>
      <c r="C1081" s="20" t="s">
        <v>2157</v>
      </c>
      <c r="D1081" s="20" t="s">
        <v>2157</v>
      </c>
      <c r="E1081" s="20" t="s">
        <v>2157</v>
      </c>
      <c r="F1081" s="20" t="s">
        <v>2157</v>
      </c>
      <c r="G1081">
        <v>20.8</v>
      </c>
      <c r="H1081" s="1">
        <v>51.98</v>
      </c>
      <c r="I1081">
        <f t="shared" si="64"/>
        <v>23.92</v>
      </c>
      <c r="J1081">
        <f t="shared" si="65"/>
        <v>24.96</v>
      </c>
      <c r="K1081">
        <f t="shared" si="66"/>
        <v>27.04</v>
      </c>
      <c r="L1081">
        <f t="shared" si="67"/>
        <v>29.12</v>
      </c>
    </row>
    <row r="1082" spans="1:12">
      <c r="A1082" t="s">
        <v>13</v>
      </c>
      <c r="B1082" s="14" t="s">
        <v>2158</v>
      </c>
      <c r="C1082" s="20" t="s">
        <v>2159</v>
      </c>
      <c r="D1082" s="20" t="s">
        <v>2159</v>
      </c>
      <c r="E1082" s="20" t="s">
        <v>2159</v>
      </c>
      <c r="F1082" s="20" t="s">
        <v>2159</v>
      </c>
      <c r="G1082">
        <v>36.77</v>
      </c>
      <c r="H1082" s="1">
        <v>91.91</v>
      </c>
      <c r="I1082">
        <f t="shared" si="64"/>
        <v>42.2855</v>
      </c>
      <c r="J1082">
        <f t="shared" si="65"/>
        <v>44.124</v>
      </c>
      <c r="K1082">
        <f t="shared" si="66"/>
        <v>47.801</v>
      </c>
      <c r="L1082">
        <f t="shared" si="67"/>
        <v>51.478</v>
      </c>
    </row>
    <row r="1083" spans="1:12">
      <c r="A1083" t="s">
        <v>13</v>
      </c>
      <c r="B1083" s="14" t="s">
        <v>2160</v>
      </c>
      <c r="C1083" s="20" t="s">
        <v>2161</v>
      </c>
      <c r="D1083" s="20" t="s">
        <v>2161</v>
      </c>
      <c r="E1083" s="20" t="s">
        <v>2161</v>
      </c>
      <c r="F1083" s="20" t="s">
        <v>2161</v>
      </c>
      <c r="G1083">
        <v>21.06</v>
      </c>
      <c r="H1083" s="1">
        <v>52.68</v>
      </c>
      <c r="I1083">
        <f t="shared" si="64"/>
        <v>24.219</v>
      </c>
      <c r="J1083">
        <f t="shared" si="65"/>
        <v>25.272</v>
      </c>
      <c r="K1083">
        <f t="shared" si="66"/>
        <v>27.378</v>
      </c>
      <c r="L1083">
        <f t="shared" si="67"/>
        <v>29.484</v>
      </c>
    </row>
    <row r="1084" ht="28.5" spans="1:12">
      <c r="A1084" t="s">
        <v>13</v>
      </c>
      <c r="B1084" s="14" t="s">
        <v>2162</v>
      </c>
      <c r="C1084" s="20" t="s">
        <v>2163</v>
      </c>
      <c r="D1084" s="20" t="s">
        <v>2163</v>
      </c>
      <c r="E1084" s="20" t="s">
        <v>2163</v>
      </c>
      <c r="F1084" s="20" t="s">
        <v>2163</v>
      </c>
      <c r="G1084">
        <v>26.3</v>
      </c>
      <c r="H1084" s="1">
        <v>65.75</v>
      </c>
      <c r="I1084">
        <f t="shared" si="64"/>
        <v>30.245</v>
      </c>
      <c r="J1084">
        <f t="shared" si="65"/>
        <v>31.56</v>
      </c>
      <c r="K1084">
        <f t="shared" si="66"/>
        <v>34.19</v>
      </c>
      <c r="L1084">
        <f t="shared" si="67"/>
        <v>36.82</v>
      </c>
    </row>
    <row r="1085" ht="28.5" spans="1:12">
      <c r="A1085" t="s">
        <v>13</v>
      </c>
      <c r="B1085" s="14" t="s">
        <v>2164</v>
      </c>
      <c r="C1085" s="20" t="s">
        <v>2165</v>
      </c>
      <c r="D1085" s="20" t="s">
        <v>2165</v>
      </c>
      <c r="E1085" s="20" t="s">
        <v>2165</v>
      </c>
      <c r="F1085" s="20" t="s">
        <v>2165</v>
      </c>
      <c r="G1085">
        <v>12.95</v>
      </c>
      <c r="H1085" s="1">
        <v>32.37</v>
      </c>
      <c r="I1085">
        <f t="shared" si="64"/>
        <v>14.8925</v>
      </c>
      <c r="J1085">
        <f t="shared" si="65"/>
        <v>15.54</v>
      </c>
      <c r="K1085">
        <f t="shared" si="66"/>
        <v>16.835</v>
      </c>
      <c r="L1085">
        <f t="shared" si="67"/>
        <v>18.13</v>
      </c>
    </row>
    <row r="1086" spans="1:12">
      <c r="A1086" t="s">
        <v>13</v>
      </c>
      <c r="B1086" s="14" t="s">
        <v>2166</v>
      </c>
      <c r="C1086" s="20" t="s">
        <v>2167</v>
      </c>
      <c r="D1086" s="20" t="s">
        <v>2167</v>
      </c>
      <c r="E1086" s="20" t="s">
        <v>2167</v>
      </c>
      <c r="F1086" s="20" t="s">
        <v>2167</v>
      </c>
      <c r="G1086">
        <v>12.05</v>
      </c>
      <c r="H1086" s="1">
        <v>30.13</v>
      </c>
      <c r="I1086">
        <f t="shared" si="64"/>
        <v>13.8575</v>
      </c>
      <c r="J1086">
        <f t="shared" si="65"/>
        <v>14.46</v>
      </c>
      <c r="K1086">
        <f t="shared" si="66"/>
        <v>15.665</v>
      </c>
      <c r="L1086">
        <f t="shared" si="67"/>
        <v>16.87</v>
      </c>
    </row>
    <row r="1087" spans="1:12">
      <c r="A1087" t="s">
        <v>13</v>
      </c>
      <c r="B1087" s="14" t="s">
        <v>2168</v>
      </c>
      <c r="C1087" s="20" t="s">
        <v>2169</v>
      </c>
      <c r="D1087" s="20" t="s">
        <v>2169</v>
      </c>
      <c r="E1087" s="20" t="s">
        <v>2169</v>
      </c>
      <c r="F1087" s="20" t="s">
        <v>2169</v>
      </c>
      <c r="G1087">
        <v>19.53</v>
      </c>
      <c r="H1087" s="1">
        <v>48.82</v>
      </c>
      <c r="I1087">
        <f t="shared" si="64"/>
        <v>22.4595</v>
      </c>
      <c r="J1087">
        <f t="shared" si="65"/>
        <v>23.436</v>
      </c>
      <c r="K1087">
        <f t="shared" si="66"/>
        <v>25.389</v>
      </c>
      <c r="L1087">
        <f t="shared" si="67"/>
        <v>27.342</v>
      </c>
    </row>
    <row r="1088" ht="28.5" spans="1:12">
      <c r="A1088" t="s">
        <v>13</v>
      </c>
      <c r="B1088" s="14" t="s">
        <v>2170</v>
      </c>
      <c r="C1088" s="20" t="s">
        <v>2171</v>
      </c>
      <c r="D1088" s="20" t="s">
        <v>2171</v>
      </c>
      <c r="E1088" s="20" t="s">
        <v>2171</v>
      </c>
      <c r="F1088" s="20" t="s">
        <v>2171</v>
      </c>
      <c r="G1088">
        <v>13</v>
      </c>
      <c r="H1088" s="1">
        <v>32.5</v>
      </c>
      <c r="I1088">
        <f t="shared" si="64"/>
        <v>14.95</v>
      </c>
      <c r="J1088">
        <f t="shared" si="65"/>
        <v>15.6</v>
      </c>
      <c r="K1088">
        <f t="shared" si="66"/>
        <v>16.9</v>
      </c>
      <c r="L1088">
        <f t="shared" si="67"/>
        <v>18.2</v>
      </c>
    </row>
    <row r="1089" spans="1:12">
      <c r="A1089" t="s">
        <v>13</v>
      </c>
      <c r="B1089" s="14" t="s">
        <v>2172</v>
      </c>
      <c r="C1089" s="20" t="s">
        <v>2173</v>
      </c>
      <c r="D1089" s="20" t="s">
        <v>2173</v>
      </c>
      <c r="E1089" s="20" t="s">
        <v>2173</v>
      </c>
      <c r="F1089" s="20" t="s">
        <v>2173</v>
      </c>
      <c r="G1089">
        <v>20.93</v>
      </c>
      <c r="H1089" s="1">
        <v>39.87</v>
      </c>
      <c r="I1089">
        <f t="shared" si="64"/>
        <v>24.0695</v>
      </c>
      <c r="J1089">
        <f t="shared" si="65"/>
        <v>25.116</v>
      </c>
      <c r="K1089">
        <f t="shared" si="66"/>
        <v>27.209</v>
      </c>
      <c r="L1089">
        <f t="shared" si="67"/>
        <v>29.302</v>
      </c>
    </row>
    <row r="1090" spans="1:12">
      <c r="A1090" t="s">
        <v>13</v>
      </c>
      <c r="B1090" s="14" t="s">
        <v>2174</v>
      </c>
      <c r="C1090" s="20" t="s">
        <v>2175</v>
      </c>
      <c r="D1090" s="20" t="s">
        <v>2175</v>
      </c>
      <c r="E1090" s="20" t="s">
        <v>2175</v>
      </c>
      <c r="F1090" s="20" t="s">
        <v>2175</v>
      </c>
      <c r="G1090">
        <v>26.25</v>
      </c>
      <c r="H1090" s="1">
        <v>50</v>
      </c>
      <c r="I1090">
        <f t="shared" ref="I1090:I1153" si="68">G1090*1.15</f>
        <v>30.1875</v>
      </c>
      <c r="J1090">
        <f t="shared" ref="J1090:J1153" si="69">G1090*1.2</f>
        <v>31.5</v>
      </c>
      <c r="K1090">
        <f t="shared" ref="K1090:K1153" si="70">G1090*1.3</f>
        <v>34.125</v>
      </c>
      <c r="L1090">
        <f t="shared" ref="L1090:L1153" si="71">G1090*1.4</f>
        <v>36.75</v>
      </c>
    </row>
    <row r="1091" spans="1:12">
      <c r="A1091" t="s">
        <v>13</v>
      </c>
      <c r="B1091" s="14" t="s">
        <v>2176</v>
      </c>
      <c r="C1091" s="20" t="s">
        <v>2177</v>
      </c>
      <c r="D1091" s="20" t="s">
        <v>2177</v>
      </c>
      <c r="E1091" s="20" t="s">
        <v>2177</v>
      </c>
      <c r="F1091" s="20" t="s">
        <v>2177</v>
      </c>
      <c r="G1091">
        <v>26.24</v>
      </c>
      <c r="H1091" s="1">
        <v>49.97</v>
      </c>
      <c r="I1091">
        <f t="shared" si="68"/>
        <v>30.176</v>
      </c>
      <c r="J1091">
        <f t="shared" si="69"/>
        <v>31.488</v>
      </c>
      <c r="K1091">
        <f t="shared" si="70"/>
        <v>34.112</v>
      </c>
      <c r="L1091">
        <f t="shared" si="71"/>
        <v>36.736</v>
      </c>
    </row>
    <row r="1092" spans="1:12">
      <c r="A1092" t="s">
        <v>13</v>
      </c>
      <c r="B1092" s="14" t="s">
        <v>2178</v>
      </c>
      <c r="C1092" s="20" t="s">
        <v>2179</v>
      </c>
      <c r="D1092" s="20" t="s">
        <v>2179</v>
      </c>
      <c r="E1092" s="20" t="s">
        <v>2179</v>
      </c>
      <c r="F1092" s="20" t="s">
        <v>2179</v>
      </c>
      <c r="G1092">
        <v>23.75</v>
      </c>
      <c r="H1092" s="1">
        <v>45.25</v>
      </c>
      <c r="I1092">
        <f t="shared" si="68"/>
        <v>27.3125</v>
      </c>
      <c r="J1092">
        <f t="shared" si="69"/>
        <v>28.5</v>
      </c>
      <c r="K1092">
        <f t="shared" si="70"/>
        <v>30.875</v>
      </c>
      <c r="L1092">
        <f t="shared" si="71"/>
        <v>33.25</v>
      </c>
    </row>
    <row r="1093" spans="1:12">
      <c r="A1093" t="s">
        <v>13</v>
      </c>
      <c r="B1093" s="14" t="s">
        <v>2180</v>
      </c>
      <c r="C1093" s="20" t="s">
        <v>2181</v>
      </c>
      <c r="D1093" s="20" t="s">
        <v>2181</v>
      </c>
      <c r="E1093" s="20" t="s">
        <v>2181</v>
      </c>
      <c r="F1093" s="20" t="s">
        <v>2181</v>
      </c>
      <c r="G1093">
        <v>40.47</v>
      </c>
      <c r="H1093" s="1">
        <v>77.08</v>
      </c>
      <c r="I1093">
        <f t="shared" si="68"/>
        <v>46.5405</v>
      </c>
      <c r="J1093">
        <f t="shared" si="69"/>
        <v>48.564</v>
      </c>
      <c r="K1093">
        <f t="shared" si="70"/>
        <v>52.611</v>
      </c>
      <c r="L1093">
        <f t="shared" si="71"/>
        <v>56.658</v>
      </c>
    </row>
    <row r="1094" spans="1:12">
      <c r="A1094" t="s">
        <v>13</v>
      </c>
      <c r="B1094" s="14" t="s">
        <v>2182</v>
      </c>
      <c r="C1094" s="20" t="s">
        <v>2183</v>
      </c>
      <c r="D1094" s="20" t="s">
        <v>2183</v>
      </c>
      <c r="E1094" s="20" t="s">
        <v>2183</v>
      </c>
      <c r="F1094" s="20" t="s">
        <v>2183</v>
      </c>
      <c r="G1094">
        <v>38.52</v>
      </c>
      <c r="H1094" s="1">
        <v>73.35</v>
      </c>
      <c r="I1094">
        <f t="shared" si="68"/>
        <v>44.298</v>
      </c>
      <c r="J1094">
        <f t="shared" si="69"/>
        <v>46.224</v>
      </c>
      <c r="K1094">
        <f t="shared" si="70"/>
        <v>50.076</v>
      </c>
      <c r="L1094">
        <f t="shared" si="71"/>
        <v>53.928</v>
      </c>
    </row>
    <row r="1095" spans="1:12">
      <c r="A1095" t="s">
        <v>13</v>
      </c>
      <c r="B1095" s="14" t="s">
        <v>2184</v>
      </c>
      <c r="C1095" s="20" t="s">
        <v>2185</v>
      </c>
      <c r="D1095" s="20" t="s">
        <v>2185</v>
      </c>
      <c r="E1095" s="20" t="s">
        <v>2185</v>
      </c>
      <c r="F1095" s="20" t="s">
        <v>2185</v>
      </c>
      <c r="G1095">
        <v>36.3</v>
      </c>
      <c r="H1095" s="1">
        <v>69.15</v>
      </c>
      <c r="I1095">
        <f t="shared" si="68"/>
        <v>41.745</v>
      </c>
      <c r="J1095">
        <f t="shared" si="69"/>
        <v>43.56</v>
      </c>
      <c r="K1095">
        <f t="shared" si="70"/>
        <v>47.19</v>
      </c>
      <c r="L1095">
        <f t="shared" si="71"/>
        <v>50.82</v>
      </c>
    </row>
    <row r="1096" spans="1:12">
      <c r="A1096" t="s">
        <v>13</v>
      </c>
      <c r="B1096" s="14" t="s">
        <v>2186</v>
      </c>
      <c r="C1096" s="20" t="s">
        <v>2187</v>
      </c>
      <c r="D1096" s="20" t="s">
        <v>2187</v>
      </c>
      <c r="E1096" s="20" t="s">
        <v>2187</v>
      </c>
      <c r="F1096" s="20" t="s">
        <v>2187</v>
      </c>
      <c r="G1096">
        <v>49.56</v>
      </c>
      <c r="H1096" s="1">
        <v>123.92</v>
      </c>
      <c r="I1096">
        <f t="shared" si="68"/>
        <v>56.994</v>
      </c>
      <c r="J1096">
        <f t="shared" si="69"/>
        <v>59.472</v>
      </c>
      <c r="K1096">
        <f t="shared" si="70"/>
        <v>64.428</v>
      </c>
      <c r="L1096">
        <f t="shared" si="71"/>
        <v>69.384</v>
      </c>
    </row>
    <row r="1097" spans="1:12">
      <c r="A1097" t="s">
        <v>13</v>
      </c>
      <c r="B1097" s="14" t="s">
        <v>2188</v>
      </c>
      <c r="C1097" s="20" t="s">
        <v>2189</v>
      </c>
      <c r="D1097" s="20" t="s">
        <v>2189</v>
      </c>
      <c r="E1097" s="20" t="s">
        <v>2189</v>
      </c>
      <c r="F1097" s="20" t="s">
        <v>2189</v>
      </c>
      <c r="G1097">
        <v>17.85</v>
      </c>
      <c r="H1097" s="1">
        <v>33.99</v>
      </c>
      <c r="I1097">
        <f t="shared" si="68"/>
        <v>20.5275</v>
      </c>
      <c r="J1097">
        <f t="shared" si="69"/>
        <v>21.42</v>
      </c>
      <c r="K1097">
        <f t="shared" si="70"/>
        <v>23.205</v>
      </c>
      <c r="L1097">
        <f t="shared" si="71"/>
        <v>24.99</v>
      </c>
    </row>
    <row r="1098" spans="1:12">
      <c r="A1098" t="s">
        <v>13</v>
      </c>
      <c r="B1098" s="14" t="s">
        <v>2190</v>
      </c>
      <c r="C1098" s="20" t="s">
        <v>2191</v>
      </c>
      <c r="D1098" s="20" t="s">
        <v>2191</v>
      </c>
      <c r="E1098" s="20" t="s">
        <v>2191</v>
      </c>
      <c r="F1098" s="20" t="s">
        <v>2191</v>
      </c>
      <c r="G1098">
        <v>21.25</v>
      </c>
      <c r="H1098" s="1">
        <v>40.48</v>
      </c>
      <c r="I1098">
        <f t="shared" si="68"/>
        <v>24.4375</v>
      </c>
      <c r="J1098">
        <f t="shared" si="69"/>
        <v>25.5</v>
      </c>
      <c r="K1098">
        <f t="shared" si="70"/>
        <v>27.625</v>
      </c>
      <c r="L1098">
        <f t="shared" si="71"/>
        <v>29.75</v>
      </c>
    </row>
    <row r="1099" spans="1:12">
      <c r="A1099" t="s">
        <v>13</v>
      </c>
      <c r="B1099" s="14" t="s">
        <v>2192</v>
      </c>
      <c r="C1099" s="20" t="s">
        <v>2193</v>
      </c>
      <c r="D1099" s="20" t="s">
        <v>2193</v>
      </c>
      <c r="E1099" s="20" t="s">
        <v>2193</v>
      </c>
      <c r="F1099" s="20" t="s">
        <v>2193</v>
      </c>
      <c r="G1099">
        <v>3.32</v>
      </c>
      <c r="H1099" s="1">
        <v>8.28</v>
      </c>
      <c r="I1099">
        <f t="shared" si="68"/>
        <v>3.818</v>
      </c>
      <c r="J1099">
        <f t="shared" si="69"/>
        <v>3.984</v>
      </c>
      <c r="K1099">
        <f t="shared" si="70"/>
        <v>4.316</v>
      </c>
      <c r="L1099">
        <f t="shared" si="71"/>
        <v>4.648</v>
      </c>
    </row>
    <row r="1100" spans="1:12">
      <c r="A1100" t="s">
        <v>13</v>
      </c>
      <c r="B1100" s="14" t="s">
        <v>2194</v>
      </c>
      <c r="C1100" s="20" t="s">
        <v>2195</v>
      </c>
      <c r="D1100" s="20" t="s">
        <v>2195</v>
      </c>
      <c r="E1100" s="20" t="s">
        <v>2195</v>
      </c>
      <c r="F1100" s="20" t="s">
        <v>2195</v>
      </c>
      <c r="G1100">
        <v>165.57</v>
      </c>
      <c r="H1100" s="1">
        <v>367.95</v>
      </c>
      <c r="I1100">
        <f t="shared" si="68"/>
        <v>190.4055</v>
      </c>
      <c r="J1100">
        <f t="shared" si="69"/>
        <v>198.684</v>
      </c>
      <c r="K1100">
        <f t="shared" si="70"/>
        <v>215.241</v>
      </c>
      <c r="L1100">
        <f t="shared" si="71"/>
        <v>231.798</v>
      </c>
    </row>
    <row r="1101" spans="1:12">
      <c r="A1101" t="s">
        <v>13</v>
      </c>
      <c r="B1101" s="14" t="s">
        <v>2196</v>
      </c>
      <c r="C1101" s="20" t="s">
        <v>2197</v>
      </c>
      <c r="D1101" s="20" t="s">
        <v>2197</v>
      </c>
      <c r="E1101" s="20" t="s">
        <v>2197</v>
      </c>
      <c r="F1101" s="20" t="s">
        <v>2197</v>
      </c>
      <c r="G1101">
        <v>256.54</v>
      </c>
      <c r="H1101" s="1">
        <v>570.12</v>
      </c>
      <c r="I1101">
        <f t="shared" si="68"/>
        <v>295.021</v>
      </c>
      <c r="J1101">
        <f t="shared" si="69"/>
        <v>307.848</v>
      </c>
      <c r="K1101">
        <f t="shared" si="70"/>
        <v>333.502</v>
      </c>
      <c r="L1101">
        <f t="shared" si="71"/>
        <v>359.156</v>
      </c>
    </row>
    <row r="1102" spans="1:12">
      <c r="A1102" t="s">
        <v>13</v>
      </c>
      <c r="B1102" s="14" t="s">
        <v>2198</v>
      </c>
      <c r="C1102" s="20" t="s">
        <v>2199</v>
      </c>
      <c r="D1102" s="20" t="s">
        <v>2199</v>
      </c>
      <c r="E1102" s="20" t="s">
        <v>2199</v>
      </c>
      <c r="F1102" s="20" t="s">
        <v>2199</v>
      </c>
      <c r="G1102">
        <v>33.5</v>
      </c>
      <c r="H1102" s="1">
        <v>83.75</v>
      </c>
      <c r="I1102">
        <f t="shared" si="68"/>
        <v>38.525</v>
      </c>
      <c r="J1102">
        <f t="shared" si="69"/>
        <v>40.2</v>
      </c>
      <c r="K1102">
        <f t="shared" si="70"/>
        <v>43.55</v>
      </c>
      <c r="L1102">
        <f t="shared" si="71"/>
        <v>46.9</v>
      </c>
    </row>
    <row r="1103" spans="1:12">
      <c r="A1103" t="s">
        <v>13</v>
      </c>
      <c r="B1103" s="14" t="s">
        <v>2200</v>
      </c>
      <c r="C1103" s="20" t="s">
        <v>2201</v>
      </c>
      <c r="D1103" s="20" t="s">
        <v>2201</v>
      </c>
      <c r="E1103" s="20" t="s">
        <v>2201</v>
      </c>
      <c r="F1103" s="20" t="s">
        <v>2201</v>
      </c>
      <c r="G1103">
        <v>21.34</v>
      </c>
      <c r="H1103" s="1">
        <v>53.36</v>
      </c>
      <c r="I1103">
        <f t="shared" si="68"/>
        <v>24.541</v>
      </c>
      <c r="J1103">
        <f t="shared" si="69"/>
        <v>25.608</v>
      </c>
      <c r="K1103">
        <f t="shared" si="70"/>
        <v>27.742</v>
      </c>
      <c r="L1103">
        <f t="shared" si="71"/>
        <v>29.876</v>
      </c>
    </row>
    <row r="1104" spans="1:12">
      <c r="A1104" t="s">
        <v>13</v>
      </c>
      <c r="B1104" s="14" t="s">
        <v>2202</v>
      </c>
      <c r="C1104" s="20" t="s">
        <v>2203</v>
      </c>
      <c r="D1104" s="20" t="s">
        <v>2203</v>
      </c>
      <c r="E1104" s="20" t="s">
        <v>2203</v>
      </c>
      <c r="F1104" s="20" t="s">
        <v>2203</v>
      </c>
      <c r="G1104">
        <v>48.05</v>
      </c>
      <c r="H1104" s="1">
        <v>106.78</v>
      </c>
      <c r="I1104">
        <f t="shared" si="68"/>
        <v>55.2575</v>
      </c>
      <c r="J1104">
        <f t="shared" si="69"/>
        <v>57.66</v>
      </c>
      <c r="K1104">
        <f t="shared" si="70"/>
        <v>62.465</v>
      </c>
      <c r="L1104">
        <f t="shared" si="71"/>
        <v>67.27</v>
      </c>
    </row>
    <row r="1105" spans="1:12">
      <c r="A1105" t="s">
        <v>13</v>
      </c>
      <c r="B1105" s="14" t="s">
        <v>2204</v>
      </c>
      <c r="C1105" s="20" t="s">
        <v>2205</v>
      </c>
      <c r="D1105" s="20" t="s">
        <v>2205</v>
      </c>
      <c r="E1105" s="20" t="s">
        <v>2205</v>
      </c>
      <c r="F1105" s="20" t="s">
        <v>2205</v>
      </c>
      <c r="G1105">
        <v>45.47</v>
      </c>
      <c r="H1105" s="1">
        <v>101.02</v>
      </c>
      <c r="I1105">
        <f t="shared" si="68"/>
        <v>52.2905</v>
      </c>
      <c r="J1105">
        <f t="shared" si="69"/>
        <v>54.564</v>
      </c>
      <c r="K1105">
        <f t="shared" si="70"/>
        <v>59.111</v>
      </c>
      <c r="L1105">
        <f t="shared" si="71"/>
        <v>63.658</v>
      </c>
    </row>
    <row r="1106" spans="1:12">
      <c r="A1106" t="s">
        <v>13</v>
      </c>
      <c r="B1106" s="14" t="s">
        <v>2206</v>
      </c>
      <c r="C1106" s="20" t="s">
        <v>2207</v>
      </c>
      <c r="D1106" s="20" t="s">
        <v>2207</v>
      </c>
      <c r="E1106" s="20" t="s">
        <v>2207</v>
      </c>
      <c r="F1106" s="20" t="s">
        <v>2207</v>
      </c>
      <c r="G1106">
        <v>42.78</v>
      </c>
      <c r="H1106" s="1">
        <v>95.07</v>
      </c>
      <c r="I1106">
        <f t="shared" si="68"/>
        <v>49.197</v>
      </c>
      <c r="J1106">
        <f t="shared" si="69"/>
        <v>51.336</v>
      </c>
      <c r="K1106">
        <f t="shared" si="70"/>
        <v>55.614</v>
      </c>
      <c r="L1106">
        <f t="shared" si="71"/>
        <v>59.892</v>
      </c>
    </row>
    <row r="1107" spans="1:12">
      <c r="A1107" t="s">
        <v>13</v>
      </c>
      <c r="B1107" s="14" t="s">
        <v>2208</v>
      </c>
      <c r="C1107" s="20" t="s">
        <v>2209</v>
      </c>
      <c r="D1107" s="20" t="s">
        <v>2209</v>
      </c>
      <c r="E1107" s="20" t="s">
        <v>2209</v>
      </c>
      <c r="F1107" s="20" t="s">
        <v>2209</v>
      </c>
      <c r="G1107">
        <v>42.97</v>
      </c>
      <c r="H1107" s="1">
        <v>95.48</v>
      </c>
      <c r="I1107">
        <f t="shared" si="68"/>
        <v>49.4155</v>
      </c>
      <c r="J1107">
        <f t="shared" si="69"/>
        <v>51.564</v>
      </c>
      <c r="K1107">
        <f t="shared" si="70"/>
        <v>55.861</v>
      </c>
      <c r="L1107">
        <f t="shared" si="71"/>
        <v>60.158</v>
      </c>
    </row>
    <row r="1108" spans="1:12">
      <c r="A1108" t="s">
        <v>13</v>
      </c>
      <c r="B1108" s="14" t="s">
        <v>2210</v>
      </c>
      <c r="C1108" s="20" t="s">
        <v>2211</v>
      </c>
      <c r="D1108" s="20" t="s">
        <v>2211</v>
      </c>
      <c r="E1108" s="20" t="s">
        <v>2211</v>
      </c>
      <c r="F1108" s="20" t="s">
        <v>2211</v>
      </c>
      <c r="G1108">
        <v>48.99</v>
      </c>
      <c r="H1108" s="1">
        <v>108.86</v>
      </c>
      <c r="I1108">
        <f t="shared" si="68"/>
        <v>56.3385</v>
      </c>
      <c r="J1108">
        <f t="shared" si="69"/>
        <v>58.788</v>
      </c>
      <c r="K1108">
        <f t="shared" si="70"/>
        <v>63.687</v>
      </c>
      <c r="L1108">
        <f t="shared" si="71"/>
        <v>68.586</v>
      </c>
    </row>
    <row r="1109" spans="1:12">
      <c r="A1109" t="s">
        <v>13</v>
      </c>
      <c r="B1109" s="14" t="s">
        <v>2212</v>
      </c>
      <c r="C1109" s="20" t="s">
        <v>2213</v>
      </c>
      <c r="D1109" s="20" t="s">
        <v>2213</v>
      </c>
      <c r="E1109" s="20" t="s">
        <v>2213</v>
      </c>
      <c r="F1109" s="20" t="s">
        <v>2213</v>
      </c>
      <c r="G1109">
        <v>44.52</v>
      </c>
      <c r="H1109" s="1">
        <v>98.95</v>
      </c>
      <c r="I1109">
        <f t="shared" si="68"/>
        <v>51.198</v>
      </c>
      <c r="J1109">
        <f t="shared" si="69"/>
        <v>53.424</v>
      </c>
      <c r="K1109">
        <f t="shared" si="70"/>
        <v>57.876</v>
      </c>
      <c r="L1109">
        <f t="shared" si="71"/>
        <v>62.328</v>
      </c>
    </row>
    <row r="1110" spans="1:12">
      <c r="A1110" t="s">
        <v>13</v>
      </c>
      <c r="B1110" s="14" t="s">
        <v>2214</v>
      </c>
      <c r="C1110" s="20" t="s">
        <v>2215</v>
      </c>
      <c r="D1110" s="20" t="s">
        <v>2215</v>
      </c>
      <c r="E1110" s="20" t="s">
        <v>2215</v>
      </c>
      <c r="F1110" s="20" t="s">
        <v>2215</v>
      </c>
      <c r="G1110">
        <v>44.42</v>
      </c>
      <c r="H1110" s="1">
        <v>98.71</v>
      </c>
      <c r="I1110">
        <f t="shared" si="68"/>
        <v>51.083</v>
      </c>
      <c r="J1110">
        <f t="shared" si="69"/>
        <v>53.304</v>
      </c>
      <c r="K1110">
        <f t="shared" si="70"/>
        <v>57.746</v>
      </c>
      <c r="L1110">
        <f t="shared" si="71"/>
        <v>62.188</v>
      </c>
    </row>
    <row r="1111" spans="1:12">
      <c r="A1111" t="s">
        <v>13</v>
      </c>
      <c r="B1111" s="14" t="s">
        <v>2216</v>
      </c>
      <c r="C1111" s="20" t="s">
        <v>2217</v>
      </c>
      <c r="D1111" s="20" t="s">
        <v>2217</v>
      </c>
      <c r="E1111" s="20" t="s">
        <v>2217</v>
      </c>
      <c r="F1111" s="20" t="s">
        <v>2217</v>
      </c>
      <c r="G1111">
        <v>32.73</v>
      </c>
      <c r="H1111" s="1">
        <v>72.76</v>
      </c>
      <c r="I1111">
        <f t="shared" si="68"/>
        <v>37.6395</v>
      </c>
      <c r="J1111">
        <f t="shared" si="69"/>
        <v>39.276</v>
      </c>
      <c r="K1111">
        <f t="shared" si="70"/>
        <v>42.549</v>
      </c>
      <c r="L1111">
        <f t="shared" si="71"/>
        <v>45.822</v>
      </c>
    </row>
    <row r="1112" spans="1:12">
      <c r="A1112" t="s">
        <v>13</v>
      </c>
      <c r="B1112" s="14" t="s">
        <v>2218</v>
      </c>
      <c r="C1112" s="20" t="s">
        <v>2219</v>
      </c>
      <c r="D1112" s="20" t="s">
        <v>2219</v>
      </c>
      <c r="E1112" s="20" t="s">
        <v>2219</v>
      </c>
      <c r="F1112" s="20" t="s">
        <v>2219</v>
      </c>
      <c r="G1112">
        <v>32.34</v>
      </c>
      <c r="H1112" s="1">
        <v>71.87</v>
      </c>
      <c r="I1112">
        <f t="shared" si="68"/>
        <v>37.191</v>
      </c>
      <c r="J1112">
        <f t="shared" si="69"/>
        <v>38.808</v>
      </c>
      <c r="K1112">
        <f t="shared" si="70"/>
        <v>42.042</v>
      </c>
      <c r="L1112">
        <f t="shared" si="71"/>
        <v>45.276</v>
      </c>
    </row>
    <row r="1113" spans="1:12">
      <c r="A1113" t="s">
        <v>13</v>
      </c>
      <c r="B1113" s="14" t="s">
        <v>2220</v>
      </c>
      <c r="C1113" s="20" t="s">
        <v>2221</v>
      </c>
      <c r="D1113" s="20" t="s">
        <v>2221</v>
      </c>
      <c r="E1113" s="20" t="s">
        <v>2221</v>
      </c>
      <c r="F1113" s="20" t="s">
        <v>2221</v>
      </c>
      <c r="G1113">
        <v>32.77</v>
      </c>
      <c r="H1113" s="1">
        <v>72.84</v>
      </c>
      <c r="I1113">
        <f t="shared" si="68"/>
        <v>37.6855</v>
      </c>
      <c r="J1113">
        <f t="shared" si="69"/>
        <v>39.324</v>
      </c>
      <c r="K1113">
        <f t="shared" si="70"/>
        <v>42.601</v>
      </c>
      <c r="L1113">
        <f t="shared" si="71"/>
        <v>45.878</v>
      </c>
    </row>
    <row r="1114" spans="1:12">
      <c r="A1114" t="s">
        <v>13</v>
      </c>
      <c r="B1114" s="14" t="s">
        <v>2222</v>
      </c>
      <c r="C1114" s="20" t="s">
        <v>2223</v>
      </c>
      <c r="D1114" s="20" t="s">
        <v>2223</v>
      </c>
      <c r="E1114" s="20" t="s">
        <v>2223</v>
      </c>
      <c r="F1114" s="20" t="s">
        <v>2223</v>
      </c>
      <c r="G1114">
        <v>0.16</v>
      </c>
      <c r="H1114" s="1">
        <v>0.31</v>
      </c>
      <c r="I1114">
        <f t="shared" si="68"/>
        <v>0.184</v>
      </c>
      <c r="J1114">
        <f t="shared" si="69"/>
        <v>0.192</v>
      </c>
      <c r="K1114">
        <f t="shared" si="70"/>
        <v>0.208</v>
      </c>
      <c r="L1114">
        <f t="shared" si="71"/>
        <v>0.224</v>
      </c>
    </row>
    <row r="1115" spans="1:12">
      <c r="A1115" t="s">
        <v>13</v>
      </c>
      <c r="B1115" s="14" t="s">
        <v>2224</v>
      </c>
      <c r="C1115" s="20" t="s">
        <v>2225</v>
      </c>
      <c r="D1115" s="20" t="s">
        <v>2225</v>
      </c>
      <c r="E1115" s="20" t="s">
        <v>2225</v>
      </c>
      <c r="F1115" s="20" t="s">
        <v>2225</v>
      </c>
      <c r="G1115">
        <v>0.17</v>
      </c>
      <c r="H1115" s="1">
        <v>0.38</v>
      </c>
      <c r="I1115">
        <f t="shared" si="68"/>
        <v>0.1955</v>
      </c>
      <c r="J1115">
        <f t="shared" si="69"/>
        <v>0.204</v>
      </c>
      <c r="K1115">
        <f t="shared" si="70"/>
        <v>0.221</v>
      </c>
      <c r="L1115">
        <f t="shared" si="71"/>
        <v>0.238</v>
      </c>
    </row>
    <row r="1116" spans="1:12">
      <c r="A1116" t="s">
        <v>13</v>
      </c>
      <c r="B1116" s="14" t="s">
        <v>2226</v>
      </c>
      <c r="C1116" s="20" t="s">
        <v>2227</v>
      </c>
      <c r="D1116" s="20" t="s">
        <v>2227</v>
      </c>
      <c r="E1116" s="20" t="s">
        <v>2227</v>
      </c>
      <c r="F1116" s="20" t="s">
        <v>2227</v>
      </c>
      <c r="G1116">
        <v>0.55</v>
      </c>
      <c r="H1116" s="1">
        <v>1.38</v>
      </c>
      <c r="I1116">
        <f t="shared" si="68"/>
        <v>0.6325</v>
      </c>
      <c r="J1116">
        <f t="shared" si="69"/>
        <v>0.66</v>
      </c>
      <c r="K1116">
        <f t="shared" si="70"/>
        <v>0.715</v>
      </c>
      <c r="L1116">
        <f t="shared" si="71"/>
        <v>0.77</v>
      </c>
    </row>
    <row r="1117" spans="1:12">
      <c r="A1117" t="s">
        <v>13</v>
      </c>
      <c r="B1117" s="14" t="s">
        <v>2228</v>
      </c>
      <c r="C1117" s="20" t="s">
        <v>2229</v>
      </c>
      <c r="D1117" s="20" t="s">
        <v>2229</v>
      </c>
      <c r="E1117" s="20" t="s">
        <v>2229</v>
      </c>
      <c r="F1117" s="20" t="s">
        <v>2229</v>
      </c>
      <c r="G1117">
        <v>0.55</v>
      </c>
      <c r="H1117" s="1">
        <v>1.38</v>
      </c>
      <c r="I1117">
        <f t="shared" si="68"/>
        <v>0.6325</v>
      </c>
      <c r="J1117">
        <f t="shared" si="69"/>
        <v>0.66</v>
      </c>
      <c r="K1117">
        <f t="shared" si="70"/>
        <v>0.715</v>
      </c>
      <c r="L1117">
        <f t="shared" si="71"/>
        <v>0.77</v>
      </c>
    </row>
    <row r="1118" spans="1:12">
      <c r="A1118" t="s">
        <v>13</v>
      </c>
      <c r="B1118" s="14" t="s">
        <v>2230</v>
      </c>
      <c r="C1118" s="20" t="s">
        <v>2231</v>
      </c>
      <c r="D1118" s="20" t="s">
        <v>2231</v>
      </c>
      <c r="E1118" s="20" t="s">
        <v>2231</v>
      </c>
      <c r="F1118" s="20" t="s">
        <v>2231</v>
      </c>
      <c r="G1118">
        <v>0.55</v>
      </c>
      <c r="H1118" s="1">
        <v>1.38</v>
      </c>
      <c r="I1118">
        <f t="shared" si="68"/>
        <v>0.6325</v>
      </c>
      <c r="J1118">
        <f t="shared" si="69"/>
        <v>0.66</v>
      </c>
      <c r="K1118">
        <f t="shared" si="70"/>
        <v>0.715</v>
      </c>
      <c r="L1118">
        <f t="shared" si="71"/>
        <v>0.77</v>
      </c>
    </row>
    <row r="1119" spans="1:12">
      <c r="A1119" t="s">
        <v>13</v>
      </c>
      <c r="B1119" s="14" t="s">
        <v>2232</v>
      </c>
      <c r="C1119" s="20" t="s">
        <v>2233</v>
      </c>
      <c r="D1119" s="20" t="s">
        <v>2233</v>
      </c>
      <c r="E1119" s="20" t="s">
        <v>2233</v>
      </c>
      <c r="F1119" s="20" t="s">
        <v>2233</v>
      </c>
      <c r="G1119">
        <v>5.73</v>
      </c>
      <c r="H1119" s="1">
        <v>14.34</v>
      </c>
      <c r="I1119">
        <f t="shared" si="68"/>
        <v>6.5895</v>
      </c>
      <c r="J1119">
        <f t="shared" si="69"/>
        <v>6.876</v>
      </c>
      <c r="K1119">
        <f t="shared" si="70"/>
        <v>7.449</v>
      </c>
      <c r="L1119">
        <f t="shared" si="71"/>
        <v>8.022</v>
      </c>
    </row>
    <row r="1120" spans="1:12">
      <c r="A1120" t="s">
        <v>13</v>
      </c>
      <c r="B1120" s="14" t="s">
        <v>2234</v>
      </c>
      <c r="C1120" s="20" t="s">
        <v>2235</v>
      </c>
      <c r="D1120" s="20" t="s">
        <v>2235</v>
      </c>
      <c r="E1120" s="20" t="s">
        <v>2235</v>
      </c>
      <c r="F1120" s="20" t="s">
        <v>2235</v>
      </c>
      <c r="G1120">
        <v>0.73</v>
      </c>
      <c r="H1120" s="1">
        <v>1.8</v>
      </c>
      <c r="I1120">
        <f t="shared" si="68"/>
        <v>0.8395</v>
      </c>
      <c r="J1120">
        <f t="shared" si="69"/>
        <v>0.876</v>
      </c>
      <c r="K1120">
        <f t="shared" si="70"/>
        <v>0.949</v>
      </c>
      <c r="L1120">
        <f t="shared" si="71"/>
        <v>1.022</v>
      </c>
    </row>
    <row r="1121" spans="1:12">
      <c r="A1121" t="s">
        <v>13</v>
      </c>
      <c r="B1121" s="14" t="s">
        <v>2236</v>
      </c>
      <c r="C1121" s="20" t="s">
        <v>2237</v>
      </c>
      <c r="D1121" s="20" t="s">
        <v>2237</v>
      </c>
      <c r="E1121" s="20" t="s">
        <v>2237</v>
      </c>
      <c r="F1121" s="20" t="s">
        <v>2237</v>
      </c>
      <c r="G1121">
        <v>0.71</v>
      </c>
      <c r="H1121" s="1">
        <v>1.75</v>
      </c>
      <c r="I1121">
        <f t="shared" si="68"/>
        <v>0.8165</v>
      </c>
      <c r="J1121">
        <f t="shared" si="69"/>
        <v>0.852</v>
      </c>
      <c r="K1121">
        <f t="shared" si="70"/>
        <v>0.923</v>
      </c>
      <c r="L1121">
        <f t="shared" si="71"/>
        <v>0.994</v>
      </c>
    </row>
    <row r="1122" spans="1:12">
      <c r="A1122" t="s">
        <v>13</v>
      </c>
      <c r="B1122" s="14" t="s">
        <v>2238</v>
      </c>
      <c r="C1122" s="20" t="s">
        <v>2239</v>
      </c>
      <c r="D1122" s="20" t="s">
        <v>2239</v>
      </c>
      <c r="E1122" s="20" t="s">
        <v>2239</v>
      </c>
      <c r="F1122" s="20" t="s">
        <v>2239</v>
      </c>
      <c r="G1122">
        <v>0.73</v>
      </c>
      <c r="H1122" s="1">
        <v>1.8</v>
      </c>
      <c r="I1122">
        <f t="shared" si="68"/>
        <v>0.8395</v>
      </c>
      <c r="J1122">
        <f t="shared" si="69"/>
        <v>0.876</v>
      </c>
      <c r="K1122">
        <f t="shared" si="70"/>
        <v>0.949</v>
      </c>
      <c r="L1122">
        <f t="shared" si="71"/>
        <v>1.022</v>
      </c>
    </row>
    <row r="1123" spans="1:12">
      <c r="A1123" t="s">
        <v>13</v>
      </c>
      <c r="B1123" s="14" t="s">
        <v>2240</v>
      </c>
      <c r="C1123" s="20" t="s">
        <v>2241</v>
      </c>
      <c r="D1123" s="20" t="s">
        <v>2241</v>
      </c>
      <c r="E1123" s="20" t="s">
        <v>2241</v>
      </c>
      <c r="F1123" s="20" t="s">
        <v>2241</v>
      </c>
      <c r="G1123">
        <v>0.73</v>
      </c>
      <c r="H1123" s="1">
        <v>1.8</v>
      </c>
      <c r="I1123">
        <f t="shared" si="68"/>
        <v>0.8395</v>
      </c>
      <c r="J1123">
        <f t="shared" si="69"/>
        <v>0.876</v>
      </c>
      <c r="K1123">
        <f t="shared" si="70"/>
        <v>0.949</v>
      </c>
      <c r="L1123">
        <f t="shared" si="71"/>
        <v>1.022</v>
      </c>
    </row>
    <row r="1124" spans="1:12">
      <c r="A1124" t="s">
        <v>13</v>
      </c>
      <c r="B1124" s="14" t="s">
        <v>2242</v>
      </c>
      <c r="C1124" s="20" t="s">
        <v>2243</v>
      </c>
      <c r="D1124" s="20" t="s">
        <v>2243</v>
      </c>
      <c r="E1124" s="20" t="s">
        <v>2243</v>
      </c>
      <c r="F1124" s="20" t="s">
        <v>2243</v>
      </c>
      <c r="G1124">
        <v>1.19</v>
      </c>
      <c r="H1124" s="1">
        <v>2.98</v>
      </c>
      <c r="I1124">
        <f t="shared" si="68"/>
        <v>1.3685</v>
      </c>
      <c r="J1124">
        <f t="shared" si="69"/>
        <v>1.428</v>
      </c>
      <c r="K1124">
        <f t="shared" si="70"/>
        <v>1.547</v>
      </c>
      <c r="L1124">
        <f t="shared" si="71"/>
        <v>1.666</v>
      </c>
    </row>
    <row r="1125" spans="1:12">
      <c r="A1125" t="s">
        <v>13</v>
      </c>
      <c r="B1125" s="14" t="s">
        <v>2244</v>
      </c>
      <c r="C1125" s="20" t="s">
        <v>2245</v>
      </c>
      <c r="D1125" s="20" t="s">
        <v>2245</v>
      </c>
      <c r="E1125" s="20" t="s">
        <v>2245</v>
      </c>
      <c r="F1125" s="20" t="s">
        <v>2245</v>
      </c>
      <c r="G1125">
        <v>1.16</v>
      </c>
      <c r="H1125" s="1">
        <v>2.9</v>
      </c>
      <c r="I1125">
        <f t="shared" si="68"/>
        <v>1.334</v>
      </c>
      <c r="J1125">
        <f t="shared" si="69"/>
        <v>1.392</v>
      </c>
      <c r="K1125">
        <f t="shared" si="70"/>
        <v>1.508</v>
      </c>
      <c r="L1125">
        <f t="shared" si="71"/>
        <v>1.624</v>
      </c>
    </row>
    <row r="1126" spans="1:12">
      <c r="A1126" t="s">
        <v>13</v>
      </c>
      <c r="B1126" s="14" t="s">
        <v>2246</v>
      </c>
      <c r="C1126" s="20" t="s">
        <v>2247</v>
      </c>
      <c r="D1126" s="20" t="s">
        <v>2247</v>
      </c>
      <c r="E1126" s="20" t="s">
        <v>2247</v>
      </c>
      <c r="F1126" s="20" t="s">
        <v>2247</v>
      </c>
      <c r="G1126">
        <v>1.19</v>
      </c>
      <c r="H1126" s="1">
        <v>3.01</v>
      </c>
      <c r="I1126">
        <f t="shared" si="68"/>
        <v>1.3685</v>
      </c>
      <c r="J1126">
        <f t="shared" si="69"/>
        <v>1.428</v>
      </c>
      <c r="K1126">
        <f t="shared" si="70"/>
        <v>1.547</v>
      </c>
      <c r="L1126">
        <f t="shared" si="71"/>
        <v>1.666</v>
      </c>
    </row>
    <row r="1127" spans="1:12">
      <c r="A1127" t="s">
        <v>13</v>
      </c>
      <c r="B1127" s="14" t="s">
        <v>2248</v>
      </c>
      <c r="C1127" s="20" t="s">
        <v>2249</v>
      </c>
      <c r="D1127" s="20" t="s">
        <v>2249</v>
      </c>
      <c r="E1127" s="20" t="s">
        <v>2249</v>
      </c>
      <c r="F1127" s="20" t="s">
        <v>2249</v>
      </c>
      <c r="G1127">
        <v>1.17</v>
      </c>
      <c r="H1127" s="1">
        <v>2.93</v>
      </c>
      <c r="I1127">
        <f t="shared" si="68"/>
        <v>1.3455</v>
      </c>
      <c r="J1127">
        <f t="shared" si="69"/>
        <v>1.404</v>
      </c>
      <c r="K1127">
        <f t="shared" si="70"/>
        <v>1.521</v>
      </c>
      <c r="L1127">
        <f t="shared" si="71"/>
        <v>1.638</v>
      </c>
    </row>
    <row r="1128" spans="1:12">
      <c r="A1128" t="s">
        <v>13</v>
      </c>
      <c r="B1128" s="14" t="s">
        <v>2250</v>
      </c>
      <c r="C1128" s="20" t="s">
        <v>2251</v>
      </c>
      <c r="D1128" s="20" t="s">
        <v>2251</v>
      </c>
      <c r="E1128" s="20" t="s">
        <v>2251</v>
      </c>
      <c r="F1128" s="20" t="s">
        <v>2251</v>
      </c>
      <c r="G1128">
        <v>1.35</v>
      </c>
      <c r="H1128" s="1">
        <v>3.36</v>
      </c>
      <c r="I1128">
        <f t="shared" si="68"/>
        <v>1.5525</v>
      </c>
      <c r="J1128">
        <f t="shared" si="69"/>
        <v>1.62</v>
      </c>
      <c r="K1128">
        <f t="shared" si="70"/>
        <v>1.755</v>
      </c>
      <c r="L1128">
        <f t="shared" si="71"/>
        <v>1.89</v>
      </c>
    </row>
    <row r="1129" spans="1:12">
      <c r="A1129" t="s">
        <v>13</v>
      </c>
      <c r="B1129" s="14" t="s">
        <v>2252</v>
      </c>
      <c r="C1129" s="20" t="s">
        <v>2253</v>
      </c>
      <c r="D1129" s="20" t="s">
        <v>2253</v>
      </c>
      <c r="E1129" s="20" t="s">
        <v>2253</v>
      </c>
      <c r="F1129" s="20" t="s">
        <v>2253</v>
      </c>
      <c r="G1129">
        <v>1.35</v>
      </c>
      <c r="H1129" s="1">
        <v>3.36</v>
      </c>
      <c r="I1129">
        <f t="shared" si="68"/>
        <v>1.5525</v>
      </c>
      <c r="J1129">
        <f t="shared" si="69"/>
        <v>1.62</v>
      </c>
      <c r="K1129">
        <f t="shared" si="70"/>
        <v>1.755</v>
      </c>
      <c r="L1129">
        <f t="shared" si="71"/>
        <v>1.89</v>
      </c>
    </row>
    <row r="1130" spans="1:12">
      <c r="A1130" t="s">
        <v>13</v>
      </c>
      <c r="B1130" s="14" t="s">
        <v>2254</v>
      </c>
      <c r="C1130" s="20" t="s">
        <v>2255</v>
      </c>
      <c r="D1130" s="20" t="s">
        <v>2255</v>
      </c>
      <c r="E1130" s="20" t="s">
        <v>2255</v>
      </c>
      <c r="F1130" s="20" t="s">
        <v>2255</v>
      </c>
      <c r="G1130">
        <v>1.35</v>
      </c>
      <c r="H1130" s="1">
        <v>3.36</v>
      </c>
      <c r="I1130">
        <f t="shared" si="68"/>
        <v>1.5525</v>
      </c>
      <c r="J1130">
        <f t="shared" si="69"/>
        <v>1.62</v>
      </c>
      <c r="K1130">
        <f t="shared" si="70"/>
        <v>1.755</v>
      </c>
      <c r="L1130">
        <f t="shared" si="71"/>
        <v>1.89</v>
      </c>
    </row>
    <row r="1131" spans="1:12">
      <c r="A1131" t="s">
        <v>13</v>
      </c>
      <c r="B1131" s="14" t="s">
        <v>2256</v>
      </c>
      <c r="C1131" s="20" t="s">
        <v>2257</v>
      </c>
      <c r="D1131" s="20" t="s">
        <v>2257</v>
      </c>
      <c r="E1131" s="20" t="s">
        <v>2257</v>
      </c>
      <c r="F1131" s="20" t="s">
        <v>2257</v>
      </c>
      <c r="G1131">
        <v>1.26</v>
      </c>
      <c r="H1131" s="1">
        <v>3.17</v>
      </c>
      <c r="I1131">
        <f t="shared" si="68"/>
        <v>1.449</v>
      </c>
      <c r="J1131">
        <f t="shared" si="69"/>
        <v>1.512</v>
      </c>
      <c r="K1131">
        <f t="shared" si="70"/>
        <v>1.638</v>
      </c>
      <c r="L1131">
        <f t="shared" si="71"/>
        <v>1.764</v>
      </c>
    </row>
    <row r="1132" spans="1:12">
      <c r="A1132" t="s">
        <v>13</v>
      </c>
      <c r="B1132" s="14" t="s">
        <v>2258</v>
      </c>
      <c r="C1132" s="20" t="s">
        <v>2259</v>
      </c>
      <c r="D1132" s="20" t="s">
        <v>2259</v>
      </c>
      <c r="E1132" s="20" t="s">
        <v>2259</v>
      </c>
      <c r="F1132" s="20" t="s">
        <v>2259</v>
      </c>
      <c r="G1132">
        <v>2.22</v>
      </c>
      <c r="H1132" s="1">
        <v>5.56</v>
      </c>
      <c r="I1132">
        <f t="shared" si="68"/>
        <v>2.553</v>
      </c>
      <c r="J1132">
        <f t="shared" si="69"/>
        <v>2.664</v>
      </c>
      <c r="K1132">
        <f t="shared" si="70"/>
        <v>2.886</v>
      </c>
      <c r="L1132">
        <f t="shared" si="71"/>
        <v>3.108</v>
      </c>
    </row>
    <row r="1133" spans="1:12">
      <c r="A1133" t="s">
        <v>13</v>
      </c>
      <c r="B1133" s="14" t="s">
        <v>2260</v>
      </c>
      <c r="C1133" s="20" t="s">
        <v>2261</v>
      </c>
      <c r="D1133" s="20" t="s">
        <v>2261</v>
      </c>
      <c r="E1133" s="20" t="s">
        <v>2261</v>
      </c>
      <c r="F1133" s="20" t="s">
        <v>2261</v>
      </c>
      <c r="G1133">
        <v>2.18</v>
      </c>
      <c r="H1133" s="1">
        <v>5.43</v>
      </c>
      <c r="I1133">
        <f t="shared" si="68"/>
        <v>2.507</v>
      </c>
      <c r="J1133">
        <f t="shared" si="69"/>
        <v>2.616</v>
      </c>
      <c r="K1133">
        <f t="shared" si="70"/>
        <v>2.834</v>
      </c>
      <c r="L1133">
        <f t="shared" si="71"/>
        <v>3.052</v>
      </c>
    </row>
    <row r="1134" spans="1:12">
      <c r="A1134" t="s">
        <v>13</v>
      </c>
      <c r="B1134" s="14" t="s">
        <v>2262</v>
      </c>
      <c r="C1134" s="20" t="s">
        <v>2263</v>
      </c>
      <c r="D1134" s="20" t="s">
        <v>2263</v>
      </c>
      <c r="E1134" s="20" t="s">
        <v>2263</v>
      </c>
      <c r="F1134" s="20" t="s">
        <v>2263</v>
      </c>
      <c r="G1134">
        <v>2.22</v>
      </c>
      <c r="H1134" s="1">
        <v>5.56</v>
      </c>
      <c r="I1134">
        <f t="shared" si="68"/>
        <v>2.553</v>
      </c>
      <c r="J1134">
        <f t="shared" si="69"/>
        <v>2.664</v>
      </c>
      <c r="K1134">
        <f t="shared" si="70"/>
        <v>2.886</v>
      </c>
      <c r="L1134">
        <f t="shared" si="71"/>
        <v>3.108</v>
      </c>
    </row>
    <row r="1135" spans="1:12">
      <c r="A1135" t="s">
        <v>13</v>
      </c>
      <c r="B1135" s="14" t="s">
        <v>2264</v>
      </c>
      <c r="C1135" s="20" t="s">
        <v>2265</v>
      </c>
      <c r="D1135" s="20" t="s">
        <v>2265</v>
      </c>
      <c r="E1135" s="20" t="s">
        <v>2265</v>
      </c>
      <c r="F1135" s="20" t="s">
        <v>2265</v>
      </c>
      <c r="G1135">
        <v>2.22</v>
      </c>
      <c r="H1135" s="1">
        <v>5.56</v>
      </c>
      <c r="I1135">
        <f t="shared" si="68"/>
        <v>2.553</v>
      </c>
      <c r="J1135">
        <f t="shared" si="69"/>
        <v>2.664</v>
      </c>
      <c r="K1135">
        <f t="shared" si="70"/>
        <v>2.886</v>
      </c>
      <c r="L1135">
        <f t="shared" si="71"/>
        <v>3.108</v>
      </c>
    </row>
    <row r="1136" spans="1:12">
      <c r="A1136" t="s">
        <v>13</v>
      </c>
      <c r="B1136" s="14" t="s">
        <v>2266</v>
      </c>
      <c r="C1136" s="20" t="s">
        <v>2267</v>
      </c>
      <c r="D1136" s="20" t="s">
        <v>2267</v>
      </c>
      <c r="E1136" s="20" t="s">
        <v>2267</v>
      </c>
      <c r="F1136" s="20" t="s">
        <v>2267</v>
      </c>
      <c r="G1136">
        <v>2.49</v>
      </c>
      <c r="H1136" s="1">
        <v>6.21</v>
      </c>
      <c r="I1136">
        <f t="shared" si="68"/>
        <v>2.8635</v>
      </c>
      <c r="J1136">
        <f t="shared" si="69"/>
        <v>2.988</v>
      </c>
      <c r="K1136">
        <f t="shared" si="70"/>
        <v>3.237</v>
      </c>
      <c r="L1136">
        <f t="shared" si="71"/>
        <v>3.486</v>
      </c>
    </row>
    <row r="1137" spans="1:12">
      <c r="A1137" t="s">
        <v>13</v>
      </c>
      <c r="B1137" s="14" t="s">
        <v>2268</v>
      </c>
      <c r="C1137" s="20" t="s">
        <v>2269</v>
      </c>
      <c r="D1137" s="20" t="s">
        <v>2269</v>
      </c>
      <c r="E1137" s="20" t="s">
        <v>2269</v>
      </c>
      <c r="F1137" s="20" t="s">
        <v>2269</v>
      </c>
      <c r="G1137">
        <v>2.44</v>
      </c>
      <c r="H1137" s="1">
        <v>6.09</v>
      </c>
      <c r="I1137">
        <f t="shared" si="68"/>
        <v>2.806</v>
      </c>
      <c r="J1137">
        <f t="shared" si="69"/>
        <v>2.928</v>
      </c>
      <c r="K1137">
        <f t="shared" si="70"/>
        <v>3.172</v>
      </c>
      <c r="L1137">
        <f t="shared" si="71"/>
        <v>3.416</v>
      </c>
    </row>
    <row r="1138" spans="1:12">
      <c r="A1138" t="s">
        <v>13</v>
      </c>
      <c r="B1138" s="14" t="s">
        <v>2270</v>
      </c>
      <c r="C1138" s="20" t="s">
        <v>2271</v>
      </c>
      <c r="D1138" s="20" t="s">
        <v>2271</v>
      </c>
      <c r="E1138" s="20" t="s">
        <v>2271</v>
      </c>
      <c r="F1138" s="20" t="s">
        <v>2271</v>
      </c>
      <c r="G1138">
        <v>2.44</v>
      </c>
      <c r="H1138" s="1">
        <v>6.09</v>
      </c>
      <c r="I1138">
        <f t="shared" si="68"/>
        <v>2.806</v>
      </c>
      <c r="J1138">
        <f t="shared" si="69"/>
        <v>2.928</v>
      </c>
      <c r="K1138">
        <f t="shared" si="70"/>
        <v>3.172</v>
      </c>
      <c r="L1138">
        <f t="shared" si="71"/>
        <v>3.416</v>
      </c>
    </row>
    <row r="1139" spans="1:12">
      <c r="A1139" t="s">
        <v>13</v>
      </c>
      <c r="B1139" s="14" t="s">
        <v>2272</v>
      </c>
      <c r="C1139" s="20" t="s">
        <v>2273</v>
      </c>
      <c r="D1139" s="20" t="s">
        <v>2273</v>
      </c>
      <c r="E1139" s="20" t="s">
        <v>2273</v>
      </c>
      <c r="F1139" s="20" t="s">
        <v>2273</v>
      </c>
      <c r="G1139">
        <v>4.37</v>
      </c>
      <c r="H1139" s="1">
        <v>10.96</v>
      </c>
      <c r="I1139">
        <f t="shared" si="68"/>
        <v>5.0255</v>
      </c>
      <c r="J1139">
        <f t="shared" si="69"/>
        <v>5.244</v>
      </c>
      <c r="K1139">
        <f t="shared" si="70"/>
        <v>5.681</v>
      </c>
      <c r="L1139">
        <f t="shared" si="71"/>
        <v>6.118</v>
      </c>
    </row>
    <row r="1140" spans="1:12">
      <c r="A1140" t="s">
        <v>13</v>
      </c>
      <c r="B1140" s="14" t="s">
        <v>2274</v>
      </c>
      <c r="C1140" s="20" t="s">
        <v>2275</v>
      </c>
      <c r="D1140" s="20" t="s">
        <v>2275</v>
      </c>
      <c r="E1140" s="20" t="s">
        <v>2275</v>
      </c>
      <c r="F1140" s="20" t="s">
        <v>2275</v>
      </c>
      <c r="G1140">
        <v>4.37</v>
      </c>
      <c r="H1140" s="1">
        <v>10.96</v>
      </c>
      <c r="I1140">
        <f t="shared" si="68"/>
        <v>5.0255</v>
      </c>
      <c r="J1140">
        <f t="shared" si="69"/>
        <v>5.244</v>
      </c>
      <c r="K1140">
        <f t="shared" si="70"/>
        <v>5.681</v>
      </c>
      <c r="L1140">
        <f t="shared" si="71"/>
        <v>6.118</v>
      </c>
    </row>
    <row r="1141" spans="1:12">
      <c r="A1141" t="s">
        <v>13</v>
      </c>
      <c r="B1141" s="14" t="s">
        <v>2276</v>
      </c>
      <c r="C1141" s="20" t="s">
        <v>2277</v>
      </c>
      <c r="D1141" s="20" t="s">
        <v>2277</v>
      </c>
      <c r="E1141" s="20" t="s">
        <v>2277</v>
      </c>
      <c r="F1141" s="20" t="s">
        <v>2277</v>
      </c>
      <c r="G1141">
        <v>4.37</v>
      </c>
      <c r="H1141" s="1">
        <v>10.96</v>
      </c>
      <c r="I1141">
        <f t="shared" si="68"/>
        <v>5.0255</v>
      </c>
      <c r="J1141">
        <f t="shared" si="69"/>
        <v>5.244</v>
      </c>
      <c r="K1141">
        <f t="shared" si="70"/>
        <v>5.681</v>
      </c>
      <c r="L1141">
        <f t="shared" si="71"/>
        <v>6.118</v>
      </c>
    </row>
    <row r="1142" spans="1:12">
      <c r="A1142" t="s">
        <v>13</v>
      </c>
      <c r="B1142" s="14" t="s">
        <v>2278</v>
      </c>
      <c r="C1142" s="20" t="s">
        <v>2279</v>
      </c>
      <c r="D1142" s="20" t="s">
        <v>2279</v>
      </c>
      <c r="E1142" s="20" t="s">
        <v>2279</v>
      </c>
      <c r="F1142" s="20" t="s">
        <v>2279</v>
      </c>
      <c r="G1142">
        <v>81.9</v>
      </c>
      <c r="H1142" s="1">
        <v>156.01</v>
      </c>
      <c r="I1142">
        <f t="shared" si="68"/>
        <v>94.185</v>
      </c>
      <c r="J1142">
        <f t="shared" si="69"/>
        <v>98.28</v>
      </c>
      <c r="K1142">
        <f t="shared" si="70"/>
        <v>106.47</v>
      </c>
      <c r="L1142">
        <f t="shared" si="71"/>
        <v>114.66</v>
      </c>
    </row>
    <row r="1143" spans="1:12">
      <c r="A1143" t="s">
        <v>13</v>
      </c>
      <c r="B1143" s="14" t="s">
        <v>2280</v>
      </c>
      <c r="C1143" s="20" t="s">
        <v>2281</v>
      </c>
      <c r="D1143" s="20" t="s">
        <v>2281</v>
      </c>
      <c r="E1143" s="20" t="s">
        <v>2281</v>
      </c>
      <c r="F1143" s="20" t="s">
        <v>2281</v>
      </c>
      <c r="G1143">
        <v>82.29</v>
      </c>
      <c r="H1143" s="1">
        <v>156.75</v>
      </c>
      <c r="I1143">
        <f t="shared" si="68"/>
        <v>94.6335</v>
      </c>
      <c r="J1143">
        <f t="shared" si="69"/>
        <v>98.748</v>
      </c>
      <c r="K1143">
        <f t="shared" si="70"/>
        <v>106.977</v>
      </c>
      <c r="L1143">
        <f t="shared" si="71"/>
        <v>115.206</v>
      </c>
    </row>
    <row r="1144" spans="1:12">
      <c r="A1144" t="s">
        <v>13</v>
      </c>
      <c r="B1144" s="14" t="s">
        <v>2282</v>
      </c>
      <c r="C1144" s="20" t="s">
        <v>2283</v>
      </c>
      <c r="D1144" s="20" t="s">
        <v>2283</v>
      </c>
      <c r="E1144" s="20" t="s">
        <v>2283</v>
      </c>
      <c r="F1144" s="20" t="s">
        <v>2283</v>
      </c>
      <c r="G1144">
        <v>1.46</v>
      </c>
      <c r="H1144" s="1">
        <v>2.79</v>
      </c>
      <c r="I1144">
        <f t="shared" si="68"/>
        <v>1.679</v>
      </c>
      <c r="J1144">
        <f t="shared" si="69"/>
        <v>1.752</v>
      </c>
      <c r="K1144">
        <f t="shared" si="70"/>
        <v>1.898</v>
      </c>
      <c r="L1144">
        <f t="shared" si="71"/>
        <v>2.044</v>
      </c>
    </row>
    <row r="1145" spans="1:12">
      <c r="A1145" t="s">
        <v>13</v>
      </c>
      <c r="B1145" s="14" t="s">
        <v>2284</v>
      </c>
      <c r="C1145" s="20" t="s">
        <v>2285</v>
      </c>
      <c r="D1145" s="20" t="s">
        <v>2285</v>
      </c>
      <c r="E1145" s="20" t="s">
        <v>2285</v>
      </c>
      <c r="F1145" s="20" t="s">
        <v>2285</v>
      </c>
      <c r="G1145">
        <v>3.19</v>
      </c>
      <c r="H1145" s="1">
        <v>6.09</v>
      </c>
      <c r="I1145">
        <f t="shared" si="68"/>
        <v>3.6685</v>
      </c>
      <c r="J1145">
        <f t="shared" si="69"/>
        <v>3.828</v>
      </c>
      <c r="K1145">
        <f t="shared" si="70"/>
        <v>4.147</v>
      </c>
      <c r="L1145">
        <f t="shared" si="71"/>
        <v>4.466</v>
      </c>
    </row>
    <row r="1146" spans="1:12">
      <c r="A1146" t="s">
        <v>13</v>
      </c>
      <c r="B1146" s="14" t="s">
        <v>2286</v>
      </c>
      <c r="C1146" s="20" t="s">
        <v>2287</v>
      </c>
      <c r="D1146" s="20" t="s">
        <v>2287</v>
      </c>
      <c r="E1146" s="20" t="s">
        <v>2287</v>
      </c>
      <c r="F1146" s="20" t="s">
        <v>2287</v>
      </c>
      <c r="G1146">
        <v>8.26</v>
      </c>
      <c r="H1146" s="1">
        <v>15.73</v>
      </c>
      <c r="I1146">
        <f t="shared" si="68"/>
        <v>9.499</v>
      </c>
      <c r="J1146">
        <f t="shared" si="69"/>
        <v>9.912</v>
      </c>
      <c r="K1146">
        <f t="shared" si="70"/>
        <v>10.738</v>
      </c>
      <c r="L1146">
        <f t="shared" si="71"/>
        <v>11.564</v>
      </c>
    </row>
    <row r="1147" spans="1:12">
      <c r="A1147" t="s">
        <v>13</v>
      </c>
      <c r="B1147" s="14" t="s">
        <v>2288</v>
      </c>
      <c r="C1147" s="20" t="s">
        <v>2289</v>
      </c>
      <c r="D1147" s="20" t="s">
        <v>2289</v>
      </c>
      <c r="E1147" s="20" t="s">
        <v>2289</v>
      </c>
      <c r="F1147" s="20" t="s">
        <v>2289</v>
      </c>
      <c r="G1147">
        <v>8.89</v>
      </c>
      <c r="H1147" s="1">
        <v>16.95</v>
      </c>
      <c r="I1147">
        <f t="shared" si="68"/>
        <v>10.2235</v>
      </c>
      <c r="J1147">
        <f t="shared" si="69"/>
        <v>10.668</v>
      </c>
      <c r="K1147">
        <f t="shared" si="70"/>
        <v>11.557</v>
      </c>
      <c r="L1147">
        <f t="shared" si="71"/>
        <v>12.446</v>
      </c>
    </row>
    <row r="1148" spans="1:12">
      <c r="A1148" t="s">
        <v>13</v>
      </c>
      <c r="B1148" s="14" t="s">
        <v>2290</v>
      </c>
      <c r="C1148" s="20" t="s">
        <v>2291</v>
      </c>
      <c r="D1148" s="20" t="s">
        <v>2291</v>
      </c>
      <c r="E1148" s="20" t="s">
        <v>2291</v>
      </c>
      <c r="F1148" s="20" t="s">
        <v>2291</v>
      </c>
      <c r="G1148">
        <v>11.98</v>
      </c>
      <c r="H1148" s="1">
        <v>22.83</v>
      </c>
      <c r="I1148">
        <f t="shared" si="68"/>
        <v>13.777</v>
      </c>
      <c r="J1148">
        <f t="shared" si="69"/>
        <v>14.376</v>
      </c>
      <c r="K1148">
        <f t="shared" si="70"/>
        <v>15.574</v>
      </c>
      <c r="L1148">
        <f t="shared" si="71"/>
        <v>16.772</v>
      </c>
    </row>
    <row r="1149" spans="1:12">
      <c r="A1149" t="s">
        <v>13</v>
      </c>
      <c r="B1149" s="14" t="s">
        <v>2292</v>
      </c>
      <c r="C1149" s="20" t="s">
        <v>2293</v>
      </c>
      <c r="D1149" s="20" t="s">
        <v>2293</v>
      </c>
      <c r="E1149" s="20" t="s">
        <v>2293</v>
      </c>
      <c r="F1149" s="20" t="s">
        <v>2293</v>
      </c>
      <c r="G1149">
        <v>11.98</v>
      </c>
      <c r="H1149" s="1">
        <v>22.83</v>
      </c>
      <c r="I1149">
        <f t="shared" si="68"/>
        <v>13.777</v>
      </c>
      <c r="J1149">
        <f t="shared" si="69"/>
        <v>14.376</v>
      </c>
      <c r="K1149">
        <f t="shared" si="70"/>
        <v>15.574</v>
      </c>
      <c r="L1149">
        <f t="shared" si="71"/>
        <v>16.772</v>
      </c>
    </row>
    <row r="1150" spans="1:12">
      <c r="A1150" t="s">
        <v>13</v>
      </c>
      <c r="B1150" s="14" t="s">
        <v>2294</v>
      </c>
      <c r="C1150" s="20" t="s">
        <v>2295</v>
      </c>
      <c r="D1150" s="20" t="s">
        <v>2295</v>
      </c>
      <c r="E1150" s="20" t="s">
        <v>2295</v>
      </c>
      <c r="F1150" s="20" t="s">
        <v>2295</v>
      </c>
      <c r="G1150">
        <v>11.98</v>
      </c>
      <c r="H1150" s="1">
        <v>22.83</v>
      </c>
      <c r="I1150">
        <f t="shared" si="68"/>
        <v>13.777</v>
      </c>
      <c r="J1150">
        <f t="shared" si="69"/>
        <v>14.376</v>
      </c>
      <c r="K1150">
        <f t="shared" si="70"/>
        <v>15.574</v>
      </c>
      <c r="L1150">
        <f t="shared" si="71"/>
        <v>16.772</v>
      </c>
    </row>
    <row r="1151" spans="1:12">
      <c r="A1151" t="s">
        <v>13</v>
      </c>
      <c r="B1151" s="14" t="s">
        <v>2296</v>
      </c>
      <c r="C1151" s="20" t="s">
        <v>2297</v>
      </c>
      <c r="D1151" s="20" t="s">
        <v>2297</v>
      </c>
      <c r="E1151" s="20" t="s">
        <v>2297</v>
      </c>
      <c r="F1151" s="20" t="s">
        <v>2297</v>
      </c>
      <c r="G1151">
        <v>8.26</v>
      </c>
      <c r="H1151" s="1">
        <v>15.73</v>
      </c>
      <c r="I1151">
        <f t="shared" si="68"/>
        <v>9.499</v>
      </c>
      <c r="J1151">
        <f t="shared" si="69"/>
        <v>9.912</v>
      </c>
      <c r="K1151">
        <f t="shared" si="70"/>
        <v>10.738</v>
      </c>
      <c r="L1151">
        <f t="shared" si="71"/>
        <v>11.564</v>
      </c>
    </row>
    <row r="1152" spans="1:12">
      <c r="A1152" t="s">
        <v>13</v>
      </c>
      <c r="B1152" s="14" t="s">
        <v>2298</v>
      </c>
      <c r="C1152" s="20" t="s">
        <v>2299</v>
      </c>
      <c r="D1152" s="20" t="s">
        <v>2299</v>
      </c>
      <c r="E1152" s="20" t="s">
        <v>2299</v>
      </c>
      <c r="F1152" s="20" t="s">
        <v>2299</v>
      </c>
      <c r="G1152">
        <v>11.98</v>
      </c>
      <c r="H1152" s="1">
        <v>22.83</v>
      </c>
      <c r="I1152">
        <f t="shared" si="68"/>
        <v>13.777</v>
      </c>
      <c r="J1152">
        <f t="shared" si="69"/>
        <v>14.376</v>
      </c>
      <c r="K1152">
        <f t="shared" si="70"/>
        <v>15.574</v>
      </c>
      <c r="L1152">
        <f t="shared" si="71"/>
        <v>16.772</v>
      </c>
    </row>
    <row r="1153" spans="1:12">
      <c r="A1153" t="s">
        <v>13</v>
      </c>
      <c r="B1153" s="14" t="s">
        <v>2300</v>
      </c>
      <c r="C1153" s="20" t="s">
        <v>2301</v>
      </c>
      <c r="D1153" s="20" t="s">
        <v>2301</v>
      </c>
      <c r="E1153" s="20" t="s">
        <v>2301</v>
      </c>
      <c r="F1153" s="20" t="s">
        <v>2301</v>
      </c>
      <c r="G1153">
        <v>8.26</v>
      </c>
      <c r="H1153" s="1">
        <v>15.73</v>
      </c>
      <c r="I1153">
        <f t="shared" si="68"/>
        <v>9.499</v>
      </c>
      <c r="J1153">
        <f t="shared" si="69"/>
        <v>9.912</v>
      </c>
      <c r="K1153">
        <f t="shared" si="70"/>
        <v>10.738</v>
      </c>
      <c r="L1153">
        <f t="shared" si="71"/>
        <v>11.564</v>
      </c>
    </row>
    <row r="1154" spans="1:12">
      <c r="A1154" t="s">
        <v>13</v>
      </c>
      <c r="B1154" s="14" t="s">
        <v>2302</v>
      </c>
      <c r="C1154" s="20" t="s">
        <v>2303</v>
      </c>
      <c r="D1154" s="20" t="s">
        <v>2303</v>
      </c>
      <c r="E1154" s="20" t="s">
        <v>2303</v>
      </c>
      <c r="F1154" s="20" t="s">
        <v>2303</v>
      </c>
      <c r="G1154">
        <v>8.89</v>
      </c>
      <c r="H1154" s="1">
        <v>16.95</v>
      </c>
      <c r="I1154">
        <f t="shared" ref="I1154:I1217" si="72">G1154*1.15</f>
        <v>10.2235</v>
      </c>
      <c r="J1154">
        <f t="shared" ref="J1154:J1217" si="73">G1154*1.2</f>
        <v>10.668</v>
      </c>
      <c r="K1154">
        <f t="shared" ref="K1154:K1217" si="74">G1154*1.3</f>
        <v>11.557</v>
      </c>
      <c r="L1154">
        <f t="shared" ref="L1154:L1217" si="75">G1154*1.4</f>
        <v>12.446</v>
      </c>
    </row>
    <row r="1155" spans="1:12">
      <c r="A1155" t="s">
        <v>13</v>
      </c>
      <c r="B1155" s="14" t="s">
        <v>2304</v>
      </c>
      <c r="C1155" s="20" t="s">
        <v>2305</v>
      </c>
      <c r="D1155" s="20" t="s">
        <v>2305</v>
      </c>
      <c r="E1155" s="20" t="s">
        <v>2305</v>
      </c>
      <c r="F1155" s="20" t="s">
        <v>2305</v>
      </c>
      <c r="G1155">
        <v>6.23</v>
      </c>
      <c r="H1155" s="1">
        <v>11.86</v>
      </c>
      <c r="I1155">
        <f t="shared" si="72"/>
        <v>7.1645</v>
      </c>
      <c r="J1155">
        <f t="shared" si="73"/>
        <v>7.476</v>
      </c>
      <c r="K1155">
        <f t="shared" si="74"/>
        <v>8.099</v>
      </c>
      <c r="L1155">
        <f t="shared" si="75"/>
        <v>8.722</v>
      </c>
    </row>
    <row r="1156" spans="1:12">
      <c r="A1156" t="s">
        <v>13</v>
      </c>
      <c r="B1156" s="14" t="s">
        <v>2306</v>
      </c>
      <c r="C1156" s="20" t="s">
        <v>2307</v>
      </c>
      <c r="D1156" s="20" t="s">
        <v>2307</v>
      </c>
      <c r="E1156" s="20" t="s">
        <v>2307</v>
      </c>
      <c r="F1156" s="20" t="s">
        <v>2307</v>
      </c>
      <c r="G1156">
        <v>2.81</v>
      </c>
      <c r="H1156" s="1">
        <v>5.35</v>
      </c>
      <c r="I1156">
        <f t="shared" si="72"/>
        <v>3.2315</v>
      </c>
      <c r="J1156">
        <f t="shared" si="73"/>
        <v>3.372</v>
      </c>
      <c r="K1156">
        <f t="shared" si="74"/>
        <v>3.653</v>
      </c>
      <c r="L1156">
        <f t="shared" si="75"/>
        <v>3.934</v>
      </c>
    </row>
    <row r="1157" spans="1:12">
      <c r="A1157" t="s">
        <v>13</v>
      </c>
      <c r="B1157" s="14" t="s">
        <v>2308</v>
      </c>
      <c r="C1157" s="20" t="s">
        <v>2309</v>
      </c>
      <c r="D1157" s="20" t="s">
        <v>2309</v>
      </c>
      <c r="E1157" s="20" t="s">
        <v>2309</v>
      </c>
      <c r="F1157" s="20" t="s">
        <v>2309</v>
      </c>
      <c r="G1157">
        <v>11.97</v>
      </c>
      <c r="H1157" s="1">
        <v>22.81</v>
      </c>
      <c r="I1157">
        <f t="shared" si="72"/>
        <v>13.7655</v>
      </c>
      <c r="J1157">
        <f t="shared" si="73"/>
        <v>14.364</v>
      </c>
      <c r="K1157">
        <f t="shared" si="74"/>
        <v>15.561</v>
      </c>
      <c r="L1157">
        <f t="shared" si="75"/>
        <v>16.758</v>
      </c>
    </row>
    <row r="1158" spans="1:12">
      <c r="A1158" t="s">
        <v>13</v>
      </c>
      <c r="B1158" s="14" t="s">
        <v>2310</v>
      </c>
      <c r="C1158" s="20" t="s">
        <v>2311</v>
      </c>
      <c r="D1158" s="20" t="s">
        <v>2311</v>
      </c>
      <c r="E1158" s="20" t="s">
        <v>2311</v>
      </c>
      <c r="F1158" s="20" t="s">
        <v>2311</v>
      </c>
      <c r="G1158">
        <v>12.58</v>
      </c>
      <c r="H1158" s="1">
        <v>23.97</v>
      </c>
      <c r="I1158">
        <f t="shared" si="72"/>
        <v>14.467</v>
      </c>
      <c r="J1158">
        <f t="shared" si="73"/>
        <v>15.096</v>
      </c>
      <c r="K1158">
        <f t="shared" si="74"/>
        <v>16.354</v>
      </c>
      <c r="L1158">
        <f t="shared" si="75"/>
        <v>17.612</v>
      </c>
    </row>
    <row r="1159" spans="1:12">
      <c r="A1159" t="s">
        <v>13</v>
      </c>
      <c r="B1159" s="14" t="s">
        <v>2312</v>
      </c>
      <c r="C1159" s="20" t="s">
        <v>2313</v>
      </c>
      <c r="D1159" s="20" t="s">
        <v>2313</v>
      </c>
      <c r="E1159" s="20" t="s">
        <v>2313</v>
      </c>
      <c r="F1159" s="20" t="s">
        <v>2313</v>
      </c>
      <c r="G1159">
        <v>11.98</v>
      </c>
      <c r="H1159" s="1">
        <v>22.83</v>
      </c>
      <c r="I1159">
        <f t="shared" si="72"/>
        <v>13.777</v>
      </c>
      <c r="J1159">
        <f t="shared" si="73"/>
        <v>14.376</v>
      </c>
      <c r="K1159">
        <f t="shared" si="74"/>
        <v>15.574</v>
      </c>
      <c r="L1159">
        <f t="shared" si="75"/>
        <v>16.772</v>
      </c>
    </row>
    <row r="1160" spans="1:12">
      <c r="A1160" t="s">
        <v>13</v>
      </c>
      <c r="B1160" s="14" t="s">
        <v>2314</v>
      </c>
      <c r="C1160" s="20" t="s">
        <v>2315</v>
      </c>
      <c r="D1160" s="20" t="s">
        <v>2315</v>
      </c>
      <c r="E1160" s="20" t="s">
        <v>2315</v>
      </c>
      <c r="F1160" s="20" t="s">
        <v>2315</v>
      </c>
      <c r="G1160">
        <v>11.97</v>
      </c>
      <c r="H1160" s="1">
        <v>22.81</v>
      </c>
      <c r="I1160">
        <f t="shared" si="72"/>
        <v>13.7655</v>
      </c>
      <c r="J1160">
        <f t="shared" si="73"/>
        <v>14.364</v>
      </c>
      <c r="K1160">
        <f t="shared" si="74"/>
        <v>15.561</v>
      </c>
      <c r="L1160">
        <f t="shared" si="75"/>
        <v>16.758</v>
      </c>
    </row>
    <row r="1161" spans="1:12">
      <c r="A1161" t="s">
        <v>13</v>
      </c>
      <c r="B1161" s="14" t="s">
        <v>2316</v>
      </c>
      <c r="C1161" s="20" t="s">
        <v>2317</v>
      </c>
      <c r="D1161" s="20" t="s">
        <v>2317</v>
      </c>
      <c r="E1161" s="20" t="s">
        <v>2317</v>
      </c>
      <c r="F1161" s="20" t="s">
        <v>2317</v>
      </c>
      <c r="G1161">
        <v>11.98</v>
      </c>
      <c r="H1161" s="1">
        <v>22.83</v>
      </c>
      <c r="I1161">
        <f t="shared" si="72"/>
        <v>13.777</v>
      </c>
      <c r="J1161">
        <f t="shared" si="73"/>
        <v>14.376</v>
      </c>
      <c r="K1161">
        <f t="shared" si="74"/>
        <v>15.574</v>
      </c>
      <c r="L1161">
        <f t="shared" si="75"/>
        <v>16.772</v>
      </c>
    </row>
    <row r="1162" spans="1:12">
      <c r="A1162" t="s">
        <v>13</v>
      </c>
      <c r="B1162" s="14" t="s">
        <v>2318</v>
      </c>
      <c r="C1162" s="20" t="s">
        <v>2319</v>
      </c>
      <c r="D1162" s="20" t="s">
        <v>2319</v>
      </c>
      <c r="E1162" s="20" t="s">
        <v>2319</v>
      </c>
      <c r="F1162" s="20" t="s">
        <v>2319</v>
      </c>
      <c r="G1162">
        <v>11.97</v>
      </c>
      <c r="H1162" s="1">
        <v>22.81</v>
      </c>
      <c r="I1162">
        <f t="shared" si="72"/>
        <v>13.7655</v>
      </c>
      <c r="J1162">
        <f t="shared" si="73"/>
        <v>14.364</v>
      </c>
      <c r="K1162">
        <f t="shared" si="74"/>
        <v>15.561</v>
      </c>
      <c r="L1162">
        <f t="shared" si="75"/>
        <v>16.758</v>
      </c>
    </row>
    <row r="1163" spans="1:12">
      <c r="A1163" t="s">
        <v>13</v>
      </c>
      <c r="B1163" s="14" t="s">
        <v>2320</v>
      </c>
      <c r="C1163" s="20" t="s">
        <v>2321</v>
      </c>
      <c r="D1163" s="20" t="s">
        <v>2321</v>
      </c>
      <c r="E1163" s="20" t="s">
        <v>2321</v>
      </c>
      <c r="F1163" s="20" t="s">
        <v>2321</v>
      </c>
      <c r="G1163">
        <v>6.22</v>
      </c>
      <c r="H1163" s="1">
        <v>11.85</v>
      </c>
      <c r="I1163">
        <f t="shared" si="72"/>
        <v>7.153</v>
      </c>
      <c r="J1163">
        <f t="shared" si="73"/>
        <v>7.464</v>
      </c>
      <c r="K1163">
        <f t="shared" si="74"/>
        <v>8.086</v>
      </c>
      <c r="L1163">
        <f t="shared" si="75"/>
        <v>8.708</v>
      </c>
    </row>
    <row r="1164" spans="1:12">
      <c r="A1164" t="s">
        <v>13</v>
      </c>
      <c r="B1164" s="14" t="s">
        <v>2322</v>
      </c>
      <c r="C1164" s="20" t="s">
        <v>2323</v>
      </c>
      <c r="D1164" s="20" t="s">
        <v>2323</v>
      </c>
      <c r="E1164" s="20" t="s">
        <v>2323</v>
      </c>
      <c r="F1164" s="20" t="s">
        <v>2323</v>
      </c>
      <c r="G1164">
        <v>8.91</v>
      </c>
      <c r="H1164" s="1">
        <v>16.97</v>
      </c>
      <c r="I1164">
        <f t="shared" si="72"/>
        <v>10.2465</v>
      </c>
      <c r="J1164">
        <f t="shared" si="73"/>
        <v>10.692</v>
      </c>
      <c r="K1164">
        <f t="shared" si="74"/>
        <v>11.583</v>
      </c>
      <c r="L1164">
        <f t="shared" si="75"/>
        <v>12.474</v>
      </c>
    </row>
    <row r="1165" spans="1:12">
      <c r="A1165" t="s">
        <v>13</v>
      </c>
      <c r="B1165" s="14" t="s">
        <v>2324</v>
      </c>
      <c r="C1165" s="20" t="s">
        <v>2325</v>
      </c>
      <c r="D1165" s="20" t="s">
        <v>2325</v>
      </c>
      <c r="E1165" s="20" t="s">
        <v>2325</v>
      </c>
      <c r="F1165" s="20" t="s">
        <v>2325</v>
      </c>
      <c r="G1165">
        <v>6.22</v>
      </c>
      <c r="H1165" s="1">
        <v>11.85</v>
      </c>
      <c r="I1165">
        <f t="shared" si="72"/>
        <v>7.153</v>
      </c>
      <c r="J1165">
        <f t="shared" si="73"/>
        <v>7.464</v>
      </c>
      <c r="K1165">
        <f t="shared" si="74"/>
        <v>8.086</v>
      </c>
      <c r="L1165">
        <f t="shared" si="75"/>
        <v>8.708</v>
      </c>
    </row>
    <row r="1166" spans="1:12">
      <c r="A1166" t="s">
        <v>13</v>
      </c>
      <c r="B1166" s="14" t="s">
        <v>2326</v>
      </c>
      <c r="C1166" s="20" t="s">
        <v>2327</v>
      </c>
      <c r="D1166" s="20" t="s">
        <v>2327</v>
      </c>
      <c r="E1166" s="20" t="s">
        <v>2327</v>
      </c>
      <c r="F1166" s="20" t="s">
        <v>2327</v>
      </c>
      <c r="G1166">
        <v>6.22</v>
      </c>
      <c r="H1166" s="1">
        <v>11.85</v>
      </c>
      <c r="I1166">
        <f t="shared" si="72"/>
        <v>7.153</v>
      </c>
      <c r="J1166">
        <f t="shared" si="73"/>
        <v>7.464</v>
      </c>
      <c r="K1166">
        <f t="shared" si="74"/>
        <v>8.086</v>
      </c>
      <c r="L1166">
        <f t="shared" si="75"/>
        <v>8.708</v>
      </c>
    </row>
    <row r="1167" spans="1:12">
      <c r="A1167" t="s">
        <v>13</v>
      </c>
      <c r="B1167" s="14" t="s">
        <v>2328</v>
      </c>
      <c r="C1167" s="20" t="s">
        <v>2329</v>
      </c>
      <c r="D1167" s="20" t="s">
        <v>2329</v>
      </c>
      <c r="E1167" s="20" t="s">
        <v>2329</v>
      </c>
      <c r="F1167" s="20" t="s">
        <v>2329</v>
      </c>
      <c r="G1167">
        <v>6.22</v>
      </c>
      <c r="H1167" s="1">
        <v>11.85</v>
      </c>
      <c r="I1167">
        <f t="shared" si="72"/>
        <v>7.153</v>
      </c>
      <c r="J1167">
        <f t="shared" si="73"/>
        <v>7.464</v>
      </c>
      <c r="K1167">
        <f t="shared" si="74"/>
        <v>8.086</v>
      </c>
      <c r="L1167">
        <f t="shared" si="75"/>
        <v>8.708</v>
      </c>
    </row>
    <row r="1168" spans="1:12">
      <c r="A1168" t="s">
        <v>13</v>
      </c>
      <c r="B1168" s="14" t="s">
        <v>2330</v>
      </c>
      <c r="C1168" s="20" t="s">
        <v>2331</v>
      </c>
      <c r="D1168" s="20" t="s">
        <v>2331</v>
      </c>
      <c r="E1168" s="20" t="s">
        <v>2331</v>
      </c>
      <c r="F1168" s="20" t="s">
        <v>2331</v>
      </c>
      <c r="G1168">
        <v>8.26</v>
      </c>
      <c r="H1168" s="1">
        <v>15.73</v>
      </c>
      <c r="I1168">
        <f t="shared" si="72"/>
        <v>9.499</v>
      </c>
      <c r="J1168">
        <f t="shared" si="73"/>
        <v>9.912</v>
      </c>
      <c r="K1168">
        <f t="shared" si="74"/>
        <v>10.738</v>
      </c>
      <c r="L1168">
        <f t="shared" si="75"/>
        <v>11.564</v>
      </c>
    </row>
    <row r="1169" spans="1:12">
      <c r="A1169" t="s">
        <v>13</v>
      </c>
      <c r="B1169" s="14" t="s">
        <v>2332</v>
      </c>
      <c r="C1169" s="20" t="s">
        <v>2333</v>
      </c>
      <c r="D1169" s="20" t="s">
        <v>2333</v>
      </c>
      <c r="E1169" s="20" t="s">
        <v>2333</v>
      </c>
      <c r="F1169" s="20" t="s">
        <v>2333</v>
      </c>
      <c r="G1169">
        <v>4.77</v>
      </c>
      <c r="H1169" s="1">
        <v>9.08</v>
      </c>
      <c r="I1169">
        <f t="shared" si="72"/>
        <v>5.4855</v>
      </c>
      <c r="J1169">
        <f t="shared" si="73"/>
        <v>5.724</v>
      </c>
      <c r="K1169">
        <f t="shared" si="74"/>
        <v>6.201</v>
      </c>
      <c r="L1169">
        <f t="shared" si="75"/>
        <v>6.678</v>
      </c>
    </row>
    <row r="1170" spans="1:12">
      <c r="A1170" t="s">
        <v>13</v>
      </c>
      <c r="B1170" s="14" t="s">
        <v>2334</v>
      </c>
      <c r="C1170" s="20" t="s">
        <v>2335</v>
      </c>
      <c r="D1170" s="20" t="s">
        <v>2335</v>
      </c>
      <c r="E1170" s="20" t="s">
        <v>2335</v>
      </c>
      <c r="F1170" s="20" t="s">
        <v>2335</v>
      </c>
      <c r="G1170">
        <v>9.11</v>
      </c>
      <c r="H1170" s="1">
        <v>17.34</v>
      </c>
      <c r="I1170">
        <f t="shared" si="72"/>
        <v>10.4765</v>
      </c>
      <c r="J1170">
        <f t="shared" si="73"/>
        <v>10.932</v>
      </c>
      <c r="K1170">
        <f t="shared" si="74"/>
        <v>11.843</v>
      </c>
      <c r="L1170">
        <f t="shared" si="75"/>
        <v>12.754</v>
      </c>
    </row>
    <row r="1171" spans="1:12">
      <c r="A1171" t="s">
        <v>13</v>
      </c>
      <c r="B1171" s="14" t="s">
        <v>2336</v>
      </c>
      <c r="C1171" s="20" t="s">
        <v>2337</v>
      </c>
      <c r="D1171" s="20" t="s">
        <v>2337</v>
      </c>
      <c r="E1171" s="20" t="s">
        <v>2337</v>
      </c>
      <c r="F1171" s="20" t="s">
        <v>2337</v>
      </c>
      <c r="G1171">
        <v>7.5</v>
      </c>
      <c r="H1171" s="1">
        <v>14.29</v>
      </c>
      <c r="I1171">
        <f t="shared" si="72"/>
        <v>8.625</v>
      </c>
      <c r="J1171">
        <f t="shared" si="73"/>
        <v>9</v>
      </c>
      <c r="K1171">
        <f t="shared" si="74"/>
        <v>9.75</v>
      </c>
      <c r="L1171">
        <f t="shared" si="75"/>
        <v>10.5</v>
      </c>
    </row>
    <row r="1172" spans="1:12">
      <c r="A1172" t="s">
        <v>13</v>
      </c>
      <c r="B1172" s="14" t="s">
        <v>2338</v>
      </c>
      <c r="C1172" s="20" t="s">
        <v>2339</v>
      </c>
      <c r="D1172" s="20" t="s">
        <v>2339</v>
      </c>
      <c r="E1172" s="20" t="s">
        <v>2339</v>
      </c>
      <c r="F1172" s="20" t="s">
        <v>2339</v>
      </c>
      <c r="G1172">
        <v>41.09</v>
      </c>
      <c r="H1172" s="1">
        <v>78.34</v>
      </c>
      <c r="I1172">
        <f t="shared" si="72"/>
        <v>47.2535</v>
      </c>
      <c r="J1172">
        <f t="shared" si="73"/>
        <v>49.308</v>
      </c>
      <c r="K1172">
        <f t="shared" si="74"/>
        <v>53.417</v>
      </c>
      <c r="L1172">
        <f t="shared" si="75"/>
        <v>57.526</v>
      </c>
    </row>
    <row r="1173" spans="1:12">
      <c r="A1173" t="s">
        <v>13</v>
      </c>
      <c r="B1173" s="14" t="s">
        <v>2340</v>
      </c>
      <c r="C1173" s="20" t="s">
        <v>2341</v>
      </c>
      <c r="D1173" s="20" t="s">
        <v>2341</v>
      </c>
      <c r="E1173" s="20" t="s">
        <v>2341</v>
      </c>
      <c r="F1173" s="20" t="s">
        <v>2341</v>
      </c>
      <c r="G1173">
        <v>11.98</v>
      </c>
      <c r="H1173" s="1">
        <v>22.83</v>
      </c>
      <c r="I1173">
        <f t="shared" si="72"/>
        <v>13.777</v>
      </c>
      <c r="J1173">
        <f t="shared" si="73"/>
        <v>14.376</v>
      </c>
      <c r="K1173">
        <f t="shared" si="74"/>
        <v>15.574</v>
      </c>
      <c r="L1173">
        <f t="shared" si="75"/>
        <v>16.772</v>
      </c>
    </row>
    <row r="1174" spans="1:12">
      <c r="A1174" t="s">
        <v>13</v>
      </c>
      <c r="B1174" s="14" t="s">
        <v>2342</v>
      </c>
      <c r="C1174" s="20" t="s">
        <v>2343</v>
      </c>
      <c r="D1174" s="20" t="s">
        <v>2343</v>
      </c>
      <c r="E1174" s="20" t="s">
        <v>2343</v>
      </c>
      <c r="F1174" s="20" t="s">
        <v>2343</v>
      </c>
      <c r="G1174">
        <v>11.98</v>
      </c>
      <c r="H1174" s="1">
        <v>22.83</v>
      </c>
      <c r="I1174">
        <f t="shared" si="72"/>
        <v>13.777</v>
      </c>
      <c r="J1174">
        <f t="shared" si="73"/>
        <v>14.376</v>
      </c>
      <c r="K1174">
        <f t="shared" si="74"/>
        <v>15.574</v>
      </c>
      <c r="L1174">
        <f t="shared" si="75"/>
        <v>16.772</v>
      </c>
    </row>
    <row r="1175" spans="1:12">
      <c r="A1175" t="s">
        <v>13</v>
      </c>
      <c r="B1175" s="14" t="s">
        <v>2344</v>
      </c>
      <c r="C1175" s="20" t="s">
        <v>2345</v>
      </c>
      <c r="D1175" s="20" t="s">
        <v>2345</v>
      </c>
      <c r="E1175" s="20" t="s">
        <v>2345</v>
      </c>
      <c r="F1175" s="20" t="s">
        <v>2345</v>
      </c>
      <c r="G1175">
        <v>11.97</v>
      </c>
      <c r="H1175" s="1">
        <v>22.81</v>
      </c>
      <c r="I1175">
        <f t="shared" si="72"/>
        <v>13.7655</v>
      </c>
      <c r="J1175">
        <f t="shared" si="73"/>
        <v>14.364</v>
      </c>
      <c r="K1175">
        <f t="shared" si="74"/>
        <v>15.561</v>
      </c>
      <c r="L1175">
        <f t="shared" si="75"/>
        <v>16.758</v>
      </c>
    </row>
    <row r="1176" spans="1:12">
      <c r="A1176" t="s">
        <v>13</v>
      </c>
      <c r="B1176" s="14" t="s">
        <v>2346</v>
      </c>
      <c r="C1176" s="20" t="s">
        <v>2347</v>
      </c>
      <c r="D1176" s="20" t="s">
        <v>2347</v>
      </c>
      <c r="E1176" s="20" t="s">
        <v>2347</v>
      </c>
      <c r="F1176" s="20" t="s">
        <v>2347</v>
      </c>
      <c r="G1176">
        <v>8.19</v>
      </c>
      <c r="H1176" s="1">
        <v>15.59</v>
      </c>
      <c r="I1176">
        <f t="shared" si="72"/>
        <v>9.4185</v>
      </c>
      <c r="J1176">
        <f t="shared" si="73"/>
        <v>9.828</v>
      </c>
      <c r="K1176">
        <f t="shared" si="74"/>
        <v>10.647</v>
      </c>
      <c r="L1176">
        <f t="shared" si="75"/>
        <v>11.466</v>
      </c>
    </row>
    <row r="1177" spans="1:12">
      <c r="A1177" t="s">
        <v>13</v>
      </c>
      <c r="B1177" s="14" t="s">
        <v>2348</v>
      </c>
      <c r="C1177" s="20" t="s">
        <v>2349</v>
      </c>
      <c r="D1177" s="20" t="s">
        <v>2349</v>
      </c>
      <c r="E1177" s="20" t="s">
        <v>2349</v>
      </c>
      <c r="F1177" s="20" t="s">
        <v>2349</v>
      </c>
      <c r="G1177">
        <v>11.87</v>
      </c>
      <c r="H1177" s="1">
        <v>22.6</v>
      </c>
      <c r="I1177">
        <f t="shared" si="72"/>
        <v>13.6505</v>
      </c>
      <c r="J1177">
        <f t="shared" si="73"/>
        <v>14.244</v>
      </c>
      <c r="K1177">
        <f t="shared" si="74"/>
        <v>15.431</v>
      </c>
      <c r="L1177">
        <f t="shared" si="75"/>
        <v>16.618</v>
      </c>
    </row>
    <row r="1178" spans="1:12">
      <c r="A1178" t="s">
        <v>13</v>
      </c>
      <c r="B1178" s="14" t="s">
        <v>2350</v>
      </c>
      <c r="C1178" s="20" t="s">
        <v>2351</v>
      </c>
      <c r="D1178" s="20" t="s">
        <v>2351</v>
      </c>
      <c r="E1178" s="20" t="s">
        <v>2351</v>
      </c>
      <c r="F1178" s="20" t="s">
        <v>2351</v>
      </c>
      <c r="G1178">
        <v>11.98</v>
      </c>
      <c r="H1178" s="1">
        <v>22.83</v>
      </c>
      <c r="I1178">
        <f t="shared" si="72"/>
        <v>13.777</v>
      </c>
      <c r="J1178">
        <f t="shared" si="73"/>
        <v>14.376</v>
      </c>
      <c r="K1178">
        <f t="shared" si="74"/>
        <v>15.574</v>
      </c>
      <c r="L1178">
        <f t="shared" si="75"/>
        <v>16.772</v>
      </c>
    </row>
    <row r="1179" spans="1:12">
      <c r="A1179" t="s">
        <v>13</v>
      </c>
      <c r="B1179" s="14" t="s">
        <v>2352</v>
      </c>
      <c r="C1179" s="20" t="s">
        <v>2353</v>
      </c>
      <c r="D1179" s="20" t="s">
        <v>2353</v>
      </c>
      <c r="E1179" s="20" t="s">
        <v>2353</v>
      </c>
      <c r="F1179" s="20" t="s">
        <v>2353</v>
      </c>
      <c r="G1179">
        <v>11.97</v>
      </c>
      <c r="H1179" s="1">
        <v>22.81</v>
      </c>
      <c r="I1179">
        <f t="shared" si="72"/>
        <v>13.7655</v>
      </c>
      <c r="J1179">
        <f t="shared" si="73"/>
        <v>14.364</v>
      </c>
      <c r="K1179">
        <f t="shared" si="74"/>
        <v>15.561</v>
      </c>
      <c r="L1179">
        <f t="shared" si="75"/>
        <v>16.758</v>
      </c>
    </row>
    <row r="1180" spans="1:12">
      <c r="A1180" t="s">
        <v>13</v>
      </c>
      <c r="B1180" s="14" t="s">
        <v>2354</v>
      </c>
      <c r="C1180" s="20" t="s">
        <v>2355</v>
      </c>
      <c r="D1180" s="20" t="s">
        <v>2355</v>
      </c>
      <c r="E1180" s="20" t="s">
        <v>2355</v>
      </c>
      <c r="F1180" s="20" t="s">
        <v>2355</v>
      </c>
      <c r="G1180">
        <v>11.98</v>
      </c>
      <c r="H1180" s="1">
        <v>22.81</v>
      </c>
      <c r="I1180">
        <f t="shared" si="72"/>
        <v>13.777</v>
      </c>
      <c r="J1180">
        <f t="shared" si="73"/>
        <v>14.376</v>
      </c>
      <c r="K1180">
        <f t="shared" si="74"/>
        <v>15.574</v>
      </c>
      <c r="L1180">
        <f t="shared" si="75"/>
        <v>16.772</v>
      </c>
    </row>
    <row r="1181" spans="1:12">
      <c r="A1181" t="s">
        <v>13</v>
      </c>
      <c r="B1181" s="14" t="s">
        <v>2356</v>
      </c>
      <c r="C1181" s="20" t="s">
        <v>2357</v>
      </c>
      <c r="D1181" s="20" t="s">
        <v>2357</v>
      </c>
      <c r="E1181" s="20" t="s">
        <v>2357</v>
      </c>
      <c r="F1181" s="20" t="s">
        <v>2357</v>
      </c>
      <c r="G1181">
        <v>12.48</v>
      </c>
      <c r="H1181" s="1">
        <v>23.77</v>
      </c>
      <c r="I1181">
        <f t="shared" si="72"/>
        <v>14.352</v>
      </c>
      <c r="J1181">
        <f t="shared" si="73"/>
        <v>14.976</v>
      </c>
      <c r="K1181">
        <f t="shared" si="74"/>
        <v>16.224</v>
      </c>
      <c r="L1181">
        <f t="shared" si="75"/>
        <v>17.472</v>
      </c>
    </row>
    <row r="1182" spans="1:12">
      <c r="A1182" t="s">
        <v>13</v>
      </c>
      <c r="B1182" s="14" t="s">
        <v>2358</v>
      </c>
      <c r="C1182" s="20" t="s">
        <v>2359</v>
      </c>
      <c r="D1182" s="20" t="s">
        <v>2359</v>
      </c>
      <c r="E1182" s="20" t="s">
        <v>2359</v>
      </c>
      <c r="F1182" s="20" t="s">
        <v>2359</v>
      </c>
      <c r="G1182">
        <v>8.26</v>
      </c>
      <c r="H1182" s="1">
        <v>15.73</v>
      </c>
      <c r="I1182">
        <f t="shared" si="72"/>
        <v>9.499</v>
      </c>
      <c r="J1182">
        <f t="shared" si="73"/>
        <v>9.912</v>
      </c>
      <c r="K1182">
        <f t="shared" si="74"/>
        <v>10.738</v>
      </c>
      <c r="L1182">
        <f t="shared" si="75"/>
        <v>11.564</v>
      </c>
    </row>
    <row r="1183" spans="1:12">
      <c r="A1183" t="s">
        <v>13</v>
      </c>
      <c r="B1183" s="14" t="s">
        <v>2360</v>
      </c>
      <c r="C1183" s="20" t="s">
        <v>2361</v>
      </c>
      <c r="D1183" s="20" t="s">
        <v>2361</v>
      </c>
      <c r="E1183" s="20" t="s">
        <v>2361</v>
      </c>
      <c r="F1183" s="20" t="s">
        <v>2361</v>
      </c>
      <c r="G1183">
        <v>11.97</v>
      </c>
      <c r="H1183" s="1">
        <v>22.81</v>
      </c>
      <c r="I1183">
        <f t="shared" si="72"/>
        <v>13.7655</v>
      </c>
      <c r="J1183">
        <f t="shared" si="73"/>
        <v>14.364</v>
      </c>
      <c r="K1183">
        <f t="shared" si="74"/>
        <v>15.561</v>
      </c>
      <c r="L1183">
        <f t="shared" si="75"/>
        <v>16.758</v>
      </c>
    </row>
    <row r="1184" spans="1:12">
      <c r="A1184" t="s">
        <v>13</v>
      </c>
      <c r="B1184" s="14" t="s">
        <v>2362</v>
      </c>
      <c r="C1184" s="20" t="s">
        <v>2363</v>
      </c>
      <c r="D1184" s="20" t="s">
        <v>2363</v>
      </c>
      <c r="E1184" s="20" t="s">
        <v>2363</v>
      </c>
      <c r="F1184" s="20" t="s">
        <v>2363</v>
      </c>
      <c r="G1184">
        <v>3.61</v>
      </c>
      <c r="H1184" s="1">
        <v>6.88</v>
      </c>
      <c r="I1184">
        <f t="shared" si="72"/>
        <v>4.1515</v>
      </c>
      <c r="J1184">
        <f t="shared" si="73"/>
        <v>4.332</v>
      </c>
      <c r="K1184">
        <f t="shared" si="74"/>
        <v>4.693</v>
      </c>
      <c r="L1184">
        <f t="shared" si="75"/>
        <v>5.054</v>
      </c>
    </row>
    <row r="1185" spans="1:12">
      <c r="A1185" t="s">
        <v>13</v>
      </c>
      <c r="B1185" s="14" t="s">
        <v>2364</v>
      </c>
      <c r="C1185" s="20" t="s">
        <v>2365</v>
      </c>
      <c r="D1185" s="20" t="s">
        <v>2365</v>
      </c>
      <c r="E1185" s="20" t="s">
        <v>2365</v>
      </c>
      <c r="F1185" s="20" t="s">
        <v>2365</v>
      </c>
      <c r="G1185">
        <v>3.62</v>
      </c>
      <c r="H1185" s="1">
        <v>6.91</v>
      </c>
      <c r="I1185">
        <f t="shared" si="72"/>
        <v>4.163</v>
      </c>
      <c r="J1185">
        <f t="shared" si="73"/>
        <v>4.344</v>
      </c>
      <c r="K1185">
        <f t="shared" si="74"/>
        <v>4.706</v>
      </c>
      <c r="L1185">
        <f t="shared" si="75"/>
        <v>5.068</v>
      </c>
    </row>
    <row r="1186" spans="1:12">
      <c r="A1186" t="s">
        <v>13</v>
      </c>
      <c r="B1186" s="14" t="s">
        <v>2366</v>
      </c>
      <c r="C1186" s="20" t="s">
        <v>2367</v>
      </c>
      <c r="D1186" s="20" t="s">
        <v>2367</v>
      </c>
      <c r="E1186" s="20" t="s">
        <v>2367</v>
      </c>
      <c r="F1186" s="20" t="s">
        <v>2367</v>
      </c>
      <c r="G1186">
        <v>13.92</v>
      </c>
      <c r="H1186" s="1">
        <v>26.51</v>
      </c>
      <c r="I1186">
        <f t="shared" si="72"/>
        <v>16.008</v>
      </c>
      <c r="J1186">
        <f t="shared" si="73"/>
        <v>16.704</v>
      </c>
      <c r="K1186">
        <f t="shared" si="74"/>
        <v>18.096</v>
      </c>
      <c r="L1186">
        <f t="shared" si="75"/>
        <v>19.488</v>
      </c>
    </row>
    <row r="1187" spans="1:12">
      <c r="A1187" t="s">
        <v>13</v>
      </c>
      <c r="B1187" s="14" t="s">
        <v>2368</v>
      </c>
      <c r="C1187" s="20" t="s">
        <v>2369</v>
      </c>
      <c r="D1187" s="20" t="s">
        <v>2369</v>
      </c>
      <c r="E1187" s="20" t="s">
        <v>2369</v>
      </c>
      <c r="F1187" s="20" t="s">
        <v>2369</v>
      </c>
      <c r="G1187">
        <v>3.18</v>
      </c>
      <c r="H1187" s="1">
        <v>6.05</v>
      </c>
      <c r="I1187">
        <f t="shared" si="72"/>
        <v>3.657</v>
      </c>
      <c r="J1187">
        <f t="shared" si="73"/>
        <v>3.816</v>
      </c>
      <c r="K1187">
        <f t="shared" si="74"/>
        <v>4.134</v>
      </c>
      <c r="L1187">
        <f t="shared" si="75"/>
        <v>4.452</v>
      </c>
    </row>
    <row r="1188" spans="1:12">
      <c r="A1188" t="s">
        <v>13</v>
      </c>
      <c r="B1188" s="14" t="s">
        <v>2370</v>
      </c>
      <c r="C1188" s="20" t="s">
        <v>2371</v>
      </c>
      <c r="D1188" s="20" t="s">
        <v>2371</v>
      </c>
      <c r="E1188" s="20" t="s">
        <v>2371</v>
      </c>
      <c r="F1188" s="20" t="s">
        <v>2371</v>
      </c>
      <c r="G1188">
        <v>3.19</v>
      </c>
      <c r="H1188" s="1">
        <v>6.09</v>
      </c>
      <c r="I1188">
        <f t="shared" si="72"/>
        <v>3.6685</v>
      </c>
      <c r="J1188">
        <f t="shared" si="73"/>
        <v>3.828</v>
      </c>
      <c r="K1188">
        <f t="shared" si="74"/>
        <v>4.147</v>
      </c>
      <c r="L1188">
        <f t="shared" si="75"/>
        <v>4.466</v>
      </c>
    </row>
    <row r="1189" spans="1:12">
      <c r="A1189" t="s">
        <v>13</v>
      </c>
      <c r="B1189" s="14" t="s">
        <v>2372</v>
      </c>
      <c r="C1189" s="20" t="s">
        <v>2373</v>
      </c>
      <c r="D1189" s="20" t="s">
        <v>2373</v>
      </c>
      <c r="E1189" s="20" t="s">
        <v>2373</v>
      </c>
      <c r="F1189" s="20" t="s">
        <v>2373</v>
      </c>
      <c r="G1189">
        <v>8.26</v>
      </c>
      <c r="H1189" s="1">
        <v>15.73</v>
      </c>
      <c r="I1189">
        <f t="shared" si="72"/>
        <v>9.499</v>
      </c>
      <c r="J1189">
        <f t="shared" si="73"/>
        <v>9.912</v>
      </c>
      <c r="K1189">
        <f t="shared" si="74"/>
        <v>10.738</v>
      </c>
      <c r="L1189">
        <f t="shared" si="75"/>
        <v>11.564</v>
      </c>
    </row>
    <row r="1190" spans="1:12">
      <c r="A1190" t="s">
        <v>13</v>
      </c>
      <c r="B1190" s="14" t="s">
        <v>2374</v>
      </c>
      <c r="C1190" s="20" t="s">
        <v>2375</v>
      </c>
      <c r="D1190" s="20" t="s">
        <v>2375</v>
      </c>
      <c r="E1190" s="20" t="s">
        <v>2375</v>
      </c>
      <c r="F1190" s="20" t="s">
        <v>2375</v>
      </c>
      <c r="G1190">
        <v>11.97</v>
      </c>
      <c r="H1190" s="1">
        <v>22.81</v>
      </c>
      <c r="I1190">
        <f t="shared" si="72"/>
        <v>13.7655</v>
      </c>
      <c r="J1190">
        <f t="shared" si="73"/>
        <v>14.364</v>
      </c>
      <c r="K1190">
        <f t="shared" si="74"/>
        <v>15.561</v>
      </c>
      <c r="L1190">
        <f t="shared" si="75"/>
        <v>16.758</v>
      </c>
    </row>
    <row r="1191" spans="1:12">
      <c r="A1191" t="s">
        <v>13</v>
      </c>
      <c r="B1191" s="14" t="s">
        <v>2376</v>
      </c>
      <c r="C1191" s="20" t="s">
        <v>2377</v>
      </c>
      <c r="D1191" s="20" t="s">
        <v>2377</v>
      </c>
      <c r="E1191" s="20" t="s">
        <v>2377</v>
      </c>
      <c r="F1191" s="20" t="s">
        <v>2377</v>
      </c>
      <c r="G1191">
        <v>1.7</v>
      </c>
      <c r="H1191" s="1">
        <v>3.25</v>
      </c>
      <c r="I1191">
        <f t="shared" si="72"/>
        <v>1.955</v>
      </c>
      <c r="J1191">
        <f t="shared" si="73"/>
        <v>2.04</v>
      </c>
      <c r="K1191">
        <f t="shared" si="74"/>
        <v>2.21</v>
      </c>
      <c r="L1191">
        <f t="shared" si="75"/>
        <v>2.38</v>
      </c>
    </row>
    <row r="1192" spans="1:12">
      <c r="A1192" t="s">
        <v>13</v>
      </c>
      <c r="B1192" s="14" t="s">
        <v>2378</v>
      </c>
      <c r="C1192" s="20" t="s">
        <v>2379</v>
      </c>
      <c r="D1192" s="20" t="s">
        <v>2379</v>
      </c>
      <c r="E1192" s="20" t="s">
        <v>2379</v>
      </c>
      <c r="F1192" s="20" t="s">
        <v>2379</v>
      </c>
      <c r="G1192">
        <v>6.57</v>
      </c>
      <c r="H1192" s="1">
        <v>12.48</v>
      </c>
      <c r="I1192">
        <f t="shared" si="72"/>
        <v>7.5555</v>
      </c>
      <c r="J1192">
        <f t="shared" si="73"/>
        <v>7.884</v>
      </c>
      <c r="K1192">
        <f t="shared" si="74"/>
        <v>8.541</v>
      </c>
      <c r="L1192">
        <f t="shared" si="75"/>
        <v>9.198</v>
      </c>
    </row>
    <row r="1193" spans="1:12">
      <c r="A1193" t="s">
        <v>13</v>
      </c>
      <c r="B1193" s="14" t="s">
        <v>2380</v>
      </c>
      <c r="C1193" s="20" t="s">
        <v>2381</v>
      </c>
      <c r="D1193" s="20" t="s">
        <v>2381</v>
      </c>
      <c r="E1193" s="20" t="s">
        <v>2381</v>
      </c>
      <c r="F1193" s="20" t="s">
        <v>2381</v>
      </c>
      <c r="G1193">
        <v>8.26</v>
      </c>
      <c r="H1193" s="1">
        <v>15.73</v>
      </c>
      <c r="I1193">
        <f t="shared" si="72"/>
        <v>9.499</v>
      </c>
      <c r="J1193">
        <f t="shared" si="73"/>
        <v>9.912</v>
      </c>
      <c r="K1193">
        <f t="shared" si="74"/>
        <v>10.738</v>
      </c>
      <c r="L1193">
        <f t="shared" si="75"/>
        <v>11.564</v>
      </c>
    </row>
    <row r="1194" spans="1:12">
      <c r="A1194" t="s">
        <v>13</v>
      </c>
      <c r="B1194" s="14" t="s">
        <v>2382</v>
      </c>
      <c r="C1194" s="20" t="s">
        <v>2383</v>
      </c>
      <c r="D1194" s="20" t="s">
        <v>2383</v>
      </c>
      <c r="E1194" s="20" t="s">
        <v>2383</v>
      </c>
      <c r="F1194" s="20" t="s">
        <v>2383</v>
      </c>
      <c r="G1194">
        <v>7.7</v>
      </c>
      <c r="H1194" s="1">
        <v>14.68</v>
      </c>
      <c r="I1194">
        <f t="shared" si="72"/>
        <v>8.855</v>
      </c>
      <c r="J1194">
        <f t="shared" si="73"/>
        <v>9.24</v>
      </c>
      <c r="K1194">
        <f t="shared" si="74"/>
        <v>10.01</v>
      </c>
      <c r="L1194">
        <f t="shared" si="75"/>
        <v>10.78</v>
      </c>
    </row>
    <row r="1195" spans="1:12">
      <c r="A1195" t="s">
        <v>13</v>
      </c>
      <c r="B1195" s="14" t="s">
        <v>2384</v>
      </c>
      <c r="C1195" s="20" t="s">
        <v>2385</v>
      </c>
      <c r="D1195" s="20" t="s">
        <v>2385</v>
      </c>
      <c r="E1195" s="20" t="s">
        <v>2385</v>
      </c>
      <c r="F1195" s="20" t="s">
        <v>2385</v>
      </c>
      <c r="G1195">
        <v>2.99</v>
      </c>
      <c r="H1195" s="1">
        <v>5.69</v>
      </c>
      <c r="I1195">
        <f t="shared" si="72"/>
        <v>3.4385</v>
      </c>
      <c r="J1195">
        <f t="shared" si="73"/>
        <v>3.588</v>
      </c>
      <c r="K1195">
        <f t="shared" si="74"/>
        <v>3.887</v>
      </c>
      <c r="L1195">
        <f t="shared" si="75"/>
        <v>4.186</v>
      </c>
    </row>
    <row r="1196" spans="1:12">
      <c r="A1196" t="s">
        <v>13</v>
      </c>
      <c r="B1196" s="14" t="s">
        <v>2386</v>
      </c>
      <c r="C1196" s="20" t="s">
        <v>2387</v>
      </c>
      <c r="D1196" s="20" t="s">
        <v>2387</v>
      </c>
      <c r="E1196" s="20" t="s">
        <v>2387</v>
      </c>
      <c r="F1196" s="20" t="s">
        <v>2387</v>
      </c>
      <c r="G1196">
        <v>0.52</v>
      </c>
      <c r="H1196" s="1">
        <v>0.97</v>
      </c>
      <c r="I1196">
        <f t="shared" si="72"/>
        <v>0.598</v>
      </c>
      <c r="J1196">
        <f t="shared" si="73"/>
        <v>0.624</v>
      </c>
      <c r="K1196">
        <f t="shared" si="74"/>
        <v>0.676</v>
      </c>
      <c r="L1196">
        <f t="shared" si="75"/>
        <v>0.728</v>
      </c>
    </row>
    <row r="1197" spans="1:12">
      <c r="A1197" t="s">
        <v>13</v>
      </c>
      <c r="B1197" s="14" t="s">
        <v>2388</v>
      </c>
      <c r="C1197" s="20" t="s">
        <v>2389</v>
      </c>
      <c r="D1197" s="20" t="s">
        <v>2389</v>
      </c>
      <c r="E1197" s="20" t="s">
        <v>2389</v>
      </c>
      <c r="F1197" s="20" t="s">
        <v>2389</v>
      </c>
      <c r="G1197">
        <v>152.67</v>
      </c>
      <c r="H1197" s="1">
        <v>339.29</v>
      </c>
      <c r="I1197">
        <f t="shared" si="72"/>
        <v>175.5705</v>
      </c>
      <c r="J1197">
        <f t="shared" si="73"/>
        <v>183.204</v>
      </c>
      <c r="K1197">
        <f t="shared" si="74"/>
        <v>198.471</v>
      </c>
      <c r="L1197">
        <f t="shared" si="75"/>
        <v>213.738</v>
      </c>
    </row>
    <row r="1198" spans="1:12">
      <c r="A1198" t="s">
        <v>13</v>
      </c>
      <c r="B1198" s="14" t="s">
        <v>2390</v>
      </c>
      <c r="C1198" s="20" t="s">
        <v>2391</v>
      </c>
      <c r="D1198" s="20" t="s">
        <v>2391</v>
      </c>
      <c r="E1198" s="20" t="s">
        <v>2391</v>
      </c>
      <c r="F1198" s="20" t="s">
        <v>2391</v>
      </c>
      <c r="G1198">
        <v>236.56</v>
      </c>
      <c r="H1198" s="1">
        <v>525.71</v>
      </c>
      <c r="I1198">
        <f t="shared" si="72"/>
        <v>272.044</v>
      </c>
      <c r="J1198">
        <f t="shared" si="73"/>
        <v>283.872</v>
      </c>
      <c r="K1198">
        <f t="shared" si="74"/>
        <v>307.528</v>
      </c>
      <c r="L1198">
        <f t="shared" si="75"/>
        <v>331.184</v>
      </c>
    </row>
    <row r="1199" spans="1:12">
      <c r="A1199" t="s">
        <v>13</v>
      </c>
      <c r="B1199" s="14" t="s">
        <v>2392</v>
      </c>
      <c r="C1199" s="20" t="s">
        <v>2393</v>
      </c>
      <c r="D1199" s="20" t="s">
        <v>2393</v>
      </c>
      <c r="E1199" s="20" t="s">
        <v>2393</v>
      </c>
      <c r="F1199" s="20" t="s">
        <v>2393</v>
      </c>
      <c r="G1199">
        <v>187.24</v>
      </c>
      <c r="H1199" s="1">
        <v>416.06</v>
      </c>
      <c r="I1199">
        <f t="shared" si="72"/>
        <v>215.326</v>
      </c>
      <c r="J1199">
        <f t="shared" si="73"/>
        <v>224.688</v>
      </c>
      <c r="K1199">
        <f t="shared" si="74"/>
        <v>243.412</v>
      </c>
      <c r="L1199">
        <f t="shared" si="75"/>
        <v>262.136</v>
      </c>
    </row>
    <row r="1200" spans="1:12">
      <c r="A1200" t="s">
        <v>13</v>
      </c>
      <c r="B1200" s="14" t="s">
        <v>2394</v>
      </c>
      <c r="C1200" s="20" t="s">
        <v>2395</v>
      </c>
      <c r="D1200" s="20" t="s">
        <v>2395</v>
      </c>
      <c r="E1200" s="20" t="s">
        <v>2395</v>
      </c>
      <c r="F1200" s="20" t="s">
        <v>2395</v>
      </c>
      <c r="G1200">
        <v>2.7</v>
      </c>
      <c r="H1200" s="1">
        <v>5.14</v>
      </c>
      <c r="I1200">
        <f t="shared" si="72"/>
        <v>3.105</v>
      </c>
      <c r="J1200">
        <f t="shared" si="73"/>
        <v>3.24</v>
      </c>
      <c r="K1200">
        <f t="shared" si="74"/>
        <v>3.51</v>
      </c>
      <c r="L1200">
        <f t="shared" si="75"/>
        <v>3.78</v>
      </c>
    </row>
    <row r="1201" spans="1:12">
      <c r="A1201" t="s">
        <v>13</v>
      </c>
      <c r="B1201" s="14" t="s">
        <v>2396</v>
      </c>
      <c r="C1201" s="20" t="s">
        <v>2397</v>
      </c>
      <c r="D1201" s="20" t="s">
        <v>2397</v>
      </c>
      <c r="E1201" s="20" t="s">
        <v>2397</v>
      </c>
      <c r="F1201" s="20" t="s">
        <v>2397</v>
      </c>
      <c r="G1201">
        <v>3.28</v>
      </c>
      <c r="H1201" s="1">
        <v>6.23</v>
      </c>
      <c r="I1201">
        <f t="shared" si="72"/>
        <v>3.772</v>
      </c>
      <c r="J1201">
        <f t="shared" si="73"/>
        <v>3.936</v>
      </c>
      <c r="K1201">
        <f t="shared" si="74"/>
        <v>4.264</v>
      </c>
      <c r="L1201">
        <f t="shared" si="75"/>
        <v>4.592</v>
      </c>
    </row>
    <row r="1202" spans="1:12">
      <c r="A1202" t="s">
        <v>13</v>
      </c>
      <c r="B1202" s="14" t="s">
        <v>2398</v>
      </c>
      <c r="C1202" s="20" t="s">
        <v>2399</v>
      </c>
      <c r="D1202" s="20" t="s">
        <v>2399</v>
      </c>
      <c r="E1202" s="20" t="s">
        <v>2399</v>
      </c>
      <c r="F1202" s="20" t="s">
        <v>2399</v>
      </c>
      <c r="G1202">
        <v>2.8</v>
      </c>
      <c r="H1202" s="1">
        <v>5.33</v>
      </c>
      <c r="I1202">
        <f t="shared" si="72"/>
        <v>3.22</v>
      </c>
      <c r="J1202">
        <f t="shared" si="73"/>
        <v>3.36</v>
      </c>
      <c r="K1202">
        <f t="shared" si="74"/>
        <v>3.64</v>
      </c>
      <c r="L1202">
        <f t="shared" si="75"/>
        <v>3.92</v>
      </c>
    </row>
    <row r="1203" spans="1:12">
      <c r="A1203" t="s">
        <v>13</v>
      </c>
      <c r="B1203" s="14" t="s">
        <v>2400</v>
      </c>
      <c r="C1203" s="20" t="s">
        <v>2401</v>
      </c>
      <c r="D1203" s="20" t="s">
        <v>2401</v>
      </c>
      <c r="E1203" s="20" t="s">
        <v>2401</v>
      </c>
      <c r="F1203" s="20" t="s">
        <v>2401</v>
      </c>
      <c r="G1203">
        <v>3.26</v>
      </c>
      <c r="H1203" s="1">
        <v>6.21</v>
      </c>
      <c r="I1203">
        <f t="shared" si="72"/>
        <v>3.749</v>
      </c>
      <c r="J1203">
        <f t="shared" si="73"/>
        <v>3.912</v>
      </c>
      <c r="K1203">
        <f t="shared" si="74"/>
        <v>4.238</v>
      </c>
      <c r="L1203">
        <f t="shared" si="75"/>
        <v>4.564</v>
      </c>
    </row>
    <row r="1204" spans="1:12">
      <c r="A1204" t="s">
        <v>13</v>
      </c>
      <c r="B1204" s="14" t="s">
        <v>2402</v>
      </c>
      <c r="C1204" s="20" t="s">
        <v>2403</v>
      </c>
      <c r="D1204" s="20" t="s">
        <v>2403</v>
      </c>
      <c r="E1204" s="20" t="s">
        <v>2403</v>
      </c>
      <c r="F1204" s="20" t="s">
        <v>2403</v>
      </c>
      <c r="G1204">
        <v>3.18</v>
      </c>
      <c r="H1204" s="1">
        <v>6.05</v>
      </c>
      <c r="I1204">
        <f t="shared" si="72"/>
        <v>3.657</v>
      </c>
      <c r="J1204">
        <f t="shared" si="73"/>
        <v>3.816</v>
      </c>
      <c r="K1204">
        <f t="shared" si="74"/>
        <v>4.134</v>
      </c>
      <c r="L1204">
        <f t="shared" si="75"/>
        <v>4.452</v>
      </c>
    </row>
    <row r="1205" spans="1:12">
      <c r="A1205" t="s">
        <v>13</v>
      </c>
      <c r="B1205" s="14" t="s">
        <v>2404</v>
      </c>
      <c r="C1205" s="20" t="s">
        <v>2405</v>
      </c>
      <c r="D1205" s="20" t="s">
        <v>2405</v>
      </c>
      <c r="E1205" s="20" t="s">
        <v>2405</v>
      </c>
      <c r="F1205" s="20" t="s">
        <v>2405</v>
      </c>
      <c r="G1205">
        <v>3.26</v>
      </c>
      <c r="H1205" s="1">
        <v>6.21</v>
      </c>
      <c r="I1205">
        <f t="shared" si="72"/>
        <v>3.749</v>
      </c>
      <c r="J1205">
        <f t="shared" si="73"/>
        <v>3.912</v>
      </c>
      <c r="K1205">
        <f t="shared" si="74"/>
        <v>4.238</v>
      </c>
      <c r="L1205">
        <f t="shared" si="75"/>
        <v>4.564</v>
      </c>
    </row>
    <row r="1206" spans="1:12">
      <c r="A1206" t="s">
        <v>13</v>
      </c>
      <c r="B1206" s="14" t="s">
        <v>2406</v>
      </c>
      <c r="C1206" s="20" t="s">
        <v>2407</v>
      </c>
      <c r="D1206" s="20" t="s">
        <v>2407</v>
      </c>
      <c r="E1206" s="20" t="s">
        <v>2407</v>
      </c>
      <c r="F1206" s="20" t="s">
        <v>2407</v>
      </c>
      <c r="G1206">
        <v>3.28</v>
      </c>
      <c r="H1206" s="1">
        <v>6.23</v>
      </c>
      <c r="I1206">
        <f t="shared" si="72"/>
        <v>3.772</v>
      </c>
      <c r="J1206">
        <f t="shared" si="73"/>
        <v>3.936</v>
      </c>
      <c r="K1206">
        <f t="shared" si="74"/>
        <v>4.264</v>
      </c>
      <c r="L1206">
        <f t="shared" si="75"/>
        <v>4.592</v>
      </c>
    </row>
    <row r="1207" spans="1:12">
      <c r="A1207" t="s">
        <v>13</v>
      </c>
      <c r="B1207" s="14" t="s">
        <v>2408</v>
      </c>
      <c r="C1207" s="20" t="s">
        <v>2409</v>
      </c>
      <c r="D1207" s="20" t="s">
        <v>2409</v>
      </c>
      <c r="E1207" s="20" t="s">
        <v>2409</v>
      </c>
      <c r="F1207" s="20" t="s">
        <v>2409</v>
      </c>
      <c r="G1207">
        <v>1.96</v>
      </c>
      <c r="H1207" s="1">
        <v>3.73</v>
      </c>
      <c r="I1207">
        <f t="shared" si="72"/>
        <v>2.254</v>
      </c>
      <c r="J1207">
        <f t="shared" si="73"/>
        <v>2.352</v>
      </c>
      <c r="K1207">
        <f t="shared" si="74"/>
        <v>2.548</v>
      </c>
      <c r="L1207">
        <f t="shared" si="75"/>
        <v>2.744</v>
      </c>
    </row>
    <row r="1208" spans="1:12">
      <c r="A1208" t="s">
        <v>13</v>
      </c>
      <c r="B1208" s="14" t="s">
        <v>2410</v>
      </c>
      <c r="C1208" s="20" t="s">
        <v>2411</v>
      </c>
      <c r="D1208" s="20" t="s">
        <v>2411</v>
      </c>
      <c r="E1208" s="20" t="s">
        <v>2411</v>
      </c>
      <c r="F1208" s="20" t="s">
        <v>2411</v>
      </c>
      <c r="G1208">
        <v>2.38</v>
      </c>
      <c r="H1208" s="1">
        <v>4.54</v>
      </c>
      <c r="I1208">
        <f t="shared" si="72"/>
        <v>2.737</v>
      </c>
      <c r="J1208">
        <f t="shared" si="73"/>
        <v>2.856</v>
      </c>
      <c r="K1208">
        <f t="shared" si="74"/>
        <v>3.094</v>
      </c>
      <c r="L1208">
        <f t="shared" si="75"/>
        <v>3.332</v>
      </c>
    </row>
    <row r="1209" spans="1:12">
      <c r="A1209" t="s">
        <v>13</v>
      </c>
      <c r="B1209" s="14" t="s">
        <v>2412</v>
      </c>
      <c r="C1209" s="20" t="s">
        <v>2413</v>
      </c>
      <c r="D1209" s="20" t="s">
        <v>2413</v>
      </c>
      <c r="E1209" s="20" t="s">
        <v>2413</v>
      </c>
      <c r="F1209" s="20" t="s">
        <v>2413</v>
      </c>
      <c r="G1209">
        <v>2.59</v>
      </c>
      <c r="H1209" s="1">
        <v>4.94</v>
      </c>
      <c r="I1209">
        <f t="shared" si="72"/>
        <v>2.9785</v>
      </c>
      <c r="J1209">
        <f t="shared" si="73"/>
        <v>3.108</v>
      </c>
      <c r="K1209">
        <f t="shared" si="74"/>
        <v>3.367</v>
      </c>
      <c r="L1209">
        <f t="shared" si="75"/>
        <v>3.626</v>
      </c>
    </row>
    <row r="1210" spans="1:12">
      <c r="A1210" t="s">
        <v>13</v>
      </c>
      <c r="B1210" s="14" t="s">
        <v>2414</v>
      </c>
      <c r="C1210" s="20" t="s">
        <v>2415</v>
      </c>
      <c r="D1210" s="20" t="s">
        <v>2415</v>
      </c>
      <c r="E1210" s="20" t="s">
        <v>2415</v>
      </c>
      <c r="F1210" s="20" t="s">
        <v>2415</v>
      </c>
      <c r="G1210">
        <v>1.54</v>
      </c>
      <c r="H1210" s="1">
        <v>2.94</v>
      </c>
      <c r="I1210">
        <f t="shared" si="72"/>
        <v>1.771</v>
      </c>
      <c r="J1210">
        <f t="shared" si="73"/>
        <v>1.848</v>
      </c>
      <c r="K1210">
        <f t="shared" si="74"/>
        <v>2.002</v>
      </c>
      <c r="L1210">
        <f t="shared" si="75"/>
        <v>2.156</v>
      </c>
    </row>
    <row r="1211" spans="1:12">
      <c r="A1211" t="s">
        <v>13</v>
      </c>
      <c r="B1211" s="14" t="s">
        <v>2416</v>
      </c>
      <c r="C1211" s="20" t="s">
        <v>2417</v>
      </c>
      <c r="D1211" s="20" t="s">
        <v>2417</v>
      </c>
      <c r="E1211" s="20" t="s">
        <v>2417</v>
      </c>
      <c r="F1211" s="20" t="s">
        <v>2417</v>
      </c>
      <c r="G1211">
        <v>7.35</v>
      </c>
      <c r="H1211" s="1">
        <v>13.98</v>
      </c>
      <c r="I1211">
        <f t="shared" si="72"/>
        <v>8.4525</v>
      </c>
      <c r="J1211">
        <f t="shared" si="73"/>
        <v>8.82</v>
      </c>
      <c r="K1211">
        <f t="shared" si="74"/>
        <v>9.555</v>
      </c>
      <c r="L1211">
        <f t="shared" si="75"/>
        <v>10.29</v>
      </c>
    </row>
    <row r="1212" spans="1:12">
      <c r="A1212" t="s">
        <v>13</v>
      </c>
      <c r="B1212" s="14" t="s">
        <v>2418</v>
      </c>
      <c r="C1212" s="20" t="s">
        <v>2419</v>
      </c>
      <c r="D1212" s="20" t="s">
        <v>2419</v>
      </c>
      <c r="E1212" s="20" t="s">
        <v>2419</v>
      </c>
      <c r="F1212" s="20" t="s">
        <v>2419</v>
      </c>
      <c r="G1212">
        <v>1.69</v>
      </c>
      <c r="H1212" s="1">
        <v>3.23</v>
      </c>
      <c r="I1212">
        <f t="shared" si="72"/>
        <v>1.9435</v>
      </c>
      <c r="J1212">
        <f t="shared" si="73"/>
        <v>2.028</v>
      </c>
      <c r="K1212">
        <f t="shared" si="74"/>
        <v>2.197</v>
      </c>
      <c r="L1212">
        <f t="shared" si="75"/>
        <v>2.366</v>
      </c>
    </row>
    <row r="1213" spans="1:12">
      <c r="A1213" t="s">
        <v>13</v>
      </c>
      <c r="B1213" s="14" t="s">
        <v>2420</v>
      </c>
      <c r="C1213" s="20" t="s">
        <v>2421</v>
      </c>
      <c r="D1213" s="20" t="s">
        <v>2421</v>
      </c>
      <c r="E1213" s="20" t="s">
        <v>2421</v>
      </c>
      <c r="F1213" s="20" t="s">
        <v>2421</v>
      </c>
      <c r="G1213">
        <v>7.35</v>
      </c>
      <c r="H1213" s="1">
        <v>13.98</v>
      </c>
      <c r="I1213">
        <f t="shared" si="72"/>
        <v>8.4525</v>
      </c>
      <c r="J1213">
        <f t="shared" si="73"/>
        <v>8.82</v>
      </c>
      <c r="K1213">
        <f t="shared" si="74"/>
        <v>9.555</v>
      </c>
      <c r="L1213">
        <f t="shared" si="75"/>
        <v>10.29</v>
      </c>
    </row>
    <row r="1214" spans="1:12">
      <c r="A1214" t="s">
        <v>13</v>
      </c>
      <c r="B1214" s="14" t="s">
        <v>2422</v>
      </c>
      <c r="C1214" s="20" t="s">
        <v>2423</v>
      </c>
      <c r="D1214" s="20" t="s">
        <v>2423</v>
      </c>
      <c r="E1214" s="20" t="s">
        <v>2423</v>
      </c>
      <c r="F1214" s="20" t="s">
        <v>2423</v>
      </c>
      <c r="G1214">
        <v>1.01</v>
      </c>
      <c r="H1214" s="1">
        <v>1.91</v>
      </c>
      <c r="I1214">
        <f t="shared" si="72"/>
        <v>1.1615</v>
      </c>
      <c r="J1214">
        <f t="shared" si="73"/>
        <v>1.212</v>
      </c>
      <c r="K1214">
        <f t="shared" si="74"/>
        <v>1.313</v>
      </c>
      <c r="L1214">
        <f t="shared" si="75"/>
        <v>1.414</v>
      </c>
    </row>
    <row r="1215" spans="1:12">
      <c r="A1215" t="s">
        <v>13</v>
      </c>
      <c r="B1215" s="14" t="s">
        <v>2424</v>
      </c>
      <c r="C1215" s="20" t="s">
        <v>2425</v>
      </c>
      <c r="D1215" s="20" t="s">
        <v>2425</v>
      </c>
      <c r="E1215" s="20" t="s">
        <v>2425</v>
      </c>
      <c r="F1215" s="20" t="s">
        <v>2425</v>
      </c>
      <c r="G1215">
        <v>3.6</v>
      </c>
      <c r="H1215" s="1">
        <v>6.86</v>
      </c>
      <c r="I1215">
        <f t="shared" si="72"/>
        <v>4.14</v>
      </c>
      <c r="J1215">
        <f t="shared" si="73"/>
        <v>4.32</v>
      </c>
      <c r="K1215">
        <f t="shared" si="74"/>
        <v>4.68</v>
      </c>
      <c r="L1215">
        <f t="shared" si="75"/>
        <v>5.04</v>
      </c>
    </row>
    <row r="1216" spans="1:12">
      <c r="A1216" t="s">
        <v>13</v>
      </c>
      <c r="B1216" s="14" t="s">
        <v>2426</v>
      </c>
      <c r="C1216" s="20" t="s">
        <v>2427</v>
      </c>
      <c r="D1216" s="20" t="s">
        <v>2427</v>
      </c>
      <c r="E1216" s="20" t="s">
        <v>2427</v>
      </c>
      <c r="F1216" s="20" t="s">
        <v>2427</v>
      </c>
      <c r="G1216">
        <v>62.68</v>
      </c>
      <c r="H1216" s="1">
        <v>156.69</v>
      </c>
      <c r="I1216">
        <f t="shared" si="72"/>
        <v>72.082</v>
      </c>
      <c r="J1216">
        <f t="shared" si="73"/>
        <v>75.216</v>
      </c>
      <c r="K1216">
        <f t="shared" si="74"/>
        <v>81.484</v>
      </c>
      <c r="L1216">
        <f t="shared" si="75"/>
        <v>87.752</v>
      </c>
    </row>
    <row r="1217" spans="1:12">
      <c r="A1217" t="s">
        <v>13</v>
      </c>
      <c r="B1217" s="14" t="s">
        <v>2428</v>
      </c>
      <c r="C1217" s="20" t="s">
        <v>2429</v>
      </c>
      <c r="D1217" s="20" t="s">
        <v>2429</v>
      </c>
      <c r="E1217" s="20" t="s">
        <v>2429</v>
      </c>
      <c r="F1217" s="20" t="s">
        <v>2429</v>
      </c>
      <c r="G1217">
        <v>0.62</v>
      </c>
      <c r="H1217" s="1">
        <v>1.54</v>
      </c>
      <c r="I1217">
        <f t="shared" si="72"/>
        <v>0.713</v>
      </c>
      <c r="J1217">
        <f t="shared" si="73"/>
        <v>0.744</v>
      </c>
      <c r="K1217">
        <f t="shared" si="74"/>
        <v>0.806</v>
      </c>
      <c r="L1217">
        <f t="shared" si="75"/>
        <v>0.868</v>
      </c>
    </row>
    <row r="1218" spans="1:12">
      <c r="A1218" t="s">
        <v>13</v>
      </c>
      <c r="B1218" s="14" t="s">
        <v>2430</v>
      </c>
      <c r="C1218" s="20" t="s">
        <v>2431</v>
      </c>
      <c r="D1218" s="20" t="s">
        <v>2431</v>
      </c>
      <c r="E1218" s="20" t="s">
        <v>2431</v>
      </c>
      <c r="F1218" s="20" t="s">
        <v>2431</v>
      </c>
      <c r="G1218">
        <v>0.56</v>
      </c>
      <c r="H1218" s="1">
        <v>1.4</v>
      </c>
      <c r="I1218">
        <f t="shared" ref="I1218:I1281" si="76">G1218*1.15</f>
        <v>0.644</v>
      </c>
      <c r="J1218">
        <f t="shared" ref="J1218:J1281" si="77">G1218*1.2</f>
        <v>0.672</v>
      </c>
      <c r="K1218">
        <f t="shared" ref="K1218:K1281" si="78">G1218*1.3</f>
        <v>0.728</v>
      </c>
      <c r="L1218">
        <f t="shared" ref="L1218:L1281" si="79">G1218*1.4</f>
        <v>0.784</v>
      </c>
    </row>
    <row r="1219" spans="1:12">
      <c r="A1219" t="s">
        <v>13</v>
      </c>
      <c r="B1219" s="14" t="s">
        <v>2432</v>
      </c>
      <c r="C1219" s="20" t="s">
        <v>2433</v>
      </c>
      <c r="D1219" s="20" t="s">
        <v>2433</v>
      </c>
      <c r="E1219" s="20" t="s">
        <v>2433</v>
      </c>
      <c r="F1219" s="20" t="s">
        <v>2433</v>
      </c>
      <c r="G1219">
        <v>0.71</v>
      </c>
      <c r="H1219" s="1">
        <v>1.79</v>
      </c>
      <c r="I1219">
        <f t="shared" si="76"/>
        <v>0.8165</v>
      </c>
      <c r="J1219">
        <f t="shared" si="77"/>
        <v>0.852</v>
      </c>
      <c r="K1219">
        <f t="shared" si="78"/>
        <v>0.923</v>
      </c>
      <c r="L1219">
        <f t="shared" si="79"/>
        <v>0.994</v>
      </c>
    </row>
    <row r="1220" spans="1:12">
      <c r="A1220" t="s">
        <v>13</v>
      </c>
      <c r="B1220" s="14" t="s">
        <v>2434</v>
      </c>
      <c r="C1220" s="20" t="s">
        <v>2435</v>
      </c>
      <c r="D1220" s="20" t="s">
        <v>2435</v>
      </c>
      <c r="E1220" s="20" t="s">
        <v>2435</v>
      </c>
      <c r="F1220" s="20" t="s">
        <v>2435</v>
      </c>
      <c r="G1220">
        <v>0.56</v>
      </c>
      <c r="H1220" s="1">
        <v>1.4</v>
      </c>
      <c r="I1220">
        <f t="shared" si="76"/>
        <v>0.644</v>
      </c>
      <c r="J1220">
        <f t="shared" si="77"/>
        <v>0.672</v>
      </c>
      <c r="K1220">
        <f t="shared" si="78"/>
        <v>0.728</v>
      </c>
      <c r="L1220">
        <f t="shared" si="79"/>
        <v>0.784</v>
      </c>
    </row>
    <row r="1221" spans="1:12">
      <c r="A1221" t="s">
        <v>13</v>
      </c>
      <c r="B1221" s="14" t="s">
        <v>2436</v>
      </c>
      <c r="C1221" s="20" t="s">
        <v>2437</v>
      </c>
      <c r="D1221" s="20" t="s">
        <v>2437</v>
      </c>
      <c r="E1221" s="20" t="s">
        <v>2437</v>
      </c>
      <c r="F1221" s="20" t="s">
        <v>2437</v>
      </c>
      <c r="G1221">
        <v>0.76</v>
      </c>
      <c r="H1221" s="1">
        <v>1.9</v>
      </c>
      <c r="I1221">
        <f t="shared" si="76"/>
        <v>0.874</v>
      </c>
      <c r="J1221">
        <f t="shared" si="77"/>
        <v>0.912</v>
      </c>
      <c r="K1221">
        <f t="shared" si="78"/>
        <v>0.988</v>
      </c>
      <c r="L1221">
        <f t="shared" si="79"/>
        <v>1.064</v>
      </c>
    </row>
    <row r="1222" spans="1:12">
      <c r="A1222" t="s">
        <v>13</v>
      </c>
      <c r="B1222" s="14" t="s">
        <v>2438</v>
      </c>
      <c r="C1222" s="20" t="s">
        <v>2439</v>
      </c>
      <c r="D1222" s="20" t="s">
        <v>2439</v>
      </c>
      <c r="E1222" s="20" t="s">
        <v>2439</v>
      </c>
      <c r="F1222" s="20" t="s">
        <v>2439</v>
      </c>
      <c r="G1222">
        <v>0.56</v>
      </c>
      <c r="H1222" s="1">
        <v>1.4</v>
      </c>
      <c r="I1222">
        <f t="shared" si="76"/>
        <v>0.644</v>
      </c>
      <c r="J1222">
        <f t="shared" si="77"/>
        <v>0.672</v>
      </c>
      <c r="K1222">
        <f t="shared" si="78"/>
        <v>0.728</v>
      </c>
      <c r="L1222">
        <f t="shared" si="79"/>
        <v>0.784</v>
      </c>
    </row>
    <row r="1223" spans="1:12">
      <c r="A1223" t="s">
        <v>13</v>
      </c>
      <c r="B1223" s="14" t="s">
        <v>2440</v>
      </c>
      <c r="C1223" s="20" t="s">
        <v>2441</v>
      </c>
      <c r="D1223" s="20" t="s">
        <v>2441</v>
      </c>
      <c r="E1223" s="20" t="s">
        <v>2441</v>
      </c>
      <c r="F1223" s="20" t="s">
        <v>2441</v>
      </c>
      <c r="G1223">
        <v>0.56</v>
      </c>
      <c r="H1223" s="1">
        <v>1.4</v>
      </c>
      <c r="I1223">
        <f t="shared" si="76"/>
        <v>0.644</v>
      </c>
      <c r="J1223">
        <f t="shared" si="77"/>
        <v>0.672</v>
      </c>
      <c r="K1223">
        <f t="shared" si="78"/>
        <v>0.728</v>
      </c>
      <c r="L1223">
        <f t="shared" si="79"/>
        <v>0.784</v>
      </c>
    </row>
    <row r="1224" spans="1:12">
      <c r="A1224" t="s">
        <v>13</v>
      </c>
      <c r="B1224" s="14" t="s">
        <v>2442</v>
      </c>
      <c r="C1224" s="20" t="s">
        <v>2443</v>
      </c>
      <c r="D1224" s="20" t="s">
        <v>2443</v>
      </c>
      <c r="E1224" s="20" t="s">
        <v>2443</v>
      </c>
      <c r="F1224" s="20" t="s">
        <v>2443</v>
      </c>
      <c r="G1224">
        <v>0.64</v>
      </c>
      <c r="H1224" s="1">
        <v>1.58</v>
      </c>
      <c r="I1224">
        <f t="shared" si="76"/>
        <v>0.736</v>
      </c>
      <c r="J1224">
        <f t="shared" si="77"/>
        <v>0.768</v>
      </c>
      <c r="K1224">
        <f t="shared" si="78"/>
        <v>0.832</v>
      </c>
      <c r="L1224">
        <f t="shared" si="79"/>
        <v>0.896</v>
      </c>
    </row>
    <row r="1225" spans="1:12">
      <c r="A1225" t="s">
        <v>13</v>
      </c>
      <c r="B1225" s="14" t="s">
        <v>2444</v>
      </c>
      <c r="C1225" s="20" t="s">
        <v>2445</v>
      </c>
      <c r="D1225" s="20" t="s">
        <v>2445</v>
      </c>
      <c r="E1225" s="20" t="s">
        <v>2445</v>
      </c>
      <c r="F1225" s="20" t="s">
        <v>2445</v>
      </c>
      <c r="G1225">
        <v>0.49</v>
      </c>
      <c r="H1225" s="1">
        <v>1.22</v>
      </c>
      <c r="I1225">
        <f t="shared" si="76"/>
        <v>0.5635</v>
      </c>
      <c r="J1225">
        <f t="shared" si="77"/>
        <v>0.588</v>
      </c>
      <c r="K1225">
        <f t="shared" si="78"/>
        <v>0.637</v>
      </c>
      <c r="L1225">
        <f t="shared" si="79"/>
        <v>0.686</v>
      </c>
    </row>
    <row r="1226" spans="1:12">
      <c r="A1226" t="s">
        <v>13</v>
      </c>
      <c r="B1226" s="14" t="s">
        <v>2446</v>
      </c>
      <c r="C1226" s="20" t="s">
        <v>2447</v>
      </c>
      <c r="D1226" s="20" t="s">
        <v>2447</v>
      </c>
      <c r="E1226" s="20" t="s">
        <v>2447</v>
      </c>
      <c r="F1226" s="20" t="s">
        <v>2447</v>
      </c>
      <c r="G1226">
        <v>0.49</v>
      </c>
      <c r="H1226" s="1">
        <v>1.22</v>
      </c>
      <c r="I1226">
        <f t="shared" si="76"/>
        <v>0.5635</v>
      </c>
      <c r="J1226">
        <f t="shared" si="77"/>
        <v>0.588</v>
      </c>
      <c r="K1226">
        <f t="shared" si="78"/>
        <v>0.637</v>
      </c>
      <c r="L1226">
        <f t="shared" si="79"/>
        <v>0.686</v>
      </c>
    </row>
    <row r="1227" spans="1:12">
      <c r="A1227" t="s">
        <v>13</v>
      </c>
      <c r="B1227" s="14" t="s">
        <v>2448</v>
      </c>
      <c r="C1227" s="20" t="s">
        <v>2449</v>
      </c>
      <c r="D1227" s="20" t="s">
        <v>2449</v>
      </c>
      <c r="E1227" s="20" t="s">
        <v>2449</v>
      </c>
      <c r="F1227" s="20" t="s">
        <v>2449</v>
      </c>
      <c r="G1227">
        <v>0.97</v>
      </c>
      <c r="H1227" s="1">
        <v>2.44</v>
      </c>
      <c r="I1227">
        <f t="shared" si="76"/>
        <v>1.1155</v>
      </c>
      <c r="J1227">
        <f t="shared" si="77"/>
        <v>1.164</v>
      </c>
      <c r="K1227">
        <f t="shared" si="78"/>
        <v>1.261</v>
      </c>
      <c r="L1227">
        <f t="shared" si="79"/>
        <v>1.358</v>
      </c>
    </row>
    <row r="1228" spans="1:12">
      <c r="A1228" t="s">
        <v>13</v>
      </c>
      <c r="B1228" s="14" t="s">
        <v>2450</v>
      </c>
      <c r="C1228" s="20" t="s">
        <v>2451</v>
      </c>
      <c r="D1228" s="20" t="s">
        <v>2451</v>
      </c>
      <c r="E1228" s="20" t="s">
        <v>2451</v>
      </c>
      <c r="F1228" s="20" t="s">
        <v>2451</v>
      </c>
      <c r="G1228">
        <v>0.54</v>
      </c>
      <c r="H1228" s="1">
        <v>1.34</v>
      </c>
      <c r="I1228">
        <f t="shared" si="76"/>
        <v>0.621</v>
      </c>
      <c r="J1228">
        <f t="shared" si="77"/>
        <v>0.648</v>
      </c>
      <c r="K1228">
        <f t="shared" si="78"/>
        <v>0.702</v>
      </c>
      <c r="L1228">
        <f t="shared" si="79"/>
        <v>0.756</v>
      </c>
    </row>
    <row r="1229" spans="1:12">
      <c r="A1229" t="s">
        <v>13</v>
      </c>
      <c r="B1229" s="14" t="s">
        <v>2452</v>
      </c>
      <c r="C1229" s="20" t="s">
        <v>2453</v>
      </c>
      <c r="D1229" s="20" t="s">
        <v>2453</v>
      </c>
      <c r="E1229" s="20" t="s">
        <v>2453</v>
      </c>
      <c r="F1229" s="20" t="s">
        <v>2453</v>
      </c>
      <c r="G1229">
        <v>0.55</v>
      </c>
      <c r="H1229" s="1">
        <v>1.37</v>
      </c>
      <c r="I1229">
        <f t="shared" si="76"/>
        <v>0.6325</v>
      </c>
      <c r="J1229">
        <f t="shared" si="77"/>
        <v>0.66</v>
      </c>
      <c r="K1229">
        <f t="shared" si="78"/>
        <v>0.715</v>
      </c>
      <c r="L1229">
        <f t="shared" si="79"/>
        <v>0.77</v>
      </c>
    </row>
    <row r="1230" spans="1:12">
      <c r="A1230" t="s">
        <v>13</v>
      </c>
      <c r="B1230" s="14" t="s">
        <v>2454</v>
      </c>
      <c r="C1230" s="20" t="s">
        <v>2455</v>
      </c>
      <c r="D1230" s="20" t="s">
        <v>2455</v>
      </c>
      <c r="E1230" s="20" t="s">
        <v>2455</v>
      </c>
      <c r="F1230" s="20" t="s">
        <v>2455</v>
      </c>
      <c r="G1230">
        <v>0.61</v>
      </c>
      <c r="H1230" s="1">
        <v>1.49</v>
      </c>
      <c r="I1230">
        <f t="shared" si="76"/>
        <v>0.7015</v>
      </c>
      <c r="J1230">
        <f t="shared" si="77"/>
        <v>0.732</v>
      </c>
      <c r="K1230">
        <f t="shared" si="78"/>
        <v>0.793</v>
      </c>
      <c r="L1230">
        <f t="shared" si="79"/>
        <v>0.854</v>
      </c>
    </row>
    <row r="1231" spans="1:12">
      <c r="A1231" t="s">
        <v>13</v>
      </c>
      <c r="B1231" s="14" t="s">
        <v>2456</v>
      </c>
      <c r="C1231" s="20" t="s">
        <v>2457</v>
      </c>
      <c r="D1231" s="20" t="s">
        <v>2457</v>
      </c>
      <c r="E1231" s="20" t="s">
        <v>2457</v>
      </c>
      <c r="F1231" s="20" t="s">
        <v>2457</v>
      </c>
      <c r="G1231">
        <v>0.72</v>
      </c>
      <c r="H1231" s="1">
        <v>1.77</v>
      </c>
      <c r="I1231">
        <f t="shared" si="76"/>
        <v>0.828</v>
      </c>
      <c r="J1231">
        <f t="shared" si="77"/>
        <v>0.864</v>
      </c>
      <c r="K1231">
        <f t="shared" si="78"/>
        <v>0.936</v>
      </c>
      <c r="L1231">
        <f t="shared" si="79"/>
        <v>1.008</v>
      </c>
    </row>
    <row r="1232" spans="1:12">
      <c r="A1232" t="s">
        <v>13</v>
      </c>
      <c r="B1232" s="14" t="s">
        <v>2458</v>
      </c>
      <c r="C1232" s="20" t="s">
        <v>2459</v>
      </c>
      <c r="D1232" s="20" t="s">
        <v>2459</v>
      </c>
      <c r="E1232" s="20" t="s">
        <v>2459</v>
      </c>
      <c r="F1232" s="20" t="s">
        <v>2459</v>
      </c>
      <c r="G1232">
        <v>0.7</v>
      </c>
      <c r="H1232" s="1">
        <v>1.75</v>
      </c>
      <c r="I1232">
        <f t="shared" si="76"/>
        <v>0.805</v>
      </c>
      <c r="J1232">
        <f t="shared" si="77"/>
        <v>0.84</v>
      </c>
      <c r="K1232">
        <f t="shared" si="78"/>
        <v>0.91</v>
      </c>
      <c r="L1232">
        <f t="shared" si="79"/>
        <v>0.98</v>
      </c>
    </row>
    <row r="1233" spans="1:12">
      <c r="A1233" t="s">
        <v>13</v>
      </c>
      <c r="B1233" s="14" t="s">
        <v>2460</v>
      </c>
      <c r="C1233" s="20" t="s">
        <v>2461</v>
      </c>
      <c r="D1233" s="20" t="s">
        <v>2461</v>
      </c>
      <c r="E1233" s="20" t="s">
        <v>2461</v>
      </c>
      <c r="F1233" s="20" t="s">
        <v>2461</v>
      </c>
      <c r="G1233">
        <v>1.37</v>
      </c>
      <c r="H1233" s="1">
        <v>3.41</v>
      </c>
      <c r="I1233">
        <f t="shared" si="76"/>
        <v>1.5755</v>
      </c>
      <c r="J1233">
        <f t="shared" si="77"/>
        <v>1.644</v>
      </c>
      <c r="K1233">
        <f t="shared" si="78"/>
        <v>1.781</v>
      </c>
      <c r="L1233">
        <f t="shared" si="79"/>
        <v>1.918</v>
      </c>
    </row>
    <row r="1234" spans="1:12">
      <c r="A1234" t="s">
        <v>13</v>
      </c>
      <c r="B1234" s="14" t="s">
        <v>2462</v>
      </c>
      <c r="C1234" s="20" t="s">
        <v>2463</v>
      </c>
      <c r="D1234" s="20" t="s">
        <v>2463</v>
      </c>
      <c r="E1234" s="20" t="s">
        <v>2463</v>
      </c>
      <c r="F1234" s="20" t="s">
        <v>2463</v>
      </c>
      <c r="G1234">
        <v>1.22</v>
      </c>
      <c r="H1234" s="1">
        <v>3.06</v>
      </c>
      <c r="I1234">
        <f t="shared" si="76"/>
        <v>1.403</v>
      </c>
      <c r="J1234">
        <f t="shared" si="77"/>
        <v>1.464</v>
      </c>
      <c r="K1234">
        <f t="shared" si="78"/>
        <v>1.586</v>
      </c>
      <c r="L1234">
        <f t="shared" si="79"/>
        <v>1.708</v>
      </c>
    </row>
    <row r="1235" spans="1:12">
      <c r="A1235" t="s">
        <v>13</v>
      </c>
      <c r="B1235" s="14" t="s">
        <v>2464</v>
      </c>
      <c r="C1235" s="20" t="s">
        <v>2465</v>
      </c>
      <c r="D1235" s="20" t="s">
        <v>2465</v>
      </c>
      <c r="E1235" s="20" t="s">
        <v>2465</v>
      </c>
      <c r="F1235" s="20" t="s">
        <v>2465</v>
      </c>
      <c r="G1235">
        <v>1.13</v>
      </c>
      <c r="H1235" s="1">
        <v>2.81</v>
      </c>
      <c r="I1235">
        <f t="shared" si="76"/>
        <v>1.2995</v>
      </c>
      <c r="J1235">
        <f t="shared" si="77"/>
        <v>1.356</v>
      </c>
      <c r="K1235">
        <f t="shared" si="78"/>
        <v>1.469</v>
      </c>
      <c r="L1235">
        <f t="shared" si="79"/>
        <v>1.582</v>
      </c>
    </row>
    <row r="1236" spans="1:12">
      <c r="A1236" t="s">
        <v>13</v>
      </c>
      <c r="B1236" s="14" t="s">
        <v>2466</v>
      </c>
      <c r="C1236" s="20" t="s">
        <v>2467</v>
      </c>
      <c r="D1236" s="20" t="s">
        <v>2467</v>
      </c>
      <c r="E1236" s="20" t="s">
        <v>2467</v>
      </c>
      <c r="F1236" s="20" t="s">
        <v>2467</v>
      </c>
      <c r="G1236">
        <v>1.22</v>
      </c>
      <c r="H1236" s="1">
        <v>3.06</v>
      </c>
      <c r="I1236">
        <f t="shared" si="76"/>
        <v>1.403</v>
      </c>
      <c r="J1236">
        <f t="shared" si="77"/>
        <v>1.464</v>
      </c>
      <c r="K1236">
        <f t="shared" si="78"/>
        <v>1.586</v>
      </c>
      <c r="L1236">
        <f t="shared" si="79"/>
        <v>1.708</v>
      </c>
    </row>
    <row r="1237" spans="1:12">
      <c r="A1237" t="s">
        <v>13</v>
      </c>
      <c r="B1237" s="14" t="s">
        <v>2468</v>
      </c>
      <c r="C1237" s="20" t="s">
        <v>2469</v>
      </c>
      <c r="D1237" s="20" t="s">
        <v>2469</v>
      </c>
      <c r="E1237" s="20" t="s">
        <v>2469</v>
      </c>
      <c r="F1237" s="20" t="s">
        <v>2469</v>
      </c>
      <c r="G1237">
        <v>1.37</v>
      </c>
      <c r="H1237" s="1">
        <v>3.41</v>
      </c>
      <c r="I1237">
        <f t="shared" si="76"/>
        <v>1.5755</v>
      </c>
      <c r="J1237">
        <f t="shared" si="77"/>
        <v>1.644</v>
      </c>
      <c r="K1237">
        <f t="shared" si="78"/>
        <v>1.781</v>
      </c>
      <c r="L1237">
        <f t="shared" si="79"/>
        <v>1.918</v>
      </c>
    </row>
    <row r="1238" spans="1:12">
      <c r="A1238" t="s">
        <v>13</v>
      </c>
      <c r="B1238" s="14" t="s">
        <v>2470</v>
      </c>
      <c r="C1238" s="20" t="s">
        <v>2471</v>
      </c>
      <c r="D1238" s="20" t="s">
        <v>2471</v>
      </c>
      <c r="E1238" s="20" t="s">
        <v>2471</v>
      </c>
      <c r="F1238" s="20" t="s">
        <v>2471</v>
      </c>
      <c r="G1238">
        <v>1.22</v>
      </c>
      <c r="H1238" s="1">
        <v>3.06</v>
      </c>
      <c r="I1238">
        <f t="shared" si="76"/>
        <v>1.403</v>
      </c>
      <c r="J1238">
        <f t="shared" si="77"/>
        <v>1.464</v>
      </c>
      <c r="K1238">
        <f t="shared" si="78"/>
        <v>1.586</v>
      </c>
      <c r="L1238">
        <f t="shared" si="79"/>
        <v>1.708</v>
      </c>
    </row>
    <row r="1239" spans="1:12">
      <c r="A1239" t="s">
        <v>13</v>
      </c>
      <c r="B1239" s="14" t="s">
        <v>2472</v>
      </c>
      <c r="C1239" s="20" t="s">
        <v>2473</v>
      </c>
      <c r="D1239" s="20" t="s">
        <v>2473</v>
      </c>
      <c r="E1239" s="20" t="s">
        <v>2473</v>
      </c>
      <c r="F1239" s="20" t="s">
        <v>2473</v>
      </c>
      <c r="G1239">
        <v>1.22</v>
      </c>
      <c r="H1239" s="1">
        <v>3.06</v>
      </c>
      <c r="I1239">
        <f t="shared" si="76"/>
        <v>1.403</v>
      </c>
      <c r="J1239">
        <f t="shared" si="77"/>
        <v>1.464</v>
      </c>
      <c r="K1239">
        <f t="shared" si="78"/>
        <v>1.586</v>
      </c>
      <c r="L1239">
        <f t="shared" si="79"/>
        <v>1.708</v>
      </c>
    </row>
    <row r="1240" spans="1:12">
      <c r="A1240" t="s">
        <v>13</v>
      </c>
      <c r="B1240" s="14" t="s">
        <v>2474</v>
      </c>
      <c r="C1240" s="20" t="s">
        <v>2475</v>
      </c>
      <c r="D1240" s="20" t="s">
        <v>2475</v>
      </c>
      <c r="E1240" s="20" t="s">
        <v>2475</v>
      </c>
      <c r="F1240" s="20" t="s">
        <v>2475</v>
      </c>
      <c r="G1240">
        <v>1.22</v>
      </c>
      <c r="H1240" s="1">
        <v>3.06</v>
      </c>
      <c r="I1240">
        <f t="shared" si="76"/>
        <v>1.403</v>
      </c>
      <c r="J1240">
        <f t="shared" si="77"/>
        <v>1.464</v>
      </c>
      <c r="K1240">
        <f t="shared" si="78"/>
        <v>1.586</v>
      </c>
      <c r="L1240">
        <f t="shared" si="79"/>
        <v>1.708</v>
      </c>
    </row>
    <row r="1241" spans="1:12">
      <c r="A1241" t="s">
        <v>13</v>
      </c>
      <c r="B1241" s="14" t="s">
        <v>2476</v>
      </c>
      <c r="C1241" s="20" t="s">
        <v>2477</v>
      </c>
      <c r="D1241" s="20" t="s">
        <v>2477</v>
      </c>
      <c r="E1241" s="20" t="s">
        <v>2477</v>
      </c>
      <c r="F1241" s="20" t="s">
        <v>2477</v>
      </c>
      <c r="G1241">
        <v>2.01</v>
      </c>
      <c r="H1241" s="1">
        <v>5</v>
      </c>
      <c r="I1241">
        <f t="shared" si="76"/>
        <v>2.3115</v>
      </c>
      <c r="J1241">
        <f t="shared" si="77"/>
        <v>2.412</v>
      </c>
      <c r="K1241">
        <f t="shared" si="78"/>
        <v>2.613</v>
      </c>
      <c r="L1241">
        <f t="shared" si="79"/>
        <v>2.814</v>
      </c>
    </row>
    <row r="1242" spans="1:12">
      <c r="A1242" t="s">
        <v>13</v>
      </c>
      <c r="B1242" s="14" t="s">
        <v>2478</v>
      </c>
      <c r="C1242" s="20" t="s">
        <v>2479</v>
      </c>
      <c r="D1242" s="20" t="s">
        <v>2479</v>
      </c>
      <c r="E1242" s="20" t="s">
        <v>2479</v>
      </c>
      <c r="F1242" s="20" t="s">
        <v>2479</v>
      </c>
      <c r="G1242">
        <v>1.63</v>
      </c>
      <c r="H1242" s="1">
        <v>4.06</v>
      </c>
      <c r="I1242">
        <f t="shared" si="76"/>
        <v>1.8745</v>
      </c>
      <c r="J1242">
        <f t="shared" si="77"/>
        <v>1.956</v>
      </c>
      <c r="K1242">
        <f t="shared" si="78"/>
        <v>2.119</v>
      </c>
      <c r="L1242">
        <f t="shared" si="79"/>
        <v>2.282</v>
      </c>
    </row>
    <row r="1243" spans="1:12">
      <c r="A1243" t="s">
        <v>13</v>
      </c>
      <c r="B1243" s="14" t="s">
        <v>2480</v>
      </c>
      <c r="C1243" s="20" t="s">
        <v>2481</v>
      </c>
      <c r="D1243" s="20" t="s">
        <v>2481</v>
      </c>
      <c r="E1243" s="20" t="s">
        <v>2481</v>
      </c>
      <c r="F1243" s="20" t="s">
        <v>2481</v>
      </c>
      <c r="G1243">
        <v>2.43</v>
      </c>
      <c r="H1243" s="1">
        <v>6.05</v>
      </c>
      <c r="I1243">
        <f t="shared" si="76"/>
        <v>2.7945</v>
      </c>
      <c r="J1243">
        <f t="shared" si="77"/>
        <v>2.916</v>
      </c>
      <c r="K1243">
        <f t="shared" si="78"/>
        <v>3.159</v>
      </c>
      <c r="L1243">
        <f t="shared" si="79"/>
        <v>3.402</v>
      </c>
    </row>
    <row r="1244" spans="1:12">
      <c r="A1244" t="s">
        <v>13</v>
      </c>
      <c r="B1244" s="14" t="s">
        <v>2482</v>
      </c>
      <c r="C1244" s="20" t="s">
        <v>2483</v>
      </c>
      <c r="D1244" s="20" t="s">
        <v>2483</v>
      </c>
      <c r="E1244" s="20" t="s">
        <v>2483</v>
      </c>
      <c r="F1244" s="20" t="s">
        <v>2483</v>
      </c>
      <c r="G1244">
        <v>1.78</v>
      </c>
      <c r="H1244" s="1">
        <v>4.44</v>
      </c>
      <c r="I1244">
        <f t="shared" si="76"/>
        <v>2.047</v>
      </c>
      <c r="J1244">
        <f t="shared" si="77"/>
        <v>2.136</v>
      </c>
      <c r="K1244">
        <f t="shared" si="78"/>
        <v>2.314</v>
      </c>
      <c r="L1244">
        <f t="shared" si="79"/>
        <v>2.492</v>
      </c>
    </row>
    <row r="1245" spans="1:12">
      <c r="A1245" t="s">
        <v>13</v>
      </c>
      <c r="B1245" s="14" t="s">
        <v>2484</v>
      </c>
      <c r="C1245" s="20" t="s">
        <v>2485</v>
      </c>
      <c r="D1245" s="20" t="s">
        <v>2485</v>
      </c>
      <c r="E1245" s="20" t="s">
        <v>2485</v>
      </c>
      <c r="F1245" s="20" t="s">
        <v>2485</v>
      </c>
      <c r="G1245">
        <v>2</v>
      </c>
      <c r="H1245" s="1">
        <v>4.98</v>
      </c>
      <c r="I1245">
        <f t="shared" si="76"/>
        <v>2.3</v>
      </c>
      <c r="J1245">
        <f t="shared" si="77"/>
        <v>2.4</v>
      </c>
      <c r="K1245">
        <f t="shared" si="78"/>
        <v>2.6</v>
      </c>
      <c r="L1245">
        <f t="shared" si="79"/>
        <v>2.8</v>
      </c>
    </row>
    <row r="1246" spans="1:12">
      <c r="A1246" t="s">
        <v>13</v>
      </c>
      <c r="B1246" s="14" t="s">
        <v>2486</v>
      </c>
      <c r="C1246" s="20" t="s">
        <v>2487</v>
      </c>
      <c r="D1246" s="20" t="s">
        <v>2487</v>
      </c>
      <c r="E1246" s="20" t="s">
        <v>2487</v>
      </c>
      <c r="F1246" s="20" t="s">
        <v>2487</v>
      </c>
      <c r="G1246">
        <v>1.63</v>
      </c>
      <c r="H1246" s="1">
        <v>4.06</v>
      </c>
      <c r="I1246">
        <f t="shared" si="76"/>
        <v>1.8745</v>
      </c>
      <c r="J1246">
        <f t="shared" si="77"/>
        <v>1.956</v>
      </c>
      <c r="K1246">
        <f t="shared" si="78"/>
        <v>2.119</v>
      </c>
      <c r="L1246">
        <f t="shared" si="79"/>
        <v>2.282</v>
      </c>
    </row>
    <row r="1247" spans="1:12">
      <c r="A1247" t="s">
        <v>13</v>
      </c>
      <c r="B1247" s="14" t="s">
        <v>2488</v>
      </c>
      <c r="C1247" s="20" t="s">
        <v>2489</v>
      </c>
      <c r="D1247" s="20" t="s">
        <v>2489</v>
      </c>
      <c r="E1247" s="20" t="s">
        <v>2489</v>
      </c>
      <c r="F1247" s="20" t="s">
        <v>2489</v>
      </c>
      <c r="G1247">
        <v>3.11</v>
      </c>
      <c r="H1247" s="1">
        <v>7.83</v>
      </c>
      <c r="I1247">
        <f t="shared" si="76"/>
        <v>3.5765</v>
      </c>
      <c r="J1247">
        <f t="shared" si="77"/>
        <v>3.732</v>
      </c>
      <c r="K1247">
        <f t="shared" si="78"/>
        <v>4.043</v>
      </c>
      <c r="L1247">
        <f t="shared" si="79"/>
        <v>4.354</v>
      </c>
    </row>
    <row r="1248" ht="28.5" spans="1:12">
      <c r="A1248" t="s">
        <v>13</v>
      </c>
      <c r="B1248" s="14" t="s">
        <v>2490</v>
      </c>
      <c r="C1248" s="20" t="s">
        <v>2491</v>
      </c>
      <c r="D1248" s="20" t="s">
        <v>2491</v>
      </c>
      <c r="E1248" s="20" t="s">
        <v>2491</v>
      </c>
      <c r="F1248" s="20" t="s">
        <v>2491</v>
      </c>
      <c r="G1248">
        <v>3.29</v>
      </c>
      <c r="H1248" s="1">
        <v>8.27</v>
      </c>
      <c r="I1248">
        <f t="shared" si="76"/>
        <v>3.7835</v>
      </c>
      <c r="J1248">
        <f t="shared" si="77"/>
        <v>3.948</v>
      </c>
      <c r="K1248">
        <f t="shared" si="78"/>
        <v>4.277</v>
      </c>
      <c r="L1248">
        <f t="shared" si="79"/>
        <v>4.606</v>
      </c>
    </row>
    <row r="1249" spans="1:12">
      <c r="A1249" t="s">
        <v>13</v>
      </c>
      <c r="B1249" s="14" t="s">
        <v>2492</v>
      </c>
      <c r="C1249" s="20" t="s">
        <v>2493</v>
      </c>
      <c r="D1249" s="20" t="s">
        <v>2493</v>
      </c>
      <c r="E1249" s="20" t="s">
        <v>2493</v>
      </c>
      <c r="F1249" s="20" t="s">
        <v>2493</v>
      </c>
      <c r="G1249">
        <v>3.26</v>
      </c>
      <c r="H1249" s="1">
        <v>8.2</v>
      </c>
      <c r="I1249">
        <f t="shared" si="76"/>
        <v>3.749</v>
      </c>
      <c r="J1249">
        <f t="shared" si="77"/>
        <v>3.912</v>
      </c>
      <c r="K1249">
        <f t="shared" si="78"/>
        <v>4.238</v>
      </c>
      <c r="L1249">
        <f t="shared" si="79"/>
        <v>4.564</v>
      </c>
    </row>
    <row r="1250" spans="1:12">
      <c r="A1250" t="s">
        <v>13</v>
      </c>
      <c r="B1250" s="14" t="s">
        <v>2494</v>
      </c>
      <c r="C1250" s="20" t="s">
        <v>2495</v>
      </c>
      <c r="D1250" s="20" t="s">
        <v>2495</v>
      </c>
      <c r="E1250" s="20" t="s">
        <v>2495</v>
      </c>
      <c r="F1250" s="20" t="s">
        <v>2495</v>
      </c>
      <c r="G1250">
        <v>2.66</v>
      </c>
      <c r="H1250" s="1">
        <v>6.69</v>
      </c>
      <c r="I1250">
        <f t="shared" si="76"/>
        <v>3.059</v>
      </c>
      <c r="J1250">
        <f t="shared" si="77"/>
        <v>3.192</v>
      </c>
      <c r="K1250">
        <f t="shared" si="78"/>
        <v>3.458</v>
      </c>
      <c r="L1250">
        <f t="shared" si="79"/>
        <v>3.724</v>
      </c>
    </row>
    <row r="1251" spans="1:12">
      <c r="A1251" t="s">
        <v>13</v>
      </c>
      <c r="B1251" s="14" t="s">
        <v>2496</v>
      </c>
      <c r="C1251" s="20" t="s">
        <v>2497</v>
      </c>
      <c r="D1251" s="20" t="s">
        <v>2497</v>
      </c>
      <c r="E1251" s="20" t="s">
        <v>2497</v>
      </c>
      <c r="F1251" s="20" t="s">
        <v>2497</v>
      </c>
      <c r="G1251">
        <v>4.28</v>
      </c>
      <c r="H1251" s="1">
        <v>10.7</v>
      </c>
      <c r="I1251">
        <f t="shared" si="76"/>
        <v>4.922</v>
      </c>
      <c r="J1251">
        <f t="shared" si="77"/>
        <v>5.136</v>
      </c>
      <c r="K1251">
        <f t="shared" si="78"/>
        <v>5.564</v>
      </c>
      <c r="L1251">
        <f t="shared" si="79"/>
        <v>5.992</v>
      </c>
    </row>
    <row r="1252" spans="1:12">
      <c r="A1252" t="s">
        <v>13</v>
      </c>
      <c r="B1252" s="14" t="s">
        <v>2498</v>
      </c>
      <c r="C1252" s="20" t="s">
        <v>2499</v>
      </c>
      <c r="D1252" s="20" t="s">
        <v>2499</v>
      </c>
      <c r="E1252" s="20" t="s">
        <v>2499</v>
      </c>
      <c r="F1252" s="20" t="s">
        <v>2499</v>
      </c>
      <c r="G1252">
        <v>4.28</v>
      </c>
      <c r="H1252" s="1">
        <v>10.7</v>
      </c>
      <c r="I1252">
        <f t="shared" si="76"/>
        <v>4.922</v>
      </c>
      <c r="J1252">
        <f t="shared" si="77"/>
        <v>5.136</v>
      </c>
      <c r="K1252">
        <f t="shared" si="78"/>
        <v>5.564</v>
      </c>
      <c r="L1252">
        <f t="shared" si="79"/>
        <v>5.992</v>
      </c>
    </row>
    <row r="1253" spans="1:12">
      <c r="A1253" t="s">
        <v>13</v>
      </c>
      <c r="B1253" s="14" t="s">
        <v>2500</v>
      </c>
      <c r="C1253" s="20" t="s">
        <v>2501</v>
      </c>
      <c r="D1253" s="20" t="s">
        <v>2501</v>
      </c>
      <c r="E1253" s="20" t="s">
        <v>2501</v>
      </c>
      <c r="F1253" s="20" t="s">
        <v>2501</v>
      </c>
      <c r="G1253">
        <v>3.86</v>
      </c>
      <c r="H1253" s="1">
        <v>9.62</v>
      </c>
      <c r="I1253">
        <f t="shared" si="76"/>
        <v>4.439</v>
      </c>
      <c r="J1253">
        <f t="shared" si="77"/>
        <v>4.632</v>
      </c>
      <c r="K1253">
        <f t="shared" si="78"/>
        <v>5.018</v>
      </c>
      <c r="L1253">
        <f t="shared" si="79"/>
        <v>5.404</v>
      </c>
    </row>
    <row r="1254" spans="1:12">
      <c r="A1254" t="s">
        <v>13</v>
      </c>
      <c r="B1254" s="14" t="s">
        <v>2502</v>
      </c>
      <c r="C1254" s="20" t="s">
        <v>2503</v>
      </c>
      <c r="D1254" s="20" t="s">
        <v>2503</v>
      </c>
      <c r="E1254" s="20" t="s">
        <v>2503</v>
      </c>
      <c r="F1254" s="20" t="s">
        <v>2503</v>
      </c>
      <c r="G1254">
        <v>5.44</v>
      </c>
      <c r="H1254" s="1">
        <v>12.09</v>
      </c>
      <c r="I1254">
        <f t="shared" si="76"/>
        <v>6.256</v>
      </c>
      <c r="J1254">
        <f t="shared" si="77"/>
        <v>6.528</v>
      </c>
      <c r="K1254">
        <f t="shared" si="78"/>
        <v>7.072</v>
      </c>
      <c r="L1254">
        <f t="shared" si="79"/>
        <v>7.616</v>
      </c>
    </row>
    <row r="1255" spans="1:12">
      <c r="A1255" t="s">
        <v>13</v>
      </c>
      <c r="B1255" s="14" t="s">
        <v>2504</v>
      </c>
      <c r="C1255" s="20" t="s">
        <v>2505</v>
      </c>
      <c r="D1255" s="20" t="s">
        <v>2505</v>
      </c>
      <c r="E1255" s="20" t="s">
        <v>2505</v>
      </c>
      <c r="F1255" s="20" t="s">
        <v>2505</v>
      </c>
      <c r="G1255">
        <v>3.87</v>
      </c>
      <c r="H1255" s="1">
        <v>8.61</v>
      </c>
      <c r="I1255">
        <f t="shared" si="76"/>
        <v>4.4505</v>
      </c>
      <c r="J1255">
        <f t="shared" si="77"/>
        <v>4.644</v>
      </c>
      <c r="K1255">
        <f t="shared" si="78"/>
        <v>5.031</v>
      </c>
      <c r="L1255">
        <f t="shared" si="79"/>
        <v>5.418</v>
      </c>
    </row>
    <row r="1256" spans="1:12">
      <c r="A1256" t="s">
        <v>13</v>
      </c>
      <c r="B1256" s="14" t="s">
        <v>2506</v>
      </c>
      <c r="C1256" s="20" t="s">
        <v>2507</v>
      </c>
      <c r="D1256" s="20" t="s">
        <v>2507</v>
      </c>
      <c r="E1256" s="20" t="s">
        <v>2507</v>
      </c>
      <c r="F1256" s="20" t="s">
        <v>2507</v>
      </c>
      <c r="G1256">
        <v>6.64</v>
      </c>
      <c r="H1256" s="1">
        <v>14.74</v>
      </c>
      <c r="I1256">
        <f t="shared" si="76"/>
        <v>7.636</v>
      </c>
      <c r="J1256">
        <f t="shared" si="77"/>
        <v>7.968</v>
      </c>
      <c r="K1256">
        <f t="shared" si="78"/>
        <v>8.632</v>
      </c>
      <c r="L1256">
        <f t="shared" si="79"/>
        <v>9.296</v>
      </c>
    </row>
    <row r="1257" spans="1:12">
      <c r="A1257" t="s">
        <v>13</v>
      </c>
      <c r="B1257" s="14" t="s">
        <v>2508</v>
      </c>
      <c r="C1257" s="20" t="s">
        <v>2509</v>
      </c>
      <c r="D1257" s="20" t="s">
        <v>2509</v>
      </c>
      <c r="E1257" s="20" t="s">
        <v>2509</v>
      </c>
      <c r="F1257" s="20" t="s">
        <v>2509</v>
      </c>
      <c r="G1257">
        <v>3.72</v>
      </c>
      <c r="H1257" s="1">
        <v>9.3</v>
      </c>
      <c r="I1257">
        <f t="shared" si="76"/>
        <v>4.278</v>
      </c>
      <c r="J1257">
        <f t="shared" si="77"/>
        <v>4.464</v>
      </c>
      <c r="K1257">
        <f t="shared" si="78"/>
        <v>4.836</v>
      </c>
      <c r="L1257">
        <f t="shared" si="79"/>
        <v>5.208</v>
      </c>
    </row>
    <row r="1258" spans="1:12">
      <c r="A1258" t="s">
        <v>13</v>
      </c>
      <c r="B1258" s="14" t="s">
        <v>2510</v>
      </c>
      <c r="C1258" s="20" t="s">
        <v>2511</v>
      </c>
      <c r="D1258" s="20" t="s">
        <v>2511</v>
      </c>
      <c r="E1258" s="20" t="s">
        <v>2511</v>
      </c>
      <c r="F1258" s="20" t="s">
        <v>2511</v>
      </c>
      <c r="G1258">
        <v>3.38</v>
      </c>
      <c r="H1258" s="1">
        <v>8.46</v>
      </c>
      <c r="I1258">
        <f t="shared" si="76"/>
        <v>3.887</v>
      </c>
      <c r="J1258">
        <f t="shared" si="77"/>
        <v>4.056</v>
      </c>
      <c r="K1258">
        <f t="shared" si="78"/>
        <v>4.394</v>
      </c>
      <c r="L1258">
        <f t="shared" si="79"/>
        <v>4.732</v>
      </c>
    </row>
    <row r="1259" spans="1:12">
      <c r="A1259" t="s">
        <v>13</v>
      </c>
      <c r="B1259" s="14" t="s">
        <v>2512</v>
      </c>
      <c r="C1259" s="20" t="s">
        <v>2513</v>
      </c>
      <c r="D1259" s="20" t="s">
        <v>2513</v>
      </c>
      <c r="E1259" s="20" t="s">
        <v>2513</v>
      </c>
      <c r="F1259" s="20" t="s">
        <v>2513</v>
      </c>
      <c r="G1259">
        <v>33.04</v>
      </c>
      <c r="H1259" s="1">
        <v>82.58</v>
      </c>
      <c r="I1259">
        <f t="shared" si="76"/>
        <v>37.996</v>
      </c>
      <c r="J1259">
        <f t="shared" si="77"/>
        <v>39.648</v>
      </c>
      <c r="K1259">
        <f t="shared" si="78"/>
        <v>42.952</v>
      </c>
      <c r="L1259">
        <f t="shared" si="79"/>
        <v>46.256</v>
      </c>
    </row>
    <row r="1260" spans="1:12">
      <c r="A1260" t="s">
        <v>13</v>
      </c>
      <c r="B1260" s="14" t="s">
        <v>2514</v>
      </c>
      <c r="C1260" s="20" t="s">
        <v>2515</v>
      </c>
      <c r="D1260" s="20" t="s">
        <v>2515</v>
      </c>
      <c r="E1260" s="20" t="s">
        <v>2515</v>
      </c>
      <c r="F1260" s="20" t="s">
        <v>2515</v>
      </c>
      <c r="G1260">
        <v>4.3</v>
      </c>
      <c r="H1260" s="1">
        <v>10.75</v>
      </c>
      <c r="I1260">
        <f t="shared" si="76"/>
        <v>4.945</v>
      </c>
      <c r="J1260">
        <f t="shared" si="77"/>
        <v>5.16</v>
      </c>
      <c r="K1260">
        <f t="shared" si="78"/>
        <v>5.59</v>
      </c>
      <c r="L1260">
        <f t="shared" si="79"/>
        <v>6.02</v>
      </c>
    </row>
    <row r="1261" spans="1:12">
      <c r="A1261" t="s">
        <v>13</v>
      </c>
      <c r="B1261" s="14" t="s">
        <v>2516</v>
      </c>
      <c r="C1261" s="20" t="s">
        <v>2517</v>
      </c>
      <c r="D1261" s="20" t="s">
        <v>2517</v>
      </c>
      <c r="E1261" s="20" t="s">
        <v>2517</v>
      </c>
      <c r="F1261" s="20" t="s">
        <v>2517</v>
      </c>
      <c r="G1261">
        <v>5.6</v>
      </c>
      <c r="H1261" s="1">
        <v>13.96</v>
      </c>
      <c r="I1261">
        <f t="shared" si="76"/>
        <v>6.44</v>
      </c>
      <c r="J1261">
        <f t="shared" si="77"/>
        <v>6.72</v>
      </c>
      <c r="K1261">
        <f t="shared" si="78"/>
        <v>7.28</v>
      </c>
      <c r="L1261">
        <f t="shared" si="79"/>
        <v>7.84</v>
      </c>
    </row>
    <row r="1262" spans="1:12">
      <c r="A1262" t="s">
        <v>13</v>
      </c>
      <c r="B1262" s="14" t="s">
        <v>2518</v>
      </c>
      <c r="C1262" s="20" t="s">
        <v>2519</v>
      </c>
      <c r="D1262" s="20" t="s">
        <v>2519</v>
      </c>
      <c r="E1262" s="20" t="s">
        <v>2519</v>
      </c>
      <c r="F1262" s="20" t="s">
        <v>2519</v>
      </c>
      <c r="G1262">
        <v>8.61</v>
      </c>
      <c r="H1262" s="1">
        <v>21.53</v>
      </c>
      <c r="I1262">
        <f t="shared" si="76"/>
        <v>9.9015</v>
      </c>
      <c r="J1262">
        <f t="shared" si="77"/>
        <v>10.332</v>
      </c>
      <c r="K1262">
        <f t="shared" si="78"/>
        <v>11.193</v>
      </c>
      <c r="L1262">
        <f t="shared" si="79"/>
        <v>12.054</v>
      </c>
    </row>
    <row r="1263" spans="1:12">
      <c r="A1263" t="s">
        <v>13</v>
      </c>
      <c r="B1263" s="14" t="s">
        <v>2520</v>
      </c>
      <c r="C1263" s="20" t="s">
        <v>2521</v>
      </c>
      <c r="D1263" s="20" t="s">
        <v>2521</v>
      </c>
      <c r="E1263" s="20" t="s">
        <v>2521</v>
      </c>
      <c r="F1263" s="20" t="s">
        <v>2521</v>
      </c>
      <c r="G1263">
        <v>8.8</v>
      </c>
      <c r="H1263" s="1">
        <v>22.05</v>
      </c>
      <c r="I1263">
        <f t="shared" si="76"/>
        <v>10.12</v>
      </c>
      <c r="J1263">
        <f t="shared" si="77"/>
        <v>10.56</v>
      </c>
      <c r="K1263">
        <f t="shared" si="78"/>
        <v>11.44</v>
      </c>
      <c r="L1263">
        <f t="shared" si="79"/>
        <v>12.32</v>
      </c>
    </row>
    <row r="1264" spans="1:12">
      <c r="A1264" t="s">
        <v>13</v>
      </c>
      <c r="B1264" s="14" t="s">
        <v>2522</v>
      </c>
      <c r="C1264" s="20" t="s">
        <v>2523</v>
      </c>
      <c r="D1264" s="20" t="s">
        <v>2523</v>
      </c>
      <c r="E1264" s="20" t="s">
        <v>2523</v>
      </c>
      <c r="F1264" s="20" t="s">
        <v>2523</v>
      </c>
      <c r="G1264">
        <v>11.68</v>
      </c>
      <c r="H1264" s="1">
        <v>29.23</v>
      </c>
      <c r="I1264">
        <f t="shared" si="76"/>
        <v>13.432</v>
      </c>
      <c r="J1264">
        <f t="shared" si="77"/>
        <v>14.016</v>
      </c>
      <c r="K1264">
        <f t="shared" si="78"/>
        <v>15.184</v>
      </c>
      <c r="L1264">
        <f t="shared" si="79"/>
        <v>16.352</v>
      </c>
    </row>
    <row r="1265" spans="1:12">
      <c r="A1265" t="s">
        <v>13</v>
      </c>
      <c r="B1265" s="14" t="s">
        <v>2524</v>
      </c>
      <c r="C1265" s="20" t="s">
        <v>2525</v>
      </c>
      <c r="D1265" s="20" t="s">
        <v>2525</v>
      </c>
      <c r="E1265" s="20" t="s">
        <v>2525</v>
      </c>
      <c r="F1265" s="20" t="s">
        <v>2525</v>
      </c>
      <c r="G1265">
        <v>12.11</v>
      </c>
      <c r="H1265" s="1">
        <v>30.25</v>
      </c>
      <c r="I1265">
        <f t="shared" si="76"/>
        <v>13.9265</v>
      </c>
      <c r="J1265">
        <f t="shared" si="77"/>
        <v>14.532</v>
      </c>
      <c r="K1265">
        <f t="shared" si="78"/>
        <v>15.743</v>
      </c>
      <c r="L1265">
        <f t="shared" si="79"/>
        <v>16.954</v>
      </c>
    </row>
    <row r="1266" spans="1:12">
      <c r="A1266" t="s">
        <v>13</v>
      </c>
      <c r="B1266" s="14" t="s">
        <v>2526</v>
      </c>
      <c r="C1266" s="20" t="s">
        <v>2527</v>
      </c>
      <c r="D1266" s="20" t="s">
        <v>2527</v>
      </c>
      <c r="E1266" s="20" t="s">
        <v>2527</v>
      </c>
      <c r="F1266" s="20" t="s">
        <v>2527</v>
      </c>
      <c r="G1266">
        <v>16.97</v>
      </c>
      <c r="H1266" s="1">
        <v>42.42</v>
      </c>
      <c r="I1266">
        <f t="shared" si="76"/>
        <v>19.5155</v>
      </c>
      <c r="J1266">
        <f t="shared" si="77"/>
        <v>20.364</v>
      </c>
      <c r="K1266">
        <f t="shared" si="78"/>
        <v>22.061</v>
      </c>
      <c r="L1266">
        <f t="shared" si="79"/>
        <v>23.758</v>
      </c>
    </row>
    <row r="1267" spans="1:12">
      <c r="A1267" t="s">
        <v>13</v>
      </c>
      <c r="B1267" s="14" t="s">
        <v>2528</v>
      </c>
      <c r="C1267" s="20" t="s">
        <v>2529</v>
      </c>
      <c r="D1267" s="20" t="s">
        <v>2529</v>
      </c>
      <c r="E1267" s="20" t="s">
        <v>2529</v>
      </c>
      <c r="F1267" s="20" t="s">
        <v>2529</v>
      </c>
      <c r="G1267">
        <v>14.5</v>
      </c>
      <c r="H1267" s="1">
        <v>36.23</v>
      </c>
      <c r="I1267">
        <f t="shared" si="76"/>
        <v>16.675</v>
      </c>
      <c r="J1267">
        <f t="shared" si="77"/>
        <v>17.4</v>
      </c>
      <c r="K1267">
        <f t="shared" si="78"/>
        <v>18.85</v>
      </c>
      <c r="L1267">
        <f t="shared" si="79"/>
        <v>20.3</v>
      </c>
    </row>
    <row r="1268" spans="1:12">
      <c r="A1268" t="s">
        <v>13</v>
      </c>
      <c r="B1268" s="14" t="s">
        <v>2530</v>
      </c>
      <c r="C1268" s="20" t="s">
        <v>2531</v>
      </c>
      <c r="D1268" s="20" t="s">
        <v>2531</v>
      </c>
      <c r="E1268" s="20" t="s">
        <v>2531</v>
      </c>
      <c r="F1268" s="20" t="s">
        <v>2531</v>
      </c>
      <c r="G1268">
        <v>23.7</v>
      </c>
      <c r="H1268" s="1">
        <v>59.23</v>
      </c>
      <c r="I1268">
        <f t="shared" si="76"/>
        <v>27.255</v>
      </c>
      <c r="J1268">
        <f t="shared" si="77"/>
        <v>28.44</v>
      </c>
      <c r="K1268">
        <f t="shared" si="78"/>
        <v>30.81</v>
      </c>
      <c r="L1268">
        <f t="shared" si="79"/>
        <v>33.18</v>
      </c>
    </row>
    <row r="1269" spans="1:12">
      <c r="A1269" t="s">
        <v>13</v>
      </c>
      <c r="B1269" s="14" t="s">
        <v>2532</v>
      </c>
      <c r="C1269" s="20" t="s">
        <v>2533</v>
      </c>
      <c r="D1269" s="20" t="s">
        <v>2533</v>
      </c>
      <c r="E1269" s="20" t="s">
        <v>2533</v>
      </c>
      <c r="F1269" s="20" t="s">
        <v>2533</v>
      </c>
      <c r="G1269">
        <v>18.91</v>
      </c>
      <c r="H1269" s="1">
        <v>47.3</v>
      </c>
      <c r="I1269">
        <f t="shared" si="76"/>
        <v>21.7465</v>
      </c>
      <c r="J1269">
        <f t="shared" si="77"/>
        <v>22.692</v>
      </c>
      <c r="K1269">
        <f t="shared" si="78"/>
        <v>24.583</v>
      </c>
      <c r="L1269">
        <f t="shared" si="79"/>
        <v>26.474</v>
      </c>
    </row>
    <row r="1270" spans="1:12">
      <c r="A1270" t="s">
        <v>13</v>
      </c>
      <c r="B1270" s="14" t="s">
        <v>2534</v>
      </c>
      <c r="C1270" s="20" t="s">
        <v>2535</v>
      </c>
      <c r="D1270" s="20" t="s">
        <v>2535</v>
      </c>
      <c r="E1270" s="20" t="s">
        <v>2535</v>
      </c>
      <c r="F1270" s="20" t="s">
        <v>2535</v>
      </c>
      <c r="G1270">
        <v>32.05</v>
      </c>
      <c r="H1270" s="1">
        <v>80.15</v>
      </c>
      <c r="I1270">
        <f t="shared" si="76"/>
        <v>36.8575</v>
      </c>
      <c r="J1270">
        <f t="shared" si="77"/>
        <v>38.46</v>
      </c>
      <c r="K1270">
        <f t="shared" si="78"/>
        <v>41.665</v>
      </c>
      <c r="L1270">
        <f t="shared" si="79"/>
        <v>44.87</v>
      </c>
    </row>
    <row r="1271" spans="1:12">
      <c r="A1271" t="s">
        <v>13</v>
      </c>
      <c r="B1271" s="14" t="s">
        <v>2536</v>
      </c>
      <c r="C1271" s="20" t="s">
        <v>2537</v>
      </c>
      <c r="D1271" s="20" t="s">
        <v>2537</v>
      </c>
      <c r="E1271" s="20" t="s">
        <v>2537</v>
      </c>
      <c r="F1271" s="20" t="s">
        <v>2537</v>
      </c>
      <c r="G1271">
        <v>84.87</v>
      </c>
      <c r="H1271" s="1">
        <v>188.59</v>
      </c>
      <c r="I1271">
        <f t="shared" si="76"/>
        <v>97.6005</v>
      </c>
      <c r="J1271">
        <f t="shared" si="77"/>
        <v>101.844</v>
      </c>
      <c r="K1271">
        <f t="shared" si="78"/>
        <v>110.331</v>
      </c>
      <c r="L1271">
        <f t="shared" si="79"/>
        <v>118.818</v>
      </c>
    </row>
    <row r="1272" spans="1:12">
      <c r="A1272" t="s">
        <v>13</v>
      </c>
      <c r="B1272" s="14" t="s">
        <v>2538</v>
      </c>
      <c r="C1272" s="20" t="s">
        <v>2539</v>
      </c>
      <c r="D1272" s="20" t="s">
        <v>2539</v>
      </c>
      <c r="E1272" s="20" t="s">
        <v>2539</v>
      </c>
      <c r="F1272" s="20" t="s">
        <v>2539</v>
      </c>
      <c r="G1272">
        <v>84.01</v>
      </c>
      <c r="H1272" s="1">
        <v>186.69</v>
      </c>
      <c r="I1272">
        <f t="shared" si="76"/>
        <v>96.6115</v>
      </c>
      <c r="J1272">
        <f t="shared" si="77"/>
        <v>100.812</v>
      </c>
      <c r="K1272">
        <f t="shared" si="78"/>
        <v>109.213</v>
      </c>
      <c r="L1272">
        <f t="shared" si="79"/>
        <v>117.614</v>
      </c>
    </row>
    <row r="1273" spans="1:12">
      <c r="A1273" t="s">
        <v>13</v>
      </c>
      <c r="B1273" s="14" t="s">
        <v>2540</v>
      </c>
      <c r="C1273" s="20" t="s">
        <v>2541</v>
      </c>
      <c r="D1273" s="20" t="s">
        <v>2541</v>
      </c>
      <c r="E1273" s="20" t="s">
        <v>2541</v>
      </c>
      <c r="F1273" s="20" t="s">
        <v>2541</v>
      </c>
      <c r="G1273">
        <v>76.1</v>
      </c>
      <c r="H1273" s="1">
        <v>190.26</v>
      </c>
      <c r="I1273">
        <f t="shared" si="76"/>
        <v>87.515</v>
      </c>
      <c r="J1273">
        <f t="shared" si="77"/>
        <v>91.32</v>
      </c>
      <c r="K1273">
        <f t="shared" si="78"/>
        <v>98.93</v>
      </c>
      <c r="L1273">
        <f t="shared" si="79"/>
        <v>106.54</v>
      </c>
    </row>
    <row r="1274" spans="1:12">
      <c r="A1274" t="s">
        <v>13</v>
      </c>
      <c r="B1274" s="14" t="s">
        <v>2542</v>
      </c>
      <c r="C1274" s="20" t="s">
        <v>2543</v>
      </c>
      <c r="D1274" s="20" t="s">
        <v>2543</v>
      </c>
      <c r="E1274" s="20" t="s">
        <v>2543</v>
      </c>
      <c r="F1274" s="20" t="s">
        <v>2543</v>
      </c>
      <c r="G1274">
        <v>17.57</v>
      </c>
      <c r="H1274" s="1">
        <v>43.9</v>
      </c>
      <c r="I1274">
        <f t="shared" si="76"/>
        <v>20.2055</v>
      </c>
      <c r="J1274">
        <f t="shared" si="77"/>
        <v>21.084</v>
      </c>
      <c r="K1274">
        <f t="shared" si="78"/>
        <v>22.841</v>
      </c>
      <c r="L1274">
        <f t="shared" si="79"/>
        <v>24.598</v>
      </c>
    </row>
    <row r="1275" spans="1:12">
      <c r="A1275" t="s">
        <v>13</v>
      </c>
      <c r="B1275" s="14" t="s">
        <v>2544</v>
      </c>
      <c r="C1275" s="20" t="s">
        <v>2545</v>
      </c>
      <c r="D1275" s="20" t="s">
        <v>2545</v>
      </c>
      <c r="E1275" s="20" t="s">
        <v>2545</v>
      </c>
      <c r="F1275" s="20" t="s">
        <v>2545</v>
      </c>
      <c r="G1275">
        <v>1012.35</v>
      </c>
      <c r="H1275" s="1">
        <v>2249.65</v>
      </c>
      <c r="I1275">
        <f t="shared" si="76"/>
        <v>1164.2025</v>
      </c>
      <c r="J1275">
        <f t="shared" si="77"/>
        <v>1214.82</v>
      </c>
      <c r="K1275">
        <f t="shared" si="78"/>
        <v>1316.055</v>
      </c>
      <c r="L1275">
        <f t="shared" si="79"/>
        <v>1417.29</v>
      </c>
    </row>
    <row r="1276" ht="28.5" spans="1:12">
      <c r="A1276" t="s">
        <v>13</v>
      </c>
      <c r="B1276" s="14" t="s">
        <v>2546</v>
      </c>
      <c r="C1276" s="20" t="s">
        <v>2547</v>
      </c>
      <c r="D1276" s="20" t="s">
        <v>2547</v>
      </c>
      <c r="E1276" s="20" t="s">
        <v>2547</v>
      </c>
      <c r="F1276" s="20" t="s">
        <v>2547</v>
      </c>
      <c r="G1276">
        <v>181</v>
      </c>
      <c r="H1276" s="1">
        <v>402.23</v>
      </c>
      <c r="I1276">
        <f t="shared" si="76"/>
        <v>208.15</v>
      </c>
      <c r="J1276">
        <f t="shared" si="77"/>
        <v>217.2</v>
      </c>
      <c r="K1276">
        <f t="shared" si="78"/>
        <v>235.3</v>
      </c>
      <c r="L1276">
        <f t="shared" si="79"/>
        <v>253.4</v>
      </c>
    </row>
    <row r="1277" ht="28.5" spans="1:12">
      <c r="A1277" t="s">
        <v>13</v>
      </c>
      <c r="B1277" s="14" t="s">
        <v>2548</v>
      </c>
      <c r="C1277" s="20" t="s">
        <v>2549</v>
      </c>
      <c r="D1277" s="20" t="s">
        <v>2549</v>
      </c>
      <c r="E1277" s="20" t="s">
        <v>2549</v>
      </c>
      <c r="F1277" s="20" t="s">
        <v>2549</v>
      </c>
      <c r="G1277">
        <v>181.01</v>
      </c>
      <c r="H1277" s="1">
        <v>402.27</v>
      </c>
      <c r="I1277">
        <f t="shared" si="76"/>
        <v>208.1615</v>
      </c>
      <c r="J1277">
        <f t="shared" si="77"/>
        <v>217.212</v>
      </c>
      <c r="K1277">
        <f t="shared" si="78"/>
        <v>235.313</v>
      </c>
      <c r="L1277">
        <f t="shared" si="79"/>
        <v>253.414</v>
      </c>
    </row>
    <row r="1278" ht="28.5" spans="1:12">
      <c r="A1278" t="s">
        <v>13</v>
      </c>
      <c r="B1278" s="14" t="s">
        <v>2550</v>
      </c>
      <c r="C1278" s="20" t="s">
        <v>2551</v>
      </c>
      <c r="D1278" s="20" t="s">
        <v>2551</v>
      </c>
      <c r="E1278" s="20" t="s">
        <v>2551</v>
      </c>
      <c r="F1278" s="20" t="s">
        <v>2551</v>
      </c>
      <c r="G1278">
        <v>166.29</v>
      </c>
      <c r="H1278" s="1">
        <v>369.53</v>
      </c>
      <c r="I1278">
        <f t="shared" si="76"/>
        <v>191.2335</v>
      </c>
      <c r="J1278">
        <f t="shared" si="77"/>
        <v>199.548</v>
      </c>
      <c r="K1278">
        <f t="shared" si="78"/>
        <v>216.177</v>
      </c>
      <c r="L1278">
        <f t="shared" si="79"/>
        <v>232.806</v>
      </c>
    </row>
    <row r="1279" ht="28.5" spans="1:12">
      <c r="A1279" t="s">
        <v>13</v>
      </c>
      <c r="B1279" s="14" t="s">
        <v>2552</v>
      </c>
      <c r="C1279" s="20" t="s">
        <v>2553</v>
      </c>
      <c r="D1279" s="20" t="s">
        <v>2553</v>
      </c>
      <c r="E1279" s="20" t="s">
        <v>2553</v>
      </c>
      <c r="F1279" s="20" t="s">
        <v>2553</v>
      </c>
      <c r="G1279">
        <v>166.29</v>
      </c>
      <c r="H1279" s="1">
        <v>369.53</v>
      </c>
      <c r="I1279">
        <f t="shared" si="76"/>
        <v>191.2335</v>
      </c>
      <c r="J1279">
        <f t="shared" si="77"/>
        <v>199.548</v>
      </c>
      <c r="K1279">
        <f t="shared" si="78"/>
        <v>216.177</v>
      </c>
      <c r="L1279">
        <f t="shared" si="79"/>
        <v>232.806</v>
      </c>
    </row>
    <row r="1280" ht="28.5" spans="1:12">
      <c r="A1280" t="s">
        <v>13</v>
      </c>
      <c r="B1280" s="14" t="s">
        <v>2554</v>
      </c>
      <c r="C1280" s="20" t="s">
        <v>2555</v>
      </c>
      <c r="D1280" s="20" t="s">
        <v>2555</v>
      </c>
      <c r="E1280" s="20" t="s">
        <v>2555</v>
      </c>
      <c r="F1280" s="20" t="s">
        <v>2555</v>
      </c>
      <c r="G1280">
        <v>168.8</v>
      </c>
      <c r="H1280" s="1">
        <v>375.11</v>
      </c>
      <c r="I1280">
        <f t="shared" si="76"/>
        <v>194.12</v>
      </c>
      <c r="J1280">
        <f t="shared" si="77"/>
        <v>202.56</v>
      </c>
      <c r="K1280">
        <f t="shared" si="78"/>
        <v>219.44</v>
      </c>
      <c r="L1280">
        <f t="shared" si="79"/>
        <v>236.32</v>
      </c>
    </row>
    <row r="1281" ht="28.5" spans="1:12">
      <c r="A1281" t="s">
        <v>13</v>
      </c>
      <c r="B1281" s="14" t="s">
        <v>2556</v>
      </c>
      <c r="C1281" s="20" t="s">
        <v>2557</v>
      </c>
      <c r="D1281" s="20" t="s">
        <v>2557</v>
      </c>
      <c r="E1281" s="20" t="s">
        <v>2557</v>
      </c>
      <c r="F1281" s="20" t="s">
        <v>2557</v>
      </c>
      <c r="G1281">
        <v>168.81</v>
      </c>
      <c r="H1281" s="1">
        <v>375.15</v>
      </c>
      <c r="I1281">
        <f t="shared" si="76"/>
        <v>194.1315</v>
      </c>
      <c r="J1281">
        <f t="shared" si="77"/>
        <v>202.572</v>
      </c>
      <c r="K1281">
        <f t="shared" si="78"/>
        <v>219.453</v>
      </c>
      <c r="L1281">
        <f t="shared" si="79"/>
        <v>236.334</v>
      </c>
    </row>
    <row r="1282" ht="28.5" spans="1:12">
      <c r="A1282" t="s">
        <v>13</v>
      </c>
      <c r="B1282" s="14" t="s">
        <v>2558</v>
      </c>
      <c r="C1282" s="20" t="s">
        <v>2559</v>
      </c>
      <c r="D1282" s="20" t="s">
        <v>2559</v>
      </c>
      <c r="E1282" s="20" t="s">
        <v>2559</v>
      </c>
      <c r="F1282" s="20" t="s">
        <v>2559</v>
      </c>
      <c r="G1282">
        <v>163.05</v>
      </c>
      <c r="H1282" s="1">
        <v>362.37</v>
      </c>
      <c r="I1282">
        <f t="shared" ref="I1282:I1312" si="80">G1282*1.15</f>
        <v>187.5075</v>
      </c>
      <c r="J1282">
        <f t="shared" ref="J1282:J1312" si="81">G1282*1.2</f>
        <v>195.66</v>
      </c>
      <c r="K1282">
        <f t="shared" ref="K1282:K1312" si="82">G1282*1.3</f>
        <v>211.965</v>
      </c>
      <c r="L1282">
        <f t="shared" ref="L1282:L1312" si="83">G1282*1.4</f>
        <v>228.27</v>
      </c>
    </row>
    <row r="1283" ht="28.5" spans="1:12">
      <c r="A1283" t="s">
        <v>13</v>
      </c>
      <c r="B1283" s="14" t="s">
        <v>2560</v>
      </c>
      <c r="C1283" s="20" t="s">
        <v>2561</v>
      </c>
      <c r="D1283" s="20" t="s">
        <v>2561</v>
      </c>
      <c r="E1283" s="20" t="s">
        <v>2561</v>
      </c>
      <c r="F1283" s="20" t="s">
        <v>2561</v>
      </c>
      <c r="G1283">
        <v>163.05</v>
      </c>
      <c r="H1283" s="1">
        <v>362.37</v>
      </c>
      <c r="I1283">
        <f t="shared" si="80"/>
        <v>187.5075</v>
      </c>
      <c r="J1283">
        <f t="shared" si="81"/>
        <v>195.66</v>
      </c>
      <c r="K1283">
        <f t="shared" si="82"/>
        <v>211.965</v>
      </c>
      <c r="L1283">
        <f t="shared" si="83"/>
        <v>228.27</v>
      </c>
    </row>
    <row r="1284" ht="28.5" spans="1:12">
      <c r="A1284" t="s">
        <v>13</v>
      </c>
      <c r="B1284" s="14" t="s">
        <v>2562</v>
      </c>
      <c r="C1284" s="20" t="s">
        <v>2563</v>
      </c>
      <c r="D1284" s="20" t="s">
        <v>2563</v>
      </c>
      <c r="E1284" s="20" t="s">
        <v>2563</v>
      </c>
      <c r="F1284" s="20" t="s">
        <v>2563</v>
      </c>
      <c r="G1284">
        <v>1.18</v>
      </c>
      <c r="H1284" s="1">
        <v>2.92</v>
      </c>
      <c r="I1284">
        <f t="shared" si="80"/>
        <v>1.357</v>
      </c>
      <c r="J1284">
        <f t="shared" si="81"/>
        <v>1.416</v>
      </c>
      <c r="K1284">
        <f t="shared" si="82"/>
        <v>1.534</v>
      </c>
      <c r="L1284">
        <f t="shared" si="83"/>
        <v>1.652</v>
      </c>
    </row>
    <row r="1285" ht="28.5" spans="1:12">
      <c r="A1285" t="s">
        <v>13</v>
      </c>
      <c r="B1285" s="14" t="s">
        <v>2564</v>
      </c>
      <c r="C1285" s="20" t="s">
        <v>2565</v>
      </c>
      <c r="D1285" s="20" t="s">
        <v>2565</v>
      </c>
      <c r="E1285" s="20" t="s">
        <v>2565</v>
      </c>
      <c r="F1285" s="20" t="s">
        <v>2565</v>
      </c>
      <c r="G1285">
        <v>2</v>
      </c>
      <c r="H1285" s="1">
        <v>5.02</v>
      </c>
      <c r="I1285">
        <f t="shared" si="80"/>
        <v>2.3</v>
      </c>
      <c r="J1285">
        <f t="shared" si="81"/>
        <v>2.4</v>
      </c>
      <c r="K1285">
        <f t="shared" si="82"/>
        <v>2.6</v>
      </c>
      <c r="L1285">
        <f t="shared" si="83"/>
        <v>2.8</v>
      </c>
    </row>
    <row r="1286" spans="1:12">
      <c r="A1286" t="s">
        <v>13</v>
      </c>
      <c r="B1286" s="14" t="s">
        <v>2566</v>
      </c>
      <c r="C1286" s="20" t="s">
        <v>2567</v>
      </c>
      <c r="D1286" s="20" t="s">
        <v>2567</v>
      </c>
      <c r="E1286" s="20" t="s">
        <v>2567</v>
      </c>
      <c r="F1286" s="20" t="s">
        <v>2567</v>
      </c>
      <c r="G1286">
        <v>1.54</v>
      </c>
      <c r="H1286" s="1">
        <v>3.85</v>
      </c>
      <c r="I1286">
        <f t="shared" si="80"/>
        <v>1.771</v>
      </c>
      <c r="J1286">
        <f t="shared" si="81"/>
        <v>1.848</v>
      </c>
      <c r="K1286">
        <f t="shared" si="82"/>
        <v>2.002</v>
      </c>
      <c r="L1286">
        <f t="shared" si="83"/>
        <v>2.156</v>
      </c>
    </row>
    <row r="1287" spans="1:12">
      <c r="A1287" t="s">
        <v>13</v>
      </c>
      <c r="B1287" s="14" t="s">
        <v>2568</v>
      </c>
      <c r="C1287" s="20" t="s">
        <v>2569</v>
      </c>
      <c r="D1287" s="20" t="s">
        <v>2569</v>
      </c>
      <c r="E1287" s="20" t="s">
        <v>2569</v>
      </c>
      <c r="F1287" s="20" t="s">
        <v>2569</v>
      </c>
      <c r="G1287">
        <v>1.21</v>
      </c>
      <c r="H1287" s="1">
        <v>3.03</v>
      </c>
      <c r="I1287">
        <f t="shared" si="80"/>
        <v>1.3915</v>
      </c>
      <c r="J1287">
        <f t="shared" si="81"/>
        <v>1.452</v>
      </c>
      <c r="K1287">
        <f t="shared" si="82"/>
        <v>1.573</v>
      </c>
      <c r="L1287">
        <f t="shared" si="83"/>
        <v>1.694</v>
      </c>
    </row>
    <row r="1288" spans="1:12">
      <c r="A1288" t="s">
        <v>13</v>
      </c>
      <c r="B1288" s="14" t="s">
        <v>2570</v>
      </c>
      <c r="C1288" s="20" t="s">
        <v>2571</v>
      </c>
      <c r="D1288" s="20" t="s">
        <v>2571</v>
      </c>
      <c r="E1288" s="20" t="s">
        <v>2571</v>
      </c>
      <c r="F1288" s="20" t="s">
        <v>2571</v>
      </c>
      <c r="G1288">
        <v>2.43</v>
      </c>
      <c r="H1288" s="1">
        <v>6.09</v>
      </c>
      <c r="I1288">
        <f t="shared" si="80"/>
        <v>2.7945</v>
      </c>
      <c r="J1288">
        <f t="shared" si="81"/>
        <v>2.916</v>
      </c>
      <c r="K1288">
        <f t="shared" si="82"/>
        <v>3.159</v>
      </c>
      <c r="L1288">
        <f t="shared" si="83"/>
        <v>3.402</v>
      </c>
    </row>
    <row r="1289" spans="1:12">
      <c r="A1289" t="s">
        <v>13</v>
      </c>
      <c r="B1289" s="14" t="s">
        <v>2572</v>
      </c>
      <c r="C1289" s="20" t="s">
        <v>2573</v>
      </c>
      <c r="D1289" s="20" t="s">
        <v>2573</v>
      </c>
      <c r="E1289" s="20" t="s">
        <v>2573</v>
      </c>
      <c r="F1289" s="20" t="s">
        <v>2573</v>
      </c>
      <c r="G1289">
        <v>3.09</v>
      </c>
      <c r="H1289" s="1">
        <v>7.71</v>
      </c>
      <c r="I1289">
        <f t="shared" si="80"/>
        <v>3.5535</v>
      </c>
      <c r="J1289">
        <f t="shared" si="81"/>
        <v>3.708</v>
      </c>
      <c r="K1289">
        <f t="shared" si="82"/>
        <v>4.017</v>
      </c>
      <c r="L1289">
        <f t="shared" si="83"/>
        <v>4.326</v>
      </c>
    </row>
    <row r="1290" spans="1:12">
      <c r="A1290" t="s">
        <v>13</v>
      </c>
      <c r="B1290" s="14" t="s">
        <v>2574</v>
      </c>
      <c r="C1290" s="20" t="s">
        <v>2575</v>
      </c>
      <c r="D1290" s="20" t="s">
        <v>2575</v>
      </c>
      <c r="E1290" s="20" t="s">
        <v>2575</v>
      </c>
      <c r="F1290" s="20" t="s">
        <v>2575</v>
      </c>
      <c r="G1290">
        <v>5.33</v>
      </c>
      <c r="H1290" s="1">
        <v>13.35</v>
      </c>
      <c r="I1290">
        <f t="shared" si="80"/>
        <v>6.1295</v>
      </c>
      <c r="J1290">
        <f t="shared" si="81"/>
        <v>6.396</v>
      </c>
      <c r="K1290">
        <f t="shared" si="82"/>
        <v>6.929</v>
      </c>
      <c r="L1290">
        <f t="shared" si="83"/>
        <v>7.462</v>
      </c>
    </row>
    <row r="1291" ht="28.5" spans="1:12">
      <c r="A1291" t="s">
        <v>13</v>
      </c>
      <c r="B1291" s="14" t="s">
        <v>2576</v>
      </c>
      <c r="C1291" s="20" t="s">
        <v>2577</v>
      </c>
      <c r="D1291" s="20" t="s">
        <v>2577</v>
      </c>
      <c r="E1291" s="20" t="s">
        <v>2577</v>
      </c>
      <c r="F1291" s="20" t="s">
        <v>2577</v>
      </c>
      <c r="G1291">
        <v>0.98</v>
      </c>
      <c r="H1291" s="1">
        <v>2.43</v>
      </c>
      <c r="I1291">
        <f t="shared" si="80"/>
        <v>1.127</v>
      </c>
      <c r="J1291">
        <f t="shared" si="81"/>
        <v>1.176</v>
      </c>
      <c r="K1291">
        <f t="shared" si="82"/>
        <v>1.274</v>
      </c>
      <c r="L1291">
        <f t="shared" si="83"/>
        <v>1.372</v>
      </c>
    </row>
    <row r="1292" ht="28.5" spans="1:12">
      <c r="A1292" t="s">
        <v>13</v>
      </c>
      <c r="B1292" s="14" t="s">
        <v>2578</v>
      </c>
      <c r="C1292" s="20" t="s">
        <v>2579</v>
      </c>
      <c r="D1292" s="20" t="s">
        <v>2579</v>
      </c>
      <c r="E1292" s="20" t="s">
        <v>2579</v>
      </c>
      <c r="F1292" s="20" t="s">
        <v>2579</v>
      </c>
      <c r="G1292">
        <v>2.05</v>
      </c>
      <c r="H1292" s="1">
        <v>5.08</v>
      </c>
      <c r="I1292">
        <f t="shared" si="80"/>
        <v>2.3575</v>
      </c>
      <c r="J1292">
        <f t="shared" si="81"/>
        <v>2.46</v>
      </c>
      <c r="K1292">
        <f t="shared" si="82"/>
        <v>2.665</v>
      </c>
      <c r="L1292">
        <f t="shared" si="83"/>
        <v>2.87</v>
      </c>
    </row>
    <row r="1293" spans="1:12">
      <c r="A1293" t="s">
        <v>13</v>
      </c>
      <c r="B1293" s="14" t="s">
        <v>2580</v>
      </c>
      <c r="C1293" s="20" t="s">
        <v>2581</v>
      </c>
      <c r="D1293" s="20" t="s">
        <v>2581</v>
      </c>
      <c r="E1293" s="20" t="s">
        <v>2581</v>
      </c>
      <c r="F1293" s="20" t="s">
        <v>2581</v>
      </c>
      <c r="G1293">
        <v>1.21</v>
      </c>
      <c r="H1293" s="1">
        <v>3.02</v>
      </c>
      <c r="I1293">
        <f t="shared" si="80"/>
        <v>1.3915</v>
      </c>
      <c r="J1293">
        <f t="shared" si="81"/>
        <v>1.452</v>
      </c>
      <c r="K1293">
        <f t="shared" si="82"/>
        <v>1.573</v>
      </c>
      <c r="L1293">
        <f t="shared" si="83"/>
        <v>1.694</v>
      </c>
    </row>
    <row r="1294" ht="28.5" spans="1:12">
      <c r="A1294" t="s">
        <v>13</v>
      </c>
      <c r="B1294" s="14" t="s">
        <v>2582</v>
      </c>
      <c r="C1294" s="20" t="s">
        <v>2583</v>
      </c>
      <c r="D1294" s="20" t="s">
        <v>2583</v>
      </c>
      <c r="E1294" s="20" t="s">
        <v>2583</v>
      </c>
      <c r="F1294" s="20" t="s">
        <v>2583</v>
      </c>
      <c r="G1294">
        <v>3.18</v>
      </c>
      <c r="H1294" s="1">
        <v>7.96</v>
      </c>
      <c r="I1294">
        <f t="shared" si="80"/>
        <v>3.657</v>
      </c>
      <c r="J1294">
        <f t="shared" si="81"/>
        <v>3.816</v>
      </c>
      <c r="K1294">
        <f t="shared" si="82"/>
        <v>4.134</v>
      </c>
      <c r="L1294">
        <f t="shared" si="83"/>
        <v>4.452</v>
      </c>
    </row>
    <row r="1295" spans="1:12">
      <c r="A1295" t="s">
        <v>13</v>
      </c>
      <c r="B1295" s="14" t="s">
        <v>2584</v>
      </c>
      <c r="C1295" s="20" t="s">
        <v>2585</v>
      </c>
      <c r="D1295" s="20" t="s">
        <v>2585</v>
      </c>
      <c r="E1295" s="20" t="s">
        <v>2585</v>
      </c>
      <c r="F1295" s="20" t="s">
        <v>2585</v>
      </c>
      <c r="G1295">
        <v>0.94</v>
      </c>
      <c r="H1295" s="1">
        <v>1.81</v>
      </c>
      <c r="I1295">
        <f t="shared" si="80"/>
        <v>1.081</v>
      </c>
      <c r="J1295">
        <f t="shared" si="81"/>
        <v>1.128</v>
      </c>
      <c r="K1295">
        <f t="shared" si="82"/>
        <v>1.222</v>
      </c>
      <c r="L1295">
        <f t="shared" si="83"/>
        <v>1.316</v>
      </c>
    </row>
    <row r="1296" spans="1:12">
      <c r="A1296" t="s">
        <v>13</v>
      </c>
      <c r="B1296" s="14" t="s">
        <v>2586</v>
      </c>
      <c r="C1296" s="20" t="s">
        <v>2587</v>
      </c>
      <c r="D1296" s="20" t="s">
        <v>2587</v>
      </c>
      <c r="E1296" s="20" t="s">
        <v>2587</v>
      </c>
      <c r="F1296" s="20" t="s">
        <v>2587</v>
      </c>
      <c r="G1296">
        <v>7.79</v>
      </c>
      <c r="H1296" s="1">
        <v>19.5</v>
      </c>
      <c r="I1296">
        <f t="shared" si="80"/>
        <v>8.9585</v>
      </c>
      <c r="J1296">
        <f t="shared" si="81"/>
        <v>9.348</v>
      </c>
      <c r="K1296">
        <f t="shared" si="82"/>
        <v>10.127</v>
      </c>
      <c r="L1296">
        <f t="shared" si="83"/>
        <v>10.906</v>
      </c>
    </row>
    <row r="1297" spans="1:12">
      <c r="A1297" t="s">
        <v>13</v>
      </c>
      <c r="B1297" s="14" t="s">
        <v>2588</v>
      </c>
      <c r="C1297" s="20" t="s">
        <v>2589</v>
      </c>
      <c r="D1297" s="20" t="s">
        <v>2589</v>
      </c>
      <c r="E1297" s="20" t="s">
        <v>2589</v>
      </c>
      <c r="F1297" s="20" t="s">
        <v>2589</v>
      </c>
      <c r="G1297">
        <v>8.38</v>
      </c>
      <c r="H1297" s="1">
        <v>20.94</v>
      </c>
      <c r="I1297">
        <f t="shared" si="80"/>
        <v>9.637</v>
      </c>
      <c r="J1297">
        <f t="shared" si="81"/>
        <v>10.056</v>
      </c>
      <c r="K1297">
        <f t="shared" si="82"/>
        <v>10.894</v>
      </c>
      <c r="L1297">
        <f t="shared" si="83"/>
        <v>11.732</v>
      </c>
    </row>
    <row r="1298" spans="1:12">
      <c r="A1298" t="s">
        <v>13</v>
      </c>
      <c r="B1298" s="14" t="s">
        <v>2590</v>
      </c>
      <c r="C1298" s="20" t="s">
        <v>2591</v>
      </c>
      <c r="D1298" s="20" t="s">
        <v>2591</v>
      </c>
      <c r="E1298" s="20" t="s">
        <v>2591</v>
      </c>
      <c r="F1298" s="20" t="s">
        <v>2591</v>
      </c>
      <c r="G1298">
        <v>9.13</v>
      </c>
      <c r="H1298" s="1">
        <v>22.83</v>
      </c>
      <c r="I1298">
        <f t="shared" si="80"/>
        <v>10.4995</v>
      </c>
      <c r="J1298">
        <f t="shared" si="81"/>
        <v>10.956</v>
      </c>
      <c r="K1298">
        <f t="shared" si="82"/>
        <v>11.869</v>
      </c>
      <c r="L1298">
        <f t="shared" si="83"/>
        <v>12.782</v>
      </c>
    </row>
    <row r="1299" spans="1:12">
      <c r="A1299" t="s">
        <v>13</v>
      </c>
      <c r="B1299" s="14" t="s">
        <v>2592</v>
      </c>
      <c r="C1299" s="20" t="s">
        <v>2593</v>
      </c>
      <c r="D1299" s="20" t="s">
        <v>2593</v>
      </c>
      <c r="E1299" s="20" t="s">
        <v>2593</v>
      </c>
      <c r="F1299" s="20" t="s">
        <v>2593</v>
      </c>
      <c r="G1299">
        <v>10.28</v>
      </c>
      <c r="H1299" s="1">
        <v>25.71</v>
      </c>
      <c r="I1299">
        <f t="shared" si="80"/>
        <v>11.822</v>
      </c>
      <c r="J1299">
        <f t="shared" si="81"/>
        <v>12.336</v>
      </c>
      <c r="K1299">
        <f t="shared" si="82"/>
        <v>13.364</v>
      </c>
      <c r="L1299">
        <f t="shared" si="83"/>
        <v>14.392</v>
      </c>
    </row>
    <row r="1300" spans="1:12">
      <c r="A1300" t="s">
        <v>13</v>
      </c>
      <c r="B1300" s="14" t="s">
        <v>2594</v>
      </c>
      <c r="C1300" s="20" t="s">
        <v>2595</v>
      </c>
      <c r="D1300" s="20" t="s">
        <v>2595</v>
      </c>
      <c r="E1300" s="20" t="s">
        <v>2595</v>
      </c>
      <c r="F1300" s="20" t="s">
        <v>2595</v>
      </c>
      <c r="G1300">
        <v>9.99</v>
      </c>
      <c r="H1300" s="1">
        <v>25</v>
      </c>
      <c r="I1300">
        <f t="shared" si="80"/>
        <v>11.4885</v>
      </c>
      <c r="J1300">
        <f t="shared" si="81"/>
        <v>11.988</v>
      </c>
      <c r="K1300">
        <f t="shared" si="82"/>
        <v>12.987</v>
      </c>
      <c r="L1300">
        <f t="shared" si="83"/>
        <v>13.986</v>
      </c>
    </row>
    <row r="1301" spans="1:12">
      <c r="A1301" t="s">
        <v>13</v>
      </c>
      <c r="B1301" s="14" t="s">
        <v>2596</v>
      </c>
      <c r="C1301" s="20" t="s">
        <v>2597</v>
      </c>
      <c r="D1301" s="20" t="s">
        <v>2597</v>
      </c>
      <c r="E1301" s="20" t="s">
        <v>2597</v>
      </c>
      <c r="F1301" s="20" t="s">
        <v>2597</v>
      </c>
      <c r="G1301">
        <v>10.35</v>
      </c>
      <c r="H1301" s="1">
        <v>25.91</v>
      </c>
      <c r="I1301">
        <f t="shared" si="80"/>
        <v>11.9025</v>
      </c>
      <c r="J1301">
        <f t="shared" si="81"/>
        <v>12.42</v>
      </c>
      <c r="K1301">
        <f t="shared" si="82"/>
        <v>13.455</v>
      </c>
      <c r="L1301">
        <f t="shared" si="83"/>
        <v>14.49</v>
      </c>
    </row>
    <row r="1302" spans="1:12">
      <c r="A1302" t="s">
        <v>13</v>
      </c>
      <c r="B1302" s="14" t="s">
        <v>2598</v>
      </c>
      <c r="C1302" s="20" t="s">
        <v>2599</v>
      </c>
      <c r="D1302" s="20" t="s">
        <v>2599</v>
      </c>
      <c r="E1302" s="20" t="s">
        <v>2599</v>
      </c>
      <c r="F1302" s="20" t="s">
        <v>2599</v>
      </c>
      <c r="G1302">
        <v>16.47</v>
      </c>
      <c r="H1302" s="1">
        <v>41.21</v>
      </c>
      <c r="I1302">
        <f t="shared" si="80"/>
        <v>18.9405</v>
      </c>
      <c r="J1302">
        <f t="shared" si="81"/>
        <v>19.764</v>
      </c>
      <c r="K1302">
        <f t="shared" si="82"/>
        <v>21.411</v>
      </c>
      <c r="L1302">
        <f t="shared" si="83"/>
        <v>23.058</v>
      </c>
    </row>
    <row r="1303" spans="1:12">
      <c r="A1303" t="s">
        <v>13</v>
      </c>
      <c r="B1303" s="14" t="s">
        <v>2600</v>
      </c>
      <c r="C1303" s="20" t="s">
        <v>2601</v>
      </c>
      <c r="D1303" s="20" t="s">
        <v>2601</v>
      </c>
      <c r="E1303" s="20" t="s">
        <v>2601</v>
      </c>
      <c r="F1303" s="20" t="s">
        <v>2601</v>
      </c>
      <c r="G1303">
        <v>18.61</v>
      </c>
      <c r="H1303" s="1">
        <v>46.51</v>
      </c>
      <c r="I1303">
        <f t="shared" si="80"/>
        <v>21.4015</v>
      </c>
      <c r="J1303">
        <f t="shared" si="81"/>
        <v>22.332</v>
      </c>
      <c r="K1303">
        <f t="shared" si="82"/>
        <v>24.193</v>
      </c>
      <c r="L1303">
        <f t="shared" si="83"/>
        <v>26.054</v>
      </c>
    </row>
    <row r="1304" spans="1:12">
      <c r="A1304" t="s">
        <v>13</v>
      </c>
      <c r="B1304" s="14" t="s">
        <v>2602</v>
      </c>
      <c r="C1304" s="20" t="s">
        <v>2603</v>
      </c>
      <c r="D1304" s="20" t="s">
        <v>2603</v>
      </c>
      <c r="E1304" s="20" t="s">
        <v>2603</v>
      </c>
      <c r="F1304" s="20" t="s">
        <v>2603</v>
      </c>
      <c r="G1304">
        <v>23.5</v>
      </c>
      <c r="H1304" s="1">
        <v>58.74</v>
      </c>
      <c r="I1304">
        <f t="shared" si="80"/>
        <v>27.025</v>
      </c>
      <c r="J1304">
        <f t="shared" si="81"/>
        <v>28.2</v>
      </c>
      <c r="K1304">
        <f t="shared" si="82"/>
        <v>30.55</v>
      </c>
      <c r="L1304">
        <f t="shared" si="83"/>
        <v>32.9</v>
      </c>
    </row>
    <row r="1305" spans="1:12">
      <c r="A1305" t="s">
        <v>13</v>
      </c>
      <c r="B1305" s="14" t="s">
        <v>2604</v>
      </c>
      <c r="C1305" s="20" t="s">
        <v>2605</v>
      </c>
      <c r="D1305" s="20" t="s">
        <v>2605</v>
      </c>
      <c r="E1305" s="20" t="s">
        <v>2605</v>
      </c>
      <c r="F1305" s="20" t="s">
        <v>2605</v>
      </c>
      <c r="G1305">
        <v>4.52</v>
      </c>
      <c r="H1305" s="1">
        <v>10.04</v>
      </c>
      <c r="I1305">
        <f t="shared" si="80"/>
        <v>5.198</v>
      </c>
      <c r="J1305">
        <f t="shared" si="81"/>
        <v>5.424</v>
      </c>
      <c r="K1305">
        <f t="shared" si="82"/>
        <v>5.876</v>
      </c>
      <c r="L1305">
        <f t="shared" si="83"/>
        <v>6.328</v>
      </c>
    </row>
    <row r="1306" spans="1:12">
      <c r="A1306" t="s">
        <v>13</v>
      </c>
      <c r="B1306" s="14" t="s">
        <v>2606</v>
      </c>
      <c r="C1306" s="20" t="s">
        <v>2607</v>
      </c>
      <c r="D1306" s="20" t="s">
        <v>2607</v>
      </c>
      <c r="E1306" s="20" t="s">
        <v>2607</v>
      </c>
      <c r="F1306" s="20" t="s">
        <v>2607</v>
      </c>
      <c r="G1306">
        <v>2.52</v>
      </c>
      <c r="H1306" s="1">
        <v>4.79</v>
      </c>
      <c r="I1306">
        <f t="shared" si="80"/>
        <v>2.898</v>
      </c>
      <c r="J1306">
        <f t="shared" si="81"/>
        <v>3.024</v>
      </c>
      <c r="K1306">
        <f t="shared" si="82"/>
        <v>3.276</v>
      </c>
      <c r="L1306">
        <f t="shared" si="83"/>
        <v>3.528</v>
      </c>
    </row>
    <row r="1307" spans="1:12">
      <c r="A1307" t="s">
        <v>13</v>
      </c>
      <c r="B1307" s="14" t="s">
        <v>2608</v>
      </c>
      <c r="C1307" s="20" t="s">
        <v>2609</v>
      </c>
      <c r="D1307" s="20" t="s">
        <v>2609</v>
      </c>
      <c r="E1307" s="20" t="s">
        <v>2609</v>
      </c>
      <c r="F1307" s="20" t="s">
        <v>2609</v>
      </c>
      <c r="G1307">
        <v>2.52</v>
      </c>
      <c r="H1307" s="1">
        <v>4.79</v>
      </c>
      <c r="I1307">
        <f t="shared" si="80"/>
        <v>2.898</v>
      </c>
      <c r="J1307">
        <f t="shared" si="81"/>
        <v>3.024</v>
      </c>
      <c r="K1307">
        <f t="shared" si="82"/>
        <v>3.276</v>
      </c>
      <c r="L1307">
        <f t="shared" si="83"/>
        <v>3.528</v>
      </c>
    </row>
    <row r="1308" spans="1:12">
      <c r="A1308" t="s">
        <v>13</v>
      </c>
      <c r="B1308" s="14" t="s">
        <v>2610</v>
      </c>
      <c r="C1308" s="20" t="s">
        <v>2611</v>
      </c>
      <c r="D1308" s="20" t="s">
        <v>2611</v>
      </c>
      <c r="E1308" s="20" t="s">
        <v>2611</v>
      </c>
      <c r="F1308" s="20" t="s">
        <v>2611</v>
      </c>
      <c r="G1308">
        <v>2.52</v>
      </c>
      <c r="H1308" s="1">
        <v>4.79</v>
      </c>
      <c r="I1308">
        <f t="shared" si="80"/>
        <v>2.898</v>
      </c>
      <c r="J1308">
        <f t="shared" si="81"/>
        <v>3.024</v>
      </c>
      <c r="K1308">
        <f t="shared" si="82"/>
        <v>3.276</v>
      </c>
      <c r="L1308">
        <f t="shared" si="83"/>
        <v>3.528</v>
      </c>
    </row>
    <row r="1309" spans="1:12">
      <c r="A1309" t="s">
        <v>13</v>
      </c>
      <c r="B1309" s="14" t="s">
        <v>2612</v>
      </c>
      <c r="C1309" s="20" t="s">
        <v>2613</v>
      </c>
      <c r="D1309" s="20" t="s">
        <v>2613</v>
      </c>
      <c r="E1309" s="20" t="s">
        <v>2613</v>
      </c>
      <c r="F1309" s="20" t="s">
        <v>2613</v>
      </c>
      <c r="G1309">
        <v>103.75</v>
      </c>
      <c r="H1309" s="1">
        <v>197.61</v>
      </c>
      <c r="I1309">
        <f t="shared" si="80"/>
        <v>119.3125</v>
      </c>
      <c r="J1309">
        <f t="shared" si="81"/>
        <v>124.5</v>
      </c>
      <c r="K1309">
        <f t="shared" si="82"/>
        <v>134.875</v>
      </c>
      <c r="L1309">
        <f t="shared" si="83"/>
        <v>145.25</v>
      </c>
    </row>
    <row r="1310" spans="1:12">
      <c r="A1310" t="s">
        <v>13</v>
      </c>
      <c r="B1310" s="14" t="s">
        <v>2614</v>
      </c>
      <c r="C1310" s="20" t="s">
        <v>2615</v>
      </c>
      <c r="D1310" s="20" t="s">
        <v>2615</v>
      </c>
      <c r="E1310" s="20" t="s">
        <v>2615</v>
      </c>
      <c r="F1310" s="20" t="s">
        <v>2615</v>
      </c>
      <c r="G1310">
        <v>3.12</v>
      </c>
      <c r="H1310" s="1">
        <v>5.93</v>
      </c>
      <c r="I1310">
        <f t="shared" si="80"/>
        <v>3.588</v>
      </c>
      <c r="J1310">
        <f t="shared" si="81"/>
        <v>3.744</v>
      </c>
      <c r="K1310">
        <f t="shared" si="82"/>
        <v>4.056</v>
      </c>
      <c r="L1310">
        <f t="shared" si="83"/>
        <v>4.368</v>
      </c>
    </row>
    <row r="1311" spans="1:12">
      <c r="A1311" t="s">
        <v>13</v>
      </c>
      <c r="B1311" s="14" t="s">
        <v>2616</v>
      </c>
      <c r="C1311" s="20" t="s">
        <v>2617</v>
      </c>
      <c r="D1311" s="20" t="s">
        <v>2617</v>
      </c>
      <c r="E1311" s="20" t="s">
        <v>2617</v>
      </c>
      <c r="F1311" s="20" t="s">
        <v>2617</v>
      </c>
      <c r="G1311">
        <v>23.96</v>
      </c>
      <c r="H1311" s="1">
        <v>45.65</v>
      </c>
      <c r="I1311">
        <f t="shared" si="80"/>
        <v>27.554</v>
      </c>
      <c r="J1311">
        <f t="shared" si="81"/>
        <v>28.752</v>
      </c>
      <c r="K1311">
        <f t="shared" si="82"/>
        <v>31.148</v>
      </c>
      <c r="L1311">
        <f t="shared" si="83"/>
        <v>33.544</v>
      </c>
    </row>
    <row r="1312" spans="1:12">
      <c r="A1312" t="s">
        <v>13</v>
      </c>
      <c r="B1312" s="14" t="s">
        <v>2618</v>
      </c>
      <c r="C1312" s="20" t="s">
        <v>2619</v>
      </c>
      <c r="D1312" s="20" t="s">
        <v>2619</v>
      </c>
      <c r="E1312" s="20" t="s">
        <v>2619</v>
      </c>
      <c r="F1312" s="20" t="s">
        <v>2619</v>
      </c>
      <c r="G1312">
        <v>2.9</v>
      </c>
      <c r="H1312" s="1">
        <v>5.53</v>
      </c>
      <c r="I1312">
        <f t="shared" si="80"/>
        <v>3.335</v>
      </c>
      <c r="J1312">
        <f t="shared" si="81"/>
        <v>3.48</v>
      </c>
      <c r="K1312">
        <f t="shared" si="82"/>
        <v>3.77</v>
      </c>
      <c r="L1312">
        <f t="shared" si="83"/>
        <v>4.06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99990844447157"/>
  </sheetPr>
  <dimension ref="A1:M131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1" sqref="D$1:D$1048576"/>
    </sheetView>
  </sheetViews>
  <sheetFormatPr defaultColWidth="9" defaultRowHeight="14.25"/>
  <cols>
    <col min="1" max="1" width="30" customWidth="1"/>
    <col min="2" max="2" width="40.1833333333333" customWidth="1"/>
    <col min="7" max="7" width="11" style="1" customWidth="1"/>
    <col min="8" max="8" width="11" style="2" customWidth="1"/>
    <col min="9" max="9" width="10.8166666666667" customWidth="1"/>
    <col min="13" max="13" width="12.625"/>
  </cols>
  <sheetData>
    <row r="1" ht="19.5" customHeight="1" spans="1:2">
      <c r="A1" s="3" t="s">
        <v>2620</v>
      </c>
      <c r="B1" s="4"/>
    </row>
    <row r="2" ht="15" spans="1:8">
      <c r="A2" s="5" t="s">
        <v>2621</v>
      </c>
      <c r="B2" s="6"/>
      <c r="D2" s="7">
        <f>SUBTOTAL(9,D4:D1314)</f>
        <v>118708.69</v>
      </c>
      <c r="G2" s="7">
        <f>SUBTOTAL(9,G4:G1314)</f>
        <v>262077.93</v>
      </c>
      <c r="H2" s="8"/>
    </row>
    <row r="3" ht="29.25" spans="1:12">
      <c r="A3" s="9" t="s">
        <v>2622</v>
      </c>
      <c r="B3" s="10" t="s">
        <v>2623</v>
      </c>
      <c r="C3" s="10" t="s">
        <v>0</v>
      </c>
      <c r="D3" s="11" t="s">
        <v>2624</v>
      </c>
      <c r="E3" s="10" t="s">
        <v>2625</v>
      </c>
      <c r="F3" s="10" t="s">
        <v>2626</v>
      </c>
      <c r="G3" s="12" t="s">
        <v>6</v>
      </c>
      <c r="H3" s="13" t="s">
        <v>2627</v>
      </c>
      <c r="I3" s="15" t="s">
        <v>2628</v>
      </c>
      <c r="J3" s="16" t="s">
        <v>2629</v>
      </c>
      <c r="K3" s="17" t="s">
        <v>2630</v>
      </c>
      <c r="L3" s="17" t="s">
        <v>2631</v>
      </c>
    </row>
    <row r="4" spans="1:13">
      <c r="A4" s="14" t="s">
        <v>14</v>
      </c>
      <c r="B4" t="s">
        <v>15</v>
      </c>
      <c r="C4" t="s">
        <v>13</v>
      </c>
      <c r="D4">
        <v>15.5</v>
      </c>
      <c r="E4" t="s">
        <v>2632</v>
      </c>
      <c r="F4" t="s">
        <v>2633</v>
      </c>
      <c r="G4" s="1">
        <v>29.81</v>
      </c>
      <c r="H4" s="1"/>
      <c r="I4" t="s">
        <v>2634</v>
      </c>
      <c r="J4" t="s">
        <v>2634</v>
      </c>
      <c r="K4">
        <v>0</v>
      </c>
      <c r="L4">
        <v>0</v>
      </c>
      <c r="M4">
        <f>D4/G4</f>
        <v>0.519959745051996</v>
      </c>
    </row>
    <row r="5" spans="1:13">
      <c r="A5" s="14" t="s">
        <v>16</v>
      </c>
      <c r="B5" t="s">
        <v>17</v>
      </c>
      <c r="C5" t="s">
        <v>13</v>
      </c>
      <c r="D5">
        <v>0.26</v>
      </c>
      <c r="E5" t="s">
        <v>2632</v>
      </c>
      <c r="F5" t="s">
        <v>2633</v>
      </c>
      <c r="G5" s="1">
        <v>0.49</v>
      </c>
      <c r="H5" s="1"/>
      <c r="I5" t="s">
        <v>2634</v>
      </c>
      <c r="J5" t="s">
        <v>2634</v>
      </c>
      <c r="K5">
        <v>0</v>
      </c>
      <c r="L5">
        <v>0</v>
      </c>
      <c r="M5">
        <f t="shared" ref="M5:M35" si="0">D5/G5</f>
        <v>0.530612244897959</v>
      </c>
    </row>
    <row r="6" spans="1:13">
      <c r="A6" s="14" t="s">
        <v>18</v>
      </c>
      <c r="B6" t="s">
        <v>19</v>
      </c>
      <c r="C6" t="s">
        <v>13</v>
      </c>
      <c r="D6">
        <v>0.26</v>
      </c>
      <c r="E6" t="s">
        <v>2632</v>
      </c>
      <c r="F6" t="s">
        <v>2633</v>
      </c>
      <c r="G6" s="1">
        <v>0.49</v>
      </c>
      <c r="H6" s="1"/>
      <c r="I6" t="s">
        <v>2634</v>
      </c>
      <c r="J6" t="s">
        <v>2634</v>
      </c>
      <c r="K6">
        <v>0</v>
      </c>
      <c r="L6">
        <v>0</v>
      </c>
      <c r="M6">
        <f t="shared" si="0"/>
        <v>0.530612244897959</v>
      </c>
    </row>
    <row r="7" spans="1:13">
      <c r="A7" s="14" t="s">
        <v>20</v>
      </c>
      <c r="B7" t="s">
        <v>21</v>
      </c>
      <c r="C7" t="s">
        <v>13</v>
      </c>
      <c r="D7">
        <v>0.75</v>
      </c>
      <c r="E7" t="s">
        <v>2632</v>
      </c>
      <c r="F7" t="s">
        <v>2633</v>
      </c>
      <c r="G7" s="1">
        <v>1.67</v>
      </c>
      <c r="H7" s="1"/>
      <c r="I7" t="s">
        <v>2634</v>
      </c>
      <c r="J7" t="s">
        <v>2634</v>
      </c>
      <c r="K7">
        <v>0</v>
      </c>
      <c r="L7">
        <v>0</v>
      </c>
      <c r="M7">
        <f t="shared" si="0"/>
        <v>0.449101796407186</v>
      </c>
    </row>
    <row r="8" spans="1:13">
      <c r="A8" s="14" t="s">
        <v>22</v>
      </c>
      <c r="B8" t="s">
        <v>23</v>
      </c>
      <c r="C8" t="s">
        <v>13</v>
      </c>
      <c r="D8">
        <v>0.57</v>
      </c>
      <c r="E8" t="s">
        <v>2632</v>
      </c>
      <c r="F8" t="s">
        <v>2633</v>
      </c>
      <c r="G8" s="1">
        <v>1.44</v>
      </c>
      <c r="H8" s="1"/>
      <c r="I8" t="s">
        <v>2634</v>
      </c>
      <c r="J8" t="s">
        <v>2634</v>
      </c>
      <c r="K8">
        <v>0</v>
      </c>
      <c r="L8">
        <v>0</v>
      </c>
      <c r="M8">
        <f t="shared" si="0"/>
        <v>0.395833333333333</v>
      </c>
    </row>
    <row r="9" spans="1:13">
      <c r="A9" s="14" t="s">
        <v>24</v>
      </c>
      <c r="B9" t="s">
        <v>25</v>
      </c>
      <c r="C9" t="s">
        <v>13</v>
      </c>
      <c r="D9">
        <v>71.96</v>
      </c>
      <c r="E9" t="s">
        <v>2632</v>
      </c>
      <c r="F9" t="s">
        <v>2633</v>
      </c>
      <c r="G9" s="1">
        <v>159.92</v>
      </c>
      <c r="H9" s="1"/>
      <c r="I9" t="s">
        <v>2634</v>
      </c>
      <c r="J9">
        <v>6</v>
      </c>
      <c r="K9">
        <v>0</v>
      </c>
      <c r="L9">
        <v>0</v>
      </c>
      <c r="M9">
        <f t="shared" si="0"/>
        <v>0.449974987493747</v>
      </c>
    </row>
    <row r="10" spans="1:13">
      <c r="A10" s="14" t="s">
        <v>26</v>
      </c>
      <c r="B10" t="s">
        <v>27</v>
      </c>
      <c r="C10" t="s">
        <v>13</v>
      </c>
      <c r="D10">
        <v>68.99</v>
      </c>
      <c r="E10" t="s">
        <v>2632</v>
      </c>
      <c r="F10" t="s">
        <v>2633</v>
      </c>
      <c r="G10" s="1">
        <v>153.31</v>
      </c>
      <c r="H10" s="2" t="s">
        <v>2635</v>
      </c>
      <c r="I10" t="s">
        <v>2636</v>
      </c>
      <c r="J10">
        <v>10</v>
      </c>
      <c r="K10">
        <v>0</v>
      </c>
      <c r="L10">
        <v>0</v>
      </c>
      <c r="M10">
        <f t="shared" si="0"/>
        <v>0.45000326136586</v>
      </c>
    </row>
    <row r="11" spans="1:13">
      <c r="A11" s="14" t="s">
        <v>28</v>
      </c>
      <c r="B11" t="s">
        <v>29</v>
      </c>
      <c r="C11" t="s">
        <v>13</v>
      </c>
      <c r="D11">
        <v>71.81</v>
      </c>
      <c r="E11" t="s">
        <v>2632</v>
      </c>
      <c r="F11" t="s">
        <v>2633</v>
      </c>
      <c r="G11" s="1">
        <v>159.57</v>
      </c>
      <c r="H11" s="1"/>
      <c r="I11" t="s">
        <v>2634</v>
      </c>
      <c r="J11">
        <v>6</v>
      </c>
      <c r="K11">
        <v>0</v>
      </c>
      <c r="L11">
        <v>0</v>
      </c>
      <c r="M11">
        <f t="shared" si="0"/>
        <v>0.450021933947484</v>
      </c>
    </row>
    <row r="12" spans="1:13">
      <c r="A12" s="14" t="s">
        <v>30</v>
      </c>
      <c r="B12" t="s">
        <v>31</v>
      </c>
      <c r="C12" t="s">
        <v>13</v>
      </c>
      <c r="D12">
        <v>381.84</v>
      </c>
      <c r="E12" t="s">
        <v>2632</v>
      </c>
      <c r="F12" t="s">
        <v>2633</v>
      </c>
      <c r="G12" s="1">
        <v>848.53</v>
      </c>
      <c r="H12" s="1"/>
      <c r="I12" t="s">
        <v>2634</v>
      </c>
      <c r="J12">
        <v>1</v>
      </c>
      <c r="K12">
        <v>0</v>
      </c>
      <c r="L12">
        <v>0</v>
      </c>
      <c r="M12">
        <f t="shared" si="0"/>
        <v>0.450001767763073</v>
      </c>
    </row>
    <row r="13" spans="1:13">
      <c r="A13" s="14" t="s">
        <v>32</v>
      </c>
      <c r="B13" t="s">
        <v>33</v>
      </c>
      <c r="C13" t="s">
        <v>13</v>
      </c>
      <c r="D13">
        <v>9.93</v>
      </c>
      <c r="E13" t="s">
        <v>2632</v>
      </c>
      <c r="F13" t="s">
        <v>2633</v>
      </c>
      <c r="G13" s="1">
        <v>22.03</v>
      </c>
      <c r="H13" s="1"/>
      <c r="I13" t="s">
        <v>2634</v>
      </c>
      <c r="J13">
        <v>1</v>
      </c>
      <c r="K13">
        <v>0</v>
      </c>
      <c r="L13">
        <v>0</v>
      </c>
      <c r="M13">
        <f t="shared" si="0"/>
        <v>0.450748978665456</v>
      </c>
    </row>
    <row r="14" spans="1:13">
      <c r="A14" s="14" t="s">
        <v>34</v>
      </c>
      <c r="B14" t="s">
        <v>35</v>
      </c>
      <c r="C14" t="s">
        <v>13</v>
      </c>
      <c r="D14">
        <v>35.29</v>
      </c>
      <c r="E14" t="s">
        <v>2632</v>
      </c>
      <c r="F14" t="s">
        <v>2633</v>
      </c>
      <c r="G14" s="1">
        <v>78.43</v>
      </c>
      <c r="H14" s="1"/>
      <c r="I14" t="s">
        <v>2634</v>
      </c>
      <c r="J14">
        <v>1</v>
      </c>
      <c r="K14">
        <v>0</v>
      </c>
      <c r="L14">
        <v>0</v>
      </c>
      <c r="M14">
        <f t="shared" si="0"/>
        <v>0.449955374219049</v>
      </c>
    </row>
    <row r="15" spans="1:13">
      <c r="A15" s="14" t="s">
        <v>36</v>
      </c>
      <c r="B15" t="s">
        <v>37</v>
      </c>
      <c r="C15" t="s">
        <v>13</v>
      </c>
      <c r="D15">
        <v>36.86</v>
      </c>
      <c r="E15" t="s">
        <v>2632</v>
      </c>
      <c r="F15" t="s">
        <v>2633</v>
      </c>
      <c r="G15" s="1">
        <v>81.91</v>
      </c>
      <c r="H15" s="1"/>
      <c r="I15" t="s">
        <v>2634</v>
      </c>
      <c r="J15">
        <v>4</v>
      </c>
      <c r="K15">
        <v>0</v>
      </c>
      <c r="L15">
        <v>0</v>
      </c>
      <c r="M15">
        <f t="shared" si="0"/>
        <v>0.450006104260774</v>
      </c>
    </row>
    <row r="16" spans="1:13">
      <c r="A16" s="14" t="s">
        <v>38</v>
      </c>
      <c r="B16" t="s">
        <v>39</v>
      </c>
      <c r="C16" t="s">
        <v>13</v>
      </c>
      <c r="D16">
        <v>64.33</v>
      </c>
      <c r="E16" t="s">
        <v>2632</v>
      </c>
      <c r="F16" t="s">
        <v>2633</v>
      </c>
      <c r="G16" s="1">
        <v>142.98</v>
      </c>
      <c r="H16" s="1"/>
      <c r="I16" t="s">
        <v>2634</v>
      </c>
      <c r="J16">
        <v>1</v>
      </c>
      <c r="K16">
        <v>0</v>
      </c>
      <c r="L16">
        <v>0</v>
      </c>
      <c r="M16">
        <f t="shared" si="0"/>
        <v>0.4499230661631</v>
      </c>
    </row>
    <row r="17" spans="1:13">
      <c r="A17" s="14" t="s">
        <v>40</v>
      </c>
      <c r="B17" t="s">
        <v>41</v>
      </c>
      <c r="C17" t="s">
        <v>13</v>
      </c>
      <c r="D17">
        <v>366.59</v>
      </c>
      <c r="E17" t="s">
        <v>2632</v>
      </c>
      <c r="F17" t="s">
        <v>2633</v>
      </c>
      <c r="G17" s="1">
        <v>814.65</v>
      </c>
      <c r="H17" s="1"/>
      <c r="I17" t="s">
        <v>2634</v>
      </c>
      <c r="J17">
        <v>1</v>
      </c>
      <c r="K17">
        <v>0</v>
      </c>
      <c r="L17">
        <v>0</v>
      </c>
      <c r="M17">
        <f t="shared" si="0"/>
        <v>0.449996931197447</v>
      </c>
    </row>
    <row r="18" spans="1:13">
      <c r="A18" s="14" t="s">
        <v>42</v>
      </c>
      <c r="B18" t="s">
        <v>43</v>
      </c>
      <c r="C18" t="s">
        <v>13</v>
      </c>
      <c r="D18">
        <v>10.98</v>
      </c>
      <c r="E18" t="s">
        <v>2632</v>
      </c>
      <c r="F18" t="s">
        <v>2633</v>
      </c>
      <c r="G18" s="1">
        <v>24.42</v>
      </c>
      <c r="H18" s="1"/>
      <c r="I18" t="s">
        <v>2634</v>
      </c>
      <c r="J18">
        <v>1</v>
      </c>
      <c r="K18">
        <v>0</v>
      </c>
      <c r="L18">
        <v>0</v>
      </c>
      <c r="M18">
        <f t="shared" si="0"/>
        <v>0.44963144963145</v>
      </c>
    </row>
    <row r="19" spans="1:13">
      <c r="A19" s="14" t="s">
        <v>44</v>
      </c>
      <c r="B19" t="s">
        <v>45</v>
      </c>
      <c r="C19" t="s">
        <v>13</v>
      </c>
      <c r="D19">
        <v>32.86</v>
      </c>
      <c r="E19" t="s">
        <v>2632</v>
      </c>
      <c r="F19" t="s">
        <v>2633</v>
      </c>
      <c r="G19" s="1">
        <v>73.03</v>
      </c>
      <c r="H19" s="2" t="s">
        <v>2635</v>
      </c>
      <c r="I19" t="s">
        <v>2637</v>
      </c>
      <c r="J19">
        <v>6</v>
      </c>
      <c r="K19">
        <v>0</v>
      </c>
      <c r="L19">
        <v>0</v>
      </c>
      <c r="M19">
        <f t="shared" si="0"/>
        <v>0.449952074489936</v>
      </c>
    </row>
    <row r="20" spans="1:13">
      <c r="A20" s="14" t="s">
        <v>46</v>
      </c>
      <c r="B20" t="s">
        <v>47</v>
      </c>
      <c r="C20" t="s">
        <v>13</v>
      </c>
      <c r="D20">
        <v>33.97</v>
      </c>
      <c r="E20" t="s">
        <v>2632</v>
      </c>
      <c r="F20" t="s">
        <v>2633</v>
      </c>
      <c r="G20" s="1">
        <v>75.47</v>
      </c>
      <c r="H20" s="1"/>
      <c r="I20" t="s">
        <v>2634</v>
      </c>
      <c r="J20">
        <v>4</v>
      </c>
      <c r="K20">
        <v>0</v>
      </c>
      <c r="L20">
        <v>0</v>
      </c>
      <c r="M20">
        <f t="shared" si="0"/>
        <v>0.45011262753412</v>
      </c>
    </row>
    <row r="21" spans="1:13">
      <c r="A21" s="14" t="s">
        <v>48</v>
      </c>
      <c r="B21" t="s">
        <v>49</v>
      </c>
      <c r="C21" t="s">
        <v>13</v>
      </c>
      <c r="D21">
        <v>33.89</v>
      </c>
      <c r="E21" t="s">
        <v>2632</v>
      </c>
      <c r="F21" t="s">
        <v>2633</v>
      </c>
      <c r="G21" s="1">
        <v>75.29</v>
      </c>
      <c r="H21" s="1"/>
      <c r="I21" t="s">
        <v>2634</v>
      </c>
      <c r="J21">
        <v>4</v>
      </c>
      <c r="K21">
        <v>0</v>
      </c>
      <c r="L21">
        <v>0</v>
      </c>
      <c r="M21">
        <f t="shared" si="0"/>
        <v>0.450126178775402</v>
      </c>
    </row>
    <row r="22" spans="1:13">
      <c r="A22" s="14" t="s">
        <v>50</v>
      </c>
      <c r="B22" t="s">
        <v>51</v>
      </c>
      <c r="C22" t="s">
        <v>13</v>
      </c>
      <c r="D22">
        <v>37.91</v>
      </c>
      <c r="E22" t="s">
        <v>2632</v>
      </c>
      <c r="F22" t="s">
        <v>2633</v>
      </c>
      <c r="G22" s="1">
        <v>72.21</v>
      </c>
      <c r="H22" s="1"/>
      <c r="I22" t="s">
        <v>2634</v>
      </c>
      <c r="J22">
        <v>10</v>
      </c>
      <c r="K22">
        <v>0</v>
      </c>
      <c r="L22">
        <v>0</v>
      </c>
      <c r="M22">
        <f t="shared" si="0"/>
        <v>0.52499653787564</v>
      </c>
    </row>
    <row r="23" spans="1:13">
      <c r="A23" s="14" t="s">
        <v>52</v>
      </c>
      <c r="B23" t="s">
        <v>53</v>
      </c>
      <c r="C23" t="s">
        <v>13</v>
      </c>
      <c r="D23">
        <v>43.77</v>
      </c>
      <c r="E23" t="s">
        <v>2632</v>
      </c>
      <c r="F23" t="s">
        <v>2633</v>
      </c>
      <c r="G23" s="1">
        <v>83.36</v>
      </c>
      <c r="H23" s="1"/>
      <c r="I23" t="s">
        <v>2634</v>
      </c>
      <c r="J23">
        <v>10</v>
      </c>
      <c r="K23">
        <v>0</v>
      </c>
      <c r="L23">
        <v>0</v>
      </c>
      <c r="M23">
        <f t="shared" si="0"/>
        <v>0.525071976967371</v>
      </c>
    </row>
    <row r="24" spans="1:13">
      <c r="A24" s="14" t="s">
        <v>54</v>
      </c>
      <c r="B24" t="s">
        <v>55</v>
      </c>
      <c r="C24" t="s">
        <v>13</v>
      </c>
      <c r="D24">
        <v>9.53</v>
      </c>
      <c r="E24" t="s">
        <v>2632</v>
      </c>
      <c r="F24" t="s">
        <v>2633</v>
      </c>
      <c r="G24" s="1">
        <v>21.19</v>
      </c>
      <c r="H24" s="1"/>
      <c r="I24" t="s">
        <v>2634</v>
      </c>
      <c r="J24">
        <v>5</v>
      </c>
      <c r="K24">
        <v>0</v>
      </c>
      <c r="L24">
        <v>0</v>
      </c>
      <c r="M24">
        <f t="shared" si="0"/>
        <v>0.449740443605474</v>
      </c>
    </row>
    <row r="25" spans="1:13">
      <c r="A25" s="14" t="s">
        <v>56</v>
      </c>
      <c r="B25" t="s">
        <v>57</v>
      </c>
      <c r="C25" t="s">
        <v>13</v>
      </c>
      <c r="D25">
        <v>6.45</v>
      </c>
      <c r="E25" t="s">
        <v>2632</v>
      </c>
      <c r="F25" t="s">
        <v>2633</v>
      </c>
      <c r="G25" s="1">
        <v>14.33</v>
      </c>
      <c r="H25" s="1"/>
      <c r="I25" t="s">
        <v>2634</v>
      </c>
      <c r="J25">
        <v>5</v>
      </c>
      <c r="K25">
        <v>0</v>
      </c>
      <c r="L25">
        <v>0</v>
      </c>
      <c r="M25">
        <f t="shared" si="0"/>
        <v>0.450104675505932</v>
      </c>
    </row>
    <row r="26" spans="1:13">
      <c r="A26" s="14" t="s">
        <v>58</v>
      </c>
      <c r="B26" t="s">
        <v>59</v>
      </c>
      <c r="C26" t="s">
        <v>13</v>
      </c>
      <c r="D26">
        <v>6.04</v>
      </c>
      <c r="E26" t="s">
        <v>2632</v>
      </c>
      <c r="F26" t="s">
        <v>2633</v>
      </c>
      <c r="G26" s="1">
        <v>13.41</v>
      </c>
      <c r="H26" s="1"/>
      <c r="I26" t="s">
        <v>2634</v>
      </c>
      <c r="J26">
        <v>5</v>
      </c>
      <c r="K26">
        <v>0</v>
      </c>
      <c r="L26">
        <v>0</v>
      </c>
      <c r="M26">
        <f t="shared" si="0"/>
        <v>0.450410141685309</v>
      </c>
    </row>
    <row r="27" spans="1:13">
      <c r="A27" s="14" t="s">
        <v>60</v>
      </c>
      <c r="B27" t="s">
        <v>61</v>
      </c>
      <c r="C27" t="s">
        <v>13</v>
      </c>
      <c r="D27">
        <v>4.67</v>
      </c>
      <c r="E27" t="s">
        <v>2632</v>
      </c>
      <c r="F27" t="s">
        <v>2633</v>
      </c>
      <c r="G27" s="1">
        <v>10.36</v>
      </c>
      <c r="H27" s="1"/>
      <c r="I27" t="s">
        <v>2634</v>
      </c>
      <c r="J27">
        <v>5</v>
      </c>
      <c r="K27">
        <v>0</v>
      </c>
      <c r="L27">
        <v>0</v>
      </c>
      <c r="M27">
        <f t="shared" si="0"/>
        <v>0.450772200772201</v>
      </c>
    </row>
    <row r="28" spans="1:13">
      <c r="A28" s="14" t="s">
        <v>62</v>
      </c>
      <c r="B28" t="s">
        <v>63</v>
      </c>
      <c r="C28" t="s">
        <v>13</v>
      </c>
      <c r="D28">
        <v>12.97</v>
      </c>
      <c r="E28" t="s">
        <v>2632</v>
      </c>
      <c r="F28" t="s">
        <v>2633</v>
      </c>
      <c r="G28" s="1">
        <v>28.8</v>
      </c>
      <c r="H28" s="1"/>
      <c r="I28" t="s">
        <v>2634</v>
      </c>
      <c r="J28">
        <v>6</v>
      </c>
      <c r="K28">
        <v>0</v>
      </c>
      <c r="L28">
        <v>0</v>
      </c>
      <c r="M28">
        <f t="shared" si="0"/>
        <v>0.450347222222222</v>
      </c>
    </row>
    <row r="29" spans="1:13">
      <c r="A29" s="14" t="s">
        <v>64</v>
      </c>
      <c r="B29" t="s">
        <v>65</v>
      </c>
      <c r="C29" t="s">
        <v>13</v>
      </c>
      <c r="D29">
        <v>9.96</v>
      </c>
      <c r="E29" t="s">
        <v>2632</v>
      </c>
      <c r="F29" t="s">
        <v>2633</v>
      </c>
      <c r="G29" s="1">
        <v>22.11</v>
      </c>
      <c r="H29" s="1"/>
      <c r="I29" t="s">
        <v>2634</v>
      </c>
      <c r="J29">
        <v>6</v>
      </c>
      <c r="K29">
        <v>0</v>
      </c>
      <c r="L29">
        <v>0</v>
      </c>
      <c r="M29">
        <f t="shared" si="0"/>
        <v>0.450474898236092</v>
      </c>
    </row>
    <row r="30" spans="1:13">
      <c r="A30" s="14" t="s">
        <v>66</v>
      </c>
      <c r="B30" t="s">
        <v>67</v>
      </c>
      <c r="C30" t="s">
        <v>13</v>
      </c>
      <c r="D30">
        <v>25.33</v>
      </c>
      <c r="E30" t="s">
        <v>2632</v>
      </c>
      <c r="F30" t="s">
        <v>2633</v>
      </c>
      <c r="G30" s="1">
        <v>56.29</v>
      </c>
      <c r="H30" s="1"/>
      <c r="I30" t="s">
        <v>2634</v>
      </c>
      <c r="J30">
        <v>6</v>
      </c>
      <c r="K30">
        <v>0</v>
      </c>
      <c r="L30">
        <v>0</v>
      </c>
      <c r="M30">
        <f t="shared" si="0"/>
        <v>0.449991117427607</v>
      </c>
    </row>
    <row r="31" spans="1:13">
      <c r="A31" s="14" t="s">
        <v>68</v>
      </c>
      <c r="B31" t="s">
        <v>69</v>
      </c>
      <c r="C31" t="s">
        <v>13</v>
      </c>
      <c r="D31">
        <v>41.34</v>
      </c>
      <c r="E31" t="s">
        <v>2632</v>
      </c>
      <c r="F31" t="s">
        <v>2633</v>
      </c>
      <c r="G31" s="1">
        <v>91.82</v>
      </c>
      <c r="H31" s="1"/>
      <c r="I31" t="s">
        <v>2634</v>
      </c>
      <c r="J31">
        <v>6</v>
      </c>
      <c r="K31">
        <v>0</v>
      </c>
      <c r="L31">
        <v>0</v>
      </c>
      <c r="M31">
        <f t="shared" si="0"/>
        <v>0.450228708342409</v>
      </c>
    </row>
    <row r="32" spans="1:13">
      <c r="A32" s="14" t="s">
        <v>70</v>
      </c>
      <c r="B32" t="s">
        <v>71</v>
      </c>
      <c r="C32" t="s">
        <v>13</v>
      </c>
      <c r="D32">
        <v>12.62</v>
      </c>
      <c r="E32" t="s">
        <v>2632</v>
      </c>
      <c r="F32" t="s">
        <v>2633</v>
      </c>
      <c r="G32" s="1">
        <v>28.06</v>
      </c>
      <c r="H32" s="1"/>
      <c r="I32" t="s">
        <v>2634</v>
      </c>
      <c r="J32">
        <v>6</v>
      </c>
      <c r="K32">
        <v>0</v>
      </c>
      <c r="L32">
        <v>0</v>
      </c>
      <c r="M32">
        <f t="shared" si="0"/>
        <v>0.449750534568781</v>
      </c>
    </row>
    <row r="33" spans="1:13">
      <c r="A33" s="14" t="s">
        <v>72</v>
      </c>
      <c r="B33" t="s">
        <v>73</v>
      </c>
      <c r="C33" t="s">
        <v>13</v>
      </c>
      <c r="D33">
        <v>25.23</v>
      </c>
      <c r="E33" t="s">
        <v>2632</v>
      </c>
      <c r="F33" t="s">
        <v>2633</v>
      </c>
      <c r="G33" s="1">
        <v>56.05</v>
      </c>
      <c r="H33" s="1"/>
      <c r="I33" t="s">
        <v>2634</v>
      </c>
      <c r="J33">
        <v>6</v>
      </c>
      <c r="K33">
        <v>0</v>
      </c>
      <c r="L33">
        <v>0</v>
      </c>
      <c r="M33">
        <f t="shared" si="0"/>
        <v>0.450133809099019</v>
      </c>
    </row>
    <row r="34" spans="1:13">
      <c r="A34" s="14" t="s">
        <v>74</v>
      </c>
      <c r="B34" t="s">
        <v>65</v>
      </c>
      <c r="C34" t="s">
        <v>13</v>
      </c>
      <c r="D34">
        <v>8.48</v>
      </c>
      <c r="E34" t="s">
        <v>2632</v>
      </c>
      <c r="F34" t="s">
        <v>2633</v>
      </c>
      <c r="G34" s="1">
        <v>18.86</v>
      </c>
      <c r="H34" s="1"/>
      <c r="I34" t="s">
        <v>2634</v>
      </c>
      <c r="J34">
        <v>6</v>
      </c>
      <c r="K34">
        <v>0</v>
      </c>
      <c r="L34">
        <v>0</v>
      </c>
      <c r="M34">
        <f t="shared" si="0"/>
        <v>0.449628844114528</v>
      </c>
    </row>
    <row r="35" spans="1:13">
      <c r="A35" s="14" t="s">
        <v>75</v>
      </c>
      <c r="B35" t="s">
        <v>76</v>
      </c>
      <c r="C35" t="s">
        <v>13</v>
      </c>
      <c r="D35">
        <v>7.28</v>
      </c>
      <c r="E35" t="s">
        <v>2632</v>
      </c>
      <c r="F35" t="s">
        <v>2633</v>
      </c>
      <c r="G35" s="1">
        <v>13.83</v>
      </c>
      <c r="H35" s="1"/>
      <c r="I35" t="s">
        <v>2634</v>
      </c>
      <c r="J35">
        <v>6</v>
      </c>
      <c r="K35">
        <v>0</v>
      </c>
      <c r="L35">
        <v>0</v>
      </c>
      <c r="M35">
        <f t="shared" si="0"/>
        <v>0.526391901663051</v>
      </c>
    </row>
    <row r="36" spans="1:13">
      <c r="A36" s="14" t="s">
        <v>77</v>
      </c>
      <c r="B36" t="s">
        <v>78</v>
      </c>
      <c r="C36" t="s">
        <v>13</v>
      </c>
      <c r="D36">
        <v>2.99</v>
      </c>
      <c r="E36" t="s">
        <v>2632</v>
      </c>
      <c r="F36" t="s">
        <v>2633</v>
      </c>
      <c r="G36" s="1">
        <v>5.7</v>
      </c>
      <c r="H36" s="1"/>
      <c r="I36" t="s">
        <v>2634</v>
      </c>
      <c r="J36">
        <v>5</v>
      </c>
      <c r="K36">
        <v>0</v>
      </c>
      <c r="L36">
        <v>0</v>
      </c>
      <c r="M36">
        <f t="shared" ref="M36:M47" si="1">D36/G36</f>
        <v>0.524561403508772</v>
      </c>
    </row>
    <row r="37" spans="1:13">
      <c r="A37" s="14" t="s">
        <v>79</v>
      </c>
      <c r="B37" t="s">
        <v>80</v>
      </c>
      <c r="C37" t="s">
        <v>13</v>
      </c>
      <c r="D37">
        <v>2.79</v>
      </c>
      <c r="E37" t="s">
        <v>2632</v>
      </c>
      <c r="F37" t="s">
        <v>2633</v>
      </c>
      <c r="G37" s="1">
        <v>5.34</v>
      </c>
      <c r="H37" s="1"/>
      <c r="I37" t="s">
        <v>2634</v>
      </c>
      <c r="J37">
        <v>5</v>
      </c>
      <c r="K37">
        <v>0</v>
      </c>
      <c r="L37">
        <v>0</v>
      </c>
      <c r="M37">
        <f t="shared" si="1"/>
        <v>0.52247191011236</v>
      </c>
    </row>
    <row r="38" spans="1:13">
      <c r="A38" s="14" t="s">
        <v>81</v>
      </c>
      <c r="B38" t="s">
        <v>82</v>
      </c>
      <c r="C38" t="s">
        <v>13</v>
      </c>
      <c r="D38">
        <v>3.48</v>
      </c>
      <c r="E38" t="s">
        <v>2632</v>
      </c>
      <c r="F38" t="s">
        <v>2633</v>
      </c>
      <c r="G38" s="1">
        <v>7.79</v>
      </c>
      <c r="H38" s="1"/>
      <c r="I38" t="s">
        <v>2634</v>
      </c>
      <c r="J38">
        <v>5</v>
      </c>
      <c r="K38">
        <v>0</v>
      </c>
      <c r="L38">
        <v>0</v>
      </c>
      <c r="M38">
        <f t="shared" si="1"/>
        <v>0.446726572528883</v>
      </c>
    </row>
    <row r="39" spans="1:13">
      <c r="A39" s="14" t="s">
        <v>83</v>
      </c>
      <c r="B39" t="s">
        <v>84</v>
      </c>
      <c r="C39" t="s">
        <v>13</v>
      </c>
      <c r="D39">
        <v>3.81</v>
      </c>
      <c r="E39" t="s">
        <v>2632</v>
      </c>
      <c r="F39" t="s">
        <v>2633</v>
      </c>
      <c r="G39" s="1">
        <v>8.46</v>
      </c>
      <c r="H39" s="1"/>
      <c r="I39" t="s">
        <v>2634</v>
      </c>
      <c r="J39">
        <v>5</v>
      </c>
      <c r="K39">
        <v>0</v>
      </c>
      <c r="L39">
        <v>0</v>
      </c>
      <c r="M39">
        <f t="shared" si="1"/>
        <v>0.450354609929078</v>
      </c>
    </row>
    <row r="40" spans="1:13">
      <c r="A40" s="14" t="s">
        <v>85</v>
      </c>
      <c r="B40" t="s">
        <v>86</v>
      </c>
      <c r="C40" t="s">
        <v>13</v>
      </c>
      <c r="D40">
        <v>9.14</v>
      </c>
      <c r="E40" t="s">
        <v>2632</v>
      </c>
      <c r="F40" t="s">
        <v>2633</v>
      </c>
      <c r="G40" s="1">
        <v>20.32</v>
      </c>
      <c r="H40" s="1"/>
      <c r="I40" t="s">
        <v>2634</v>
      </c>
      <c r="J40">
        <v>5</v>
      </c>
      <c r="K40">
        <v>0</v>
      </c>
      <c r="L40">
        <v>0</v>
      </c>
      <c r="M40">
        <f t="shared" si="1"/>
        <v>0.449803149606299</v>
      </c>
    </row>
    <row r="41" spans="1:13">
      <c r="A41" s="14" t="s">
        <v>87</v>
      </c>
      <c r="B41" t="s">
        <v>88</v>
      </c>
      <c r="C41" t="s">
        <v>13</v>
      </c>
      <c r="D41">
        <v>21.57</v>
      </c>
      <c r="E41" t="s">
        <v>2632</v>
      </c>
      <c r="F41" t="s">
        <v>2633</v>
      </c>
      <c r="G41" s="1">
        <v>47.91</v>
      </c>
      <c r="H41" s="1"/>
      <c r="I41" t="s">
        <v>2634</v>
      </c>
      <c r="J41">
        <v>5</v>
      </c>
      <c r="K41">
        <v>0</v>
      </c>
      <c r="L41">
        <v>0</v>
      </c>
      <c r="M41">
        <f t="shared" si="1"/>
        <v>0.450219160926738</v>
      </c>
    </row>
    <row r="42" spans="1:13">
      <c r="A42" s="14" t="s">
        <v>89</v>
      </c>
      <c r="B42" t="s">
        <v>90</v>
      </c>
      <c r="C42" t="s">
        <v>13</v>
      </c>
      <c r="D42">
        <v>9.4</v>
      </c>
      <c r="E42" t="s">
        <v>2632</v>
      </c>
      <c r="F42" t="s">
        <v>2633</v>
      </c>
      <c r="G42" s="1">
        <v>20.9</v>
      </c>
      <c r="H42" s="1"/>
      <c r="I42" t="s">
        <v>2634</v>
      </c>
      <c r="J42">
        <v>5</v>
      </c>
      <c r="K42">
        <v>0</v>
      </c>
      <c r="L42">
        <v>0</v>
      </c>
      <c r="M42">
        <f t="shared" si="1"/>
        <v>0.449760765550239</v>
      </c>
    </row>
    <row r="43" spans="1:13">
      <c r="A43" s="14" t="s">
        <v>91</v>
      </c>
      <c r="B43" t="s">
        <v>92</v>
      </c>
      <c r="C43" t="s">
        <v>13</v>
      </c>
      <c r="D43">
        <v>25.86</v>
      </c>
      <c r="E43" t="s">
        <v>2632</v>
      </c>
      <c r="F43" t="s">
        <v>2633</v>
      </c>
      <c r="G43" s="1">
        <v>57.48</v>
      </c>
      <c r="H43" s="1"/>
      <c r="I43" t="s">
        <v>2634</v>
      </c>
      <c r="J43">
        <v>5</v>
      </c>
      <c r="K43">
        <v>0</v>
      </c>
      <c r="L43">
        <v>0</v>
      </c>
      <c r="M43">
        <f t="shared" si="1"/>
        <v>0.449895615866388</v>
      </c>
    </row>
    <row r="44" spans="1:13">
      <c r="A44" s="14" t="s">
        <v>93</v>
      </c>
      <c r="B44" t="s">
        <v>90</v>
      </c>
      <c r="C44" t="s">
        <v>13</v>
      </c>
      <c r="D44">
        <v>11.96</v>
      </c>
      <c r="E44" t="s">
        <v>2632</v>
      </c>
      <c r="F44" t="s">
        <v>2633</v>
      </c>
      <c r="G44" s="1">
        <v>26.59</v>
      </c>
      <c r="H44" s="1"/>
      <c r="I44" t="s">
        <v>2634</v>
      </c>
      <c r="J44">
        <v>5</v>
      </c>
      <c r="K44">
        <v>0</v>
      </c>
      <c r="L44">
        <v>0</v>
      </c>
      <c r="M44">
        <f t="shared" si="1"/>
        <v>0.44979315532155</v>
      </c>
    </row>
    <row r="45" spans="1:13">
      <c r="A45" s="14" t="s">
        <v>94</v>
      </c>
      <c r="B45" t="s">
        <v>88</v>
      </c>
      <c r="C45" t="s">
        <v>13</v>
      </c>
      <c r="D45">
        <v>9.44</v>
      </c>
      <c r="E45" t="s">
        <v>2632</v>
      </c>
      <c r="F45" t="s">
        <v>2633</v>
      </c>
      <c r="G45" s="1">
        <v>17.98</v>
      </c>
      <c r="H45" s="1"/>
      <c r="I45" t="s">
        <v>2634</v>
      </c>
      <c r="J45">
        <v>5</v>
      </c>
      <c r="K45">
        <v>0</v>
      </c>
      <c r="L45">
        <v>0</v>
      </c>
      <c r="M45">
        <f t="shared" si="1"/>
        <v>0.525027808676307</v>
      </c>
    </row>
    <row r="46" spans="1:13">
      <c r="A46" s="14" t="s">
        <v>95</v>
      </c>
      <c r="B46" t="s">
        <v>96</v>
      </c>
      <c r="C46" t="s">
        <v>13</v>
      </c>
      <c r="D46">
        <v>4.78</v>
      </c>
      <c r="E46" t="s">
        <v>2632</v>
      </c>
      <c r="F46" t="s">
        <v>2633</v>
      </c>
      <c r="G46" s="1">
        <v>10.62</v>
      </c>
      <c r="H46" s="1"/>
      <c r="I46" t="s">
        <v>2634</v>
      </c>
      <c r="J46">
        <v>5</v>
      </c>
      <c r="K46">
        <v>0</v>
      </c>
      <c r="L46">
        <v>0</v>
      </c>
      <c r="M46">
        <f t="shared" si="1"/>
        <v>0.450094161958569</v>
      </c>
    </row>
    <row r="47" spans="1:13">
      <c r="A47" s="14" t="s">
        <v>97</v>
      </c>
      <c r="B47" t="s">
        <v>98</v>
      </c>
      <c r="C47" t="s">
        <v>13</v>
      </c>
      <c r="D47">
        <v>16.16</v>
      </c>
      <c r="E47" t="s">
        <v>2632</v>
      </c>
      <c r="F47" t="s">
        <v>2633</v>
      </c>
      <c r="G47" s="1">
        <v>35.9</v>
      </c>
      <c r="H47" s="1"/>
      <c r="I47" t="s">
        <v>2634</v>
      </c>
      <c r="J47">
        <v>5</v>
      </c>
      <c r="K47">
        <v>0</v>
      </c>
      <c r="L47">
        <v>0</v>
      </c>
      <c r="M47">
        <f t="shared" si="1"/>
        <v>0.450139275766017</v>
      </c>
    </row>
    <row r="48" spans="1:13">
      <c r="A48" s="14" t="s">
        <v>99</v>
      </c>
      <c r="B48" t="s">
        <v>100</v>
      </c>
      <c r="C48" t="s">
        <v>13</v>
      </c>
      <c r="D48">
        <v>6.6</v>
      </c>
      <c r="E48" t="s">
        <v>2632</v>
      </c>
      <c r="F48" t="s">
        <v>2633</v>
      </c>
      <c r="G48" s="1">
        <v>14.66</v>
      </c>
      <c r="H48" s="1"/>
      <c r="I48" t="s">
        <v>2634</v>
      </c>
      <c r="J48">
        <v>5</v>
      </c>
      <c r="K48">
        <v>0</v>
      </c>
      <c r="L48">
        <v>0</v>
      </c>
      <c r="M48">
        <f t="shared" ref="M48:M62" si="2">D48/G48</f>
        <v>0.450204638472033</v>
      </c>
    </row>
    <row r="49" spans="1:13">
      <c r="A49" s="14" t="s">
        <v>101</v>
      </c>
      <c r="B49" t="s">
        <v>102</v>
      </c>
      <c r="C49" t="s">
        <v>13</v>
      </c>
      <c r="D49">
        <v>53.76</v>
      </c>
      <c r="E49" t="s">
        <v>2632</v>
      </c>
      <c r="F49" t="s">
        <v>2633</v>
      </c>
      <c r="G49" s="1">
        <v>102.42</v>
      </c>
      <c r="H49" s="1"/>
      <c r="I49" t="s">
        <v>2634</v>
      </c>
      <c r="J49">
        <v>10</v>
      </c>
      <c r="K49">
        <v>0</v>
      </c>
      <c r="L49">
        <v>0</v>
      </c>
      <c r="M49">
        <f t="shared" si="2"/>
        <v>0.52489748096075</v>
      </c>
    </row>
    <row r="50" spans="1:13">
      <c r="A50" s="14" t="s">
        <v>103</v>
      </c>
      <c r="B50" t="s">
        <v>104</v>
      </c>
      <c r="C50" t="s">
        <v>13</v>
      </c>
      <c r="D50">
        <v>57.7</v>
      </c>
      <c r="E50" t="s">
        <v>2632</v>
      </c>
      <c r="F50" t="s">
        <v>2633</v>
      </c>
      <c r="G50" s="1">
        <v>128.2</v>
      </c>
      <c r="H50" s="1"/>
      <c r="I50" t="s">
        <v>2634</v>
      </c>
      <c r="J50">
        <v>10</v>
      </c>
      <c r="K50">
        <v>0</v>
      </c>
      <c r="L50">
        <v>0</v>
      </c>
      <c r="M50">
        <f t="shared" si="2"/>
        <v>0.450078003120125</v>
      </c>
    </row>
    <row r="51" spans="1:13">
      <c r="A51" s="14" t="s">
        <v>105</v>
      </c>
      <c r="B51" t="s">
        <v>106</v>
      </c>
      <c r="C51" t="s">
        <v>13</v>
      </c>
      <c r="D51">
        <v>44.19</v>
      </c>
      <c r="E51" t="s">
        <v>2632</v>
      </c>
      <c r="F51" t="s">
        <v>2633</v>
      </c>
      <c r="G51" s="1">
        <v>84.16</v>
      </c>
      <c r="H51" s="1"/>
      <c r="I51" t="s">
        <v>2634</v>
      </c>
      <c r="J51">
        <v>6</v>
      </c>
      <c r="K51">
        <v>0</v>
      </c>
      <c r="L51">
        <v>0</v>
      </c>
      <c r="M51">
        <f t="shared" si="2"/>
        <v>0.525071292775665</v>
      </c>
    </row>
    <row r="52" spans="1:13">
      <c r="A52" s="14" t="s">
        <v>107</v>
      </c>
      <c r="B52" t="s">
        <v>108</v>
      </c>
      <c r="C52" t="s">
        <v>13</v>
      </c>
      <c r="D52">
        <v>22.59</v>
      </c>
      <c r="E52" t="s">
        <v>2632</v>
      </c>
      <c r="F52" t="s">
        <v>2633</v>
      </c>
      <c r="G52" s="1">
        <v>50.2</v>
      </c>
      <c r="H52" s="1"/>
      <c r="I52" t="s">
        <v>2634</v>
      </c>
      <c r="J52">
        <v>6</v>
      </c>
      <c r="K52">
        <v>0</v>
      </c>
      <c r="L52">
        <v>0</v>
      </c>
      <c r="M52">
        <f t="shared" si="2"/>
        <v>0.45</v>
      </c>
    </row>
    <row r="53" spans="1:13">
      <c r="A53" s="14" t="s">
        <v>109</v>
      </c>
      <c r="B53" t="s">
        <v>110</v>
      </c>
      <c r="C53" t="s">
        <v>13</v>
      </c>
      <c r="D53">
        <v>18.9</v>
      </c>
      <c r="E53" t="s">
        <v>2632</v>
      </c>
      <c r="F53" t="s">
        <v>2633</v>
      </c>
      <c r="G53" s="1">
        <v>41.99</v>
      </c>
      <c r="H53" s="1"/>
      <c r="I53" t="s">
        <v>2634</v>
      </c>
      <c r="J53">
        <v>6</v>
      </c>
      <c r="K53">
        <v>0</v>
      </c>
      <c r="L53">
        <v>0</v>
      </c>
      <c r="M53">
        <f t="shared" si="2"/>
        <v>0.450107168373422</v>
      </c>
    </row>
    <row r="54" spans="1:13">
      <c r="A54" s="14" t="s">
        <v>111</v>
      </c>
      <c r="B54" t="s">
        <v>112</v>
      </c>
      <c r="C54" t="s">
        <v>13</v>
      </c>
      <c r="D54">
        <v>22.59</v>
      </c>
      <c r="E54" t="s">
        <v>2632</v>
      </c>
      <c r="F54" t="s">
        <v>2633</v>
      </c>
      <c r="G54" s="1">
        <v>50.2</v>
      </c>
      <c r="H54" s="1"/>
      <c r="I54" t="s">
        <v>2634</v>
      </c>
      <c r="J54">
        <v>6</v>
      </c>
      <c r="K54">
        <v>0</v>
      </c>
      <c r="L54">
        <v>0</v>
      </c>
      <c r="M54">
        <f t="shared" si="2"/>
        <v>0.45</v>
      </c>
    </row>
    <row r="55" spans="1:13">
      <c r="A55" s="14" t="s">
        <v>113</v>
      </c>
      <c r="B55" t="s">
        <v>108</v>
      </c>
      <c r="C55" t="s">
        <v>13</v>
      </c>
      <c r="D55">
        <v>15.59</v>
      </c>
      <c r="E55" t="s">
        <v>2632</v>
      </c>
      <c r="F55" t="s">
        <v>2633</v>
      </c>
      <c r="G55" s="1">
        <v>34.68</v>
      </c>
      <c r="H55" s="1"/>
      <c r="I55" t="s">
        <v>2634</v>
      </c>
      <c r="J55">
        <v>6</v>
      </c>
      <c r="K55">
        <v>0</v>
      </c>
      <c r="L55">
        <v>0</v>
      </c>
      <c r="M55">
        <f t="shared" si="2"/>
        <v>0.449538638985006</v>
      </c>
    </row>
    <row r="56" spans="1:13">
      <c r="A56" s="14" t="s">
        <v>114</v>
      </c>
      <c r="B56" t="s">
        <v>115</v>
      </c>
      <c r="C56" t="s">
        <v>13</v>
      </c>
      <c r="D56">
        <v>10.81</v>
      </c>
      <c r="E56" t="s">
        <v>2632</v>
      </c>
      <c r="F56" t="s">
        <v>2633</v>
      </c>
      <c r="G56" s="1">
        <v>24.03</v>
      </c>
      <c r="H56" s="1"/>
      <c r="I56" t="s">
        <v>2634</v>
      </c>
      <c r="J56">
        <v>5</v>
      </c>
      <c r="K56">
        <v>0</v>
      </c>
      <c r="L56">
        <v>0</v>
      </c>
      <c r="M56">
        <f t="shared" si="2"/>
        <v>0.449854348730753</v>
      </c>
    </row>
    <row r="57" spans="1:13">
      <c r="A57" s="14" t="s">
        <v>116</v>
      </c>
      <c r="B57" t="s">
        <v>117</v>
      </c>
      <c r="C57" t="s">
        <v>13</v>
      </c>
      <c r="D57">
        <v>5.79</v>
      </c>
      <c r="E57" t="s">
        <v>2632</v>
      </c>
      <c r="F57" t="s">
        <v>2633</v>
      </c>
      <c r="G57" s="1">
        <v>11.04</v>
      </c>
      <c r="H57" s="1"/>
      <c r="I57" t="s">
        <v>2634</v>
      </c>
      <c r="J57">
        <v>5</v>
      </c>
      <c r="K57">
        <v>0</v>
      </c>
      <c r="L57">
        <v>0</v>
      </c>
      <c r="M57">
        <f t="shared" si="2"/>
        <v>0.52445652173913</v>
      </c>
    </row>
    <row r="58" spans="1:13">
      <c r="A58" s="14" t="s">
        <v>118</v>
      </c>
      <c r="B58" t="s">
        <v>119</v>
      </c>
      <c r="C58" t="s">
        <v>13</v>
      </c>
      <c r="D58">
        <v>3.67</v>
      </c>
      <c r="E58" t="s">
        <v>2632</v>
      </c>
      <c r="F58" t="s">
        <v>2633</v>
      </c>
      <c r="G58" s="1">
        <v>8.17</v>
      </c>
      <c r="H58" s="1"/>
      <c r="I58" t="s">
        <v>2634</v>
      </c>
      <c r="J58">
        <v>5</v>
      </c>
      <c r="K58">
        <v>0</v>
      </c>
      <c r="L58">
        <v>0</v>
      </c>
      <c r="M58">
        <f t="shared" si="2"/>
        <v>0.449204406364749</v>
      </c>
    </row>
    <row r="59" spans="1:13">
      <c r="A59" s="14" t="s">
        <v>120</v>
      </c>
      <c r="B59" t="s">
        <v>121</v>
      </c>
      <c r="C59" t="s">
        <v>13</v>
      </c>
      <c r="D59">
        <v>23.2</v>
      </c>
      <c r="E59" t="s">
        <v>2632</v>
      </c>
      <c r="F59" t="s">
        <v>2633</v>
      </c>
      <c r="G59" s="1">
        <v>51.51</v>
      </c>
      <c r="H59" s="1"/>
      <c r="I59" t="s">
        <v>2634</v>
      </c>
      <c r="J59">
        <v>5</v>
      </c>
      <c r="K59">
        <v>0</v>
      </c>
      <c r="L59">
        <v>0</v>
      </c>
      <c r="M59">
        <f t="shared" si="2"/>
        <v>0.450397980974568</v>
      </c>
    </row>
    <row r="60" spans="1:13">
      <c r="A60" s="14" t="s">
        <v>122</v>
      </c>
      <c r="B60" t="s">
        <v>123</v>
      </c>
      <c r="C60" t="s">
        <v>13</v>
      </c>
      <c r="D60">
        <v>9.11</v>
      </c>
      <c r="E60" t="s">
        <v>2632</v>
      </c>
      <c r="F60" t="s">
        <v>2633</v>
      </c>
      <c r="G60" s="1">
        <v>20.22</v>
      </c>
      <c r="H60" s="1"/>
      <c r="I60" t="s">
        <v>2634</v>
      </c>
      <c r="J60">
        <v>5</v>
      </c>
      <c r="K60">
        <v>0</v>
      </c>
      <c r="L60">
        <v>0</v>
      </c>
      <c r="M60">
        <f t="shared" si="2"/>
        <v>0.450544015825915</v>
      </c>
    </row>
    <row r="61" spans="1:13">
      <c r="A61" s="14" t="s">
        <v>124</v>
      </c>
      <c r="B61" t="s">
        <v>125</v>
      </c>
      <c r="C61" t="s">
        <v>13</v>
      </c>
      <c r="D61">
        <v>5.4</v>
      </c>
      <c r="E61" t="s">
        <v>2632</v>
      </c>
      <c r="F61" t="s">
        <v>2633</v>
      </c>
      <c r="G61" s="1">
        <v>10.27</v>
      </c>
      <c r="H61" s="1"/>
      <c r="I61" t="s">
        <v>2634</v>
      </c>
      <c r="J61">
        <v>5</v>
      </c>
      <c r="K61">
        <v>0</v>
      </c>
      <c r="L61">
        <v>0</v>
      </c>
      <c r="M61">
        <f t="shared" si="2"/>
        <v>0.525803310613437</v>
      </c>
    </row>
    <row r="62" spans="1:13">
      <c r="A62" s="14" t="s">
        <v>126</v>
      </c>
      <c r="B62" t="s">
        <v>127</v>
      </c>
      <c r="C62" t="s">
        <v>13</v>
      </c>
      <c r="D62">
        <v>4.43</v>
      </c>
      <c r="E62" t="s">
        <v>2632</v>
      </c>
      <c r="F62" t="s">
        <v>2633</v>
      </c>
      <c r="G62" s="1">
        <v>9.86</v>
      </c>
      <c r="H62" s="1"/>
      <c r="I62" t="s">
        <v>2634</v>
      </c>
      <c r="J62">
        <v>5</v>
      </c>
      <c r="K62">
        <v>0</v>
      </c>
      <c r="L62">
        <v>0</v>
      </c>
      <c r="M62">
        <f t="shared" si="2"/>
        <v>0.449290060851927</v>
      </c>
    </row>
    <row r="63" spans="1:12">
      <c r="A63" s="14" t="s">
        <v>128</v>
      </c>
      <c r="B63" t="s">
        <v>129</v>
      </c>
      <c r="C63" t="s">
        <v>13</v>
      </c>
      <c r="D63">
        <v>5.71</v>
      </c>
      <c r="E63" t="s">
        <v>2632</v>
      </c>
      <c r="F63" t="s">
        <v>2633</v>
      </c>
      <c r="G63" s="1">
        <v>12.7</v>
      </c>
      <c r="H63" s="1"/>
      <c r="I63" t="s">
        <v>2634</v>
      </c>
      <c r="J63">
        <v>5</v>
      </c>
      <c r="K63">
        <v>0</v>
      </c>
      <c r="L63">
        <v>0</v>
      </c>
    </row>
    <row r="64" spans="1:12">
      <c r="A64" s="14" t="s">
        <v>130</v>
      </c>
      <c r="B64" t="s">
        <v>131</v>
      </c>
      <c r="C64" t="s">
        <v>13</v>
      </c>
      <c r="D64">
        <v>4.38</v>
      </c>
      <c r="E64" t="s">
        <v>2632</v>
      </c>
      <c r="F64" t="s">
        <v>2633</v>
      </c>
      <c r="G64" s="1">
        <v>9.75</v>
      </c>
      <c r="H64" s="1"/>
      <c r="I64" t="s">
        <v>2634</v>
      </c>
      <c r="J64">
        <v>5</v>
      </c>
      <c r="K64">
        <v>0</v>
      </c>
      <c r="L64">
        <v>0</v>
      </c>
    </row>
    <row r="65" spans="1:12">
      <c r="A65" s="14" t="s">
        <v>132</v>
      </c>
      <c r="B65" t="s">
        <v>133</v>
      </c>
      <c r="C65" t="s">
        <v>13</v>
      </c>
      <c r="D65">
        <v>4.95</v>
      </c>
      <c r="E65" t="s">
        <v>2632</v>
      </c>
      <c r="F65" t="s">
        <v>2633</v>
      </c>
      <c r="G65" s="1">
        <v>11.03</v>
      </c>
      <c r="H65" s="1"/>
      <c r="I65" t="s">
        <v>2634</v>
      </c>
      <c r="J65">
        <v>5</v>
      </c>
      <c r="K65">
        <v>0</v>
      </c>
      <c r="L65">
        <v>0</v>
      </c>
    </row>
    <row r="66" spans="1:12">
      <c r="A66" s="14" t="s">
        <v>134</v>
      </c>
      <c r="B66" t="s">
        <v>135</v>
      </c>
      <c r="C66" t="s">
        <v>13</v>
      </c>
      <c r="D66">
        <v>5</v>
      </c>
      <c r="E66" t="s">
        <v>2632</v>
      </c>
      <c r="F66" t="s">
        <v>2633</v>
      </c>
      <c r="G66" s="1">
        <v>11.1</v>
      </c>
      <c r="H66" s="1"/>
      <c r="I66" t="s">
        <v>2634</v>
      </c>
      <c r="J66">
        <v>5</v>
      </c>
      <c r="K66">
        <v>0</v>
      </c>
      <c r="L66">
        <v>0</v>
      </c>
    </row>
    <row r="67" spans="1:12">
      <c r="A67" s="14" t="s">
        <v>136</v>
      </c>
      <c r="B67" t="s">
        <v>137</v>
      </c>
      <c r="C67" t="s">
        <v>13</v>
      </c>
      <c r="D67">
        <v>6.3</v>
      </c>
      <c r="E67" t="s">
        <v>2632</v>
      </c>
      <c r="F67" t="s">
        <v>2633</v>
      </c>
      <c r="G67" s="1">
        <v>13.99</v>
      </c>
      <c r="H67" s="1"/>
      <c r="I67" t="s">
        <v>2634</v>
      </c>
      <c r="J67">
        <v>5</v>
      </c>
      <c r="K67">
        <v>0</v>
      </c>
      <c r="L67">
        <v>0</v>
      </c>
    </row>
    <row r="68" spans="1:12">
      <c r="A68" s="14" t="s">
        <v>138</v>
      </c>
      <c r="B68" t="s">
        <v>139</v>
      </c>
      <c r="C68" t="s">
        <v>13</v>
      </c>
      <c r="D68">
        <v>6.58</v>
      </c>
      <c r="E68" t="s">
        <v>2632</v>
      </c>
      <c r="F68" t="s">
        <v>2633</v>
      </c>
      <c r="G68" s="1">
        <v>12.51</v>
      </c>
      <c r="H68" s="1"/>
      <c r="I68" t="s">
        <v>2634</v>
      </c>
      <c r="J68">
        <v>5</v>
      </c>
      <c r="K68">
        <v>0</v>
      </c>
      <c r="L68">
        <v>0</v>
      </c>
    </row>
    <row r="69" spans="1:12">
      <c r="A69" s="14" t="s">
        <v>140</v>
      </c>
      <c r="B69" t="s">
        <v>129</v>
      </c>
      <c r="C69" t="s">
        <v>13</v>
      </c>
      <c r="D69">
        <v>5.49</v>
      </c>
      <c r="E69" t="s">
        <v>2632</v>
      </c>
      <c r="F69" t="s">
        <v>2633</v>
      </c>
      <c r="G69" s="1">
        <v>12.2</v>
      </c>
      <c r="H69" s="1"/>
      <c r="I69" t="s">
        <v>2634</v>
      </c>
      <c r="J69">
        <v>5</v>
      </c>
      <c r="K69">
        <v>0</v>
      </c>
      <c r="L69">
        <v>0</v>
      </c>
    </row>
    <row r="70" spans="1:12">
      <c r="A70" s="14" t="s">
        <v>141</v>
      </c>
      <c r="B70" t="s">
        <v>142</v>
      </c>
      <c r="C70" t="s">
        <v>13</v>
      </c>
      <c r="D70">
        <v>11.48</v>
      </c>
      <c r="E70" t="s">
        <v>2632</v>
      </c>
      <c r="F70" t="s">
        <v>2633</v>
      </c>
      <c r="G70" s="1">
        <v>25.51</v>
      </c>
      <c r="H70" s="1"/>
      <c r="I70" t="s">
        <v>2634</v>
      </c>
      <c r="J70">
        <v>5</v>
      </c>
      <c r="K70">
        <v>0</v>
      </c>
      <c r="L70">
        <v>0</v>
      </c>
    </row>
    <row r="71" spans="1:12">
      <c r="A71" s="14" t="s">
        <v>143</v>
      </c>
      <c r="B71" t="s">
        <v>144</v>
      </c>
      <c r="C71" t="s">
        <v>13</v>
      </c>
      <c r="D71">
        <v>26.86</v>
      </c>
      <c r="E71" t="s">
        <v>2632</v>
      </c>
      <c r="F71" t="s">
        <v>2633</v>
      </c>
      <c r="G71" s="1">
        <v>59.68</v>
      </c>
      <c r="H71" s="1"/>
      <c r="I71" t="s">
        <v>2634</v>
      </c>
      <c r="J71">
        <v>5</v>
      </c>
      <c r="K71">
        <v>0</v>
      </c>
      <c r="L71">
        <v>0</v>
      </c>
    </row>
    <row r="72" spans="1:12">
      <c r="A72" s="14" t="s">
        <v>145</v>
      </c>
      <c r="B72" t="s">
        <v>146</v>
      </c>
      <c r="C72" t="s">
        <v>13</v>
      </c>
      <c r="D72">
        <v>2.35</v>
      </c>
      <c r="E72" t="s">
        <v>2632</v>
      </c>
      <c r="F72" t="s">
        <v>2633</v>
      </c>
      <c r="G72" s="1">
        <v>5.2</v>
      </c>
      <c r="H72" s="1"/>
      <c r="I72" t="s">
        <v>2634</v>
      </c>
      <c r="J72">
        <v>5</v>
      </c>
      <c r="K72">
        <v>0</v>
      </c>
      <c r="L72">
        <v>0</v>
      </c>
    </row>
    <row r="73" spans="1:12">
      <c r="A73" s="14" t="s">
        <v>147</v>
      </c>
      <c r="B73" t="s">
        <v>148</v>
      </c>
      <c r="C73" t="s">
        <v>13</v>
      </c>
      <c r="D73">
        <v>2.75</v>
      </c>
      <c r="E73" t="s">
        <v>2632</v>
      </c>
      <c r="F73" t="s">
        <v>2633</v>
      </c>
      <c r="G73" s="1">
        <v>6.14</v>
      </c>
      <c r="H73" s="1"/>
      <c r="I73" t="s">
        <v>2634</v>
      </c>
      <c r="J73">
        <v>5</v>
      </c>
      <c r="K73">
        <v>0</v>
      </c>
      <c r="L73">
        <v>0</v>
      </c>
    </row>
    <row r="74" spans="1:12">
      <c r="A74" s="14" t="s">
        <v>149</v>
      </c>
      <c r="B74" t="s">
        <v>150</v>
      </c>
      <c r="C74" t="s">
        <v>13</v>
      </c>
      <c r="D74">
        <v>14.29</v>
      </c>
      <c r="E74" t="s">
        <v>2632</v>
      </c>
      <c r="F74" t="s">
        <v>2633</v>
      </c>
      <c r="G74" s="1">
        <v>31.79</v>
      </c>
      <c r="H74" s="1"/>
      <c r="I74" t="s">
        <v>2634</v>
      </c>
      <c r="J74">
        <v>5</v>
      </c>
      <c r="K74">
        <v>0</v>
      </c>
      <c r="L74">
        <v>0</v>
      </c>
    </row>
    <row r="75" spans="1:12">
      <c r="A75" s="14" t="s">
        <v>151</v>
      </c>
      <c r="B75" t="s">
        <v>152</v>
      </c>
      <c r="C75" t="s">
        <v>13</v>
      </c>
      <c r="D75">
        <v>13.43</v>
      </c>
      <c r="E75" t="s">
        <v>2632</v>
      </c>
      <c r="F75" t="s">
        <v>2633</v>
      </c>
      <c r="G75" s="1">
        <v>29.88</v>
      </c>
      <c r="H75" s="1"/>
      <c r="I75" t="s">
        <v>2634</v>
      </c>
      <c r="J75">
        <v>5</v>
      </c>
      <c r="K75">
        <v>0</v>
      </c>
      <c r="L75">
        <v>0</v>
      </c>
    </row>
    <row r="76" spans="1:12">
      <c r="A76" s="14" t="s">
        <v>153</v>
      </c>
      <c r="B76" t="s">
        <v>154</v>
      </c>
      <c r="C76" t="s">
        <v>13</v>
      </c>
      <c r="D76">
        <v>13.43</v>
      </c>
      <c r="E76" t="s">
        <v>2632</v>
      </c>
      <c r="F76" t="s">
        <v>2633</v>
      </c>
      <c r="G76" s="1">
        <v>29.88</v>
      </c>
      <c r="H76" s="1"/>
      <c r="I76" t="s">
        <v>2634</v>
      </c>
      <c r="J76">
        <v>5</v>
      </c>
      <c r="K76">
        <v>0</v>
      </c>
      <c r="L76">
        <v>0</v>
      </c>
    </row>
    <row r="77" spans="1:12">
      <c r="A77" s="14" t="s">
        <v>155</v>
      </c>
      <c r="B77" t="s">
        <v>156</v>
      </c>
      <c r="C77" t="s">
        <v>13</v>
      </c>
      <c r="D77">
        <v>13.43</v>
      </c>
      <c r="E77" t="s">
        <v>2632</v>
      </c>
      <c r="F77" t="s">
        <v>2633</v>
      </c>
      <c r="G77" s="1">
        <v>29.88</v>
      </c>
      <c r="H77" s="1"/>
      <c r="I77" t="s">
        <v>2634</v>
      </c>
      <c r="J77">
        <v>5</v>
      </c>
      <c r="K77">
        <v>0</v>
      </c>
      <c r="L77">
        <v>0</v>
      </c>
    </row>
    <row r="78" spans="1:12">
      <c r="A78" s="14" t="s">
        <v>157</v>
      </c>
      <c r="B78" t="s">
        <v>158</v>
      </c>
      <c r="C78" t="s">
        <v>13</v>
      </c>
      <c r="D78">
        <v>13.43</v>
      </c>
      <c r="E78" t="s">
        <v>2632</v>
      </c>
      <c r="F78" t="s">
        <v>2633</v>
      </c>
      <c r="G78" s="1">
        <v>29.88</v>
      </c>
      <c r="H78" s="1"/>
      <c r="I78" t="s">
        <v>2634</v>
      </c>
      <c r="J78">
        <v>5</v>
      </c>
      <c r="K78">
        <v>0</v>
      </c>
      <c r="L78">
        <v>0</v>
      </c>
    </row>
    <row r="79" spans="1:12">
      <c r="A79" s="14" t="s">
        <v>159</v>
      </c>
      <c r="B79" t="s">
        <v>160</v>
      </c>
      <c r="C79" t="s">
        <v>13</v>
      </c>
      <c r="D79">
        <v>13.43</v>
      </c>
      <c r="E79" t="s">
        <v>2632</v>
      </c>
      <c r="F79" t="s">
        <v>2633</v>
      </c>
      <c r="G79" s="1">
        <v>29.88</v>
      </c>
      <c r="H79" s="1"/>
      <c r="I79" t="s">
        <v>2634</v>
      </c>
      <c r="J79">
        <v>5</v>
      </c>
      <c r="K79">
        <v>0</v>
      </c>
      <c r="L79">
        <v>0</v>
      </c>
    </row>
    <row r="80" spans="1:12">
      <c r="A80" s="14" t="s">
        <v>161</v>
      </c>
      <c r="B80" t="s">
        <v>162</v>
      </c>
      <c r="C80" t="s">
        <v>13</v>
      </c>
      <c r="D80">
        <v>17.08</v>
      </c>
      <c r="E80" t="s">
        <v>2632</v>
      </c>
      <c r="F80" t="s">
        <v>2633</v>
      </c>
      <c r="G80" s="1">
        <v>37.94</v>
      </c>
      <c r="H80" s="1"/>
      <c r="I80" t="s">
        <v>2634</v>
      </c>
      <c r="J80">
        <v>5</v>
      </c>
      <c r="K80">
        <v>0</v>
      </c>
      <c r="L80">
        <v>0</v>
      </c>
    </row>
    <row r="81" spans="1:12">
      <c r="A81" s="14" t="s">
        <v>163</v>
      </c>
      <c r="B81" t="s">
        <v>164</v>
      </c>
      <c r="C81" t="s">
        <v>13</v>
      </c>
      <c r="D81">
        <v>17.93</v>
      </c>
      <c r="E81" t="s">
        <v>2632</v>
      </c>
      <c r="F81" t="s">
        <v>2633</v>
      </c>
      <c r="G81" s="1">
        <v>39.84</v>
      </c>
      <c r="H81" s="1"/>
      <c r="I81" t="s">
        <v>2634</v>
      </c>
      <c r="J81">
        <v>5</v>
      </c>
      <c r="K81">
        <v>0</v>
      </c>
      <c r="L81">
        <v>0</v>
      </c>
    </row>
    <row r="82" spans="1:12">
      <c r="A82" s="14" t="s">
        <v>165</v>
      </c>
      <c r="B82" t="s">
        <v>166</v>
      </c>
      <c r="C82" t="s">
        <v>13</v>
      </c>
      <c r="D82">
        <v>17.08</v>
      </c>
      <c r="E82" t="s">
        <v>2632</v>
      </c>
      <c r="F82" t="s">
        <v>2633</v>
      </c>
      <c r="G82" s="1">
        <v>37.94</v>
      </c>
      <c r="H82" s="1"/>
      <c r="I82" t="s">
        <v>2634</v>
      </c>
      <c r="J82">
        <v>5</v>
      </c>
      <c r="K82">
        <v>0</v>
      </c>
      <c r="L82">
        <v>0</v>
      </c>
    </row>
    <row r="83" spans="1:12">
      <c r="A83" s="14" t="s">
        <v>167</v>
      </c>
      <c r="B83" t="s">
        <v>168</v>
      </c>
      <c r="C83" t="s">
        <v>13</v>
      </c>
      <c r="D83">
        <v>13.43</v>
      </c>
      <c r="E83" t="s">
        <v>2632</v>
      </c>
      <c r="F83" t="s">
        <v>2633</v>
      </c>
      <c r="G83" s="1">
        <v>29.88</v>
      </c>
      <c r="H83" s="1"/>
      <c r="I83" t="s">
        <v>2634</v>
      </c>
      <c r="J83">
        <v>5</v>
      </c>
      <c r="K83">
        <v>0</v>
      </c>
      <c r="L83">
        <v>0</v>
      </c>
    </row>
    <row r="84" spans="1:12">
      <c r="A84" s="14" t="s">
        <v>169</v>
      </c>
      <c r="B84" t="s">
        <v>170</v>
      </c>
      <c r="C84" t="s">
        <v>13</v>
      </c>
      <c r="D84">
        <v>13.43</v>
      </c>
      <c r="E84" t="s">
        <v>2632</v>
      </c>
      <c r="F84" t="s">
        <v>2633</v>
      </c>
      <c r="G84" s="1">
        <v>29.88</v>
      </c>
      <c r="H84" s="1"/>
      <c r="I84" t="s">
        <v>2634</v>
      </c>
      <c r="J84">
        <v>5</v>
      </c>
      <c r="K84">
        <v>0</v>
      </c>
      <c r="L84">
        <v>0</v>
      </c>
    </row>
    <row r="85" spans="1:12">
      <c r="A85" s="14" t="s">
        <v>171</v>
      </c>
      <c r="B85" t="s">
        <v>172</v>
      </c>
      <c r="C85" t="s">
        <v>13</v>
      </c>
      <c r="D85">
        <v>17.08</v>
      </c>
      <c r="E85" t="s">
        <v>2632</v>
      </c>
      <c r="F85" t="s">
        <v>2633</v>
      </c>
      <c r="G85" s="1">
        <v>37.94</v>
      </c>
      <c r="H85" s="1"/>
      <c r="I85" t="s">
        <v>2634</v>
      </c>
      <c r="J85">
        <v>5</v>
      </c>
      <c r="K85">
        <v>0</v>
      </c>
      <c r="L85">
        <v>0</v>
      </c>
    </row>
    <row r="86" spans="1:12">
      <c r="A86" s="14" t="s">
        <v>173</v>
      </c>
      <c r="B86" t="s">
        <v>174</v>
      </c>
      <c r="C86" t="s">
        <v>13</v>
      </c>
      <c r="D86">
        <v>8.53</v>
      </c>
      <c r="E86" t="s">
        <v>2632</v>
      </c>
      <c r="F86" t="s">
        <v>2633</v>
      </c>
      <c r="G86" s="1">
        <v>18.96</v>
      </c>
      <c r="H86" s="1"/>
      <c r="I86" t="s">
        <v>2634</v>
      </c>
      <c r="J86">
        <v>5</v>
      </c>
      <c r="K86">
        <v>0</v>
      </c>
      <c r="L86">
        <v>0</v>
      </c>
    </row>
    <row r="87" spans="1:12">
      <c r="A87" s="14" t="s">
        <v>175</v>
      </c>
      <c r="B87" t="s">
        <v>174</v>
      </c>
      <c r="C87" t="s">
        <v>13</v>
      </c>
      <c r="D87">
        <v>3.9</v>
      </c>
      <c r="E87" t="s">
        <v>2632</v>
      </c>
      <c r="F87" t="s">
        <v>2633</v>
      </c>
      <c r="G87" s="1">
        <v>8.64</v>
      </c>
      <c r="H87" s="1"/>
      <c r="I87" t="s">
        <v>2634</v>
      </c>
      <c r="J87">
        <v>5</v>
      </c>
      <c r="K87">
        <v>0</v>
      </c>
      <c r="L87">
        <v>0</v>
      </c>
    </row>
    <row r="88" spans="1:12">
      <c r="A88" s="14" t="s">
        <v>176</v>
      </c>
      <c r="B88" t="s">
        <v>177</v>
      </c>
      <c r="C88" t="s">
        <v>13</v>
      </c>
      <c r="D88">
        <v>4.67</v>
      </c>
      <c r="E88" t="s">
        <v>2632</v>
      </c>
      <c r="F88" t="s">
        <v>2633</v>
      </c>
      <c r="G88" s="1">
        <v>10.38</v>
      </c>
      <c r="H88" s="1"/>
      <c r="I88" t="s">
        <v>2634</v>
      </c>
      <c r="J88">
        <v>5</v>
      </c>
      <c r="K88">
        <v>0</v>
      </c>
      <c r="L88">
        <v>0</v>
      </c>
    </row>
    <row r="89" spans="1:12">
      <c r="A89" s="14" t="s">
        <v>178</v>
      </c>
      <c r="B89" t="s">
        <v>179</v>
      </c>
      <c r="C89" t="s">
        <v>13</v>
      </c>
      <c r="D89">
        <v>5.88</v>
      </c>
      <c r="E89" t="s">
        <v>2632</v>
      </c>
      <c r="F89" t="s">
        <v>2633</v>
      </c>
      <c r="G89" s="1">
        <v>13.05</v>
      </c>
      <c r="H89" s="1"/>
      <c r="I89" t="s">
        <v>2634</v>
      </c>
      <c r="J89">
        <v>5</v>
      </c>
      <c r="K89">
        <v>0</v>
      </c>
      <c r="L89">
        <v>0</v>
      </c>
    </row>
    <row r="90" spans="1:12">
      <c r="A90" s="14" t="s">
        <v>180</v>
      </c>
      <c r="B90" t="s">
        <v>181</v>
      </c>
      <c r="C90" t="s">
        <v>13</v>
      </c>
      <c r="D90">
        <v>5.86</v>
      </c>
      <c r="E90" t="s">
        <v>2632</v>
      </c>
      <c r="F90" t="s">
        <v>2633</v>
      </c>
      <c r="G90" s="1">
        <v>12.99</v>
      </c>
      <c r="H90" s="1"/>
      <c r="I90" t="s">
        <v>2634</v>
      </c>
      <c r="J90">
        <v>5</v>
      </c>
      <c r="K90">
        <v>0</v>
      </c>
      <c r="L90">
        <v>0</v>
      </c>
    </row>
    <row r="91" spans="1:12">
      <c r="A91" s="14" t="s">
        <v>182</v>
      </c>
      <c r="B91" t="s">
        <v>183</v>
      </c>
      <c r="C91" t="s">
        <v>13</v>
      </c>
      <c r="D91">
        <v>8.7</v>
      </c>
      <c r="E91" t="s">
        <v>2632</v>
      </c>
      <c r="F91" t="s">
        <v>2633</v>
      </c>
      <c r="G91" s="1">
        <v>19.33</v>
      </c>
      <c r="H91" s="1"/>
      <c r="I91" t="s">
        <v>2634</v>
      </c>
      <c r="J91">
        <v>5</v>
      </c>
      <c r="K91">
        <v>0</v>
      </c>
      <c r="L91">
        <v>0</v>
      </c>
    </row>
    <row r="92" spans="1:12">
      <c r="A92" s="14" t="s">
        <v>184</v>
      </c>
      <c r="B92" t="s">
        <v>185</v>
      </c>
      <c r="C92" t="s">
        <v>13</v>
      </c>
      <c r="D92">
        <v>8.89</v>
      </c>
      <c r="E92" t="s">
        <v>2632</v>
      </c>
      <c r="F92" t="s">
        <v>2633</v>
      </c>
      <c r="G92" s="1">
        <v>19.78</v>
      </c>
      <c r="H92" s="1"/>
      <c r="I92" t="s">
        <v>2634</v>
      </c>
      <c r="J92">
        <v>5</v>
      </c>
      <c r="K92">
        <v>0</v>
      </c>
      <c r="L92">
        <v>0</v>
      </c>
    </row>
    <row r="93" spans="1:12">
      <c r="A93" s="14" t="s">
        <v>186</v>
      </c>
      <c r="B93" t="s">
        <v>183</v>
      </c>
      <c r="C93" t="s">
        <v>13</v>
      </c>
      <c r="D93">
        <v>7.83</v>
      </c>
      <c r="E93" t="s">
        <v>2632</v>
      </c>
      <c r="F93" t="s">
        <v>2633</v>
      </c>
      <c r="G93" s="1">
        <v>17.38</v>
      </c>
      <c r="H93" s="1"/>
      <c r="I93" t="s">
        <v>2634</v>
      </c>
      <c r="J93">
        <v>5</v>
      </c>
      <c r="K93">
        <v>0</v>
      </c>
      <c r="L93">
        <v>0</v>
      </c>
    </row>
    <row r="94" spans="1:12">
      <c r="A94" s="14" t="s">
        <v>187</v>
      </c>
      <c r="B94" t="s">
        <v>188</v>
      </c>
      <c r="C94" t="s">
        <v>13</v>
      </c>
      <c r="D94">
        <v>5.06</v>
      </c>
      <c r="E94" t="s">
        <v>2632</v>
      </c>
      <c r="F94" t="s">
        <v>2633</v>
      </c>
      <c r="G94" s="1">
        <v>11.23</v>
      </c>
      <c r="H94" s="1"/>
      <c r="I94" t="s">
        <v>2634</v>
      </c>
      <c r="J94">
        <v>5</v>
      </c>
      <c r="K94">
        <v>0</v>
      </c>
      <c r="L94">
        <v>0</v>
      </c>
    </row>
    <row r="95" spans="1:12">
      <c r="A95" s="14" t="s">
        <v>189</v>
      </c>
      <c r="B95" t="s">
        <v>190</v>
      </c>
      <c r="C95" t="s">
        <v>13</v>
      </c>
      <c r="D95">
        <v>6.72</v>
      </c>
      <c r="E95" t="s">
        <v>2632</v>
      </c>
      <c r="F95" t="s">
        <v>2633</v>
      </c>
      <c r="G95" s="1">
        <v>14.92</v>
      </c>
      <c r="H95" s="1"/>
      <c r="I95" t="s">
        <v>2634</v>
      </c>
      <c r="J95">
        <v>5</v>
      </c>
      <c r="K95">
        <v>0</v>
      </c>
      <c r="L95">
        <v>0</v>
      </c>
    </row>
    <row r="96" spans="1:12">
      <c r="A96" s="14" t="s">
        <v>191</v>
      </c>
      <c r="B96" t="s">
        <v>192</v>
      </c>
      <c r="C96" t="s">
        <v>13</v>
      </c>
      <c r="D96">
        <v>24.95</v>
      </c>
      <c r="E96" t="s">
        <v>2632</v>
      </c>
      <c r="F96" t="s">
        <v>2633</v>
      </c>
      <c r="G96" s="1">
        <v>55.42</v>
      </c>
      <c r="H96" s="1"/>
      <c r="I96" t="s">
        <v>2634</v>
      </c>
      <c r="J96">
        <v>5</v>
      </c>
      <c r="K96">
        <v>0</v>
      </c>
      <c r="L96">
        <v>0</v>
      </c>
    </row>
    <row r="97" spans="1:12">
      <c r="A97" s="14" t="s">
        <v>193</v>
      </c>
      <c r="B97" t="s">
        <v>194</v>
      </c>
      <c r="C97" t="s">
        <v>13</v>
      </c>
      <c r="D97">
        <v>6.06</v>
      </c>
      <c r="E97" t="s">
        <v>2632</v>
      </c>
      <c r="F97" t="s">
        <v>2633</v>
      </c>
      <c r="G97" s="1">
        <v>13.5</v>
      </c>
      <c r="H97" s="1"/>
      <c r="I97" t="s">
        <v>2634</v>
      </c>
      <c r="J97">
        <v>5</v>
      </c>
      <c r="K97">
        <v>0</v>
      </c>
      <c r="L97">
        <v>0</v>
      </c>
    </row>
    <row r="98" spans="1:12">
      <c r="A98" s="14" t="s">
        <v>195</v>
      </c>
      <c r="B98" t="s">
        <v>196</v>
      </c>
      <c r="C98" t="s">
        <v>13</v>
      </c>
      <c r="D98">
        <v>19.48</v>
      </c>
      <c r="E98" t="s">
        <v>2632</v>
      </c>
      <c r="F98" t="s">
        <v>2633</v>
      </c>
      <c r="G98" s="1">
        <v>43.27</v>
      </c>
      <c r="H98" s="1"/>
      <c r="I98" t="s">
        <v>2634</v>
      </c>
      <c r="J98">
        <v>5</v>
      </c>
      <c r="K98">
        <v>0</v>
      </c>
      <c r="L98">
        <v>0</v>
      </c>
    </row>
    <row r="99" spans="1:12">
      <c r="A99" s="14" t="s">
        <v>197</v>
      </c>
      <c r="B99" t="s">
        <v>198</v>
      </c>
      <c r="C99" t="s">
        <v>13</v>
      </c>
      <c r="D99">
        <v>12.32</v>
      </c>
      <c r="E99" t="s">
        <v>2632</v>
      </c>
      <c r="F99" t="s">
        <v>2633</v>
      </c>
      <c r="G99" s="1">
        <v>27.38</v>
      </c>
      <c r="H99" s="1"/>
      <c r="I99" t="s">
        <v>2634</v>
      </c>
      <c r="J99">
        <v>5</v>
      </c>
      <c r="K99">
        <v>0</v>
      </c>
      <c r="L99">
        <v>0</v>
      </c>
    </row>
    <row r="100" spans="1:12">
      <c r="A100" s="14" t="s">
        <v>199</v>
      </c>
      <c r="B100" t="s">
        <v>200</v>
      </c>
      <c r="C100" t="s">
        <v>13</v>
      </c>
      <c r="D100">
        <v>18.68</v>
      </c>
      <c r="E100" t="s">
        <v>2632</v>
      </c>
      <c r="F100" t="s">
        <v>2633</v>
      </c>
      <c r="G100" s="1">
        <v>41.5</v>
      </c>
      <c r="H100" s="1"/>
      <c r="I100" t="s">
        <v>2634</v>
      </c>
      <c r="J100">
        <v>5</v>
      </c>
      <c r="K100">
        <v>0</v>
      </c>
      <c r="L100">
        <v>0</v>
      </c>
    </row>
    <row r="101" spans="1:12">
      <c r="A101" s="14" t="s">
        <v>201</v>
      </c>
      <c r="B101" t="s">
        <v>202</v>
      </c>
      <c r="C101" t="s">
        <v>13</v>
      </c>
      <c r="D101">
        <v>20.06</v>
      </c>
      <c r="E101" t="s">
        <v>2632</v>
      </c>
      <c r="F101" t="s">
        <v>2633</v>
      </c>
      <c r="G101" s="1">
        <v>44.59</v>
      </c>
      <c r="H101" s="1"/>
      <c r="I101" t="s">
        <v>2634</v>
      </c>
      <c r="J101">
        <v>5</v>
      </c>
      <c r="K101">
        <v>0</v>
      </c>
      <c r="L101">
        <v>0</v>
      </c>
    </row>
    <row r="102" spans="1:12">
      <c r="A102" s="14" t="s">
        <v>203</v>
      </c>
      <c r="B102" t="s">
        <v>204</v>
      </c>
      <c r="C102" t="s">
        <v>13</v>
      </c>
      <c r="D102">
        <v>13.11</v>
      </c>
      <c r="E102" t="s">
        <v>2632</v>
      </c>
      <c r="F102" t="s">
        <v>2633</v>
      </c>
      <c r="G102" s="1">
        <v>29.15</v>
      </c>
      <c r="H102" s="1"/>
      <c r="I102" t="s">
        <v>2634</v>
      </c>
      <c r="J102">
        <v>5</v>
      </c>
      <c r="K102">
        <v>0</v>
      </c>
      <c r="L102">
        <v>0</v>
      </c>
    </row>
    <row r="103" spans="1:12">
      <c r="A103" s="14" t="s">
        <v>205</v>
      </c>
      <c r="B103" t="s">
        <v>206</v>
      </c>
      <c r="C103" t="s">
        <v>13</v>
      </c>
      <c r="D103">
        <v>11.93</v>
      </c>
      <c r="E103" t="s">
        <v>2632</v>
      </c>
      <c r="F103" t="s">
        <v>2633</v>
      </c>
      <c r="G103" s="1">
        <v>26.48</v>
      </c>
      <c r="H103" s="1"/>
      <c r="I103" t="s">
        <v>2634</v>
      </c>
      <c r="J103">
        <v>5</v>
      </c>
      <c r="K103">
        <v>0</v>
      </c>
      <c r="L103">
        <v>0</v>
      </c>
    </row>
    <row r="104" spans="1:12">
      <c r="A104" s="14" t="s">
        <v>207</v>
      </c>
      <c r="B104" t="s">
        <v>208</v>
      </c>
      <c r="C104" t="s">
        <v>13</v>
      </c>
      <c r="D104">
        <v>21.28</v>
      </c>
      <c r="E104" t="s">
        <v>2632</v>
      </c>
      <c r="F104" t="s">
        <v>2633</v>
      </c>
      <c r="G104" s="1">
        <v>40.54</v>
      </c>
      <c r="H104" s="1"/>
      <c r="I104" t="s">
        <v>2634</v>
      </c>
      <c r="J104">
        <v>5</v>
      </c>
      <c r="K104">
        <v>0</v>
      </c>
      <c r="L104">
        <v>0</v>
      </c>
    </row>
    <row r="105" spans="1:12">
      <c r="A105" s="14" t="s">
        <v>209</v>
      </c>
      <c r="B105" t="s">
        <v>210</v>
      </c>
      <c r="C105" t="s">
        <v>13</v>
      </c>
      <c r="D105">
        <v>9.75</v>
      </c>
      <c r="E105" t="s">
        <v>2632</v>
      </c>
      <c r="F105" t="s">
        <v>2633</v>
      </c>
      <c r="G105" s="1">
        <v>21.64</v>
      </c>
      <c r="H105" s="1"/>
      <c r="I105" t="s">
        <v>2634</v>
      </c>
      <c r="J105">
        <v>5</v>
      </c>
      <c r="K105">
        <v>0</v>
      </c>
      <c r="L105">
        <v>0</v>
      </c>
    </row>
    <row r="106" spans="1:12">
      <c r="A106" s="14" t="s">
        <v>211</v>
      </c>
      <c r="B106" t="s">
        <v>212</v>
      </c>
      <c r="C106" t="s">
        <v>13</v>
      </c>
      <c r="D106">
        <v>10.95</v>
      </c>
      <c r="E106" t="s">
        <v>2632</v>
      </c>
      <c r="F106" t="s">
        <v>2633</v>
      </c>
      <c r="G106" s="1">
        <v>24.34</v>
      </c>
      <c r="H106" s="1"/>
      <c r="I106" t="s">
        <v>2634</v>
      </c>
      <c r="J106">
        <v>5</v>
      </c>
      <c r="K106">
        <v>0</v>
      </c>
      <c r="L106">
        <v>0</v>
      </c>
    </row>
    <row r="107" spans="1:12">
      <c r="A107" s="14" t="s">
        <v>213</v>
      </c>
      <c r="B107" t="s">
        <v>214</v>
      </c>
      <c r="C107" t="s">
        <v>13</v>
      </c>
      <c r="D107">
        <v>10.31</v>
      </c>
      <c r="E107" t="s">
        <v>2632</v>
      </c>
      <c r="F107" t="s">
        <v>2633</v>
      </c>
      <c r="G107" s="1">
        <v>22.92</v>
      </c>
      <c r="H107" s="1"/>
      <c r="I107" t="s">
        <v>2634</v>
      </c>
      <c r="J107">
        <v>5</v>
      </c>
      <c r="K107">
        <v>0</v>
      </c>
      <c r="L107">
        <v>0</v>
      </c>
    </row>
    <row r="108" spans="1:12">
      <c r="A108" s="14" t="s">
        <v>215</v>
      </c>
      <c r="B108" t="s">
        <v>216</v>
      </c>
      <c r="C108" t="s">
        <v>13</v>
      </c>
      <c r="D108">
        <v>5.26</v>
      </c>
      <c r="E108" t="s">
        <v>2632</v>
      </c>
      <c r="F108" t="s">
        <v>2633</v>
      </c>
      <c r="G108" s="1">
        <v>11.68</v>
      </c>
      <c r="H108" s="1"/>
      <c r="I108" t="s">
        <v>2634</v>
      </c>
      <c r="J108">
        <v>5</v>
      </c>
      <c r="K108">
        <v>0</v>
      </c>
      <c r="L108">
        <v>0</v>
      </c>
    </row>
    <row r="109" spans="1:12">
      <c r="A109" s="14" t="s">
        <v>217</v>
      </c>
      <c r="B109" t="s">
        <v>218</v>
      </c>
      <c r="C109" t="s">
        <v>13</v>
      </c>
      <c r="D109">
        <v>11.35</v>
      </c>
      <c r="E109" t="s">
        <v>2632</v>
      </c>
      <c r="F109" t="s">
        <v>2633</v>
      </c>
      <c r="G109" s="1">
        <v>21.61</v>
      </c>
      <c r="H109" s="1"/>
      <c r="I109" t="s">
        <v>2634</v>
      </c>
      <c r="J109">
        <v>5</v>
      </c>
      <c r="K109">
        <v>0</v>
      </c>
      <c r="L109">
        <v>0</v>
      </c>
    </row>
    <row r="110" spans="1:12">
      <c r="A110" s="14" t="s">
        <v>219</v>
      </c>
      <c r="B110" t="s">
        <v>220</v>
      </c>
      <c r="C110" t="s">
        <v>13</v>
      </c>
      <c r="D110">
        <v>5.42</v>
      </c>
      <c r="E110" t="s">
        <v>2632</v>
      </c>
      <c r="F110" t="s">
        <v>2633</v>
      </c>
      <c r="G110" s="1">
        <v>12.03</v>
      </c>
      <c r="H110" s="1"/>
      <c r="I110" t="s">
        <v>2634</v>
      </c>
      <c r="J110">
        <v>5</v>
      </c>
      <c r="K110">
        <v>0</v>
      </c>
      <c r="L110">
        <v>0</v>
      </c>
    </row>
    <row r="111" spans="1:12">
      <c r="A111" s="14" t="s">
        <v>221</v>
      </c>
      <c r="B111" t="s">
        <v>222</v>
      </c>
      <c r="C111" t="s">
        <v>13</v>
      </c>
      <c r="D111">
        <v>6.57</v>
      </c>
      <c r="E111" t="s">
        <v>2632</v>
      </c>
      <c r="F111" t="s">
        <v>2633</v>
      </c>
      <c r="G111" s="1">
        <v>14.57</v>
      </c>
      <c r="H111" s="1"/>
      <c r="I111" t="s">
        <v>2634</v>
      </c>
      <c r="J111">
        <v>5</v>
      </c>
      <c r="K111">
        <v>0</v>
      </c>
      <c r="L111">
        <v>0</v>
      </c>
    </row>
    <row r="112" spans="1:12">
      <c r="A112" s="14" t="s">
        <v>223</v>
      </c>
      <c r="B112" t="s">
        <v>224</v>
      </c>
      <c r="C112" t="s">
        <v>13</v>
      </c>
      <c r="D112">
        <v>3.3</v>
      </c>
      <c r="E112" t="s">
        <v>2632</v>
      </c>
      <c r="F112" t="s">
        <v>2633</v>
      </c>
      <c r="G112" s="1">
        <v>7.35</v>
      </c>
      <c r="H112" s="1"/>
      <c r="I112" t="s">
        <v>2634</v>
      </c>
      <c r="J112">
        <v>5</v>
      </c>
      <c r="K112">
        <v>0</v>
      </c>
      <c r="L112">
        <v>0</v>
      </c>
    </row>
    <row r="113" spans="1:12">
      <c r="A113" s="14" t="s">
        <v>225</v>
      </c>
      <c r="B113" t="s">
        <v>226</v>
      </c>
      <c r="C113" t="s">
        <v>13</v>
      </c>
      <c r="D113">
        <v>3.35</v>
      </c>
      <c r="E113" t="s">
        <v>2632</v>
      </c>
      <c r="F113" t="s">
        <v>2633</v>
      </c>
      <c r="G113" s="1">
        <v>7.47</v>
      </c>
      <c r="H113" s="1"/>
      <c r="I113" t="s">
        <v>2634</v>
      </c>
      <c r="J113">
        <v>5</v>
      </c>
      <c r="K113">
        <v>0</v>
      </c>
      <c r="L113">
        <v>0</v>
      </c>
    </row>
    <row r="114" spans="1:12">
      <c r="A114" s="14" t="s">
        <v>227</v>
      </c>
      <c r="B114" t="s">
        <v>212</v>
      </c>
      <c r="C114" t="s">
        <v>13</v>
      </c>
      <c r="D114">
        <v>5.14</v>
      </c>
      <c r="E114" t="s">
        <v>2632</v>
      </c>
      <c r="F114" t="s">
        <v>2633</v>
      </c>
      <c r="G114" s="1">
        <v>11.4</v>
      </c>
      <c r="H114" s="1"/>
      <c r="I114" t="s">
        <v>2634</v>
      </c>
      <c r="J114">
        <v>5</v>
      </c>
      <c r="K114">
        <v>0</v>
      </c>
      <c r="L114">
        <v>0</v>
      </c>
    </row>
    <row r="115" spans="1:12">
      <c r="A115" s="14" t="s">
        <v>228</v>
      </c>
      <c r="B115" t="s">
        <v>229</v>
      </c>
      <c r="C115" t="s">
        <v>13</v>
      </c>
      <c r="D115">
        <v>5.66</v>
      </c>
      <c r="E115" t="s">
        <v>2632</v>
      </c>
      <c r="F115" t="s">
        <v>2633</v>
      </c>
      <c r="G115" s="1">
        <v>12.56</v>
      </c>
      <c r="H115" s="1"/>
      <c r="I115" t="s">
        <v>2634</v>
      </c>
      <c r="J115">
        <v>5</v>
      </c>
      <c r="K115">
        <v>0</v>
      </c>
      <c r="L115">
        <v>0</v>
      </c>
    </row>
    <row r="116" spans="1:12">
      <c r="A116" s="14" t="s">
        <v>230</v>
      </c>
      <c r="B116" t="s">
        <v>231</v>
      </c>
      <c r="C116" t="s">
        <v>13</v>
      </c>
      <c r="D116">
        <v>4.91</v>
      </c>
      <c r="E116" t="s">
        <v>2632</v>
      </c>
      <c r="F116" t="s">
        <v>2633</v>
      </c>
      <c r="G116" s="1">
        <v>10.89</v>
      </c>
      <c r="H116" s="1"/>
      <c r="I116" t="s">
        <v>2634</v>
      </c>
      <c r="J116">
        <v>5</v>
      </c>
      <c r="K116">
        <v>0</v>
      </c>
      <c r="L116">
        <v>0</v>
      </c>
    </row>
    <row r="117" spans="1:12">
      <c r="A117" s="14" t="s">
        <v>232</v>
      </c>
      <c r="B117" t="s">
        <v>233</v>
      </c>
      <c r="C117" t="s">
        <v>13</v>
      </c>
      <c r="D117">
        <v>4.83</v>
      </c>
      <c r="E117" t="s">
        <v>2632</v>
      </c>
      <c r="F117" t="s">
        <v>2633</v>
      </c>
      <c r="G117" s="1">
        <v>9.2</v>
      </c>
      <c r="H117" s="1"/>
      <c r="I117" t="s">
        <v>2634</v>
      </c>
      <c r="J117">
        <v>5</v>
      </c>
      <c r="K117">
        <v>0</v>
      </c>
      <c r="L117">
        <v>0</v>
      </c>
    </row>
    <row r="118" spans="1:12">
      <c r="A118" s="14" t="s">
        <v>234</v>
      </c>
      <c r="B118" t="s">
        <v>235</v>
      </c>
      <c r="C118" t="s">
        <v>13</v>
      </c>
      <c r="D118">
        <v>5.06</v>
      </c>
      <c r="E118" t="s">
        <v>2632</v>
      </c>
      <c r="F118" t="s">
        <v>2633</v>
      </c>
      <c r="G118" s="1">
        <v>11.23</v>
      </c>
      <c r="H118" s="1"/>
      <c r="I118" t="s">
        <v>2634</v>
      </c>
      <c r="J118">
        <v>5</v>
      </c>
      <c r="K118">
        <v>0</v>
      </c>
      <c r="L118">
        <v>0</v>
      </c>
    </row>
    <row r="119" spans="1:12">
      <c r="A119" s="14" t="s">
        <v>236</v>
      </c>
      <c r="B119" t="s">
        <v>237</v>
      </c>
      <c r="C119" t="s">
        <v>13</v>
      </c>
      <c r="D119">
        <v>7.24</v>
      </c>
      <c r="E119" t="s">
        <v>2632</v>
      </c>
      <c r="F119" t="s">
        <v>2633</v>
      </c>
      <c r="G119" s="1">
        <v>16.09</v>
      </c>
      <c r="H119" s="1"/>
      <c r="I119" t="s">
        <v>2634</v>
      </c>
      <c r="J119">
        <v>5</v>
      </c>
      <c r="K119">
        <v>0</v>
      </c>
      <c r="L119">
        <v>0</v>
      </c>
    </row>
    <row r="120" spans="1:12">
      <c r="A120" s="14" t="s">
        <v>238</v>
      </c>
      <c r="B120" t="s">
        <v>239</v>
      </c>
      <c r="C120" t="s">
        <v>13</v>
      </c>
      <c r="D120">
        <v>77.94</v>
      </c>
      <c r="E120" t="s">
        <v>2632</v>
      </c>
      <c r="F120" t="s">
        <v>2633</v>
      </c>
      <c r="G120" s="1">
        <v>173.19</v>
      </c>
      <c r="H120" s="1"/>
      <c r="I120" t="s">
        <v>2634</v>
      </c>
      <c r="J120">
        <v>5</v>
      </c>
      <c r="K120">
        <v>0</v>
      </c>
      <c r="L120">
        <v>0</v>
      </c>
    </row>
    <row r="121" spans="1:12">
      <c r="A121" s="14" t="s">
        <v>240</v>
      </c>
      <c r="B121" t="s">
        <v>241</v>
      </c>
      <c r="C121" t="s">
        <v>13</v>
      </c>
      <c r="D121">
        <v>58.95</v>
      </c>
      <c r="E121" t="s">
        <v>2632</v>
      </c>
      <c r="F121" t="s">
        <v>2633</v>
      </c>
      <c r="G121" s="1">
        <v>130.98</v>
      </c>
      <c r="H121" s="1"/>
      <c r="I121" t="s">
        <v>2634</v>
      </c>
      <c r="J121">
        <v>5</v>
      </c>
      <c r="K121">
        <v>0</v>
      </c>
      <c r="L121">
        <v>0</v>
      </c>
    </row>
    <row r="122" spans="1:12">
      <c r="A122" s="14" t="s">
        <v>242</v>
      </c>
      <c r="B122" t="s">
        <v>243</v>
      </c>
      <c r="C122" t="s">
        <v>13</v>
      </c>
      <c r="D122">
        <v>51.74</v>
      </c>
      <c r="E122" t="s">
        <v>2632</v>
      </c>
      <c r="F122" t="s">
        <v>2633</v>
      </c>
      <c r="G122" s="1">
        <v>114.98</v>
      </c>
      <c r="H122" s="1"/>
      <c r="I122" t="s">
        <v>2634</v>
      </c>
      <c r="J122">
        <v>6</v>
      </c>
      <c r="K122">
        <v>0</v>
      </c>
      <c r="L122">
        <v>0</v>
      </c>
    </row>
    <row r="123" spans="1:12">
      <c r="A123" s="14" t="s">
        <v>244</v>
      </c>
      <c r="B123" t="s">
        <v>245</v>
      </c>
      <c r="C123" t="s">
        <v>13</v>
      </c>
      <c r="D123">
        <v>213.43</v>
      </c>
      <c r="E123" t="s">
        <v>2632</v>
      </c>
      <c r="F123" t="s">
        <v>2633</v>
      </c>
      <c r="G123" s="1">
        <v>474.29</v>
      </c>
      <c r="H123" s="1"/>
      <c r="I123" t="s">
        <v>2634</v>
      </c>
      <c r="J123">
        <v>6</v>
      </c>
      <c r="K123">
        <v>0</v>
      </c>
      <c r="L123">
        <v>0</v>
      </c>
    </row>
    <row r="124" spans="1:12">
      <c r="A124" s="14" t="s">
        <v>246</v>
      </c>
      <c r="B124" t="s">
        <v>247</v>
      </c>
      <c r="C124" t="s">
        <v>13</v>
      </c>
      <c r="D124">
        <v>42.66</v>
      </c>
      <c r="E124" t="s">
        <v>2632</v>
      </c>
      <c r="F124" t="s">
        <v>2633</v>
      </c>
      <c r="G124" s="1">
        <v>94.8</v>
      </c>
      <c r="H124" s="1"/>
      <c r="I124" t="s">
        <v>2634</v>
      </c>
      <c r="J124">
        <v>10</v>
      </c>
      <c r="K124">
        <v>0</v>
      </c>
      <c r="L124">
        <v>0</v>
      </c>
    </row>
    <row r="125" spans="1:12">
      <c r="A125" s="14" t="s">
        <v>248</v>
      </c>
      <c r="B125" t="s">
        <v>249</v>
      </c>
      <c r="C125" t="s">
        <v>13</v>
      </c>
      <c r="D125">
        <v>43.51</v>
      </c>
      <c r="E125" t="s">
        <v>2632</v>
      </c>
      <c r="F125" t="s">
        <v>2633</v>
      </c>
      <c r="G125" s="1">
        <v>96.7</v>
      </c>
      <c r="H125" s="1"/>
      <c r="I125" t="s">
        <v>2634</v>
      </c>
      <c r="J125">
        <v>10</v>
      </c>
      <c r="K125">
        <v>0</v>
      </c>
      <c r="L125">
        <v>0</v>
      </c>
    </row>
    <row r="126" spans="1:12">
      <c r="A126" s="14" t="s">
        <v>250</v>
      </c>
      <c r="B126" t="s">
        <v>249</v>
      </c>
      <c r="C126" t="s">
        <v>13</v>
      </c>
      <c r="D126">
        <v>52.84</v>
      </c>
      <c r="E126" t="s">
        <v>2632</v>
      </c>
      <c r="F126" t="s">
        <v>2633</v>
      </c>
      <c r="G126" s="1">
        <v>117.45</v>
      </c>
      <c r="H126" s="1"/>
      <c r="I126" t="s">
        <v>2634</v>
      </c>
      <c r="J126">
        <v>10</v>
      </c>
      <c r="K126">
        <v>0</v>
      </c>
      <c r="L126">
        <v>0</v>
      </c>
    </row>
    <row r="127" spans="1:12">
      <c r="A127" s="14" t="s">
        <v>251</v>
      </c>
      <c r="B127" t="s">
        <v>252</v>
      </c>
      <c r="C127" t="s">
        <v>13</v>
      </c>
      <c r="D127">
        <v>26.84</v>
      </c>
      <c r="E127" t="s">
        <v>2632</v>
      </c>
      <c r="F127" t="s">
        <v>2633</v>
      </c>
      <c r="G127" s="1">
        <v>59.65</v>
      </c>
      <c r="H127" s="1"/>
      <c r="I127" t="s">
        <v>2634</v>
      </c>
      <c r="J127">
        <v>10</v>
      </c>
      <c r="K127">
        <v>0</v>
      </c>
      <c r="L127">
        <v>0</v>
      </c>
    </row>
    <row r="128" spans="1:12">
      <c r="A128" s="14" t="s">
        <v>253</v>
      </c>
      <c r="B128" t="s">
        <v>254</v>
      </c>
      <c r="C128" t="s">
        <v>13</v>
      </c>
      <c r="D128">
        <v>19.97</v>
      </c>
      <c r="E128" t="s">
        <v>2632</v>
      </c>
      <c r="F128" t="s">
        <v>2633</v>
      </c>
      <c r="G128" s="1">
        <v>38.03</v>
      </c>
      <c r="H128" s="1"/>
      <c r="I128" t="s">
        <v>2634</v>
      </c>
      <c r="J128">
        <v>6</v>
      </c>
      <c r="K128">
        <v>0</v>
      </c>
      <c r="L128">
        <v>0</v>
      </c>
    </row>
    <row r="129" spans="1:12">
      <c r="A129" s="14" t="s">
        <v>255</v>
      </c>
      <c r="B129" t="s">
        <v>256</v>
      </c>
      <c r="C129" t="s">
        <v>13</v>
      </c>
      <c r="D129">
        <v>31.68</v>
      </c>
      <c r="E129" t="s">
        <v>2632</v>
      </c>
      <c r="F129" t="s">
        <v>2633</v>
      </c>
      <c r="G129" s="1">
        <v>70.4</v>
      </c>
      <c r="H129" s="1"/>
      <c r="I129" t="s">
        <v>2634</v>
      </c>
      <c r="J129">
        <v>1</v>
      </c>
      <c r="K129">
        <v>0</v>
      </c>
      <c r="L129">
        <v>0</v>
      </c>
    </row>
    <row r="130" spans="1:12">
      <c r="A130" s="14" t="s">
        <v>257</v>
      </c>
      <c r="B130" t="s">
        <v>258</v>
      </c>
      <c r="C130" t="s">
        <v>13</v>
      </c>
      <c r="D130">
        <v>0.26</v>
      </c>
      <c r="E130" t="s">
        <v>2632</v>
      </c>
      <c r="F130" t="s">
        <v>2633</v>
      </c>
      <c r="G130" s="1">
        <v>0.49</v>
      </c>
      <c r="H130" s="1"/>
      <c r="I130" t="s">
        <v>2634</v>
      </c>
      <c r="J130" t="s">
        <v>2634</v>
      </c>
      <c r="K130">
        <v>0</v>
      </c>
      <c r="L130">
        <v>0</v>
      </c>
    </row>
    <row r="131" spans="1:12">
      <c r="A131" s="14" t="s">
        <v>259</v>
      </c>
      <c r="B131" t="s">
        <v>260</v>
      </c>
      <c r="C131" t="s">
        <v>13</v>
      </c>
      <c r="D131">
        <v>4.21</v>
      </c>
      <c r="E131" t="s">
        <v>2632</v>
      </c>
      <c r="F131" t="s">
        <v>2633</v>
      </c>
      <c r="G131" s="1">
        <v>10.51</v>
      </c>
      <c r="H131" s="1"/>
      <c r="I131" t="s">
        <v>2634</v>
      </c>
      <c r="J131" t="s">
        <v>2634</v>
      </c>
      <c r="K131">
        <v>0</v>
      </c>
      <c r="L131">
        <v>0</v>
      </c>
    </row>
    <row r="132" spans="1:12">
      <c r="A132" s="14" t="s">
        <v>261</v>
      </c>
      <c r="B132" t="s">
        <v>262</v>
      </c>
      <c r="C132" t="s">
        <v>13</v>
      </c>
      <c r="D132">
        <v>4.19</v>
      </c>
      <c r="E132" t="s">
        <v>2632</v>
      </c>
      <c r="F132" t="s">
        <v>2633</v>
      </c>
      <c r="G132" s="1">
        <v>10.46</v>
      </c>
      <c r="H132" s="1"/>
      <c r="I132" t="s">
        <v>2634</v>
      </c>
      <c r="J132" t="s">
        <v>2634</v>
      </c>
      <c r="K132">
        <v>0</v>
      </c>
      <c r="L132">
        <v>0</v>
      </c>
    </row>
    <row r="133" spans="1:12">
      <c r="A133" s="14" t="s">
        <v>263</v>
      </c>
      <c r="B133" t="s">
        <v>264</v>
      </c>
      <c r="C133" t="s">
        <v>13</v>
      </c>
      <c r="D133">
        <v>4.21</v>
      </c>
      <c r="E133" t="s">
        <v>2632</v>
      </c>
      <c r="F133" t="s">
        <v>2633</v>
      </c>
      <c r="G133" s="1">
        <v>10.51</v>
      </c>
      <c r="H133" s="1"/>
      <c r="I133" t="s">
        <v>2634</v>
      </c>
      <c r="J133" t="s">
        <v>2634</v>
      </c>
      <c r="K133">
        <v>0</v>
      </c>
      <c r="L133">
        <v>0</v>
      </c>
    </row>
    <row r="134" spans="1:12">
      <c r="A134" s="14" t="s">
        <v>265</v>
      </c>
      <c r="B134" t="s">
        <v>266</v>
      </c>
      <c r="C134" t="s">
        <v>13</v>
      </c>
      <c r="D134">
        <v>12.51</v>
      </c>
      <c r="E134" t="s">
        <v>2632</v>
      </c>
      <c r="F134" t="s">
        <v>2633</v>
      </c>
      <c r="G134" s="1">
        <v>27.79</v>
      </c>
      <c r="H134" s="1"/>
      <c r="I134" t="s">
        <v>2634</v>
      </c>
      <c r="J134">
        <v>15</v>
      </c>
      <c r="K134">
        <v>0</v>
      </c>
      <c r="L134">
        <v>0</v>
      </c>
    </row>
    <row r="135" spans="1:12">
      <c r="A135" s="14" t="s">
        <v>267</v>
      </c>
      <c r="B135" t="s">
        <v>268</v>
      </c>
      <c r="C135" t="s">
        <v>13</v>
      </c>
      <c r="D135">
        <v>17.63</v>
      </c>
      <c r="E135" t="s">
        <v>2632</v>
      </c>
      <c r="F135" t="s">
        <v>2633</v>
      </c>
      <c r="G135" s="1">
        <v>39.19</v>
      </c>
      <c r="H135" s="1"/>
      <c r="I135" t="s">
        <v>2634</v>
      </c>
      <c r="J135">
        <v>10</v>
      </c>
      <c r="K135">
        <v>0</v>
      </c>
      <c r="L135">
        <v>0</v>
      </c>
    </row>
    <row r="136" spans="1:12">
      <c r="A136" s="14" t="s">
        <v>269</v>
      </c>
      <c r="B136" t="s">
        <v>270</v>
      </c>
      <c r="C136" t="s">
        <v>13</v>
      </c>
      <c r="D136">
        <v>11.71</v>
      </c>
      <c r="E136" t="s">
        <v>2632</v>
      </c>
      <c r="F136" t="s">
        <v>2633</v>
      </c>
      <c r="G136" s="1">
        <v>26.02</v>
      </c>
      <c r="H136" s="1"/>
      <c r="I136" t="s">
        <v>2634</v>
      </c>
      <c r="J136">
        <v>15</v>
      </c>
      <c r="K136">
        <v>0</v>
      </c>
      <c r="L136">
        <v>0</v>
      </c>
    </row>
    <row r="137" spans="1:12">
      <c r="A137" s="14" t="s">
        <v>271</v>
      </c>
      <c r="B137" t="s">
        <v>272</v>
      </c>
      <c r="C137" t="s">
        <v>13</v>
      </c>
      <c r="D137">
        <v>24.26</v>
      </c>
      <c r="E137" t="s">
        <v>2632</v>
      </c>
      <c r="F137" t="s">
        <v>2633</v>
      </c>
      <c r="G137" s="1">
        <v>53.91</v>
      </c>
      <c r="H137" s="1"/>
      <c r="I137" t="s">
        <v>2634</v>
      </c>
      <c r="J137">
        <v>10</v>
      </c>
      <c r="K137">
        <v>0</v>
      </c>
      <c r="L137">
        <v>0</v>
      </c>
    </row>
    <row r="138" spans="1:12">
      <c r="A138" s="14" t="s">
        <v>273</v>
      </c>
      <c r="B138" t="s">
        <v>274</v>
      </c>
      <c r="C138" t="s">
        <v>13</v>
      </c>
      <c r="D138">
        <v>1.66</v>
      </c>
      <c r="E138" t="s">
        <v>2632</v>
      </c>
      <c r="F138" t="s">
        <v>2633</v>
      </c>
      <c r="G138" s="1">
        <v>3.15</v>
      </c>
      <c r="H138" s="1"/>
      <c r="I138" t="s">
        <v>2634</v>
      </c>
      <c r="J138" t="s">
        <v>2634</v>
      </c>
      <c r="K138">
        <v>0</v>
      </c>
      <c r="L138">
        <v>0</v>
      </c>
    </row>
    <row r="139" spans="1:12">
      <c r="A139" s="14" t="s">
        <v>275</v>
      </c>
      <c r="B139" t="s">
        <v>276</v>
      </c>
      <c r="C139" t="s">
        <v>13</v>
      </c>
      <c r="D139">
        <v>4.91</v>
      </c>
      <c r="E139" t="s">
        <v>2632</v>
      </c>
      <c r="F139" t="s">
        <v>2633</v>
      </c>
      <c r="G139" s="1">
        <v>12.28</v>
      </c>
      <c r="H139" s="1"/>
      <c r="I139" t="s">
        <v>2634</v>
      </c>
      <c r="J139" t="s">
        <v>2634</v>
      </c>
      <c r="K139">
        <v>0</v>
      </c>
      <c r="L139">
        <v>0</v>
      </c>
    </row>
    <row r="140" spans="1:12">
      <c r="A140" s="14" t="s">
        <v>277</v>
      </c>
      <c r="B140" t="s">
        <v>278</v>
      </c>
      <c r="C140" t="s">
        <v>13</v>
      </c>
      <c r="D140">
        <v>4.91</v>
      </c>
      <c r="E140" t="s">
        <v>2632</v>
      </c>
      <c r="F140" t="s">
        <v>2633</v>
      </c>
      <c r="G140" s="1">
        <v>12.28</v>
      </c>
      <c r="H140" s="1"/>
      <c r="I140" t="s">
        <v>2634</v>
      </c>
      <c r="J140" t="s">
        <v>2634</v>
      </c>
      <c r="K140">
        <v>0</v>
      </c>
      <c r="L140">
        <v>0</v>
      </c>
    </row>
    <row r="141" spans="1:12">
      <c r="A141" s="14" t="s">
        <v>279</v>
      </c>
      <c r="B141" t="s">
        <v>280</v>
      </c>
      <c r="C141" t="s">
        <v>13</v>
      </c>
      <c r="D141">
        <v>4.91</v>
      </c>
      <c r="E141" t="s">
        <v>2632</v>
      </c>
      <c r="F141" t="s">
        <v>2633</v>
      </c>
      <c r="G141" s="1">
        <v>12.28</v>
      </c>
      <c r="H141" s="1"/>
      <c r="I141" t="s">
        <v>2634</v>
      </c>
      <c r="J141" t="s">
        <v>2634</v>
      </c>
      <c r="K141">
        <v>0</v>
      </c>
      <c r="L141">
        <v>0</v>
      </c>
    </row>
    <row r="142" spans="1:12">
      <c r="A142" s="14" t="s">
        <v>281</v>
      </c>
      <c r="B142" t="s">
        <v>282</v>
      </c>
      <c r="C142" t="s">
        <v>13</v>
      </c>
      <c r="D142">
        <v>31.68</v>
      </c>
      <c r="E142" t="s">
        <v>2632</v>
      </c>
      <c r="F142" t="s">
        <v>2633</v>
      </c>
      <c r="G142" s="1">
        <v>70.4</v>
      </c>
      <c r="H142" s="1"/>
      <c r="I142" t="s">
        <v>2634</v>
      </c>
      <c r="J142" t="s">
        <v>2634</v>
      </c>
      <c r="K142">
        <v>0</v>
      </c>
      <c r="L142">
        <v>0</v>
      </c>
    </row>
    <row r="143" spans="1:12">
      <c r="A143" s="14" t="s">
        <v>283</v>
      </c>
      <c r="B143" t="s">
        <v>284</v>
      </c>
      <c r="C143" t="s">
        <v>13</v>
      </c>
      <c r="D143">
        <v>32.21</v>
      </c>
      <c r="E143" t="s">
        <v>2632</v>
      </c>
      <c r="F143" t="s">
        <v>2633</v>
      </c>
      <c r="G143" s="1">
        <v>61.35</v>
      </c>
      <c r="H143" s="2" t="s">
        <v>2635</v>
      </c>
      <c r="I143" t="s">
        <v>2638</v>
      </c>
      <c r="J143">
        <v>20</v>
      </c>
      <c r="K143">
        <v>0</v>
      </c>
      <c r="L143">
        <v>0</v>
      </c>
    </row>
    <row r="144" spans="1:12">
      <c r="A144" s="14" t="s">
        <v>285</v>
      </c>
      <c r="B144" t="s">
        <v>286</v>
      </c>
      <c r="C144" t="s">
        <v>13</v>
      </c>
      <c r="D144">
        <v>32.53</v>
      </c>
      <c r="E144" t="s">
        <v>2632</v>
      </c>
      <c r="F144" t="s">
        <v>2633</v>
      </c>
      <c r="G144" s="1">
        <v>61.95</v>
      </c>
      <c r="H144" s="2" t="s">
        <v>2635</v>
      </c>
      <c r="I144" t="s">
        <v>2638</v>
      </c>
      <c r="J144">
        <v>20</v>
      </c>
      <c r="K144">
        <v>0</v>
      </c>
      <c r="L144">
        <v>0</v>
      </c>
    </row>
    <row r="145" spans="1:12">
      <c r="A145" s="14" t="s">
        <v>287</v>
      </c>
      <c r="B145" t="s">
        <v>288</v>
      </c>
      <c r="C145" t="s">
        <v>13</v>
      </c>
      <c r="D145">
        <v>23.23</v>
      </c>
      <c r="E145" t="s">
        <v>2632</v>
      </c>
      <c r="F145" t="s">
        <v>2633</v>
      </c>
      <c r="G145" s="1">
        <v>51.63</v>
      </c>
      <c r="H145" s="2" t="s">
        <v>2635</v>
      </c>
      <c r="I145" t="s">
        <v>2638</v>
      </c>
      <c r="J145">
        <v>20</v>
      </c>
      <c r="K145">
        <v>0</v>
      </c>
      <c r="L145">
        <v>0</v>
      </c>
    </row>
    <row r="146" spans="1:12">
      <c r="A146" s="14" t="s">
        <v>289</v>
      </c>
      <c r="B146" t="s">
        <v>290</v>
      </c>
      <c r="C146" t="s">
        <v>13</v>
      </c>
      <c r="D146">
        <v>32.53</v>
      </c>
      <c r="E146" t="s">
        <v>2632</v>
      </c>
      <c r="F146" t="s">
        <v>2633</v>
      </c>
      <c r="G146" s="1">
        <v>61.95</v>
      </c>
      <c r="H146" s="2" t="s">
        <v>2635</v>
      </c>
      <c r="I146" t="s">
        <v>2638</v>
      </c>
      <c r="J146">
        <v>20</v>
      </c>
      <c r="K146">
        <v>0</v>
      </c>
      <c r="L146">
        <v>0</v>
      </c>
    </row>
    <row r="147" spans="1:12">
      <c r="A147" s="14" t="s">
        <v>291</v>
      </c>
      <c r="B147" t="s">
        <v>292</v>
      </c>
      <c r="C147" t="s">
        <v>13</v>
      </c>
      <c r="D147">
        <v>32.53</v>
      </c>
      <c r="E147" t="s">
        <v>2632</v>
      </c>
      <c r="F147" t="s">
        <v>2633</v>
      </c>
      <c r="G147" s="1">
        <v>61.95</v>
      </c>
      <c r="H147" s="2" t="s">
        <v>2635</v>
      </c>
      <c r="I147" t="s">
        <v>2638</v>
      </c>
      <c r="J147">
        <v>20</v>
      </c>
      <c r="K147">
        <v>0</v>
      </c>
      <c r="L147">
        <v>0</v>
      </c>
    </row>
    <row r="148" spans="1:12">
      <c r="A148" s="14" t="s">
        <v>293</v>
      </c>
      <c r="B148" t="s">
        <v>294</v>
      </c>
      <c r="C148" t="s">
        <v>13</v>
      </c>
      <c r="D148">
        <v>32.53</v>
      </c>
      <c r="E148" t="s">
        <v>2632</v>
      </c>
      <c r="F148" t="s">
        <v>2633</v>
      </c>
      <c r="G148" s="1">
        <v>61.95</v>
      </c>
      <c r="H148" s="2" t="s">
        <v>2635</v>
      </c>
      <c r="I148" t="s">
        <v>2638</v>
      </c>
      <c r="J148">
        <v>20</v>
      </c>
      <c r="K148">
        <v>0</v>
      </c>
      <c r="L148">
        <v>0</v>
      </c>
    </row>
    <row r="149" spans="1:12">
      <c r="A149" s="14" t="s">
        <v>295</v>
      </c>
      <c r="B149" t="s">
        <v>296</v>
      </c>
      <c r="C149" t="s">
        <v>13</v>
      </c>
      <c r="D149">
        <v>33.88</v>
      </c>
      <c r="E149" t="s">
        <v>2632</v>
      </c>
      <c r="F149" t="s">
        <v>2633</v>
      </c>
      <c r="G149" s="1">
        <v>64.53</v>
      </c>
      <c r="H149" s="2" t="s">
        <v>2635</v>
      </c>
      <c r="I149" t="s">
        <v>2638</v>
      </c>
      <c r="J149">
        <v>20</v>
      </c>
      <c r="K149">
        <v>0</v>
      </c>
      <c r="L149">
        <v>0</v>
      </c>
    </row>
    <row r="150" spans="1:12">
      <c r="A150" s="14" t="s">
        <v>297</v>
      </c>
      <c r="B150" t="s">
        <v>298</v>
      </c>
      <c r="C150" t="s">
        <v>13</v>
      </c>
      <c r="D150">
        <v>3.76</v>
      </c>
      <c r="E150" t="s">
        <v>2632</v>
      </c>
      <c r="F150" t="s">
        <v>2633</v>
      </c>
      <c r="G150" s="1">
        <v>7.16</v>
      </c>
      <c r="H150" s="1"/>
      <c r="I150" t="s">
        <v>2634</v>
      </c>
      <c r="J150" t="s">
        <v>2634</v>
      </c>
      <c r="K150">
        <v>0</v>
      </c>
      <c r="L150">
        <v>0</v>
      </c>
    </row>
    <row r="151" spans="1:12">
      <c r="A151" s="14" t="s">
        <v>299</v>
      </c>
      <c r="B151" t="s">
        <v>300</v>
      </c>
      <c r="C151" t="s">
        <v>13</v>
      </c>
      <c r="D151">
        <v>34.74</v>
      </c>
      <c r="E151" t="s">
        <v>2632</v>
      </c>
      <c r="F151" t="s">
        <v>2633</v>
      </c>
      <c r="G151" s="1">
        <v>66.18</v>
      </c>
      <c r="H151" s="1"/>
      <c r="I151" t="s">
        <v>2634</v>
      </c>
      <c r="J151">
        <v>10</v>
      </c>
      <c r="K151">
        <v>0</v>
      </c>
      <c r="L151">
        <v>0</v>
      </c>
    </row>
    <row r="152" spans="1:12">
      <c r="A152" s="14" t="s">
        <v>301</v>
      </c>
      <c r="B152" t="s">
        <v>302</v>
      </c>
      <c r="C152" t="s">
        <v>13</v>
      </c>
      <c r="D152">
        <v>32.53</v>
      </c>
      <c r="E152" t="s">
        <v>2632</v>
      </c>
      <c r="F152" t="s">
        <v>2633</v>
      </c>
      <c r="G152" s="1">
        <v>61.95</v>
      </c>
      <c r="H152" s="2" t="s">
        <v>2635</v>
      </c>
      <c r="I152" t="s">
        <v>2638</v>
      </c>
      <c r="J152">
        <v>20</v>
      </c>
      <c r="K152">
        <v>0</v>
      </c>
      <c r="L152">
        <v>0</v>
      </c>
    </row>
    <row r="153" spans="1:12">
      <c r="A153" s="14" t="s">
        <v>303</v>
      </c>
      <c r="B153" t="s">
        <v>304</v>
      </c>
      <c r="C153" t="s">
        <v>13</v>
      </c>
      <c r="D153">
        <v>34.77</v>
      </c>
      <c r="E153" t="s">
        <v>2632</v>
      </c>
      <c r="F153" t="s">
        <v>2633</v>
      </c>
      <c r="G153" s="1">
        <v>66.22</v>
      </c>
      <c r="H153" s="1"/>
      <c r="I153" t="s">
        <v>2634</v>
      </c>
      <c r="J153">
        <v>10</v>
      </c>
      <c r="K153">
        <v>0</v>
      </c>
      <c r="L153">
        <v>0</v>
      </c>
    </row>
    <row r="154" spans="1:12">
      <c r="A154" s="14" t="s">
        <v>305</v>
      </c>
      <c r="B154" t="s">
        <v>306</v>
      </c>
      <c r="C154" t="s">
        <v>13</v>
      </c>
      <c r="D154">
        <v>32.53</v>
      </c>
      <c r="E154" t="s">
        <v>2632</v>
      </c>
      <c r="F154" t="s">
        <v>2633</v>
      </c>
      <c r="G154" s="1">
        <v>61.95</v>
      </c>
      <c r="H154" s="2" t="s">
        <v>2635</v>
      </c>
      <c r="I154" t="s">
        <v>2638</v>
      </c>
      <c r="J154">
        <v>20</v>
      </c>
      <c r="K154">
        <v>0</v>
      </c>
      <c r="L154">
        <v>0</v>
      </c>
    </row>
    <row r="155" spans="1:12">
      <c r="A155" s="14" t="s">
        <v>307</v>
      </c>
      <c r="B155" t="s">
        <v>308</v>
      </c>
      <c r="C155" t="s">
        <v>13</v>
      </c>
      <c r="D155">
        <v>35.33</v>
      </c>
      <c r="E155" t="s">
        <v>2632</v>
      </c>
      <c r="F155" t="s">
        <v>2633</v>
      </c>
      <c r="G155" s="1">
        <v>67.31</v>
      </c>
      <c r="H155" s="1"/>
      <c r="I155" t="s">
        <v>2634</v>
      </c>
      <c r="J155">
        <v>10</v>
      </c>
      <c r="K155">
        <v>0</v>
      </c>
      <c r="L155">
        <v>0</v>
      </c>
    </row>
    <row r="156" spans="1:12">
      <c r="A156" s="14" t="s">
        <v>309</v>
      </c>
      <c r="B156" t="s">
        <v>310</v>
      </c>
      <c r="C156" t="s">
        <v>13</v>
      </c>
      <c r="D156">
        <v>33.93</v>
      </c>
      <c r="E156" t="s">
        <v>2632</v>
      </c>
      <c r="F156" t="s">
        <v>2633</v>
      </c>
      <c r="G156" s="1">
        <v>64.62</v>
      </c>
      <c r="H156" s="2" t="s">
        <v>2635</v>
      </c>
      <c r="I156" t="s">
        <v>2638</v>
      </c>
      <c r="J156">
        <v>20</v>
      </c>
      <c r="K156">
        <v>0</v>
      </c>
      <c r="L156">
        <v>0</v>
      </c>
    </row>
    <row r="157" spans="1:12">
      <c r="A157" s="14" t="s">
        <v>311</v>
      </c>
      <c r="B157" t="s">
        <v>312</v>
      </c>
      <c r="C157" t="s">
        <v>13</v>
      </c>
      <c r="D157">
        <v>34.78</v>
      </c>
      <c r="E157" t="s">
        <v>2632</v>
      </c>
      <c r="F157" t="s">
        <v>2633</v>
      </c>
      <c r="G157" s="1">
        <v>66.25</v>
      </c>
      <c r="H157" s="1"/>
      <c r="I157" t="s">
        <v>2634</v>
      </c>
      <c r="J157">
        <v>10</v>
      </c>
      <c r="K157">
        <v>0</v>
      </c>
      <c r="L157">
        <v>0</v>
      </c>
    </row>
    <row r="158" spans="1:12">
      <c r="A158" s="14" t="s">
        <v>313</v>
      </c>
      <c r="B158" t="s">
        <v>314</v>
      </c>
      <c r="C158" t="s">
        <v>13</v>
      </c>
      <c r="D158">
        <v>32.53</v>
      </c>
      <c r="E158" t="s">
        <v>2632</v>
      </c>
      <c r="F158" t="s">
        <v>2633</v>
      </c>
      <c r="G158" s="1">
        <v>61.95</v>
      </c>
      <c r="H158" s="2" t="s">
        <v>2635</v>
      </c>
      <c r="I158" t="s">
        <v>2638</v>
      </c>
      <c r="J158">
        <v>20</v>
      </c>
      <c r="K158">
        <v>0</v>
      </c>
      <c r="L158">
        <v>0</v>
      </c>
    </row>
    <row r="159" spans="1:12">
      <c r="A159" s="14" t="s">
        <v>315</v>
      </c>
      <c r="B159" t="s">
        <v>316</v>
      </c>
      <c r="C159" t="s">
        <v>13</v>
      </c>
      <c r="D159">
        <v>34.73</v>
      </c>
      <c r="E159" t="s">
        <v>2632</v>
      </c>
      <c r="F159" t="s">
        <v>2633</v>
      </c>
      <c r="G159" s="1">
        <v>66.16</v>
      </c>
      <c r="H159" s="1"/>
      <c r="I159" t="s">
        <v>2634</v>
      </c>
      <c r="J159">
        <v>10</v>
      </c>
      <c r="K159">
        <v>0</v>
      </c>
      <c r="L159">
        <v>0</v>
      </c>
    </row>
    <row r="160" spans="1:12">
      <c r="A160" s="14" t="s">
        <v>317</v>
      </c>
      <c r="B160" t="s">
        <v>318</v>
      </c>
      <c r="C160" t="s">
        <v>13</v>
      </c>
      <c r="D160">
        <v>32.53</v>
      </c>
      <c r="E160" t="s">
        <v>2632</v>
      </c>
      <c r="F160" t="s">
        <v>2633</v>
      </c>
      <c r="G160" s="1">
        <v>61.95</v>
      </c>
      <c r="H160" s="2" t="s">
        <v>2635</v>
      </c>
      <c r="I160" t="s">
        <v>2638</v>
      </c>
      <c r="J160">
        <v>20</v>
      </c>
      <c r="K160">
        <v>0</v>
      </c>
      <c r="L160">
        <v>0</v>
      </c>
    </row>
    <row r="161" spans="1:12">
      <c r="A161" s="14" t="s">
        <v>319</v>
      </c>
      <c r="B161" t="s">
        <v>320</v>
      </c>
      <c r="C161" t="s">
        <v>13</v>
      </c>
      <c r="D161">
        <v>34.71</v>
      </c>
      <c r="E161" t="s">
        <v>2632</v>
      </c>
      <c r="F161" t="s">
        <v>2633</v>
      </c>
      <c r="G161" s="1">
        <v>66.12</v>
      </c>
      <c r="H161" s="1"/>
      <c r="I161" t="s">
        <v>2634</v>
      </c>
      <c r="J161">
        <v>10</v>
      </c>
      <c r="K161">
        <v>0</v>
      </c>
      <c r="L161">
        <v>0</v>
      </c>
    </row>
    <row r="162" spans="1:12">
      <c r="A162" s="14" t="s">
        <v>321</v>
      </c>
      <c r="B162" t="s">
        <v>322</v>
      </c>
      <c r="C162" t="s">
        <v>13</v>
      </c>
      <c r="D162">
        <v>32.53</v>
      </c>
      <c r="E162" t="s">
        <v>2632</v>
      </c>
      <c r="F162" t="s">
        <v>2633</v>
      </c>
      <c r="G162" s="1">
        <v>61.95</v>
      </c>
      <c r="H162" s="2" t="s">
        <v>2635</v>
      </c>
      <c r="I162" t="s">
        <v>2638</v>
      </c>
      <c r="J162">
        <v>20</v>
      </c>
      <c r="K162">
        <v>0</v>
      </c>
      <c r="L162">
        <v>0</v>
      </c>
    </row>
    <row r="163" spans="1:12">
      <c r="A163" s="14" t="s">
        <v>323</v>
      </c>
      <c r="B163" t="s">
        <v>324</v>
      </c>
      <c r="C163" t="s">
        <v>13</v>
      </c>
      <c r="D163">
        <v>34.73</v>
      </c>
      <c r="E163" t="s">
        <v>2632</v>
      </c>
      <c r="F163" t="s">
        <v>2633</v>
      </c>
      <c r="G163" s="1">
        <v>66.16</v>
      </c>
      <c r="H163" s="1"/>
      <c r="I163" t="s">
        <v>2634</v>
      </c>
      <c r="J163">
        <v>10</v>
      </c>
      <c r="K163">
        <v>0</v>
      </c>
      <c r="L163">
        <v>0</v>
      </c>
    </row>
    <row r="164" spans="1:12">
      <c r="A164" s="14" t="s">
        <v>325</v>
      </c>
      <c r="B164" t="s">
        <v>326</v>
      </c>
      <c r="C164" t="s">
        <v>13</v>
      </c>
      <c r="D164">
        <v>32.53</v>
      </c>
      <c r="E164" t="s">
        <v>2632</v>
      </c>
      <c r="F164" t="s">
        <v>2633</v>
      </c>
      <c r="G164" s="1">
        <v>61.95</v>
      </c>
      <c r="H164" s="2" t="s">
        <v>2635</v>
      </c>
      <c r="I164" t="s">
        <v>2638</v>
      </c>
      <c r="J164">
        <v>20</v>
      </c>
      <c r="K164">
        <v>0</v>
      </c>
      <c r="L164">
        <v>0</v>
      </c>
    </row>
    <row r="165" spans="1:12">
      <c r="A165" s="14" t="s">
        <v>327</v>
      </c>
      <c r="B165" t="s">
        <v>328</v>
      </c>
      <c r="C165" t="s">
        <v>13</v>
      </c>
      <c r="D165">
        <v>34.75</v>
      </c>
      <c r="E165" t="s">
        <v>2632</v>
      </c>
      <c r="F165" t="s">
        <v>2633</v>
      </c>
      <c r="G165" s="1">
        <v>66.2</v>
      </c>
      <c r="H165" s="1"/>
      <c r="I165" t="s">
        <v>2634</v>
      </c>
      <c r="J165">
        <v>10</v>
      </c>
      <c r="K165">
        <v>0</v>
      </c>
      <c r="L165">
        <v>0</v>
      </c>
    </row>
    <row r="166" spans="1:12">
      <c r="A166" s="14" t="s">
        <v>329</v>
      </c>
      <c r="B166" t="s">
        <v>330</v>
      </c>
      <c r="C166" t="s">
        <v>13</v>
      </c>
      <c r="D166">
        <v>32.53</v>
      </c>
      <c r="E166" t="s">
        <v>2632</v>
      </c>
      <c r="F166" t="s">
        <v>2633</v>
      </c>
      <c r="G166" s="1">
        <v>61.95</v>
      </c>
      <c r="H166" s="2" t="s">
        <v>2635</v>
      </c>
      <c r="I166" t="s">
        <v>2638</v>
      </c>
      <c r="J166">
        <v>20</v>
      </c>
      <c r="K166">
        <v>0</v>
      </c>
      <c r="L166">
        <v>0</v>
      </c>
    </row>
    <row r="167" spans="1:12">
      <c r="A167" s="14" t="s">
        <v>331</v>
      </c>
      <c r="B167" t="s">
        <v>332</v>
      </c>
      <c r="C167" t="s">
        <v>13</v>
      </c>
      <c r="D167">
        <v>34.71</v>
      </c>
      <c r="E167" t="s">
        <v>2632</v>
      </c>
      <c r="F167" t="s">
        <v>2633</v>
      </c>
      <c r="G167" s="1">
        <v>66.11</v>
      </c>
      <c r="H167" s="1"/>
      <c r="I167" t="s">
        <v>2634</v>
      </c>
      <c r="J167">
        <v>10</v>
      </c>
      <c r="K167">
        <v>0</v>
      </c>
      <c r="L167">
        <v>0</v>
      </c>
    </row>
    <row r="168" spans="1:12">
      <c r="A168" s="14" t="s">
        <v>333</v>
      </c>
      <c r="B168" t="s">
        <v>334</v>
      </c>
      <c r="C168" t="s">
        <v>13</v>
      </c>
      <c r="D168">
        <v>32.53</v>
      </c>
      <c r="E168" t="s">
        <v>2632</v>
      </c>
      <c r="F168" t="s">
        <v>2633</v>
      </c>
      <c r="G168" s="1">
        <v>61.95</v>
      </c>
      <c r="H168" s="2" t="s">
        <v>2635</v>
      </c>
      <c r="I168" t="s">
        <v>2638</v>
      </c>
      <c r="J168">
        <v>20</v>
      </c>
      <c r="K168">
        <v>0</v>
      </c>
      <c r="L168">
        <v>0</v>
      </c>
    </row>
    <row r="169" spans="1:12">
      <c r="A169" s="14" t="s">
        <v>335</v>
      </c>
      <c r="B169" t="s">
        <v>336</v>
      </c>
      <c r="C169" t="s">
        <v>13</v>
      </c>
      <c r="D169">
        <v>34.71</v>
      </c>
      <c r="E169" t="s">
        <v>2632</v>
      </c>
      <c r="F169" t="s">
        <v>2633</v>
      </c>
      <c r="G169" s="1">
        <v>66.12</v>
      </c>
      <c r="H169" s="1"/>
      <c r="I169" t="s">
        <v>2634</v>
      </c>
      <c r="J169">
        <v>10</v>
      </c>
      <c r="K169">
        <v>0</v>
      </c>
      <c r="L169">
        <v>0</v>
      </c>
    </row>
    <row r="170" spans="1:12">
      <c r="A170" s="14" t="s">
        <v>337</v>
      </c>
      <c r="B170" t="s">
        <v>338</v>
      </c>
      <c r="C170" t="s">
        <v>13</v>
      </c>
      <c r="D170">
        <v>32.53</v>
      </c>
      <c r="E170" t="s">
        <v>2632</v>
      </c>
      <c r="F170" t="s">
        <v>2633</v>
      </c>
      <c r="G170" s="1">
        <v>61.95</v>
      </c>
      <c r="H170" s="2" t="s">
        <v>2635</v>
      </c>
      <c r="I170" t="s">
        <v>2638</v>
      </c>
      <c r="J170">
        <v>20</v>
      </c>
      <c r="K170">
        <v>0</v>
      </c>
      <c r="L170">
        <v>0</v>
      </c>
    </row>
    <row r="171" spans="1:12">
      <c r="A171" s="14" t="s">
        <v>339</v>
      </c>
      <c r="B171" t="s">
        <v>340</v>
      </c>
      <c r="C171" t="s">
        <v>13</v>
      </c>
      <c r="D171">
        <v>35.31</v>
      </c>
      <c r="E171" t="s">
        <v>2632</v>
      </c>
      <c r="F171" t="s">
        <v>2633</v>
      </c>
      <c r="G171" s="1">
        <v>67.26</v>
      </c>
      <c r="H171" s="1"/>
      <c r="I171" t="s">
        <v>2634</v>
      </c>
      <c r="J171">
        <v>10</v>
      </c>
      <c r="K171">
        <v>0</v>
      </c>
      <c r="L171">
        <v>0</v>
      </c>
    </row>
    <row r="172" spans="1:12">
      <c r="A172" s="14" t="s">
        <v>341</v>
      </c>
      <c r="B172" t="s">
        <v>342</v>
      </c>
      <c r="C172" t="s">
        <v>13</v>
      </c>
      <c r="D172">
        <v>33.93</v>
      </c>
      <c r="E172" t="s">
        <v>2632</v>
      </c>
      <c r="F172" t="s">
        <v>2633</v>
      </c>
      <c r="G172" s="1">
        <v>64.62</v>
      </c>
      <c r="H172" s="2" t="s">
        <v>2635</v>
      </c>
      <c r="I172" t="s">
        <v>2638</v>
      </c>
      <c r="J172">
        <v>20</v>
      </c>
      <c r="K172">
        <v>0</v>
      </c>
      <c r="L172">
        <v>0</v>
      </c>
    </row>
    <row r="173" spans="1:12">
      <c r="A173" s="14" t="s">
        <v>343</v>
      </c>
      <c r="B173" t="s">
        <v>344</v>
      </c>
      <c r="C173" t="s">
        <v>13</v>
      </c>
      <c r="D173">
        <v>34.71</v>
      </c>
      <c r="E173" t="s">
        <v>2632</v>
      </c>
      <c r="F173" t="s">
        <v>2633</v>
      </c>
      <c r="G173" s="1">
        <v>66.12</v>
      </c>
      <c r="H173" s="1"/>
      <c r="I173" t="s">
        <v>2634</v>
      </c>
      <c r="J173">
        <v>10</v>
      </c>
      <c r="K173">
        <v>0</v>
      </c>
      <c r="L173">
        <v>0</v>
      </c>
    </row>
    <row r="174" spans="1:12">
      <c r="A174" s="14" t="s">
        <v>345</v>
      </c>
      <c r="B174" t="s">
        <v>346</v>
      </c>
      <c r="C174" t="s">
        <v>13</v>
      </c>
      <c r="D174">
        <v>32.53</v>
      </c>
      <c r="E174" t="s">
        <v>2632</v>
      </c>
      <c r="F174" t="s">
        <v>2633</v>
      </c>
      <c r="G174" s="1">
        <v>61.95</v>
      </c>
      <c r="H174" s="2" t="s">
        <v>2635</v>
      </c>
      <c r="I174" t="s">
        <v>2638</v>
      </c>
      <c r="J174">
        <v>20</v>
      </c>
      <c r="K174">
        <v>0</v>
      </c>
      <c r="L174">
        <v>0</v>
      </c>
    </row>
    <row r="175" spans="1:12">
      <c r="A175" s="14" t="s">
        <v>347</v>
      </c>
      <c r="B175" t="s">
        <v>348</v>
      </c>
      <c r="C175" t="s">
        <v>13</v>
      </c>
      <c r="D175">
        <v>32.53</v>
      </c>
      <c r="E175" t="s">
        <v>2632</v>
      </c>
      <c r="F175" t="s">
        <v>2633</v>
      </c>
      <c r="G175" s="1">
        <v>61.95</v>
      </c>
      <c r="H175" s="1"/>
      <c r="I175" t="s">
        <v>2634</v>
      </c>
      <c r="J175">
        <v>20</v>
      </c>
      <c r="K175">
        <v>0</v>
      </c>
      <c r="L175">
        <v>0</v>
      </c>
    </row>
    <row r="176" spans="1:12">
      <c r="A176" s="14" t="s">
        <v>349</v>
      </c>
      <c r="B176" t="s">
        <v>350</v>
      </c>
      <c r="C176" t="s">
        <v>13</v>
      </c>
      <c r="D176">
        <v>34.73</v>
      </c>
      <c r="E176" t="s">
        <v>2632</v>
      </c>
      <c r="F176" t="s">
        <v>2633</v>
      </c>
      <c r="G176" s="1">
        <v>66.16</v>
      </c>
      <c r="H176" s="1"/>
      <c r="I176" t="s">
        <v>2634</v>
      </c>
      <c r="J176">
        <v>10</v>
      </c>
      <c r="K176">
        <v>0</v>
      </c>
      <c r="L176">
        <v>0</v>
      </c>
    </row>
    <row r="177" spans="1:12">
      <c r="A177" s="14" t="s">
        <v>351</v>
      </c>
      <c r="B177" t="s">
        <v>352</v>
      </c>
      <c r="C177" t="s">
        <v>13</v>
      </c>
      <c r="D177">
        <v>32.53</v>
      </c>
      <c r="E177" t="s">
        <v>2632</v>
      </c>
      <c r="F177" t="s">
        <v>2633</v>
      </c>
      <c r="G177" s="1">
        <v>61.95</v>
      </c>
      <c r="H177" s="2" t="s">
        <v>2635</v>
      </c>
      <c r="I177" t="s">
        <v>2638</v>
      </c>
      <c r="J177">
        <v>20</v>
      </c>
      <c r="K177">
        <v>0</v>
      </c>
      <c r="L177">
        <v>0</v>
      </c>
    </row>
    <row r="178" spans="1:12">
      <c r="A178" s="14" t="s">
        <v>353</v>
      </c>
      <c r="B178" t="s">
        <v>354</v>
      </c>
      <c r="C178" t="s">
        <v>13</v>
      </c>
      <c r="D178">
        <v>34.73</v>
      </c>
      <c r="E178" t="s">
        <v>2632</v>
      </c>
      <c r="F178" t="s">
        <v>2633</v>
      </c>
      <c r="G178" s="1">
        <v>66.15</v>
      </c>
      <c r="H178" s="1"/>
      <c r="I178" t="s">
        <v>2634</v>
      </c>
      <c r="J178">
        <v>10</v>
      </c>
      <c r="K178">
        <v>0</v>
      </c>
      <c r="L178">
        <v>0</v>
      </c>
    </row>
    <row r="179" spans="1:12">
      <c r="A179" s="14" t="s">
        <v>355</v>
      </c>
      <c r="B179" t="s">
        <v>356</v>
      </c>
      <c r="C179" t="s">
        <v>13</v>
      </c>
      <c r="D179">
        <v>32.53</v>
      </c>
      <c r="E179" t="s">
        <v>2632</v>
      </c>
      <c r="F179" t="s">
        <v>2633</v>
      </c>
      <c r="G179" s="1">
        <v>61.95</v>
      </c>
      <c r="H179" s="2" t="s">
        <v>2635</v>
      </c>
      <c r="I179" t="s">
        <v>2638</v>
      </c>
      <c r="J179">
        <v>20</v>
      </c>
      <c r="K179">
        <v>0</v>
      </c>
      <c r="L179">
        <v>0</v>
      </c>
    </row>
    <row r="180" spans="1:12">
      <c r="A180" s="14" t="s">
        <v>357</v>
      </c>
      <c r="B180" t="s">
        <v>358</v>
      </c>
      <c r="C180" t="s">
        <v>13</v>
      </c>
      <c r="D180">
        <v>32.53</v>
      </c>
      <c r="E180" t="s">
        <v>2632</v>
      </c>
      <c r="F180" t="s">
        <v>2633</v>
      </c>
      <c r="G180" s="1">
        <v>61.95</v>
      </c>
      <c r="H180" s="2" t="s">
        <v>2635</v>
      </c>
      <c r="I180" t="s">
        <v>2638</v>
      </c>
      <c r="J180">
        <v>20</v>
      </c>
      <c r="K180">
        <v>0</v>
      </c>
      <c r="L180">
        <v>0</v>
      </c>
    </row>
    <row r="181" spans="1:12">
      <c r="A181" s="14" t="s">
        <v>359</v>
      </c>
      <c r="B181" t="s">
        <v>360</v>
      </c>
      <c r="C181" t="s">
        <v>13</v>
      </c>
      <c r="D181">
        <v>34.75</v>
      </c>
      <c r="E181" t="s">
        <v>2632</v>
      </c>
      <c r="F181" t="s">
        <v>2633</v>
      </c>
      <c r="G181" s="1">
        <v>66.2</v>
      </c>
      <c r="H181" s="1"/>
      <c r="I181" t="s">
        <v>2634</v>
      </c>
      <c r="J181">
        <v>10</v>
      </c>
      <c r="K181">
        <v>0</v>
      </c>
      <c r="L181">
        <v>0</v>
      </c>
    </row>
    <row r="182" spans="1:12">
      <c r="A182" s="14" t="s">
        <v>361</v>
      </c>
      <c r="B182" t="s">
        <v>362</v>
      </c>
      <c r="C182" t="s">
        <v>13</v>
      </c>
      <c r="D182">
        <v>32.53</v>
      </c>
      <c r="E182" t="s">
        <v>2632</v>
      </c>
      <c r="F182" t="s">
        <v>2633</v>
      </c>
      <c r="G182" s="1">
        <v>61.95</v>
      </c>
      <c r="H182" s="2" t="s">
        <v>2635</v>
      </c>
      <c r="I182" t="s">
        <v>2638</v>
      </c>
      <c r="J182">
        <v>20</v>
      </c>
      <c r="K182">
        <v>0</v>
      </c>
      <c r="L182">
        <v>0</v>
      </c>
    </row>
    <row r="183" spans="1:12">
      <c r="A183" s="14" t="s">
        <v>363</v>
      </c>
      <c r="B183" t="s">
        <v>364</v>
      </c>
      <c r="C183" t="s">
        <v>13</v>
      </c>
      <c r="D183">
        <v>32.53</v>
      </c>
      <c r="E183" t="s">
        <v>2632</v>
      </c>
      <c r="F183" t="s">
        <v>2633</v>
      </c>
      <c r="G183" s="1">
        <v>61.95</v>
      </c>
      <c r="H183" s="1"/>
      <c r="I183" t="s">
        <v>2634</v>
      </c>
      <c r="J183">
        <v>20</v>
      </c>
      <c r="K183">
        <v>0</v>
      </c>
      <c r="L183">
        <v>0</v>
      </c>
    </row>
    <row r="184" spans="1:12">
      <c r="A184" s="14" t="s">
        <v>365</v>
      </c>
      <c r="B184" t="s">
        <v>366</v>
      </c>
      <c r="C184" t="s">
        <v>13</v>
      </c>
      <c r="D184">
        <v>34.71</v>
      </c>
      <c r="E184" t="s">
        <v>2632</v>
      </c>
      <c r="F184" t="s">
        <v>2633</v>
      </c>
      <c r="G184" s="1">
        <v>66.12</v>
      </c>
      <c r="H184" s="1"/>
      <c r="I184" t="s">
        <v>2634</v>
      </c>
      <c r="J184">
        <v>10</v>
      </c>
      <c r="K184">
        <v>0</v>
      </c>
      <c r="L184">
        <v>0</v>
      </c>
    </row>
    <row r="185" spans="1:12">
      <c r="A185" s="14" t="s">
        <v>367</v>
      </c>
      <c r="B185" t="s">
        <v>368</v>
      </c>
      <c r="C185" t="s">
        <v>13</v>
      </c>
      <c r="D185">
        <v>32.53</v>
      </c>
      <c r="E185" t="s">
        <v>2632</v>
      </c>
      <c r="F185" t="s">
        <v>2633</v>
      </c>
      <c r="G185" s="1">
        <v>61.95</v>
      </c>
      <c r="H185" s="1"/>
      <c r="I185" t="s">
        <v>2634</v>
      </c>
      <c r="J185" t="s">
        <v>2634</v>
      </c>
      <c r="K185">
        <v>0</v>
      </c>
      <c r="L185">
        <v>0</v>
      </c>
    </row>
    <row r="186" spans="1:12">
      <c r="A186" s="14" t="s">
        <v>369</v>
      </c>
      <c r="B186" t="s">
        <v>370</v>
      </c>
      <c r="C186" t="s">
        <v>13</v>
      </c>
      <c r="D186">
        <v>34.71</v>
      </c>
      <c r="E186" t="s">
        <v>2632</v>
      </c>
      <c r="F186" t="s">
        <v>2633</v>
      </c>
      <c r="G186" s="1">
        <v>66.11</v>
      </c>
      <c r="H186" s="1"/>
      <c r="I186" t="s">
        <v>2634</v>
      </c>
      <c r="J186">
        <v>10</v>
      </c>
      <c r="K186">
        <v>0</v>
      </c>
      <c r="L186">
        <v>0</v>
      </c>
    </row>
    <row r="187" spans="1:12">
      <c r="A187" s="14" t="s">
        <v>371</v>
      </c>
      <c r="B187" t="s">
        <v>372</v>
      </c>
      <c r="C187" t="s">
        <v>13</v>
      </c>
      <c r="D187">
        <v>32.53</v>
      </c>
      <c r="E187" t="s">
        <v>2632</v>
      </c>
      <c r="F187" t="s">
        <v>2633</v>
      </c>
      <c r="G187" s="1">
        <v>61.95</v>
      </c>
      <c r="H187" s="2" t="s">
        <v>2635</v>
      </c>
      <c r="I187" t="s">
        <v>2638</v>
      </c>
      <c r="J187">
        <v>20</v>
      </c>
      <c r="K187">
        <v>0</v>
      </c>
      <c r="L187">
        <v>0</v>
      </c>
    </row>
    <row r="188" spans="1:12">
      <c r="A188" s="14" t="s">
        <v>373</v>
      </c>
      <c r="B188" t="s">
        <v>374</v>
      </c>
      <c r="C188" t="s">
        <v>13</v>
      </c>
      <c r="D188">
        <v>34.74</v>
      </c>
      <c r="E188" t="s">
        <v>2632</v>
      </c>
      <c r="F188" t="s">
        <v>2633</v>
      </c>
      <c r="G188" s="1">
        <v>66.17</v>
      </c>
      <c r="H188" s="1"/>
      <c r="I188" t="s">
        <v>2634</v>
      </c>
      <c r="J188">
        <v>10</v>
      </c>
      <c r="K188">
        <v>0</v>
      </c>
      <c r="L188">
        <v>0</v>
      </c>
    </row>
    <row r="189" spans="1:12">
      <c r="A189" s="14" t="s">
        <v>375</v>
      </c>
      <c r="B189" t="s">
        <v>376</v>
      </c>
      <c r="C189" t="s">
        <v>13</v>
      </c>
      <c r="D189">
        <v>32.53</v>
      </c>
      <c r="E189" t="s">
        <v>2632</v>
      </c>
      <c r="F189" t="s">
        <v>2633</v>
      </c>
      <c r="G189" s="1">
        <v>61.95</v>
      </c>
      <c r="H189" s="2" t="s">
        <v>2635</v>
      </c>
      <c r="I189" t="s">
        <v>2638</v>
      </c>
      <c r="J189">
        <v>20</v>
      </c>
      <c r="K189">
        <v>0</v>
      </c>
      <c r="L189">
        <v>0</v>
      </c>
    </row>
    <row r="190" spans="1:12">
      <c r="A190" s="14" t="s">
        <v>377</v>
      </c>
      <c r="B190" t="s">
        <v>378</v>
      </c>
      <c r="C190" t="s">
        <v>13</v>
      </c>
      <c r="D190">
        <v>6.64</v>
      </c>
      <c r="E190" t="s">
        <v>2632</v>
      </c>
      <c r="F190" t="s">
        <v>2633</v>
      </c>
      <c r="G190" s="1">
        <v>16.63</v>
      </c>
      <c r="H190" s="1"/>
      <c r="I190" t="s">
        <v>2634</v>
      </c>
      <c r="J190" t="s">
        <v>2634</v>
      </c>
      <c r="K190">
        <v>0</v>
      </c>
      <c r="L190">
        <v>0</v>
      </c>
    </row>
    <row r="191" spans="1:12">
      <c r="A191" s="14" t="s">
        <v>379</v>
      </c>
      <c r="B191" t="s">
        <v>380</v>
      </c>
      <c r="C191" t="s">
        <v>13</v>
      </c>
      <c r="D191">
        <v>6.64</v>
      </c>
      <c r="E191" t="s">
        <v>2632</v>
      </c>
      <c r="F191" t="s">
        <v>2633</v>
      </c>
      <c r="G191" s="1">
        <v>16.63</v>
      </c>
      <c r="H191" s="1"/>
      <c r="I191" t="s">
        <v>2634</v>
      </c>
      <c r="J191" t="s">
        <v>2634</v>
      </c>
      <c r="K191">
        <v>0</v>
      </c>
      <c r="L191">
        <v>0</v>
      </c>
    </row>
    <row r="192" spans="1:12">
      <c r="A192" s="14" t="s">
        <v>381</v>
      </c>
      <c r="B192" t="s">
        <v>382</v>
      </c>
      <c r="C192" t="s">
        <v>13</v>
      </c>
      <c r="D192">
        <v>5.06</v>
      </c>
      <c r="E192" t="s">
        <v>2632</v>
      </c>
      <c r="F192" t="s">
        <v>2633</v>
      </c>
      <c r="G192" s="1">
        <v>12.68</v>
      </c>
      <c r="H192" s="1"/>
      <c r="I192" t="s">
        <v>2634</v>
      </c>
      <c r="J192" t="s">
        <v>2634</v>
      </c>
      <c r="K192">
        <v>0</v>
      </c>
      <c r="L192">
        <v>0</v>
      </c>
    </row>
    <row r="193" spans="1:12">
      <c r="A193" s="14" t="s">
        <v>383</v>
      </c>
      <c r="B193" t="s">
        <v>384</v>
      </c>
      <c r="C193" t="s">
        <v>13</v>
      </c>
      <c r="D193">
        <v>6.82</v>
      </c>
      <c r="E193" t="s">
        <v>2632</v>
      </c>
      <c r="F193" t="s">
        <v>2633</v>
      </c>
      <c r="G193" s="1">
        <v>17.05</v>
      </c>
      <c r="H193" s="1"/>
      <c r="I193" t="s">
        <v>2634</v>
      </c>
      <c r="J193" t="s">
        <v>2634</v>
      </c>
      <c r="K193">
        <v>0</v>
      </c>
      <c r="L193">
        <v>0</v>
      </c>
    </row>
    <row r="194" spans="1:12">
      <c r="A194" s="14" t="s">
        <v>385</v>
      </c>
      <c r="B194" t="s">
        <v>386</v>
      </c>
      <c r="C194" t="s">
        <v>13</v>
      </c>
      <c r="D194">
        <v>36.42</v>
      </c>
      <c r="E194" t="s">
        <v>2632</v>
      </c>
      <c r="F194" t="s">
        <v>2633</v>
      </c>
      <c r="G194" s="1">
        <v>69.38</v>
      </c>
      <c r="H194" s="2" t="s">
        <v>2635</v>
      </c>
      <c r="I194" t="s">
        <v>2639</v>
      </c>
      <c r="J194">
        <v>40</v>
      </c>
      <c r="K194">
        <v>0</v>
      </c>
      <c r="L194">
        <v>0</v>
      </c>
    </row>
    <row r="195" spans="1:12">
      <c r="A195" s="14" t="s">
        <v>387</v>
      </c>
      <c r="B195" t="s">
        <v>388</v>
      </c>
      <c r="C195" t="s">
        <v>13</v>
      </c>
      <c r="D195">
        <v>41.66</v>
      </c>
      <c r="E195" t="s">
        <v>2632</v>
      </c>
      <c r="F195" t="s">
        <v>2633</v>
      </c>
      <c r="G195" s="1">
        <v>79.33</v>
      </c>
      <c r="H195" s="2" t="s">
        <v>2635</v>
      </c>
      <c r="I195" t="s">
        <v>2639</v>
      </c>
      <c r="J195">
        <v>40</v>
      </c>
      <c r="K195">
        <v>0</v>
      </c>
      <c r="L195">
        <v>0</v>
      </c>
    </row>
    <row r="196" spans="1:12">
      <c r="A196" s="14" t="s">
        <v>389</v>
      </c>
      <c r="B196" t="s">
        <v>390</v>
      </c>
      <c r="C196" t="s">
        <v>13</v>
      </c>
      <c r="D196">
        <v>9.96</v>
      </c>
      <c r="E196" t="s">
        <v>2632</v>
      </c>
      <c r="F196" t="s">
        <v>2633</v>
      </c>
      <c r="G196" s="1">
        <v>24.92</v>
      </c>
      <c r="H196" s="1"/>
      <c r="I196" t="s">
        <v>2634</v>
      </c>
      <c r="J196" t="s">
        <v>2634</v>
      </c>
      <c r="K196">
        <v>0</v>
      </c>
      <c r="L196">
        <v>0</v>
      </c>
    </row>
    <row r="197" spans="1:12">
      <c r="A197" s="14" t="s">
        <v>391</v>
      </c>
      <c r="B197" t="s">
        <v>392</v>
      </c>
      <c r="C197" t="s">
        <v>13</v>
      </c>
      <c r="D197">
        <v>9.96</v>
      </c>
      <c r="E197" t="s">
        <v>2632</v>
      </c>
      <c r="F197" t="s">
        <v>2633</v>
      </c>
      <c r="G197" s="1">
        <v>24.92</v>
      </c>
      <c r="H197" s="1"/>
      <c r="I197" t="s">
        <v>2634</v>
      </c>
      <c r="J197" t="s">
        <v>2634</v>
      </c>
      <c r="K197">
        <v>0</v>
      </c>
      <c r="L197">
        <v>0</v>
      </c>
    </row>
    <row r="198" spans="1:12">
      <c r="A198" s="14" t="s">
        <v>393</v>
      </c>
      <c r="B198" t="s">
        <v>394</v>
      </c>
      <c r="C198" t="s">
        <v>13</v>
      </c>
      <c r="D198">
        <v>25.2</v>
      </c>
      <c r="E198" t="s">
        <v>2632</v>
      </c>
      <c r="F198" t="s">
        <v>2633</v>
      </c>
      <c r="G198" s="1">
        <v>56.02</v>
      </c>
      <c r="H198" s="1"/>
      <c r="I198" t="s">
        <v>2634</v>
      </c>
      <c r="J198">
        <v>10</v>
      </c>
      <c r="K198">
        <v>0</v>
      </c>
      <c r="L198">
        <v>0</v>
      </c>
    </row>
    <row r="199" spans="1:12">
      <c r="A199" s="14" t="s">
        <v>395</v>
      </c>
      <c r="B199" t="s">
        <v>396</v>
      </c>
      <c r="C199" t="s">
        <v>13</v>
      </c>
      <c r="D199">
        <v>16.97</v>
      </c>
      <c r="E199" t="s">
        <v>2632</v>
      </c>
      <c r="F199" t="s">
        <v>2633</v>
      </c>
      <c r="G199" s="1">
        <v>37.7</v>
      </c>
      <c r="H199" s="1"/>
      <c r="I199" t="s">
        <v>2634</v>
      </c>
      <c r="J199">
        <v>20</v>
      </c>
      <c r="K199">
        <v>0</v>
      </c>
      <c r="L199">
        <v>0</v>
      </c>
    </row>
    <row r="200" spans="1:12">
      <c r="A200" s="14" t="s">
        <v>397</v>
      </c>
      <c r="B200" t="s">
        <v>398</v>
      </c>
      <c r="C200" t="s">
        <v>13</v>
      </c>
      <c r="D200">
        <v>23.28</v>
      </c>
      <c r="E200" t="s">
        <v>2632</v>
      </c>
      <c r="F200" t="s">
        <v>2633</v>
      </c>
      <c r="G200" s="1">
        <v>51.71</v>
      </c>
      <c r="H200" s="1"/>
      <c r="I200" t="s">
        <v>2634</v>
      </c>
      <c r="J200" t="s">
        <v>2634</v>
      </c>
      <c r="K200">
        <v>0</v>
      </c>
      <c r="L200">
        <v>0</v>
      </c>
    </row>
    <row r="201" spans="1:12">
      <c r="A201" s="14" t="s">
        <v>399</v>
      </c>
      <c r="B201" t="s">
        <v>400</v>
      </c>
      <c r="C201" t="s">
        <v>13</v>
      </c>
      <c r="D201">
        <v>54.35</v>
      </c>
      <c r="E201" t="s">
        <v>2632</v>
      </c>
      <c r="F201" t="s">
        <v>2633</v>
      </c>
      <c r="G201" s="1">
        <v>120.79</v>
      </c>
      <c r="H201" s="1"/>
      <c r="I201" t="s">
        <v>2634</v>
      </c>
      <c r="J201">
        <v>10</v>
      </c>
      <c r="K201">
        <v>0</v>
      </c>
      <c r="L201">
        <v>0</v>
      </c>
    </row>
    <row r="202" spans="1:12">
      <c r="A202" s="14" t="s">
        <v>401</v>
      </c>
      <c r="B202" t="s">
        <v>402</v>
      </c>
      <c r="C202" t="s">
        <v>13</v>
      </c>
      <c r="D202">
        <v>54.52</v>
      </c>
      <c r="E202" t="s">
        <v>2632</v>
      </c>
      <c r="F202" t="s">
        <v>2633</v>
      </c>
      <c r="G202" s="1">
        <v>121.15</v>
      </c>
      <c r="H202" s="1"/>
      <c r="I202" t="s">
        <v>2634</v>
      </c>
      <c r="J202">
        <v>10</v>
      </c>
      <c r="K202">
        <v>0</v>
      </c>
      <c r="L202">
        <v>0</v>
      </c>
    </row>
    <row r="203" spans="1:12">
      <c r="A203" s="14" t="s">
        <v>403</v>
      </c>
      <c r="B203" t="s">
        <v>404</v>
      </c>
      <c r="C203" t="s">
        <v>13</v>
      </c>
      <c r="D203">
        <v>20.84</v>
      </c>
      <c r="E203" t="s">
        <v>2632</v>
      </c>
      <c r="F203" t="s">
        <v>2633</v>
      </c>
      <c r="G203" s="1">
        <v>46.32</v>
      </c>
      <c r="H203" s="1"/>
      <c r="I203" t="s">
        <v>2634</v>
      </c>
      <c r="J203">
        <v>12</v>
      </c>
      <c r="K203">
        <v>0</v>
      </c>
      <c r="L203">
        <v>0</v>
      </c>
    </row>
    <row r="204" spans="1:12">
      <c r="A204" s="14" t="s">
        <v>405</v>
      </c>
      <c r="B204" t="s">
        <v>406</v>
      </c>
      <c r="C204" t="s">
        <v>13</v>
      </c>
      <c r="D204">
        <v>16.41</v>
      </c>
      <c r="E204" t="s">
        <v>2632</v>
      </c>
      <c r="F204" t="s">
        <v>2633</v>
      </c>
      <c r="G204" s="1">
        <v>41.03</v>
      </c>
      <c r="H204" s="1"/>
      <c r="I204" t="s">
        <v>2634</v>
      </c>
      <c r="J204" t="s">
        <v>2634</v>
      </c>
      <c r="K204">
        <v>0</v>
      </c>
      <c r="L204">
        <v>0</v>
      </c>
    </row>
    <row r="205" spans="1:12">
      <c r="A205" s="14" t="s">
        <v>407</v>
      </c>
      <c r="B205" t="s">
        <v>408</v>
      </c>
      <c r="C205" t="s">
        <v>13</v>
      </c>
      <c r="D205">
        <v>2.44</v>
      </c>
      <c r="E205" t="s">
        <v>2632</v>
      </c>
      <c r="F205" t="s">
        <v>2633</v>
      </c>
      <c r="G205" s="1">
        <v>6.08</v>
      </c>
      <c r="H205" s="1"/>
      <c r="I205" t="s">
        <v>2634</v>
      </c>
      <c r="J205" t="s">
        <v>2634</v>
      </c>
      <c r="K205">
        <v>0</v>
      </c>
      <c r="L205">
        <v>0</v>
      </c>
    </row>
    <row r="206" spans="1:12">
      <c r="A206" s="14" t="s">
        <v>409</v>
      </c>
      <c r="B206" t="s">
        <v>410</v>
      </c>
      <c r="C206" t="s">
        <v>13</v>
      </c>
      <c r="D206">
        <v>4.61</v>
      </c>
      <c r="E206" t="s">
        <v>2632</v>
      </c>
      <c r="F206" t="s">
        <v>2633</v>
      </c>
      <c r="G206" s="1">
        <v>11.56</v>
      </c>
      <c r="H206" s="1"/>
      <c r="I206" t="s">
        <v>2634</v>
      </c>
      <c r="J206" t="s">
        <v>2634</v>
      </c>
      <c r="K206">
        <v>0</v>
      </c>
      <c r="L206">
        <v>0</v>
      </c>
    </row>
    <row r="207" spans="1:12">
      <c r="A207" s="14" t="s">
        <v>411</v>
      </c>
      <c r="B207" t="s">
        <v>412</v>
      </c>
      <c r="C207" t="s">
        <v>13</v>
      </c>
      <c r="D207">
        <v>3.86</v>
      </c>
      <c r="E207" t="s">
        <v>2632</v>
      </c>
      <c r="F207" t="s">
        <v>2633</v>
      </c>
      <c r="G207" s="1">
        <v>9.67</v>
      </c>
      <c r="H207" s="1"/>
      <c r="I207" t="s">
        <v>2634</v>
      </c>
      <c r="J207" t="s">
        <v>2634</v>
      </c>
      <c r="K207">
        <v>0</v>
      </c>
      <c r="L207">
        <v>0</v>
      </c>
    </row>
    <row r="208" spans="1:12">
      <c r="A208" s="14" t="s">
        <v>413</v>
      </c>
      <c r="B208" t="s">
        <v>414</v>
      </c>
      <c r="C208" t="s">
        <v>13</v>
      </c>
      <c r="D208">
        <v>8.74</v>
      </c>
      <c r="E208" t="s">
        <v>2632</v>
      </c>
      <c r="F208" t="s">
        <v>2633</v>
      </c>
      <c r="G208" s="1">
        <v>21.86</v>
      </c>
      <c r="H208" s="1"/>
      <c r="I208" t="s">
        <v>2634</v>
      </c>
      <c r="J208" t="s">
        <v>2634</v>
      </c>
      <c r="K208">
        <v>0</v>
      </c>
      <c r="L208">
        <v>0</v>
      </c>
    </row>
    <row r="209" spans="1:12">
      <c r="A209" s="14" t="s">
        <v>415</v>
      </c>
      <c r="B209" t="s">
        <v>416</v>
      </c>
      <c r="C209" t="s">
        <v>13</v>
      </c>
      <c r="D209">
        <v>15.41</v>
      </c>
      <c r="E209" t="s">
        <v>2632</v>
      </c>
      <c r="F209" t="s">
        <v>2633</v>
      </c>
      <c r="G209" s="1">
        <v>38.51</v>
      </c>
      <c r="H209" s="1"/>
      <c r="I209" t="s">
        <v>2634</v>
      </c>
      <c r="J209" t="s">
        <v>2634</v>
      </c>
      <c r="K209">
        <v>0</v>
      </c>
      <c r="L209">
        <v>0</v>
      </c>
    </row>
    <row r="210" spans="1:12">
      <c r="A210" s="14" t="s">
        <v>417</v>
      </c>
      <c r="B210" t="s">
        <v>418</v>
      </c>
      <c r="C210" t="s">
        <v>13</v>
      </c>
      <c r="D210">
        <v>2.61</v>
      </c>
      <c r="E210" t="s">
        <v>2632</v>
      </c>
      <c r="F210" t="s">
        <v>2633</v>
      </c>
      <c r="G210" s="1">
        <v>6.55</v>
      </c>
      <c r="H210" s="1"/>
      <c r="I210" t="s">
        <v>2634</v>
      </c>
      <c r="J210" t="s">
        <v>2634</v>
      </c>
      <c r="K210">
        <v>0</v>
      </c>
      <c r="L210">
        <v>0</v>
      </c>
    </row>
    <row r="211" spans="1:12">
      <c r="A211" s="14" t="s">
        <v>419</v>
      </c>
      <c r="B211" t="s">
        <v>420</v>
      </c>
      <c r="C211" t="s">
        <v>13</v>
      </c>
      <c r="D211">
        <v>2.61</v>
      </c>
      <c r="E211" t="s">
        <v>2632</v>
      </c>
      <c r="F211" t="s">
        <v>2633</v>
      </c>
      <c r="G211" s="1">
        <v>6.55</v>
      </c>
      <c r="H211" s="1"/>
      <c r="I211" t="s">
        <v>2634</v>
      </c>
      <c r="J211" t="s">
        <v>2634</v>
      </c>
      <c r="K211">
        <v>0</v>
      </c>
      <c r="L211">
        <v>0</v>
      </c>
    </row>
    <row r="212" spans="1:12">
      <c r="A212" s="14" t="s">
        <v>421</v>
      </c>
      <c r="B212" t="s">
        <v>422</v>
      </c>
      <c r="C212" t="s">
        <v>13</v>
      </c>
      <c r="D212">
        <v>35.76</v>
      </c>
      <c r="E212" t="s">
        <v>2632</v>
      </c>
      <c r="F212" t="s">
        <v>2633</v>
      </c>
      <c r="G212" s="1">
        <v>79.46</v>
      </c>
      <c r="H212" s="1"/>
      <c r="I212" t="s">
        <v>2634</v>
      </c>
      <c r="J212" t="s">
        <v>2634</v>
      </c>
      <c r="K212">
        <v>0</v>
      </c>
      <c r="L212">
        <v>0</v>
      </c>
    </row>
    <row r="213" spans="1:12">
      <c r="A213" s="14" t="s">
        <v>423</v>
      </c>
      <c r="B213" t="s">
        <v>424</v>
      </c>
      <c r="C213" t="s">
        <v>13</v>
      </c>
      <c r="D213">
        <v>4.92</v>
      </c>
      <c r="E213" t="s">
        <v>2632</v>
      </c>
      <c r="F213" t="s">
        <v>2633</v>
      </c>
      <c r="G213" s="1">
        <v>9.37</v>
      </c>
      <c r="H213" s="1"/>
      <c r="I213" t="s">
        <v>2634</v>
      </c>
      <c r="J213" t="s">
        <v>2634</v>
      </c>
      <c r="K213">
        <v>0</v>
      </c>
      <c r="L213">
        <v>0</v>
      </c>
    </row>
    <row r="214" spans="1:12">
      <c r="A214" s="14" t="s">
        <v>425</v>
      </c>
      <c r="B214" t="s">
        <v>426</v>
      </c>
      <c r="C214" t="s">
        <v>13</v>
      </c>
      <c r="D214">
        <v>6.66</v>
      </c>
      <c r="E214" t="s">
        <v>2632</v>
      </c>
      <c r="F214" t="s">
        <v>2633</v>
      </c>
      <c r="G214" s="1">
        <v>12.68</v>
      </c>
      <c r="H214" s="1"/>
      <c r="I214" t="s">
        <v>2634</v>
      </c>
      <c r="J214" t="s">
        <v>2634</v>
      </c>
      <c r="K214">
        <v>0</v>
      </c>
      <c r="L214">
        <v>0</v>
      </c>
    </row>
    <row r="215" spans="1:12">
      <c r="A215" s="14" t="s">
        <v>427</v>
      </c>
      <c r="B215" t="s">
        <v>428</v>
      </c>
      <c r="C215" t="s">
        <v>13</v>
      </c>
      <c r="D215">
        <v>7.13</v>
      </c>
      <c r="E215" t="s">
        <v>2632</v>
      </c>
      <c r="F215" t="s">
        <v>2633</v>
      </c>
      <c r="G215" s="1">
        <v>13.57</v>
      </c>
      <c r="H215" s="1"/>
      <c r="I215" t="s">
        <v>2634</v>
      </c>
      <c r="J215">
        <v>40</v>
      </c>
      <c r="K215">
        <v>0</v>
      </c>
      <c r="L215">
        <v>0</v>
      </c>
    </row>
    <row r="216" spans="1:12">
      <c r="A216" s="14" t="s">
        <v>429</v>
      </c>
      <c r="B216" t="s">
        <v>430</v>
      </c>
      <c r="C216" t="s">
        <v>13</v>
      </c>
      <c r="D216">
        <v>7.75</v>
      </c>
      <c r="E216" t="s">
        <v>2632</v>
      </c>
      <c r="F216" t="s">
        <v>2633</v>
      </c>
      <c r="G216" s="1">
        <v>19.39</v>
      </c>
      <c r="H216" s="1"/>
      <c r="I216" t="s">
        <v>2634</v>
      </c>
      <c r="J216">
        <v>12</v>
      </c>
      <c r="K216">
        <v>0</v>
      </c>
      <c r="L216">
        <v>0</v>
      </c>
    </row>
    <row r="217" spans="1:12">
      <c r="A217" s="14" t="s">
        <v>431</v>
      </c>
      <c r="B217" t="s">
        <v>432</v>
      </c>
      <c r="C217" t="s">
        <v>13</v>
      </c>
      <c r="D217">
        <v>3.59</v>
      </c>
      <c r="E217" t="s">
        <v>2632</v>
      </c>
      <c r="F217" t="s">
        <v>2633</v>
      </c>
      <c r="G217" s="1">
        <v>9.03</v>
      </c>
      <c r="H217" s="1"/>
      <c r="I217" t="s">
        <v>2634</v>
      </c>
      <c r="J217" t="s">
        <v>2634</v>
      </c>
      <c r="K217">
        <v>0</v>
      </c>
      <c r="L217">
        <v>0</v>
      </c>
    </row>
    <row r="218" spans="1:12">
      <c r="A218" s="14" t="s">
        <v>433</v>
      </c>
      <c r="B218" t="s">
        <v>434</v>
      </c>
      <c r="C218" t="s">
        <v>13</v>
      </c>
      <c r="D218">
        <v>2.66</v>
      </c>
      <c r="E218" t="s">
        <v>2632</v>
      </c>
      <c r="F218" t="s">
        <v>2633</v>
      </c>
      <c r="G218" s="1">
        <v>6.69</v>
      </c>
      <c r="H218" s="1"/>
      <c r="I218" t="s">
        <v>2634</v>
      </c>
      <c r="J218" t="s">
        <v>2634</v>
      </c>
      <c r="K218">
        <v>0</v>
      </c>
      <c r="L218">
        <v>0</v>
      </c>
    </row>
    <row r="219" spans="1:12">
      <c r="A219" s="14" t="s">
        <v>435</v>
      </c>
      <c r="B219" t="s">
        <v>436</v>
      </c>
      <c r="C219" t="s">
        <v>13</v>
      </c>
      <c r="D219">
        <v>23.01</v>
      </c>
      <c r="E219" t="s">
        <v>2632</v>
      </c>
      <c r="F219" t="s">
        <v>2633</v>
      </c>
      <c r="G219" s="1">
        <v>51.14</v>
      </c>
      <c r="H219" s="2" t="s">
        <v>2635</v>
      </c>
      <c r="I219" t="s">
        <v>2640</v>
      </c>
      <c r="J219">
        <v>14</v>
      </c>
      <c r="K219">
        <v>0</v>
      </c>
      <c r="L219">
        <v>0</v>
      </c>
    </row>
    <row r="220" spans="1:12">
      <c r="A220" s="14" t="s">
        <v>437</v>
      </c>
      <c r="B220" t="s">
        <v>438</v>
      </c>
      <c r="C220" t="s">
        <v>13</v>
      </c>
      <c r="D220">
        <v>362.43</v>
      </c>
      <c r="E220" t="s">
        <v>2632</v>
      </c>
      <c r="F220" t="s">
        <v>2633</v>
      </c>
      <c r="G220" s="1">
        <v>805.4</v>
      </c>
      <c r="H220" s="1"/>
      <c r="I220" t="s">
        <v>2634</v>
      </c>
      <c r="J220">
        <v>5</v>
      </c>
      <c r="K220">
        <v>0</v>
      </c>
      <c r="L220">
        <v>0</v>
      </c>
    </row>
    <row r="221" spans="1:12">
      <c r="A221" s="14" t="s">
        <v>439</v>
      </c>
      <c r="B221" t="s">
        <v>440</v>
      </c>
      <c r="C221" t="s">
        <v>13</v>
      </c>
      <c r="D221">
        <v>423.38</v>
      </c>
      <c r="E221" t="s">
        <v>2632</v>
      </c>
      <c r="F221" t="s">
        <v>2633</v>
      </c>
      <c r="G221" s="1">
        <v>940.83</v>
      </c>
      <c r="H221" s="1"/>
      <c r="I221" t="s">
        <v>2634</v>
      </c>
      <c r="J221">
        <v>1</v>
      </c>
      <c r="K221">
        <v>0</v>
      </c>
      <c r="L221">
        <v>0</v>
      </c>
    </row>
    <row r="222" spans="1:12">
      <c r="A222" s="14" t="s">
        <v>441</v>
      </c>
      <c r="B222" t="s">
        <v>442</v>
      </c>
      <c r="C222" t="s">
        <v>13</v>
      </c>
      <c r="D222">
        <v>45.41</v>
      </c>
      <c r="E222" t="s">
        <v>2632</v>
      </c>
      <c r="F222" t="s">
        <v>2633</v>
      </c>
      <c r="G222" s="1">
        <v>100.93</v>
      </c>
      <c r="H222" s="1"/>
      <c r="I222" t="s">
        <v>2634</v>
      </c>
      <c r="J222">
        <v>5</v>
      </c>
      <c r="K222">
        <v>0</v>
      </c>
      <c r="L222">
        <v>0</v>
      </c>
    </row>
    <row r="223" spans="1:12">
      <c r="A223" s="14" t="s">
        <v>443</v>
      </c>
      <c r="B223" t="s">
        <v>444</v>
      </c>
      <c r="C223" t="s">
        <v>13</v>
      </c>
      <c r="D223">
        <v>27.08</v>
      </c>
      <c r="E223" t="s">
        <v>2632</v>
      </c>
      <c r="F223" t="s">
        <v>2633</v>
      </c>
      <c r="G223" s="1">
        <v>60.18</v>
      </c>
      <c r="H223" s="1"/>
      <c r="I223" t="s">
        <v>2634</v>
      </c>
      <c r="J223">
        <v>5</v>
      </c>
      <c r="K223">
        <v>0</v>
      </c>
      <c r="L223">
        <v>0</v>
      </c>
    </row>
    <row r="224" spans="1:12">
      <c r="A224" s="14" t="s">
        <v>445</v>
      </c>
      <c r="B224" t="s">
        <v>446</v>
      </c>
      <c r="C224" t="s">
        <v>13</v>
      </c>
      <c r="D224">
        <v>321.64</v>
      </c>
      <c r="E224" t="s">
        <v>2632</v>
      </c>
      <c r="F224" t="s">
        <v>2633</v>
      </c>
      <c r="G224" s="1">
        <v>714.74</v>
      </c>
      <c r="H224" s="1"/>
      <c r="I224" t="s">
        <v>2634</v>
      </c>
      <c r="J224">
        <v>20</v>
      </c>
      <c r="K224">
        <v>0</v>
      </c>
      <c r="L224">
        <v>0</v>
      </c>
    </row>
    <row r="225" spans="1:12">
      <c r="A225" s="14" t="s">
        <v>447</v>
      </c>
      <c r="B225" t="s">
        <v>448</v>
      </c>
      <c r="C225" t="s">
        <v>13</v>
      </c>
      <c r="D225">
        <v>347.92</v>
      </c>
      <c r="E225" t="s">
        <v>2632</v>
      </c>
      <c r="F225" t="s">
        <v>2633</v>
      </c>
      <c r="G225" s="1">
        <v>773.16</v>
      </c>
      <c r="H225" s="1"/>
      <c r="I225" t="s">
        <v>2634</v>
      </c>
      <c r="J225">
        <v>1</v>
      </c>
      <c r="K225">
        <v>0</v>
      </c>
      <c r="L225">
        <v>0</v>
      </c>
    </row>
    <row r="226" spans="1:12">
      <c r="A226" s="14" t="s">
        <v>449</v>
      </c>
      <c r="B226" t="s">
        <v>450</v>
      </c>
      <c r="C226" t="s">
        <v>13</v>
      </c>
      <c r="D226">
        <v>171.63</v>
      </c>
      <c r="E226" t="s">
        <v>2632</v>
      </c>
      <c r="F226" t="s">
        <v>2633</v>
      </c>
      <c r="G226" s="1">
        <v>381.41</v>
      </c>
      <c r="H226" s="1"/>
      <c r="I226" t="s">
        <v>2634</v>
      </c>
      <c r="J226">
        <v>5</v>
      </c>
      <c r="K226">
        <v>0</v>
      </c>
      <c r="L226">
        <v>0</v>
      </c>
    </row>
    <row r="227" spans="1:12">
      <c r="A227" s="14" t="s">
        <v>451</v>
      </c>
      <c r="B227" t="s">
        <v>452</v>
      </c>
      <c r="C227" t="s">
        <v>13</v>
      </c>
      <c r="D227">
        <v>188.42</v>
      </c>
      <c r="E227" t="s">
        <v>2632</v>
      </c>
      <c r="F227" t="s">
        <v>2633</v>
      </c>
      <c r="G227" s="1">
        <v>418.7</v>
      </c>
      <c r="H227" s="1"/>
      <c r="I227" t="s">
        <v>2634</v>
      </c>
      <c r="J227">
        <v>5</v>
      </c>
      <c r="K227">
        <v>0</v>
      </c>
      <c r="L227">
        <v>0</v>
      </c>
    </row>
    <row r="228" spans="1:12">
      <c r="A228" s="14" t="s">
        <v>453</v>
      </c>
      <c r="B228" t="s">
        <v>454</v>
      </c>
      <c r="C228" t="s">
        <v>13</v>
      </c>
      <c r="D228">
        <v>121.75</v>
      </c>
      <c r="E228" t="s">
        <v>2632</v>
      </c>
      <c r="F228" t="s">
        <v>2633</v>
      </c>
      <c r="G228" s="1">
        <v>270.58</v>
      </c>
      <c r="H228" s="1"/>
      <c r="I228" t="s">
        <v>2634</v>
      </c>
      <c r="J228" t="s">
        <v>2634</v>
      </c>
      <c r="K228">
        <v>0</v>
      </c>
      <c r="L228">
        <v>0</v>
      </c>
    </row>
    <row r="229" spans="1:12">
      <c r="A229" s="14" t="s">
        <v>455</v>
      </c>
      <c r="B229" t="s">
        <v>456</v>
      </c>
      <c r="C229" t="s">
        <v>13</v>
      </c>
      <c r="D229">
        <v>117.85</v>
      </c>
      <c r="E229" t="s">
        <v>2632</v>
      </c>
      <c r="F229" t="s">
        <v>2633</v>
      </c>
      <c r="G229" s="1">
        <v>261.92</v>
      </c>
      <c r="H229" s="1"/>
      <c r="I229" t="s">
        <v>2634</v>
      </c>
      <c r="J229">
        <v>5</v>
      </c>
      <c r="K229">
        <v>0</v>
      </c>
      <c r="L229">
        <v>0</v>
      </c>
    </row>
    <row r="230" spans="1:12">
      <c r="A230" s="14" t="s">
        <v>457</v>
      </c>
      <c r="B230" t="s">
        <v>458</v>
      </c>
      <c r="C230" t="s">
        <v>13</v>
      </c>
      <c r="D230">
        <v>77.37</v>
      </c>
      <c r="E230" t="s">
        <v>2632</v>
      </c>
      <c r="F230" t="s">
        <v>2633</v>
      </c>
      <c r="G230" s="1">
        <v>171.95</v>
      </c>
      <c r="H230" s="1"/>
      <c r="I230" t="s">
        <v>2634</v>
      </c>
      <c r="J230">
        <v>5</v>
      </c>
      <c r="K230">
        <v>0</v>
      </c>
      <c r="L230">
        <v>0</v>
      </c>
    </row>
    <row r="231" spans="1:12">
      <c r="A231" s="14" t="s">
        <v>459</v>
      </c>
      <c r="B231" t="s">
        <v>460</v>
      </c>
      <c r="C231" t="s">
        <v>13</v>
      </c>
      <c r="D231">
        <v>92.94</v>
      </c>
      <c r="E231" t="s">
        <v>2632</v>
      </c>
      <c r="F231" t="s">
        <v>2633</v>
      </c>
      <c r="G231" s="1">
        <v>206.54</v>
      </c>
      <c r="H231" s="1"/>
      <c r="I231" t="s">
        <v>2634</v>
      </c>
      <c r="J231">
        <v>5</v>
      </c>
      <c r="K231">
        <v>0</v>
      </c>
      <c r="L231">
        <v>0</v>
      </c>
    </row>
    <row r="232" spans="1:12">
      <c r="A232" s="14" t="s">
        <v>461</v>
      </c>
      <c r="B232" t="s">
        <v>462</v>
      </c>
      <c r="C232" t="s">
        <v>13</v>
      </c>
      <c r="D232">
        <v>37.1</v>
      </c>
      <c r="E232" t="s">
        <v>2632</v>
      </c>
      <c r="F232" t="s">
        <v>2633</v>
      </c>
      <c r="G232" s="1">
        <v>82.45</v>
      </c>
      <c r="H232" s="1"/>
      <c r="I232" t="s">
        <v>2634</v>
      </c>
      <c r="J232">
        <v>5</v>
      </c>
      <c r="K232">
        <v>0</v>
      </c>
      <c r="L232">
        <v>0</v>
      </c>
    </row>
    <row r="233" spans="1:12">
      <c r="A233" s="14" t="s">
        <v>463</v>
      </c>
      <c r="B233" t="s">
        <v>464</v>
      </c>
      <c r="C233" t="s">
        <v>13</v>
      </c>
      <c r="D233">
        <v>43.7</v>
      </c>
      <c r="E233" t="s">
        <v>2632</v>
      </c>
      <c r="F233" t="s">
        <v>2633</v>
      </c>
      <c r="G233" s="1">
        <v>97.1</v>
      </c>
      <c r="H233" s="1"/>
      <c r="I233" t="s">
        <v>2634</v>
      </c>
      <c r="J233">
        <v>5</v>
      </c>
      <c r="K233">
        <v>0</v>
      </c>
      <c r="L233">
        <v>0</v>
      </c>
    </row>
    <row r="234" spans="1:12">
      <c r="A234" s="14" t="s">
        <v>465</v>
      </c>
      <c r="B234" t="s">
        <v>466</v>
      </c>
      <c r="C234" t="s">
        <v>13</v>
      </c>
      <c r="D234">
        <v>38.2</v>
      </c>
      <c r="E234" t="s">
        <v>2632</v>
      </c>
      <c r="F234" t="s">
        <v>2633</v>
      </c>
      <c r="G234" s="1">
        <v>84.88</v>
      </c>
      <c r="H234" s="1"/>
      <c r="I234" t="s">
        <v>2634</v>
      </c>
      <c r="J234">
        <v>5</v>
      </c>
      <c r="K234">
        <v>0</v>
      </c>
      <c r="L234">
        <v>0</v>
      </c>
    </row>
    <row r="235" spans="1:12">
      <c r="A235" s="14" t="s">
        <v>467</v>
      </c>
      <c r="B235" t="s">
        <v>468</v>
      </c>
      <c r="C235" t="s">
        <v>13</v>
      </c>
      <c r="D235">
        <v>0.26</v>
      </c>
      <c r="E235" t="s">
        <v>2632</v>
      </c>
      <c r="F235" t="s">
        <v>2633</v>
      </c>
      <c r="G235" s="1">
        <v>0.65</v>
      </c>
      <c r="H235" s="1"/>
      <c r="I235" t="s">
        <v>2634</v>
      </c>
      <c r="J235" t="s">
        <v>2634</v>
      </c>
      <c r="K235">
        <v>0</v>
      </c>
      <c r="L235">
        <v>0</v>
      </c>
    </row>
    <row r="236" spans="1:12">
      <c r="A236" s="14" t="s">
        <v>469</v>
      </c>
      <c r="B236" t="s">
        <v>470</v>
      </c>
      <c r="C236" t="s">
        <v>13</v>
      </c>
      <c r="D236">
        <v>0.11</v>
      </c>
      <c r="E236" t="s">
        <v>2632</v>
      </c>
      <c r="F236" t="s">
        <v>2633</v>
      </c>
      <c r="G236" s="1">
        <v>0.3</v>
      </c>
      <c r="H236" s="1"/>
      <c r="I236" t="s">
        <v>2634</v>
      </c>
      <c r="J236" t="s">
        <v>2634</v>
      </c>
      <c r="K236">
        <v>0</v>
      </c>
      <c r="L236">
        <v>0</v>
      </c>
    </row>
    <row r="237" spans="1:12">
      <c r="A237" s="14" t="s">
        <v>471</v>
      </c>
      <c r="B237" t="s">
        <v>472</v>
      </c>
      <c r="C237" t="s">
        <v>13</v>
      </c>
      <c r="D237">
        <v>0.12</v>
      </c>
      <c r="E237" t="s">
        <v>2632</v>
      </c>
      <c r="F237" t="s">
        <v>2633</v>
      </c>
      <c r="G237" s="1">
        <v>0.29</v>
      </c>
      <c r="H237" s="1"/>
      <c r="I237" t="s">
        <v>2634</v>
      </c>
      <c r="J237" t="s">
        <v>2634</v>
      </c>
      <c r="K237">
        <v>0</v>
      </c>
      <c r="L237">
        <v>0</v>
      </c>
    </row>
    <row r="238" spans="1:12">
      <c r="A238" s="14" t="s">
        <v>473</v>
      </c>
      <c r="B238" t="s">
        <v>474</v>
      </c>
      <c r="C238" t="s">
        <v>13</v>
      </c>
      <c r="D238">
        <v>0.12</v>
      </c>
      <c r="E238" t="s">
        <v>2632</v>
      </c>
      <c r="F238" t="s">
        <v>2633</v>
      </c>
      <c r="G238" s="1">
        <v>0.3</v>
      </c>
      <c r="H238" s="1"/>
      <c r="I238" t="s">
        <v>2634</v>
      </c>
      <c r="J238" t="s">
        <v>2634</v>
      </c>
      <c r="K238">
        <v>0</v>
      </c>
      <c r="L238">
        <v>0</v>
      </c>
    </row>
    <row r="239" spans="1:12">
      <c r="A239" s="14" t="s">
        <v>475</v>
      </c>
      <c r="B239" t="s">
        <v>476</v>
      </c>
      <c r="C239" t="s">
        <v>13</v>
      </c>
      <c r="D239">
        <v>3.86</v>
      </c>
      <c r="E239" t="s">
        <v>2632</v>
      </c>
      <c r="F239" t="s">
        <v>2633</v>
      </c>
      <c r="G239" s="1">
        <v>9.62</v>
      </c>
      <c r="H239" s="1"/>
      <c r="I239" t="s">
        <v>2634</v>
      </c>
      <c r="J239" t="s">
        <v>2634</v>
      </c>
      <c r="K239">
        <v>0</v>
      </c>
      <c r="L239">
        <v>0</v>
      </c>
    </row>
    <row r="240" spans="1:12">
      <c r="A240" s="14" t="s">
        <v>477</v>
      </c>
      <c r="B240" t="s">
        <v>478</v>
      </c>
      <c r="C240" t="s">
        <v>13</v>
      </c>
      <c r="D240">
        <v>20.28</v>
      </c>
      <c r="E240" t="s">
        <v>2632</v>
      </c>
      <c r="F240" t="s">
        <v>2633</v>
      </c>
      <c r="G240" s="1">
        <v>45.09</v>
      </c>
      <c r="H240" s="2" t="s">
        <v>2635</v>
      </c>
      <c r="I240" t="s">
        <v>2640</v>
      </c>
      <c r="J240">
        <v>14</v>
      </c>
      <c r="K240">
        <v>0</v>
      </c>
      <c r="L240">
        <v>0</v>
      </c>
    </row>
    <row r="241" spans="1:12">
      <c r="A241" s="14" t="s">
        <v>479</v>
      </c>
      <c r="B241" t="s">
        <v>480</v>
      </c>
      <c r="C241" t="s">
        <v>13</v>
      </c>
      <c r="D241">
        <v>25.26</v>
      </c>
      <c r="E241" t="s">
        <v>2632</v>
      </c>
      <c r="F241" t="s">
        <v>2633</v>
      </c>
      <c r="G241" s="1">
        <v>56.15</v>
      </c>
      <c r="H241" s="1"/>
      <c r="I241" t="s">
        <v>2634</v>
      </c>
      <c r="J241">
        <v>10</v>
      </c>
      <c r="K241">
        <v>0</v>
      </c>
      <c r="L241">
        <v>0</v>
      </c>
    </row>
    <row r="242" spans="1:12">
      <c r="A242" s="14" t="s">
        <v>481</v>
      </c>
      <c r="B242" t="s">
        <v>482</v>
      </c>
      <c r="C242" t="s">
        <v>13</v>
      </c>
      <c r="D242">
        <v>20.94</v>
      </c>
      <c r="E242" t="s">
        <v>2632</v>
      </c>
      <c r="F242" t="s">
        <v>2633</v>
      </c>
      <c r="G242" s="1">
        <v>46.52</v>
      </c>
      <c r="H242" s="2" t="s">
        <v>2635</v>
      </c>
      <c r="I242" t="s">
        <v>2641</v>
      </c>
      <c r="J242">
        <v>24</v>
      </c>
      <c r="K242">
        <v>0</v>
      </c>
      <c r="L242">
        <v>0</v>
      </c>
    </row>
    <row r="243" spans="1:12">
      <c r="A243" s="14" t="s">
        <v>483</v>
      </c>
      <c r="B243" t="s">
        <v>484</v>
      </c>
      <c r="C243" t="s">
        <v>13</v>
      </c>
      <c r="D243">
        <v>4.52</v>
      </c>
      <c r="E243" t="s">
        <v>2632</v>
      </c>
      <c r="F243" t="s">
        <v>2633</v>
      </c>
      <c r="G243" s="1">
        <v>10.04</v>
      </c>
      <c r="H243" s="1"/>
      <c r="I243" t="s">
        <v>2634</v>
      </c>
      <c r="J243" t="s">
        <v>2634</v>
      </c>
      <c r="K243">
        <v>0</v>
      </c>
      <c r="L243">
        <v>0</v>
      </c>
    </row>
    <row r="244" spans="1:12">
      <c r="A244" s="14" t="s">
        <v>485</v>
      </c>
      <c r="B244" t="s">
        <v>486</v>
      </c>
      <c r="C244" t="s">
        <v>13</v>
      </c>
      <c r="D244">
        <v>16.97</v>
      </c>
      <c r="E244" t="s">
        <v>2632</v>
      </c>
      <c r="F244" t="s">
        <v>2633</v>
      </c>
      <c r="G244" s="1">
        <v>37.7</v>
      </c>
      <c r="H244" s="1"/>
      <c r="I244" t="s">
        <v>2634</v>
      </c>
      <c r="J244">
        <v>20</v>
      </c>
      <c r="K244">
        <v>0</v>
      </c>
      <c r="L244">
        <v>0</v>
      </c>
    </row>
    <row r="245" spans="1:12">
      <c r="A245" s="14" t="s">
        <v>487</v>
      </c>
      <c r="B245" t="s">
        <v>488</v>
      </c>
      <c r="C245" t="s">
        <v>13</v>
      </c>
      <c r="D245">
        <v>15.93</v>
      </c>
      <c r="E245" t="s">
        <v>2632</v>
      </c>
      <c r="F245" t="s">
        <v>2633</v>
      </c>
      <c r="G245" s="1">
        <v>35.43</v>
      </c>
      <c r="H245" s="2" t="s">
        <v>2635</v>
      </c>
      <c r="I245" t="s">
        <v>2641</v>
      </c>
      <c r="J245">
        <v>24</v>
      </c>
      <c r="K245">
        <v>0</v>
      </c>
      <c r="L245">
        <v>0</v>
      </c>
    </row>
    <row r="246" spans="1:12">
      <c r="A246" s="14" t="s">
        <v>489</v>
      </c>
      <c r="B246" t="s">
        <v>490</v>
      </c>
      <c r="C246" t="s">
        <v>13</v>
      </c>
      <c r="D246">
        <v>15.09</v>
      </c>
      <c r="E246" t="s">
        <v>2632</v>
      </c>
      <c r="F246" t="s">
        <v>2633</v>
      </c>
      <c r="G246" s="1">
        <v>33.55</v>
      </c>
      <c r="H246" s="2" t="s">
        <v>2635</v>
      </c>
      <c r="I246" t="s">
        <v>2641</v>
      </c>
      <c r="J246">
        <v>24</v>
      </c>
      <c r="K246">
        <v>0</v>
      </c>
      <c r="L246">
        <v>0</v>
      </c>
    </row>
    <row r="247" spans="1:12">
      <c r="A247" s="14" t="s">
        <v>491</v>
      </c>
      <c r="B247" t="s">
        <v>492</v>
      </c>
      <c r="C247" t="s">
        <v>13</v>
      </c>
      <c r="D247">
        <v>15.27</v>
      </c>
      <c r="E247" t="s">
        <v>2632</v>
      </c>
      <c r="F247" t="s">
        <v>2633</v>
      </c>
      <c r="G247" s="1">
        <v>33.92</v>
      </c>
      <c r="H247" s="2" t="s">
        <v>2635</v>
      </c>
      <c r="I247" t="s">
        <v>2641</v>
      </c>
      <c r="J247">
        <v>24</v>
      </c>
      <c r="K247">
        <v>0</v>
      </c>
      <c r="L247">
        <v>0</v>
      </c>
    </row>
    <row r="248" spans="1:12">
      <c r="A248" s="14" t="s">
        <v>493</v>
      </c>
      <c r="B248" t="s">
        <v>494</v>
      </c>
      <c r="C248" t="s">
        <v>13</v>
      </c>
      <c r="D248">
        <v>4.37</v>
      </c>
      <c r="E248" t="s">
        <v>2632</v>
      </c>
      <c r="F248" t="s">
        <v>2633</v>
      </c>
      <c r="G248" s="1">
        <v>9.69</v>
      </c>
      <c r="H248" s="1"/>
      <c r="I248" t="s">
        <v>2634</v>
      </c>
      <c r="J248">
        <v>10</v>
      </c>
      <c r="K248">
        <v>0</v>
      </c>
      <c r="L248">
        <v>0</v>
      </c>
    </row>
    <row r="249" spans="1:12">
      <c r="A249" s="14" t="s">
        <v>495</v>
      </c>
      <c r="B249" t="s">
        <v>496</v>
      </c>
      <c r="C249" t="s">
        <v>13</v>
      </c>
      <c r="D249">
        <v>4.75</v>
      </c>
      <c r="E249" t="s">
        <v>2632</v>
      </c>
      <c r="F249" t="s">
        <v>2633</v>
      </c>
      <c r="G249" s="1">
        <v>10.56</v>
      </c>
      <c r="H249" s="1"/>
      <c r="I249" t="s">
        <v>2634</v>
      </c>
      <c r="J249">
        <v>10</v>
      </c>
      <c r="K249">
        <v>0</v>
      </c>
      <c r="L249">
        <v>0</v>
      </c>
    </row>
    <row r="250" spans="1:12">
      <c r="A250" s="14" t="s">
        <v>497</v>
      </c>
      <c r="B250" t="s">
        <v>498</v>
      </c>
      <c r="C250" t="s">
        <v>13</v>
      </c>
      <c r="D250">
        <v>125.52</v>
      </c>
      <c r="E250" t="s">
        <v>2632</v>
      </c>
      <c r="F250" t="s">
        <v>2633</v>
      </c>
      <c r="G250" s="1">
        <v>278.97</v>
      </c>
      <c r="H250" s="1"/>
      <c r="I250" t="s">
        <v>2634</v>
      </c>
      <c r="J250">
        <v>6</v>
      </c>
      <c r="K250">
        <v>0</v>
      </c>
      <c r="L250">
        <v>0</v>
      </c>
    </row>
    <row r="251" spans="1:12">
      <c r="A251" s="14" t="s">
        <v>499</v>
      </c>
      <c r="B251" t="s">
        <v>500</v>
      </c>
      <c r="C251" t="s">
        <v>13</v>
      </c>
      <c r="D251">
        <v>121.35</v>
      </c>
      <c r="E251" t="s">
        <v>2632</v>
      </c>
      <c r="F251" t="s">
        <v>2633</v>
      </c>
      <c r="G251" s="1">
        <v>269.67</v>
      </c>
      <c r="H251" s="1"/>
      <c r="I251" t="s">
        <v>2634</v>
      </c>
      <c r="J251">
        <v>6</v>
      </c>
      <c r="K251">
        <v>0</v>
      </c>
      <c r="L251">
        <v>0</v>
      </c>
    </row>
    <row r="252" spans="1:12">
      <c r="A252" s="14" t="s">
        <v>501</v>
      </c>
      <c r="B252" t="s">
        <v>502</v>
      </c>
      <c r="C252" t="s">
        <v>13</v>
      </c>
      <c r="D252">
        <v>133.48</v>
      </c>
      <c r="E252" t="s">
        <v>2632</v>
      </c>
      <c r="F252" t="s">
        <v>2633</v>
      </c>
      <c r="G252" s="1">
        <v>296.62</v>
      </c>
      <c r="H252" s="1"/>
      <c r="I252" t="s">
        <v>2634</v>
      </c>
      <c r="J252">
        <v>6</v>
      </c>
      <c r="K252">
        <v>0</v>
      </c>
      <c r="L252">
        <v>0</v>
      </c>
    </row>
    <row r="253" spans="1:12">
      <c r="A253" s="14" t="s">
        <v>503</v>
      </c>
      <c r="B253" t="s">
        <v>504</v>
      </c>
      <c r="C253" t="s">
        <v>13</v>
      </c>
      <c r="D253">
        <v>132.42</v>
      </c>
      <c r="E253" t="s">
        <v>2632</v>
      </c>
      <c r="F253" t="s">
        <v>2633</v>
      </c>
      <c r="G253" s="1">
        <v>294.28</v>
      </c>
      <c r="H253" s="1"/>
      <c r="I253" t="s">
        <v>2634</v>
      </c>
      <c r="J253">
        <v>6</v>
      </c>
      <c r="K253">
        <v>0</v>
      </c>
      <c r="L253">
        <v>0</v>
      </c>
    </row>
    <row r="254" spans="1:12">
      <c r="A254" s="14" t="s">
        <v>505</v>
      </c>
      <c r="B254" t="s">
        <v>506</v>
      </c>
      <c r="C254" t="s">
        <v>13</v>
      </c>
      <c r="D254">
        <v>132.74</v>
      </c>
      <c r="E254" t="s">
        <v>2632</v>
      </c>
      <c r="F254" t="s">
        <v>2633</v>
      </c>
      <c r="G254" s="1">
        <v>295</v>
      </c>
      <c r="H254" s="2" t="s">
        <v>2635</v>
      </c>
      <c r="I254" t="s">
        <v>2641</v>
      </c>
      <c r="J254">
        <v>24</v>
      </c>
      <c r="K254">
        <v>0</v>
      </c>
      <c r="L254">
        <v>0</v>
      </c>
    </row>
    <row r="255" spans="1:12">
      <c r="A255" s="14" t="s">
        <v>507</v>
      </c>
      <c r="B255" t="s">
        <v>508</v>
      </c>
      <c r="C255" t="s">
        <v>13</v>
      </c>
      <c r="D255">
        <v>129.14</v>
      </c>
      <c r="E255" t="s">
        <v>2632</v>
      </c>
      <c r="F255" t="s">
        <v>2633</v>
      </c>
      <c r="G255" s="1">
        <v>287</v>
      </c>
      <c r="H255" s="1"/>
      <c r="I255" t="s">
        <v>2634</v>
      </c>
      <c r="J255">
        <v>6</v>
      </c>
      <c r="K255">
        <v>0</v>
      </c>
      <c r="L255">
        <v>0</v>
      </c>
    </row>
    <row r="256" spans="1:12">
      <c r="A256" s="14" t="s">
        <v>509</v>
      </c>
      <c r="B256" t="s">
        <v>510</v>
      </c>
      <c r="C256" t="s">
        <v>13</v>
      </c>
      <c r="D256">
        <v>17.1</v>
      </c>
      <c r="E256" t="s">
        <v>2632</v>
      </c>
      <c r="F256" t="s">
        <v>2633</v>
      </c>
      <c r="G256" s="1">
        <v>37.99</v>
      </c>
      <c r="H256" s="1"/>
      <c r="I256" t="s">
        <v>2634</v>
      </c>
      <c r="J256">
        <v>20</v>
      </c>
      <c r="K256">
        <v>0</v>
      </c>
      <c r="L256">
        <v>0</v>
      </c>
    </row>
    <row r="257" spans="1:12">
      <c r="A257" s="14" t="s">
        <v>511</v>
      </c>
      <c r="B257" t="s">
        <v>512</v>
      </c>
      <c r="C257" t="s">
        <v>13</v>
      </c>
      <c r="D257">
        <v>28.21</v>
      </c>
      <c r="E257" t="s">
        <v>2632</v>
      </c>
      <c r="F257" t="s">
        <v>2633</v>
      </c>
      <c r="G257" s="1">
        <v>62.7</v>
      </c>
      <c r="H257" s="1"/>
      <c r="I257" t="s">
        <v>2634</v>
      </c>
      <c r="J257">
        <v>20</v>
      </c>
      <c r="K257">
        <v>0</v>
      </c>
      <c r="L257">
        <v>0</v>
      </c>
    </row>
    <row r="258" spans="1:12">
      <c r="A258" s="14" t="s">
        <v>513</v>
      </c>
      <c r="B258" t="s">
        <v>514</v>
      </c>
      <c r="C258" t="s">
        <v>13</v>
      </c>
      <c r="D258">
        <v>27.03</v>
      </c>
      <c r="E258" t="s">
        <v>2632</v>
      </c>
      <c r="F258" t="s">
        <v>2633</v>
      </c>
      <c r="G258" s="1">
        <v>60.07</v>
      </c>
      <c r="H258" s="2" t="s">
        <v>2635</v>
      </c>
      <c r="I258" t="s">
        <v>2641</v>
      </c>
      <c r="J258">
        <v>24</v>
      </c>
      <c r="K258">
        <v>0</v>
      </c>
      <c r="L258">
        <v>0</v>
      </c>
    </row>
    <row r="259" spans="1:12">
      <c r="A259" s="14" t="s">
        <v>515</v>
      </c>
      <c r="B259" t="s">
        <v>516</v>
      </c>
      <c r="C259" t="s">
        <v>13</v>
      </c>
      <c r="D259">
        <v>25.55</v>
      </c>
      <c r="E259" t="s">
        <v>2632</v>
      </c>
      <c r="F259" t="s">
        <v>2633</v>
      </c>
      <c r="G259" s="1">
        <v>56.81</v>
      </c>
      <c r="H259" s="2" t="s">
        <v>2635</v>
      </c>
      <c r="I259" t="s">
        <v>2641</v>
      </c>
      <c r="J259">
        <v>24</v>
      </c>
      <c r="K259">
        <v>0</v>
      </c>
      <c r="L259">
        <v>0</v>
      </c>
    </row>
    <row r="260" spans="1:12">
      <c r="A260" s="14" t="s">
        <v>517</v>
      </c>
      <c r="B260" t="s">
        <v>518</v>
      </c>
      <c r="C260" t="s">
        <v>13</v>
      </c>
      <c r="D260">
        <v>27.71</v>
      </c>
      <c r="E260" t="s">
        <v>2632</v>
      </c>
      <c r="F260" t="s">
        <v>2633</v>
      </c>
      <c r="G260" s="1">
        <v>61.58</v>
      </c>
      <c r="H260" s="1"/>
      <c r="I260" t="s">
        <v>2634</v>
      </c>
      <c r="J260">
        <v>20</v>
      </c>
      <c r="K260">
        <v>0</v>
      </c>
      <c r="L260">
        <v>0</v>
      </c>
    </row>
    <row r="261" spans="1:12">
      <c r="A261" s="14" t="s">
        <v>519</v>
      </c>
      <c r="B261" t="s">
        <v>520</v>
      </c>
      <c r="C261" t="s">
        <v>13</v>
      </c>
      <c r="D261">
        <v>16.96</v>
      </c>
      <c r="E261" t="s">
        <v>2632</v>
      </c>
      <c r="F261" t="s">
        <v>2633</v>
      </c>
      <c r="G261" s="1">
        <v>37.69</v>
      </c>
      <c r="H261" s="1"/>
      <c r="I261" t="s">
        <v>2634</v>
      </c>
      <c r="J261">
        <v>20</v>
      </c>
      <c r="K261">
        <v>0</v>
      </c>
      <c r="L261">
        <v>0</v>
      </c>
    </row>
    <row r="262" spans="1:12">
      <c r="A262" s="14" t="s">
        <v>521</v>
      </c>
      <c r="B262" t="s">
        <v>522</v>
      </c>
      <c r="C262" t="s">
        <v>13</v>
      </c>
      <c r="D262">
        <v>24.31</v>
      </c>
      <c r="E262" t="s">
        <v>2632</v>
      </c>
      <c r="F262" t="s">
        <v>2633</v>
      </c>
      <c r="G262" s="1">
        <v>54.04</v>
      </c>
      <c r="H262" s="1"/>
      <c r="I262" t="s">
        <v>2634</v>
      </c>
      <c r="J262">
        <v>8</v>
      </c>
      <c r="K262">
        <v>0</v>
      </c>
      <c r="L262">
        <v>0</v>
      </c>
    </row>
    <row r="263" spans="1:12">
      <c r="A263" s="14" t="s">
        <v>523</v>
      </c>
      <c r="B263" t="s">
        <v>524</v>
      </c>
      <c r="C263" t="s">
        <v>13</v>
      </c>
      <c r="D263">
        <v>28.78</v>
      </c>
      <c r="E263" t="s">
        <v>2632</v>
      </c>
      <c r="F263" t="s">
        <v>2633</v>
      </c>
      <c r="G263" s="1">
        <v>63.96</v>
      </c>
      <c r="H263" s="1"/>
      <c r="I263" t="s">
        <v>2634</v>
      </c>
      <c r="J263">
        <v>8</v>
      </c>
      <c r="K263">
        <v>0</v>
      </c>
      <c r="L263">
        <v>0</v>
      </c>
    </row>
    <row r="264" spans="1:12">
      <c r="A264" s="14" t="s">
        <v>525</v>
      </c>
      <c r="B264" t="s">
        <v>526</v>
      </c>
      <c r="C264" t="s">
        <v>13</v>
      </c>
      <c r="D264">
        <v>19.77</v>
      </c>
      <c r="E264" t="s">
        <v>2632</v>
      </c>
      <c r="F264" t="s">
        <v>2633</v>
      </c>
      <c r="G264" s="1">
        <v>43.93</v>
      </c>
      <c r="H264" s="2" t="s">
        <v>2635</v>
      </c>
      <c r="I264" t="s">
        <v>2641</v>
      </c>
      <c r="J264">
        <v>24</v>
      </c>
      <c r="K264">
        <v>0</v>
      </c>
      <c r="L264">
        <v>0</v>
      </c>
    </row>
    <row r="265" spans="1:12">
      <c r="A265" s="14" t="s">
        <v>527</v>
      </c>
      <c r="B265" t="s">
        <v>528</v>
      </c>
      <c r="C265" t="s">
        <v>13</v>
      </c>
      <c r="D265">
        <v>22.99</v>
      </c>
      <c r="E265" t="s">
        <v>2632</v>
      </c>
      <c r="F265" t="s">
        <v>2633</v>
      </c>
      <c r="G265" s="1">
        <v>51.06</v>
      </c>
      <c r="H265" s="2" t="s">
        <v>2635</v>
      </c>
      <c r="I265" t="s">
        <v>2641</v>
      </c>
      <c r="J265">
        <v>24</v>
      </c>
      <c r="K265">
        <v>0</v>
      </c>
      <c r="L265">
        <v>0</v>
      </c>
    </row>
    <row r="266" spans="1:12">
      <c r="A266" s="14" t="s">
        <v>529</v>
      </c>
      <c r="B266" t="s">
        <v>530</v>
      </c>
      <c r="C266" t="s">
        <v>13</v>
      </c>
      <c r="D266">
        <v>22.16</v>
      </c>
      <c r="E266" t="s">
        <v>2632</v>
      </c>
      <c r="F266" t="s">
        <v>2633</v>
      </c>
      <c r="G266" s="1">
        <v>49.25</v>
      </c>
      <c r="H266" s="2" t="s">
        <v>2635</v>
      </c>
      <c r="I266" t="s">
        <v>2641</v>
      </c>
      <c r="J266">
        <v>24</v>
      </c>
      <c r="K266">
        <v>0</v>
      </c>
      <c r="L266">
        <v>0</v>
      </c>
    </row>
    <row r="267" spans="1:12">
      <c r="A267" s="14" t="s">
        <v>531</v>
      </c>
      <c r="B267" t="s">
        <v>532</v>
      </c>
      <c r="C267" t="s">
        <v>13</v>
      </c>
      <c r="D267">
        <v>16.63</v>
      </c>
      <c r="E267" t="s">
        <v>2632</v>
      </c>
      <c r="F267" t="s">
        <v>2633</v>
      </c>
      <c r="G267" s="1">
        <v>36.96</v>
      </c>
      <c r="H267" s="2" t="s">
        <v>2635</v>
      </c>
      <c r="I267" t="s">
        <v>2641</v>
      </c>
      <c r="J267">
        <v>24</v>
      </c>
      <c r="K267">
        <v>0</v>
      </c>
      <c r="L267">
        <v>0</v>
      </c>
    </row>
    <row r="268" spans="1:12">
      <c r="A268" s="14" t="s">
        <v>533</v>
      </c>
      <c r="B268" t="s">
        <v>534</v>
      </c>
      <c r="C268" t="s">
        <v>13</v>
      </c>
      <c r="D268">
        <v>13.8</v>
      </c>
      <c r="E268" t="s">
        <v>2632</v>
      </c>
      <c r="F268" t="s">
        <v>2633</v>
      </c>
      <c r="G268" s="1">
        <v>30.68</v>
      </c>
      <c r="H268" s="2" t="s">
        <v>2635</v>
      </c>
      <c r="I268" t="s">
        <v>2641</v>
      </c>
      <c r="J268">
        <v>24</v>
      </c>
      <c r="K268">
        <v>0</v>
      </c>
      <c r="L268">
        <v>0</v>
      </c>
    </row>
    <row r="269" spans="1:12">
      <c r="A269" s="14" t="s">
        <v>535</v>
      </c>
      <c r="B269" t="s">
        <v>536</v>
      </c>
      <c r="C269" t="s">
        <v>13</v>
      </c>
      <c r="D269">
        <v>12.9</v>
      </c>
      <c r="E269" t="s">
        <v>2632</v>
      </c>
      <c r="F269" t="s">
        <v>2633</v>
      </c>
      <c r="G269" s="1">
        <v>28.67</v>
      </c>
      <c r="H269" s="1"/>
      <c r="I269" t="s">
        <v>2634</v>
      </c>
      <c r="J269">
        <v>10</v>
      </c>
      <c r="K269">
        <v>0</v>
      </c>
      <c r="L269">
        <v>0</v>
      </c>
    </row>
    <row r="270" spans="1:12">
      <c r="A270" s="14" t="s">
        <v>537</v>
      </c>
      <c r="B270" t="s">
        <v>538</v>
      </c>
      <c r="C270" t="s">
        <v>13</v>
      </c>
      <c r="D270">
        <v>11.37</v>
      </c>
      <c r="E270" t="s">
        <v>2632</v>
      </c>
      <c r="F270" t="s">
        <v>2633</v>
      </c>
      <c r="G270" s="1">
        <v>25.24</v>
      </c>
      <c r="H270" s="2" t="s">
        <v>2635</v>
      </c>
      <c r="I270" t="s">
        <v>2636</v>
      </c>
      <c r="J270">
        <v>10</v>
      </c>
      <c r="K270">
        <v>0</v>
      </c>
      <c r="L270">
        <v>0</v>
      </c>
    </row>
    <row r="271" spans="1:12">
      <c r="A271" s="14" t="s">
        <v>539</v>
      </c>
      <c r="B271" t="s">
        <v>540</v>
      </c>
      <c r="C271" t="s">
        <v>13</v>
      </c>
      <c r="D271">
        <v>14.03</v>
      </c>
      <c r="E271" t="s">
        <v>2632</v>
      </c>
      <c r="F271" t="s">
        <v>2633</v>
      </c>
      <c r="G271" s="1">
        <v>31.21</v>
      </c>
      <c r="H271" s="1"/>
      <c r="I271" t="s">
        <v>2634</v>
      </c>
      <c r="J271">
        <v>10</v>
      </c>
      <c r="K271">
        <v>0</v>
      </c>
      <c r="L271">
        <v>0</v>
      </c>
    </row>
    <row r="272" spans="1:12">
      <c r="A272" s="14" t="s">
        <v>541</v>
      </c>
      <c r="B272" t="s">
        <v>542</v>
      </c>
      <c r="C272" t="s">
        <v>13</v>
      </c>
      <c r="D272">
        <v>46.41</v>
      </c>
      <c r="E272" t="s">
        <v>2632</v>
      </c>
      <c r="F272" t="s">
        <v>2633</v>
      </c>
      <c r="G272" s="1">
        <v>103.13</v>
      </c>
      <c r="H272" s="1"/>
      <c r="I272" t="s">
        <v>2634</v>
      </c>
      <c r="J272">
        <v>10</v>
      </c>
      <c r="K272">
        <v>0</v>
      </c>
      <c r="L272">
        <v>0</v>
      </c>
    </row>
    <row r="273" spans="1:12">
      <c r="A273" s="14" t="s">
        <v>543</v>
      </c>
      <c r="B273" t="s">
        <v>544</v>
      </c>
      <c r="C273" t="s">
        <v>13</v>
      </c>
      <c r="D273">
        <v>40.44</v>
      </c>
      <c r="E273" t="s">
        <v>2632</v>
      </c>
      <c r="F273" t="s">
        <v>2633</v>
      </c>
      <c r="G273" s="1">
        <v>89.89</v>
      </c>
      <c r="H273" s="2" t="s">
        <v>2635</v>
      </c>
      <c r="I273" t="s">
        <v>2642</v>
      </c>
      <c r="J273">
        <v>12</v>
      </c>
      <c r="K273">
        <v>0</v>
      </c>
      <c r="L273">
        <v>0</v>
      </c>
    </row>
    <row r="274" spans="1:12">
      <c r="A274" s="14" t="s">
        <v>545</v>
      </c>
      <c r="B274" t="s">
        <v>546</v>
      </c>
      <c r="C274" t="s">
        <v>13</v>
      </c>
      <c r="D274">
        <v>55.2</v>
      </c>
      <c r="E274" t="s">
        <v>2632</v>
      </c>
      <c r="F274" t="s">
        <v>2633</v>
      </c>
      <c r="G274" s="1">
        <v>122.66</v>
      </c>
      <c r="H274" s="1"/>
      <c r="I274" t="s">
        <v>2634</v>
      </c>
      <c r="J274">
        <v>10</v>
      </c>
      <c r="K274">
        <v>0</v>
      </c>
      <c r="L274">
        <v>0</v>
      </c>
    </row>
    <row r="275" spans="1:12">
      <c r="A275" s="14" t="s">
        <v>547</v>
      </c>
      <c r="B275" t="s">
        <v>548</v>
      </c>
      <c r="C275" t="s">
        <v>13</v>
      </c>
      <c r="D275">
        <v>46.92</v>
      </c>
      <c r="E275" t="s">
        <v>2632</v>
      </c>
      <c r="F275" t="s">
        <v>2633</v>
      </c>
      <c r="G275" s="1">
        <v>104.28</v>
      </c>
      <c r="H275" s="2" t="s">
        <v>2635</v>
      </c>
      <c r="I275" t="s">
        <v>2642</v>
      </c>
      <c r="J275">
        <v>12</v>
      </c>
      <c r="K275">
        <v>0</v>
      </c>
      <c r="L275">
        <v>0</v>
      </c>
    </row>
    <row r="276" spans="1:12">
      <c r="A276" s="14" t="s">
        <v>549</v>
      </c>
      <c r="B276" t="s">
        <v>550</v>
      </c>
      <c r="C276" t="s">
        <v>13</v>
      </c>
      <c r="D276">
        <v>33.61</v>
      </c>
      <c r="E276" t="s">
        <v>2632</v>
      </c>
      <c r="F276" t="s">
        <v>2633</v>
      </c>
      <c r="G276" s="1">
        <v>74.68</v>
      </c>
      <c r="H276" s="2" t="s">
        <v>2635</v>
      </c>
      <c r="I276" t="s">
        <v>2642</v>
      </c>
      <c r="J276">
        <v>12</v>
      </c>
      <c r="K276">
        <v>0</v>
      </c>
      <c r="L276">
        <v>0</v>
      </c>
    </row>
    <row r="277" spans="1:12">
      <c r="A277" s="14" t="s">
        <v>551</v>
      </c>
      <c r="B277" t="s">
        <v>552</v>
      </c>
      <c r="C277" t="s">
        <v>13</v>
      </c>
      <c r="D277">
        <v>34.25</v>
      </c>
      <c r="E277" t="s">
        <v>2632</v>
      </c>
      <c r="F277" t="s">
        <v>2633</v>
      </c>
      <c r="G277" s="1">
        <v>76.1</v>
      </c>
      <c r="H277" s="1"/>
      <c r="I277" t="s">
        <v>2634</v>
      </c>
      <c r="J277">
        <v>10</v>
      </c>
      <c r="K277">
        <v>0</v>
      </c>
      <c r="L277">
        <v>0</v>
      </c>
    </row>
    <row r="278" spans="1:12">
      <c r="A278" s="14" t="s">
        <v>553</v>
      </c>
      <c r="B278" t="s">
        <v>554</v>
      </c>
      <c r="C278" t="s">
        <v>13</v>
      </c>
      <c r="D278">
        <v>32.12</v>
      </c>
      <c r="E278" t="s">
        <v>2632</v>
      </c>
      <c r="F278" t="s">
        <v>2633</v>
      </c>
      <c r="G278" s="1">
        <v>71.36</v>
      </c>
      <c r="H278" s="2" t="s">
        <v>2635</v>
      </c>
      <c r="I278" t="s">
        <v>2642</v>
      </c>
      <c r="J278">
        <v>12</v>
      </c>
      <c r="K278">
        <v>0</v>
      </c>
      <c r="L278">
        <v>0</v>
      </c>
    </row>
    <row r="279" spans="1:12">
      <c r="A279" s="14" t="s">
        <v>555</v>
      </c>
      <c r="B279" t="s">
        <v>556</v>
      </c>
      <c r="C279" t="s">
        <v>13</v>
      </c>
      <c r="D279">
        <v>70.45</v>
      </c>
      <c r="E279" t="s">
        <v>2632</v>
      </c>
      <c r="F279" t="s">
        <v>2633</v>
      </c>
      <c r="G279" s="1">
        <v>156.53</v>
      </c>
      <c r="H279" s="1"/>
      <c r="I279" t="s">
        <v>2634</v>
      </c>
      <c r="J279">
        <v>4</v>
      </c>
      <c r="K279">
        <v>0</v>
      </c>
      <c r="L279">
        <v>0</v>
      </c>
    </row>
    <row r="280" spans="1:12">
      <c r="A280" s="14" t="s">
        <v>557</v>
      </c>
      <c r="B280" t="s">
        <v>558</v>
      </c>
      <c r="C280" t="s">
        <v>13</v>
      </c>
      <c r="D280">
        <v>66.4</v>
      </c>
      <c r="E280" t="s">
        <v>2632</v>
      </c>
      <c r="F280" t="s">
        <v>2633</v>
      </c>
      <c r="G280" s="1">
        <v>147.55</v>
      </c>
      <c r="H280" s="2" t="s">
        <v>2635</v>
      </c>
      <c r="I280" t="s">
        <v>2642</v>
      </c>
      <c r="J280">
        <v>12</v>
      </c>
      <c r="K280">
        <v>0</v>
      </c>
      <c r="L280">
        <v>0</v>
      </c>
    </row>
    <row r="281" spans="1:12">
      <c r="A281" s="14" t="s">
        <v>559</v>
      </c>
      <c r="B281" t="s">
        <v>560</v>
      </c>
      <c r="C281" t="s">
        <v>13</v>
      </c>
      <c r="D281">
        <v>70.45</v>
      </c>
      <c r="E281" t="s">
        <v>2632</v>
      </c>
      <c r="F281" t="s">
        <v>2633</v>
      </c>
      <c r="G281" s="1">
        <v>156.53</v>
      </c>
      <c r="H281" s="1"/>
      <c r="I281" t="s">
        <v>2634</v>
      </c>
      <c r="J281">
        <v>4</v>
      </c>
      <c r="K281">
        <v>0</v>
      </c>
      <c r="L281">
        <v>0</v>
      </c>
    </row>
    <row r="282" spans="1:12">
      <c r="A282" s="14" t="s">
        <v>561</v>
      </c>
      <c r="B282" t="s">
        <v>562</v>
      </c>
      <c r="C282" t="s">
        <v>13</v>
      </c>
      <c r="D282">
        <v>66.4</v>
      </c>
      <c r="E282" t="s">
        <v>2632</v>
      </c>
      <c r="F282" t="s">
        <v>2633</v>
      </c>
      <c r="G282" s="1">
        <v>147.55</v>
      </c>
      <c r="H282" s="2" t="s">
        <v>2635</v>
      </c>
      <c r="I282" t="s">
        <v>2642</v>
      </c>
      <c r="J282">
        <v>12</v>
      </c>
      <c r="K282">
        <v>0</v>
      </c>
      <c r="L282">
        <v>0</v>
      </c>
    </row>
    <row r="283" spans="1:12">
      <c r="A283" s="14" t="s">
        <v>563</v>
      </c>
      <c r="B283" t="s">
        <v>564</v>
      </c>
      <c r="C283" t="s">
        <v>13</v>
      </c>
      <c r="D283">
        <v>70.44</v>
      </c>
      <c r="E283" t="s">
        <v>2632</v>
      </c>
      <c r="F283" t="s">
        <v>2633</v>
      </c>
      <c r="G283" s="1">
        <v>156.51</v>
      </c>
      <c r="H283" s="1"/>
      <c r="I283" t="s">
        <v>2634</v>
      </c>
      <c r="J283">
        <v>4</v>
      </c>
      <c r="K283">
        <v>0</v>
      </c>
      <c r="L283">
        <v>0</v>
      </c>
    </row>
    <row r="284" spans="1:12">
      <c r="A284" s="14" t="s">
        <v>565</v>
      </c>
      <c r="B284" t="s">
        <v>566</v>
      </c>
      <c r="C284" t="s">
        <v>13</v>
      </c>
      <c r="D284">
        <v>66.39</v>
      </c>
      <c r="E284" t="s">
        <v>2632</v>
      </c>
      <c r="F284" t="s">
        <v>2633</v>
      </c>
      <c r="G284" s="1">
        <v>147.53</v>
      </c>
      <c r="H284" s="2" t="s">
        <v>2635</v>
      </c>
      <c r="I284" t="s">
        <v>2642</v>
      </c>
      <c r="J284">
        <v>12</v>
      </c>
      <c r="K284">
        <v>0</v>
      </c>
      <c r="L284">
        <v>0</v>
      </c>
    </row>
    <row r="285" spans="1:12">
      <c r="A285" s="14" t="s">
        <v>567</v>
      </c>
      <c r="B285" t="s">
        <v>568</v>
      </c>
      <c r="C285" t="s">
        <v>13</v>
      </c>
      <c r="D285">
        <v>70.45</v>
      </c>
      <c r="E285" t="s">
        <v>2632</v>
      </c>
      <c r="F285" t="s">
        <v>2633</v>
      </c>
      <c r="G285" s="1">
        <v>156.53</v>
      </c>
      <c r="H285" s="1"/>
      <c r="I285" t="s">
        <v>2634</v>
      </c>
      <c r="J285">
        <v>4</v>
      </c>
      <c r="K285">
        <v>0</v>
      </c>
      <c r="L285">
        <v>0</v>
      </c>
    </row>
    <row r="286" spans="1:12">
      <c r="A286" s="14" t="s">
        <v>569</v>
      </c>
      <c r="B286" t="s">
        <v>570</v>
      </c>
      <c r="C286" t="s">
        <v>13</v>
      </c>
      <c r="D286">
        <v>61.91</v>
      </c>
      <c r="E286" t="s">
        <v>2632</v>
      </c>
      <c r="F286" t="s">
        <v>2633</v>
      </c>
      <c r="G286" s="1">
        <v>137.58</v>
      </c>
      <c r="H286" s="2" t="s">
        <v>2635</v>
      </c>
      <c r="I286" t="s">
        <v>2642</v>
      </c>
      <c r="J286">
        <v>12</v>
      </c>
      <c r="K286">
        <v>0</v>
      </c>
      <c r="L286">
        <v>0</v>
      </c>
    </row>
    <row r="287" spans="1:12">
      <c r="A287" s="14" t="s">
        <v>571</v>
      </c>
      <c r="B287" t="s">
        <v>572</v>
      </c>
      <c r="C287" t="s">
        <v>13</v>
      </c>
      <c r="D287">
        <v>70.45</v>
      </c>
      <c r="E287" t="s">
        <v>2632</v>
      </c>
      <c r="F287" t="s">
        <v>2633</v>
      </c>
      <c r="G287" s="1">
        <v>156.53</v>
      </c>
      <c r="H287" s="1"/>
      <c r="I287" t="s">
        <v>2634</v>
      </c>
      <c r="J287">
        <v>4</v>
      </c>
      <c r="K287">
        <v>0</v>
      </c>
      <c r="L287">
        <v>0</v>
      </c>
    </row>
    <row r="288" spans="1:12">
      <c r="A288" s="14" t="s">
        <v>573</v>
      </c>
      <c r="B288" t="s">
        <v>574</v>
      </c>
      <c r="C288" t="s">
        <v>13</v>
      </c>
      <c r="D288">
        <v>66.4</v>
      </c>
      <c r="E288" t="s">
        <v>2632</v>
      </c>
      <c r="F288" t="s">
        <v>2633</v>
      </c>
      <c r="G288" s="1">
        <v>147.55</v>
      </c>
      <c r="H288" s="2" t="s">
        <v>2635</v>
      </c>
      <c r="I288" t="s">
        <v>2642</v>
      </c>
      <c r="J288">
        <v>12</v>
      </c>
      <c r="K288">
        <v>0</v>
      </c>
      <c r="L288">
        <v>0</v>
      </c>
    </row>
    <row r="289" spans="1:12">
      <c r="A289" s="14" t="s">
        <v>575</v>
      </c>
      <c r="B289" t="s">
        <v>576</v>
      </c>
      <c r="C289" t="s">
        <v>13</v>
      </c>
      <c r="D289">
        <v>37.13</v>
      </c>
      <c r="E289" t="s">
        <v>2632</v>
      </c>
      <c r="F289" t="s">
        <v>2633</v>
      </c>
      <c r="G289" s="1">
        <v>82.52</v>
      </c>
      <c r="H289" s="1"/>
      <c r="I289" t="s">
        <v>2634</v>
      </c>
      <c r="J289">
        <v>20</v>
      </c>
      <c r="K289">
        <v>0</v>
      </c>
      <c r="L289">
        <v>0</v>
      </c>
    </row>
    <row r="290" spans="1:12">
      <c r="A290" s="14" t="s">
        <v>577</v>
      </c>
      <c r="B290" t="s">
        <v>578</v>
      </c>
      <c r="C290" t="s">
        <v>13</v>
      </c>
      <c r="D290">
        <v>30.84</v>
      </c>
      <c r="E290" t="s">
        <v>2632</v>
      </c>
      <c r="F290" t="s">
        <v>2633</v>
      </c>
      <c r="G290" s="1">
        <v>68.54</v>
      </c>
      <c r="H290" s="2" t="s">
        <v>2635</v>
      </c>
      <c r="I290" t="s">
        <v>2637</v>
      </c>
      <c r="J290">
        <v>6</v>
      </c>
      <c r="K290">
        <v>0</v>
      </c>
      <c r="L290">
        <v>0</v>
      </c>
    </row>
    <row r="291" spans="1:12">
      <c r="A291" s="14" t="s">
        <v>579</v>
      </c>
      <c r="B291" t="s">
        <v>580</v>
      </c>
      <c r="C291" t="s">
        <v>13</v>
      </c>
      <c r="D291">
        <v>73.05</v>
      </c>
      <c r="E291" t="s">
        <v>2632</v>
      </c>
      <c r="F291" t="s">
        <v>2633</v>
      </c>
      <c r="G291" s="1">
        <v>162.34</v>
      </c>
      <c r="H291" s="1"/>
      <c r="I291" t="s">
        <v>2634</v>
      </c>
      <c r="J291">
        <v>4</v>
      </c>
      <c r="K291">
        <v>0</v>
      </c>
      <c r="L291">
        <v>0</v>
      </c>
    </row>
    <row r="292" spans="1:12">
      <c r="A292" s="14" t="s">
        <v>581</v>
      </c>
      <c r="B292" t="s">
        <v>582</v>
      </c>
      <c r="C292" t="s">
        <v>13</v>
      </c>
      <c r="D292">
        <v>64.27</v>
      </c>
      <c r="E292" t="s">
        <v>2632</v>
      </c>
      <c r="F292" t="s">
        <v>2633</v>
      </c>
      <c r="G292" s="1">
        <v>142.83</v>
      </c>
      <c r="H292" s="2" t="s">
        <v>2635</v>
      </c>
      <c r="I292" t="s">
        <v>2642</v>
      </c>
      <c r="J292">
        <v>12</v>
      </c>
      <c r="K292">
        <v>0</v>
      </c>
      <c r="L292">
        <v>0</v>
      </c>
    </row>
    <row r="293" spans="1:12">
      <c r="A293" s="14" t="s">
        <v>583</v>
      </c>
      <c r="B293" t="s">
        <v>584</v>
      </c>
      <c r="C293" t="s">
        <v>13</v>
      </c>
      <c r="D293">
        <v>96.05</v>
      </c>
      <c r="E293" t="s">
        <v>2632</v>
      </c>
      <c r="F293" t="s">
        <v>2633</v>
      </c>
      <c r="G293" s="1">
        <v>213.44</v>
      </c>
      <c r="H293" s="1"/>
      <c r="I293" t="s">
        <v>2634</v>
      </c>
      <c r="J293">
        <v>4</v>
      </c>
      <c r="K293">
        <v>0</v>
      </c>
      <c r="L293">
        <v>0</v>
      </c>
    </row>
    <row r="294" spans="1:12">
      <c r="A294" s="14" t="s">
        <v>585</v>
      </c>
      <c r="B294" t="s">
        <v>586</v>
      </c>
      <c r="C294" t="s">
        <v>13</v>
      </c>
      <c r="D294">
        <v>9.11</v>
      </c>
      <c r="E294" t="s">
        <v>2632</v>
      </c>
      <c r="F294" t="s">
        <v>2633</v>
      </c>
      <c r="G294" s="1">
        <v>20.25</v>
      </c>
      <c r="H294" s="1"/>
      <c r="I294" t="s">
        <v>2634</v>
      </c>
      <c r="J294">
        <v>12</v>
      </c>
      <c r="K294">
        <v>0</v>
      </c>
      <c r="L294">
        <v>0</v>
      </c>
    </row>
    <row r="295" spans="1:12">
      <c r="A295" s="14" t="s">
        <v>587</v>
      </c>
      <c r="B295" t="s">
        <v>588</v>
      </c>
      <c r="C295" t="s">
        <v>13</v>
      </c>
      <c r="D295">
        <v>12.46</v>
      </c>
      <c r="E295" t="s">
        <v>2632</v>
      </c>
      <c r="F295" t="s">
        <v>2633</v>
      </c>
      <c r="G295" s="1">
        <v>23.74</v>
      </c>
      <c r="H295" s="1"/>
      <c r="I295" t="s">
        <v>2634</v>
      </c>
      <c r="J295">
        <v>12</v>
      </c>
      <c r="K295">
        <v>0</v>
      </c>
      <c r="L295">
        <v>0</v>
      </c>
    </row>
    <row r="296" spans="1:12">
      <c r="A296" s="14" t="s">
        <v>589</v>
      </c>
      <c r="B296" t="s">
        <v>590</v>
      </c>
      <c r="C296" t="s">
        <v>13</v>
      </c>
      <c r="D296">
        <v>3.08</v>
      </c>
      <c r="E296" t="s">
        <v>2632</v>
      </c>
      <c r="F296" t="s">
        <v>2633</v>
      </c>
      <c r="G296" s="1">
        <v>5.88</v>
      </c>
      <c r="H296" s="1"/>
      <c r="I296" t="s">
        <v>2634</v>
      </c>
      <c r="J296">
        <v>10</v>
      </c>
      <c r="K296">
        <v>0</v>
      </c>
      <c r="L296">
        <v>0</v>
      </c>
    </row>
    <row r="297" spans="1:12">
      <c r="A297" s="14" t="s">
        <v>591</v>
      </c>
      <c r="B297" t="s">
        <v>592</v>
      </c>
      <c r="C297" t="s">
        <v>13</v>
      </c>
      <c r="D297">
        <v>5.03</v>
      </c>
      <c r="E297" t="s">
        <v>2632</v>
      </c>
      <c r="F297" t="s">
        <v>2633</v>
      </c>
      <c r="G297" s="1">
        <v>11.19</v>
      </c>
      <c r="H297" s="1"/>
      <c r="I297" t="s">
        <v>2634</v>
      </c>
      <c r="J297">
        <v>10</v>
      </c>
      <c r="K297">
        <v>0</v>
      </c>
      <c r="L297">
        <v>0</v>
      </c>
    </row>
    <row r="298" spans="1:12">
      <c r="A298" s="14" t="s">
        <v>593</v>
      </c>
      <c r="B298" t="s">
        <v>594</v>
      </c>
      <c r="C298" t="s">
        <v>13</v>
      </c>
      <c r="D298">
        <v>7.44</v>
      </c>
      <c r="E298" t="s">
        <v>2632</v>
      </c>
      <c r="F298" t="s">
        <v>2633</v>
      </c>
      <c r="G298" s="1">
        <v>14.18</v>
      </c>
      <c r="H298" s="1"/>
      <c r="I298" t="s">
        <v>2634</v>
      </c>
      <c r="J298">
        <v>12</v>
      </c>
      <c r="K298">
        <v>0</v>
      </c>
      <c r="L298">
        <v>0</v>
      </c>
    </row>
    <row r="299" spans="1:12">
      <c r="A299" s="14" t="s">
        <v>595</v>
      </c>
      <c r="B299" t="s">
        <v>596</v>
      </c>
      <c r="C299" t="s">
        <v>13</v>
      </c>
      <c r="D299">
        <v>5.26</v>
      </c>
      <c r="E299" t="s">
        <v>2632</v>
      </c>
      <c r="F299" t="s">
        <v>2633</v>
      </c>
      <c r="G299" s="1">
        <v>11.7</v>
      </c>
      <c r="H299" s="1"/>
      <c r="I299" t="s">
        <v>2634</v>
      </c>
      <c r="J299" t="s">
        <v>2634</v>
      </c>
      <c r="K299">
        <v>0</v>
      </c>
      <c r="L299">
        <v>0</v>
      </c>
    </row>
    <row r="300" spans="1:12">
      <c r="A300" s="14" t="s">
        <v>597</v>
      </c>
      <c r="B300" t="s">
        <v>598</v>
      </c>
      <c r="C300" t="s">
        <v>13</v>
      </c>
      <c r="D300">
        <v>4.77</v>
      </c>
      <c r="E300" t="s">
        <v>2632</v>
      </c>
      <c r="F300" t="s">
        <v>2633</v>
      </c>
      <c r="G300" s="1">
        <v>10.59</v>
      </c>
      <c r="H300" s="1"/>
      <c r="I300" t="s">
        <v>2634</v>
      </c>
      <c r="J300">
        <v>10</v>
      </c>
      <c r="K300">
        <v>0</v>
      </c>
      <c r="L300">
        <v>0</v>
      </c>
    </row>
    <row r="301" spans="1:12">
      <c r="A301" s="14" t="s">
        <v>599</v>
      </c>
      <c r="B301" t="s">
        <v>600</v>
      </c>
      <c r="C301" t="s">
        <v>13</v>
      </c>
      <c r="D301">
        <v>5</v>
      </c>
      <c r="E301" t="s">
        <v>2632</v>
      </c>
      <c r="F301" t="s">
        <v>2633</v>
      </c>
      <c r="G301" s="1">
        <v>11.09</v>
      </c>
      <c r="H301" s="1"/>
      <c r="I301" t="s">
        <v>2634</v>
      </c>
      <c r="J301">
        <v>12</v>
      </c>
      <c r="K301">
        <v>0</v>
      </c>
      <c r="L301">
        <v>0</v>
      </c>
    </row>
    <row r="302" spans="1:12">
      <c r="A302" s="14" t="s">
        <v>601</v>
      </c>
      <c r="B302" t="s">
        <v>602</v>
      </c>
      <c r="C302" t="s">
        <v>13</v>
      </c>
      <c r="D302">
        <v>10.39</v>
      </c>
      <c r="E302" t="s">
        <v>2632</v>
      </c>
      <c r="F302" t="s">
        <v>2633</v>
      </c>
      <c r="G302" s="1">
        <v>23.11</v>
      </c>
      <c r="H302" s="1"/>
      <c r="I302" t="s">
        <v>2634</v>
      </c>
      <c r="J302" t="s">
        <v>2634</v>
      </c>
      <c r="K302">
        <v>0</v>
      </c>
      <c r="L302">
        <v>0</v>
      </c>
    </row>
    <row r="303" spans="1:12">
      <c r="A303" s="14" t="s">
        <v>603</v>
      </c>
      <c r="B303" t="s">
        <v>604</v>
      </c>
      <c r="C303" t="s">
        <v>13</v>
      </c>
      <c r="D303">
        <v>27.58</v>
      </c>
      <c r="E303" t="s">
        <v>2632</v>
      </c>
      <c r="F303" t="s">
        <v>2633</v>
      </c>
      <c r="G303" s="1">
        <v>61.34</v>
      </c>
      <c r="H303" s="1"/>
      <c r="I303" t="s">
        <v>2634</v>
      </c>
      <c r="J303" t="s">
        <v>2634</v>
      </c>
      <c r="K303">
        <v>0</v>
      </c>
      <c r="L303">
        <v>0</v>
      </c>
    </row>
    <row r="304" spans="1:12">
      <c r="A304" s="14" t="s">
        <v>605</v>
      </c>
      <c r="B304" t="s">
        <v>606</v>
      </c>
      <c r="C304" t="s">
        <v>13</v>
      </c>
      <c r="D304">
        <v>28.48</v>
      </c>
      <c r="E304" t="s">
        <v>2632</v>
      </c>
      <c r="F304" t="s">
        <v>2633</v>
      </c>
      <c r="G304" s="1">
        <v>63.23</v>
      </c>
      <c r="H304" s="1"/>
      <c r="I304" t="s">
        <v>2634</v>
      </c>
      <c r="J304" t="s">
        <v>2634</v>
      </c>
      <c r="K304">
        <v>0</v>
      </c>
      <c r="L304">
        <v>0</v>
      </c>
    </row>
    <row r="305" spans="1:12">
      <c r="A305" s="14" t="s">
        <v>607</v>
      </c>
      <c r="B305" t="s">
        <v>608</v>
      </c>
      <c r="C305" t="s">
        <v>13</v>
      </c>
      <c r="D305">
        <v>32.28</v>
      </c>
      <c r="E305" t="s">
        <v>2632</v>
      </c>
      <c r="F305" t="s">
        <v>2633</v>
      </c>
      <c r="G305" s="1">
        <v>71.75</v>
      </c>
      <c r="H305" s="1"/>
      <c r="I305" t="s">
        <v>2634</v>
      </c>
      <c r="J305" t="s">
        <v>2634</v>
      </c>
      <c r="K305">
        <v>0</v>
      </c>
      <c r="L305">
        <v>0</v>
      </c>
    </row>
    <row r="306" spans="1:12">
      <c r="A306" s="14" t="s">
        <v>609</v>
      </c>
      <c r="B306" t="s">
        <v>610</v>
      </c>
      <c r="C306" t="s">
        <v>13</v>
      </c>
      <c r="D306">
        <v>55.3</v>
      </c>
      <c r="E306" t="s">
        <v>2632</v>
      </c>
      <c r="F306" t="s">
        <v>2633</v>
      </c>
      <c r="G306" s="1">
        <v>122.89</v>
      </c>
      <c r="H306" s="1"/>
      <c r="I306" t="s">
        <v>2634</v>
      </c>
      <c r="J306">
        <v>20</v>
      </c>
      <c r="K306">
        <v>0</v>
      </c>
      <c r="L306">
        <v>0</v>
      </c>
    </row>
    <row r="307" spans="1:12">
      <c r="A307" s="14" t="s">
        <v>611</v>
      </c>
      <c r="B307" t="s">
        <v>612</v>
      </c>
      <c r="C307" t="s">
        <v>13</v>
      </c>
      <c r="D307">
        <v>60.48</v>
      </c>
      <c r="E307" t="s">
        <v>2632</v>
      </c>
      <c r="F307" t="s">
        <v>2633</v>
      </c>
      <c r="G307" s="1">
        <v>134.42</v>
      </c>
      <c r="H307" s="2" t="s">
        <v>2635</v>
      </c>
      <c r="I307" t="s">
        <v>2641</v>
      </c>
      <c r="J307">
        <v>24</v>
      </c>
      <c r="K307">
        <v>0</v>
      </c>
      <c r="L307">
        <v>0</v>
      </c>
    </row>
    <row r="308" spans="1:12">
      <c r="A308" s="14" t="s">
        <v>613</v>
      </c>
      <c r="B308" t="s">
        <v>614</v>
      </c>
      <c r="C308" t="s">
        <v>13</v>
      </c>
      <c r="D308">
        <v>42.8</v>
      </c>
      <c r="E308" t="s">
        <v>2632</v>
      </c>
      <c r="F308" t="s">
        <v>2633</v>
      </c>
      <c r="G308" s="1">
        <v>95.14</v>
      </c>
      <c r="H308" s="1"/>
      <c r="I308" t="s">
        <v>2634</v>
      </c>
      <c r="J308">
        <v>5</v>
      </c>
      <c r="K308">
        <v>0</v>
      </c>
      <c r="L308">
        <v>0</v>
      </c>
    </row>
    <row r="309" spans="1:12">
      <c r="A309" s="14" t="s">
        <v>615</v>
      </c>
      <c r="B309" t="s">
        <v>616</v>
      </c>
      <c r="C309" t="s">
        <v>13</v>
      </c>
      <c r="D309">
        <v>14.67</v>
      </c>
      <c r="E309" t="s">
        <v>2632</v>
      </c>
      <c r="F309" t="s">
        <v>2633</v>
      </c>
      <c r="G309" s="1">
        <v>27.95</v>
      </c>
      <c r="H309" s="1"/>
      <c r="I309" t="s">
        <v>2634</v>
      </c>
      <c r="J309">
        <v>35</v>
      </c>
      <c r="K309">
        <v>0</v>
      </c>
      <c r="L309">
        <v>0</v>
      </c>
    </row>
    <row r="310" spans="1:12">
      <c r="A310" s="14" t="s">
        <v>617</v>
      </c>
      <c r="B310" t="s">
        <v>618</v>
      </c>
      <c r="C310" t="s">
        <v>13</v>
      </c>
      <c r="D310">
        <v>2.13</v>
      </c>
      <c r="E310" t="s">
        <v>2632</v>
      </c>
      <c r="F310" t="s">
        <v>2633</v>
      </c>
      <c r="G310" s="1">
        <v>4.03</v>
      </c>
      <c r="H310" s="1"/>
      <c r="I310" t="s">
        <v>2634</v>
      </c>
      <c r="J310">
        <v>10</v>
      </c>
      <c r="K310">
        <v>0</v>
      </c>
      <c r="L310">
        <v>0</v>
      </c>
    </row>
    <row r="311" spans="1:12">
      <c r="A311" s="14" t="s">
        <v>619</v>
      </c>
      <c r="B311" t="s">
        <v>620</v>
      </c>
      <c r="C311" t="s">
        <v>13</v>
      </c>
      <c r="D311">
        <v>1.78</v>
      </c>
      <c r="E311" t="s">
        <v>2632</v>
      </c>
      <c r="F311" t="s">
        <v>2633</v>
      </c>
      <c r="G311" s="1">
        <v>3.39</v>
      </c>
      <c r="H311" s="1"/>
      <c r="I311" t="s">
        <v>2634</v>
      </c>
      <c r="J311">
        <v>20</v>
      </c>
      <c r="K311">
        <v>0</v>
      </c>
      <c r="L311">
        <v>0</v>
      </c>
    </row>
    <row r="312" spans="1:12">
      <c r="A312" s="14" t="s">
        <v>621</v>
      </c>
      <c r="B312" t="s">
        <v>622</v>
      </c>
      <c r="C312" t="s">
        <v>13</v>
      </c>
      <c r="D312">
        <v>5.46</v>
      </c>
      <c r="E312" t="s">
        <v>2632</v>
      </c>
      <c r="F312" t="s">
        <v>2633</v>
      </c>
      <c r="G312" s="1">
        <v>10.4</v>
      </c>
      <c r="H312" s="1"/>
      <c r="I312" t="s">
        <v>2634</v>
      </c>
      <c r="J312" t="s">
        <v>2634</v>
      </c>
      <c r="K312">
        <v>0</v>
      </c>
      <c r="L312">
        <v>0</v>
      </c>
    </row>
    <row r="313" spans="1:12">
      <c r="A313" s="14" t="s">
        <v>623</v>
      </c>
      <c r="B313" t="s">
        <v>624</v>
      </c>
      <c r="C313" t="s">
        <v>13</v>
      </c>
      <c r="D313">
        <v>1.16</v>
      </c>
      <c r="E313" t="s">
        <v>2632</v>
      </c>
      <c r="F313" t="s">
        <v>2633</v>
      </c>
      <c r="G313" s="1">
        <v>2.21</v>
      </c>
      <c r="H313" s="1"/>
      <c r="I313" t="s">
        <v>2634</v>
      </c>
      <c r="J313">
        <v>25</v>
      </c>
      <c r="K313">
        <v>0</v>
      </c>
      <c r="L313">
        <v>0</v>
      </c>
    </row>
    <row r="314" spans="1:12">
      <c r="A314" s="14" t="s">
        <v>625</v>
      </c>
      <c r="B314" t="s">
        <v>626</v>
      </c>
      <c r="C314" t="s">
        <v>13</v>
      </c>
      <c r="D314">
        <v>9.06</v>
      </c>
      <c r="E314" t="s">
        <v>2632</v>
      </c>
      <c r="F314" t="s">
        <v>2633</v>
      </c>
      <c r="G314" s="1">
        <v>17.28</v>
      </c>
      <c r="H314" s="1"/>
      <c r="I314" t="s">
        <v>2634</v>
      </c>
      <c r="J314" t="s">
        <v>2634</v>
      </c>
      <c r="K314">
        <v>0</v>
      </c>
      <c r="L314">
        <v>0</v>
      </c>
    </row>
    <row r="315" spans="1:12">
      <c r="A315" s="14" t="s">
        <v>627</v>
      </c>
      <c r="B315" t="s">
        <v>628</v>
      </c>
      <c r="C315" t="s">
        <v>13</v>
      </c>
      <c r="D315">
        <v>3.3</v>
      </c>
      <c r="E315" t="s">
        <v>2632</v>
      </c>
      <c r="F315" t="s">
        <v>2633</v>
      </c>
      <c r="G315" s="1">
        <v>6.29</v>
      </c>
      <c r="H315" s="1"/>
      <c r="I315" t="s">
        <v>2634</v>
      </c>
      <c r="J315" t="s">
        <v>2634</v>
      </c>
      <c r="K315">
        <v>0</v>
      </c>
      <c r="L315">
        <v>0</v>
      </c>
    </row>
    <row r="316" spans="1:12">
      <c r="A316" s="14" t="s">
        <v>629</v>
      </c>
      <c r="B316" t="s">
        <v>630</v>
      </c>
      <c r="C316" t="s">
        <v>13</v>
      </c>
      <c r="D316">
        <v>1.25</v>
      </c>
      <c r="E316" t="s">
        <v>2632</v>
      </c>
      <c r="F316" t="s">
        <v>2633</v>
      </c>
      <c r="G316" s="1">
        <v>2.39</v>
      </c>
      <c r="H316" s="1"/>
      <c r="I316" t="s">
        <v>2634</v>
      </c>
      <c r="J316">
        <v>25</v>
      </c>
      <c r="K316">
        <v>0</v>
      </c>
      <c r="L316">
        <v>0</v>
      </c>
    </row>
    <row r="317" spans="1:12">
      <c r="A317" s="14" t="s">
        <v>631</v>
      </c>
      <c r="B317" t="s">
        <v>632</v>
      </c>
      <c r="C317" t="s">
        <v>13</v>
      </c>
      <c r="D317">
        <v>1.17</v>
      </c>
      <c r="E317" t="s">
        <v>2632</v>
      </c>
      <c r="F317" t="s">
        <v>2633</v>
      </c>
      <c r="G317" s="1">
        <v>2.23</v>
      </c>
      <c r="H317" s="1"/>
      <c r="I317" t="s">
        <v>2634</v>
      </c>
      <c r="J317">
        <v>25</v>
      </c>
      <c r="K317">
        <v>0</v>
      </c>
      <c r="L317">
        <v>0</v>
      </c>
    </row>
    <row r="318" spans="1:12">
      <c r="A318" s="14" t="s">
        <v>633</v>
      </c>
      <c r="B318" t="s">
        <v>634</v>
      </c>
      <c r="C318" t="s">
        <v>13</v>
      </c>
      <c r="D318">
        <v>1.96</v>
      </c>
      <c r="E318" t="s">
        <v>2632</v>
      </c>
      <c r="F318" t="s">
        <v>2633</v>
      </c>
      <c r="G318" s="1">
        <v>3.73</v>
      </c>
      <c r="H318" s="1"/>
      <c r="I318" t="s">
        <v>2634</v>
      </c>
      <c r="J318">
        <v>25</v>
      </c>
      <c r="K318">
        <v>0</v>
      </c>
      <c r="L318">
        <v>0</v>
      </c>
    </row>
    <row r="319" spans="1:12">
      <c r="A319" s="14" t="s">
        <v>635</v>
      </c>
      <c r="B319" t="s">
        <v>636</v>
      </c>
      <c r="C319" t="s">
        <v>13</v>
      </c>
      <c r="D319">
        <v>99.37</v>
      </c>
      <c r="E319" t="s">
        <v>2632</v>
      </c>
      <c r="F319" t="s">
        <v>2633</v>
      </c>
      <c r="G319" s="1">
        <v>220.81</v>
      </c>
      <c r="H319" s="1"/>
      <c r="I319" t="s">
        <v>2634</v>
      </c>
      <c r="J319">
        <v>10</v>
      </c>
      <c r="K319">
        <v>0</v>
      </c>
      <c r="L319">
        <v>0</v>
      </c>
    </row>
    <row r="320" spans="1:12">
      <c r="A320" s="14" t="s">
        <v>637</v>
      </c>
      <c r="B320" t="s">
        <v>638</v>
      </c>
      <c r="C320" t="s">
        <v>13</v>
      </c>
      <c r="D320">
        <v>87.73</v>
      </c>
      <c r="E320" t="s">
        <v>2632</v>
      </c>
      <c r="F320" t="s">
        <v>2633</v>
      </c>
      <c r="G320" s="1">
        <v>194.95</v>
      </c>
      <c r="H320" s="2" t="s">
        <v>2635</v>
      </c>
      <c r="I320" t="s">
        <v>2642</v>
      </c>
      <c r="J320">
        <v>12</v>
      </c>
      <c r="K320">
        <v>0</v>
      </c>
      <c r="L320">
        <v>0</v>
      </c>
    </row>
    <row r="321" spans="1:12">
      <c r="A321" s="14" t="s">
        <v>639</v>
      </c>
      <c r="B321" t="s">
        <v>640</v>
      </c>
      <c r="C321" t="s">
        <v>13</v>
      </c>
      <c r="D321">
        <v>5.54</v>
      </c>
      <c r="E321" t="s">
        <v>2632</v>
      </c>
      <c r="F321" t="s">
        <v>2633</v>
      </c>
      <c r="G321" s="1">
        <v>10.53</v>
      </c>
      <c r="H321" s="1"/>
      <c r="I321" t="s">
        <v>2634</v>
      </c>
      <c r="J321">
        <v>10</v>
      </c>
      <c r="K321">
        <v>0</v>
      </c>
      <c r="L321">
        <v>0</v>
      </c>
    </row>
    <row r="322" spans="1:12">
      <c r="A322" s="14" t="s">
        <v>641</v>
      </c>
      <c r="B322" t="s">
        <v>642</v>
      </c>
      <c r="C322" t="s">
        <v>13</v>
      </c>
      <c r="D322">
        <v>64.03</v>
      </c>
      <c r="E322" t="s">
        <v>2632</v>
      </c>
      <c r="F322" t="s">
        <v>2633</v>
      </c>
      <c r="G322" s="1">
        <v>142.3</v>
      </c>
      <c r="H322" s="1"/>
      <c r="I322" t="s">
        <v>2634</v>
      </c>
      <c r="J322">
        <v>8</v>
      </c>
      <c r="K322">
        <v>0</v>
      </c>
      <c r="L322">
        <v>0</v>
      </c>
    </row>
    <row r="323" spans="1:12">
      <c r="A323" s="14" t="s">
        <v>643</v>
      </c>
      <c r="B323" t="s">
        <v>644</v>
      </c>
      <c r="C323" t="s">
        <v>13</v>
      </c>
      <c r="D323">
        <v>76.97</v>
      </c>
      <c r="E323" t="s">
        <v>2632</v>
      </c>
      <c r="F323" t="s">
        <v>2633</v>
      </c>
      <c r="G323" s="1">
        <v>171.01</v>
      </c>
      <c r="H323" s="1"/>
      <c r="I323" t="s">
        <v>2634</v>
      </c>
      <c r="J323">
        <v>8</v>
      </c>
      <c r="K323">
        <v>0</v>
      </c>
      <c r="L323">
        <v>0</v>
      </c>
    </row>
    <row r="324" spans="1:12">
      <c r="A324" s="14" t="s">
        <v>645</v>
      </c>
      <c r="B324" t="s">
        <v>646</v>
      </c>
      <c r="C324" t="s">
        <v>13</v>
      </c>
      <c r="D324">
        <v>65.94</v>
      </c>
      <c r="E324" t="s">
        <v>2632</v>
      </c>
      <c r="F324" t="s">
        <v>2633</v>
      </c>
      <c r="G324" s="1">
        <v>146.53</v>
      </c>
      <c r="H324" s="1"/>
      <c r="I324" t="s">
        <v>2634</v>
      </c>
      <c r="J324">
        <v>8</v>
      </c>
      <c r="K324">
        <v>0</v>
      </c>
      <c r="L324">
        <v>0</v>
      </c>
    </row>
    <row r="325" spans="1:12">
      <c r="A325" s="14" t="s">
        <v>647</v>
      </c>
      <c r="B325" t="s">
        <v>648</v>
      </c>
      <c r="C325" t="s">
        <v>13</v>
      </c>
      <c r="D325">
        <v>136.48</v>
      </c>
      <c r="E325" t="s">
        <v>2632</v>
      </c>
      <c r="F325" t="s">
        <v>2633</v>
      </c>
      <c r="G325" s="1">
        <v>303.32</v>
      </c>
      <c r="H325" s="1"/>
      <c r="I325" t="s">
        <v>2634</v>
      </c>
      <c r="J325">
        <v>6</v>
      </c>
      <c r="K325">
        <v>0</v>
      </c>
      <c r="L325">
        <v>0</v>
      </c>
    </row>
    <row r="326" spans="1:12">
      <c r="A326" s="14" t="s">
        <v>649</v>
      </c>
      <c r="B326" t="s">
        <v>650</v>
      </c>
      <c r="C326" t="s">
        <v>13</v>
      </c>
      <c r="D326">
        <v>142.7</v>
      </c>
      <c r="E326" t="s">
        <v>2632</v>
      </c>
      <c r="F326" t="s">
        <v>2633</v>
      </c>
      <c r="G326" s="1">
        <v>317.13</v>
      </c>
      <c r="H326" s="1"/>
      <c r="I326" t="s">
        <v>2634</v>
      </c>
      <c r="J326">
        <v>8</v>
      </c>
      <c r="K326">
        <v>0</v>
      </c>
      <c r="L326">
        <v>0</v>
      </c>
    </row>
    <row r="327" spans="1:12">
      <c r="A327" s="14" t="s">
        <v>651</v>
      </c>
      <c r="B327" t="s">
        <v>652</v>
      </c>
      <c r="C327" t="s">
        <v>13</v>
      </c>
      <c r="D327">
        <v>117.97</v>
      </c>
      <c r="E327" t="s">
        <v>2632</v>
      </c>
      <c r="F327" t="s">
        <v>2633</v>
      </c>
      <c r="G327" s="1">
        <v>262.16</v>
      </c>
      <c r="H327" s="2" t="s">
        <v>2635</v>
      </c>
      <c r="I327" t="s">
        <v>2637</v>
      </c>
      <c r="J327">
        <v>6</v>
      </c>
      <c r="K327">
        <v>0</v>
      </c>
      <c r="L327">
        <v>0</v>
      </c>
    </row>
    <row r="328" spans="1:12">
      <c r="A328" s="14" t="s">
        <v>653</v>
      </c>
      <c r="B328" t="s">
        <v>654</v>
      </c>
      <c r="C328" t="s">
        <v>13</v>
      </c>
      <c r="D328">
        <v>137.06</v>
      </c>
      <c r="E328" t="s">
        <v>2632</v>
      </c>
      <c r="F328" t="s">
        <v>2633</v>
      </c>
      <c r="G328" s="1">
        <v>304.58</v>
      </c>
      <c r="H328" s="1"/>
      <c r="I328" t="s">
        <v>2634</v>
      </c>
      <c r="J328">
        <v>6</v>
      </c>
      <c r="K328">
        <v>0</v>
      </c>
      <c r="L328">
        <v>0</v>
      </c>
    </row>
    <row r="329" spans="1:12">
      <c r="A329" s="14" t="s">
        <v>655</v>
      </c>
      <c r="B329" t="s">
        <v>656</v>
      </c>
      <c r="C329" t="s">
        <v>13</v>
      </c>
      <c r="D329">
        <v>234.49</v>
      </c>
      <c r="E329" t="s">
        <v>2632</v>
      </c>
      <c r="F329" t="s">
        <v>2633</v>
      </c>
      <c r="G329" s="1">
        <v>521.08</v>
      </c>
      <c r="H329" s="1"/>
      <c r="I329" t="s">
        <v>2634</v>
      </c>
      <c r="J329">
        <v>8</v>
      </c>
      <c r="K329">
        <v>0</v>
      </c>
      <c r="L329">
        <v>0</v>
      </c>
    </row>
    <row r="330" spans="1:12">
      <c r="A330" s="14" t="s">
        <v>657</v>
      </c>
      <c r="B330" t="s">
        <v>658</v>
      </c>
      <c r="C330" t="s">
        <v>13</v>
      </c>
      <c r="D330">
        <v>158.65</v>
      </c>
      <c r="E330" t="s">
        <v>2632</v>
      </c>
      <c r="F330" t="s">
        <v>2633</v>
      </c>
      <c r="G330" s="1">
        <v>352.58</v>
      </c>
      <c r="H330" s="1"/>
      <c r="I330" t="s">
        <v>2634</v>
      </c>
      <c r="J330">
        <v>4</v>
      </c>
      <c r="K330">
        <v>0</v>
      </c>
      <c r="L330">
        <v>0</v>
      </c>
    </row>
    <row r="331" spans="1:12">
      <c r="A331" s="14" t="s">
        <v>659</v>
      </c>
      <c r="B331" t="s">
        <v>660</v>
      </c>
      <c r="C331" t="s">
        <v>13</v>
      </c>
      <c r="D331">
        <v>353.93</v>
      </c>
      <c r="E331" t="s">
        <v>2632</v>
      </c>
      <c r="F331" t="s">
        <v>2633</v>
      </c>
      <c r="G331" s="1">
        <v>786.51</v>
      </c>
      <c r="H331" s="1"/>
      <c r="I331" t="s">
        <v>2634</v>
      </c>
      <c r="J331">
        <v>1</v>
      </c>
      <c r="K331">
        <v>0</v>
      </c>
      <c r="L331">
        <v>0</v>
      </c>
    </row>
    <row r="332" spans="1:12">
      <c r="A332" s="14" t="s">
        <v>661</v>
      </c>
      <c r="B332" t="s">
        <v>662</v>
      </c>
      <c r="C332" t="s">
        <v>13</v>
      </c>
      <c r="D332">
        <v>51.76</v>
      </c>
      <c r="E332" t="s">
        <v>2632</v>
      </c>
      <c r="F332" t="s">
        <v>2633</v>
      </c>
      <c r="G332" s="1">
        <v>115.04</v>
      </c>
      <c r="H332" s="1"/>
      <c r="I332" t="s">
        <v>2634</v>
      </c>
      <c r="J332">
        <v>10</v>
      </c>
      <c r="K332">
        <v>0</v>
      </c>
      <c r="L332">
        <v>0</v>
      </c>
    </row>
    <row r="333" spans="1:12">
      <c r="A333" s="14" t="s">
        <v>663</v>
      </c>
      <c r="B333" t="s">
        <v>664</v>
      </c>
      <c r="C333" t="s">
        <v>13</v>
      </c>
      <c r="D333">
        <v>48.9</v>
      </c>
      <c r="E333" t="s">
        <v>2632</v>
      </c>
      <c r="F333" t="s">
        <v>2633</v>
      </c>
      <c r="G333" s="1">
        <v>108.68</v>
      </c>
      <c r="H333" s="2" t="s">
        <v>2635</v>
      </c>
      <c r="I333" t="s">
        <v>2642</v>
      </c>
      <c r="J333">
        <v>12</v>
      </c>
      <c r="K333">
        <v>0</v>
      </c>
      <c r="L333">
        <v>0</v>
      </c>
    </row>
    <row r="334" spans="1:12">
      <c r="A334" s="14" t="s">
        <v>665</v>
      </c>
      <c r="B334" t="s">
        <v>666</v>
      </c>
      <c r="C334" t="s">
        <v>13</v>
      </c>
      <c r="D334">
        <v>82.24</v>
      </c>
      <c r="E334" t="s">
        <v>2632</v>
      </c>
      <c r="F334" t="s">
        <v>2633</v>
      </c>
      <c r="G334" s="1">
        <v>182.79</v>
      </c>
      <c r="H334" s="1"/>
      <c r="I334" t="s">
        <v>2634</v>
      </c>
      <c r="J334">
        <v>10</v>
      </c>
      <c r="K334">
        <v>0</v>
      </c>
      <c r="L334">
        <v>0</v>
      </c>
    </row>
    <row r="335" spans="1:12">
      <c r="A335" s="14" t="s">
        <v>667</v>
      </c>
      <c r="B335" t="s">
        <v>668</v>
      </c>
      <c r="C335" t="s">
        <v>13</v>
      </c>
      <c r="D335">
        <v>79.43</v>
      </c>
      <c r="E335" t="s">
        <v>2632</v>
      </c>
      <c r="F335" t="s">
        <v>2633</v>
      </c>
      <c r="G335" s="1">
        <v>176.49</v>
      </c>
      <c r="H335" s="2" t="s">
        <v>2635</v>
      </c>
      <c r="I335" t="s">
        <v>2642</v>
      </c>
      <c r="J335">
        <v>12</v>
      </c>
      <c r="K335">
        <v>0</v>
      </c>
      <c r="L335">
        <v>0</v>
      </c>
    </row>
    <row r="336" spans="1:12">
      <c r="A336" s="14" t="s">
        <v>669</v>
      </c>
      <c r="B336" t="s">
        <v>670</v>
      </c>
      <c r="C336" t="s">
        <v>13</v>
      </c>
      <c r="D336">
        <v>50.84</v>
      </c>
      <c r="E336" t="s">
        <v>2632</v>
      </c>
      <c r="F336" t="s">
        <v>2633</v>
      </c>
      <c r="G336" s="1">
        <v>112.99</v>
      </c>
      <c r="H336" s="2" t="s">
        <v>2635</v>
      </c>
      <c r="I336" t="s">
        <v>2642</v>
      </c>
      <c r="J336">
        <v>12</v>
      </c>
      <c r="K336">
        <v>0</v>
      </c>
      <c r="L336">
        <v>0</v>
      </c>
    </row>
    <row r="337" spans="1:12">
      <c r="A337" s="14" t="s">
        <v>671</v>
      </c>
      <c r="B337" t="s">
        <v>672</v>
      </c>
      <c r="C337" t="s">
        <v>13</v>
      </c>
      <c r="D337">
        <v>164.14</v>
      </c>
      <c r="E337" t="s">
        <v>2632</v>
      </c>
      <c r="F337" t="s">
        <v>2633</v>
      </c>
      <c r="G337" s="1">
        <v>364.76</v>
      </c>
      <c r="H337" s="1"/>
      <c r="I337" t="s">
        <v>2634</v>
      </c>
      <c r="J337">
        <v>6</v>
      </c>
      <c r="K337">
        <v>0</v>
      </c>
      <c r="L337">
        <v>0</v>
      </c>
    </row>
    <row r="338" spans="1:12">
      <c r="A338" s="14" t="s">
        <v>673</v>
      </c>
      <c r="B338" t="s">
        <v>674</v>
      </c>
      <c r="C338" t="s">
        <v>13</v>
      </c>
      <c r="D338">
        <v>164.04</v>
      </c>
      <c r="E338" t="s">
        <v>2632</v>
      </c>
      <c r="F338" t="s">
        <v>2633</v>
      </c>
      <c r="G338" s="1">
        <v>364.51</v>
      </c>
      <c r="H338" s="1"/>
      <c r="I338" t="s">
        <v>2634</v>
      </c>
      <c r="J338">
        <v>6</v>
      </c>
      <c r="K338">
        <v>0</v>
      </c>
      <c r="L338">
        <v>0</v>
      </c>
    </row>
    <row r="339" spans="1:12">
      <c r="A339" s="14" t="s">
        <v>675</v>
      </c>
      <c r="B339" t="s">
        <v>676</v>
      </c>
      <c r="C339" t="s">
        <v>13</v>
      </c>
      <c r="D339">
        <v>174</v>
      </c>
      <c r="E339" t="s">
        <v>2632</v>
      </c>
      <c r="F339" t="s">
        <v>2633</v>
      </c>
      <c r="G339" s="1">
        <v>386.67</v>
      </c>
      <c r="H339" s="1"/>
      <c r="I339" t="s">
        <v>2634</v>
      </c>
      <c r="J339">
        <v>6</v>
      </c>
      <c r="K339">
        <v>0</v>
      </c>
      <c r="L339">
        <v>0</v>
      </c>
    </row>
    <row r="340" spans="1:12">
      <c r="A340" s="14" t="s">
        <v>677</v>
      </c>
      <c r="B340" t="s">
        <v>678</v>
      </c>
      <c r="C340" t="s">
        <v>13</v>
      </c>
      <c r="D340">
        <v>5.41</v>
      </c>
      <c r="E340" t="s">
        <v>2632</v>
      </c>
      <c r="F340" t="s">
        <v>2633</v>
      </c>
      <c r="G340" s="1">
        <v>12.03</v>
      </c>
      <c r="H340" s="2" t="s">
        <v>2635</v>
      </c>
      <c r="I340" t="s">
        <v>2643</v>
      </c>
      <c r="J340">
        <v>5</v>
      </c>
      <c r="K340">
        <v>0</v>
      </c>
      <c r="L340">
        <v>0</v>
      </c>
    </row>
    <row r="341" spans="1:12">
      <c r="A341" s="14" t="s">
        <v>679</v>
      </c>
      <c r="B341" t="s">
        <v>680</v>
      </c>
      <c r="C341" t="s">
        <v>13</v>
      </c>
      <c r="D341">
        <v>54.52</v>
      </c>
      <c r="E341" t="s">
        <v>2632</v>
      </c>
      <c r="F341" t="s">
        <v>2633</v>
      </c>
      <c r="G341" s="1">
        <v>121.15</v>
      </c>
      <c r="H341" s="1"/>
      <c r="I341" t="s">
        <v>2634</v>
      </c>
      <c r="J341">
        <v>10</v>
      </c>
      <c r="K341">
        <v>0</v>
      </c>
      <c r="L341">
        <v>0</v>
      </c>
    </row>
    <row r="342" spans="1:12">
      <c r="A342" s="14" t="s">
        <v>681</v>
      </c>
      <c r="B342" t="s">
        <v>682</v>
      </c>
      <c r="C342" t="s">
        <v>13</v>
      </c>
      <c r="D342">
        <v>47.86</v>
      </c>
      <c r="E342" t="s">
        <v>2632</v>
      </c>
      <c r="F342" t="s">
        <v>2633</v>
      </c>
      <c r="G342" s="1">
        <v>106.35</v>
      </c>
      <c r="H342" s="2" t="s">
        <v>2635</v>
      </c>
      <c r="I342" t="s">
        <v>2642</v>
      </c>
      <c r="J342">
        <v>12</v>
      </c>
      <c r="K342">
        <v>0</v>
      </c>
      <c r="L342">
        <v>0</v>
      </c>
    </row>
    <row r="343" spans="1:12">
      <c r="A343" s="14" t="s">
        <v>683</v>
      </c>
      <c r="B343" t="s">
        <v>684</v>
      </c>
      <c r="C343" t="s">
        <v>13</v>
      </c>
      <c r="D343">
        <v>41.52</v>
      </c>
      <c r="E343" t="s">
        <v>2632</v>
      </c>
      <c r="F343" t="s">
        <v>2633</v>
      </c>
      <c r="G343" s="1">
        <v>92.27</v>
      </c>
      <c r="H343" s="1"/>
      <c r="I343" t="s">
        <v>2634</v>
      </c>
      <c r="J343">
        <v>10</v>
      </c>
      <c r="K343">
        <v>0</v>
      </c>
      <c r="L343">
        <v>0</v>
      </c>
    </row>
    <row r="344" spans="1:12">
      <c r="A344" s="14" t="s">
        <v>685</v>
      </c>
      <c r="B344" t="s">
        <v>686</v>
      </c>
      <c r="C344" t="s">
        <v>13</v>
      </c>
      <c r="D344">
        <v>39.97</v>
      </c>
      <c r="E344" t="s">
        <v>2632</v>
      </c>
      <c r="F344" t="s">
        <v>2633</v>
      </c>
      <c r="G344" s="1">
        <v>88.79</v>
      </c>
      <c r="H344" s="2" t="s">
        <v>2635</v>
      </c>
      <c r="I344" t="s">
        <v>2642</v>
      </c>
      <c r="J344">
        <v>12</v>
      </c>
      <c r="K344">
        <v>0</v>
      </c>
      <c r="L344">
        <v>0</v>
      </c>
    </row>
    <row r="345" spans="1:12">
      <c r="A345" s="14" t="s">
        <v>687</v>
      </c>
      <c r="B345" t="s">
        <v>688</v>
      </c>
      <c r="C345" t="s">
        <v>13</v>
      </c>
      <c r="D345">
        <v>53</v>
      </c>
      <c r="E345" t="s">
        <v>2632</v>
      </c>
      <c r="F345" t="s">
        <v>2633</v>
      </c>
      <c r="G345" s="1">
        <v>117.77</v>
      </c>
      <c r="H345" s="1"/>
      <c r="I345" t="s">
        <v>2634</v>
      </c>
      <c r="J345">
        <v>10</v>
      </c>
      <c r="K345">
        <v>0</v>
      </c>
      <c r="L345">
        <v>0</v>
      </c>
    </row>
    <row r="346" spans="1:12">
      <c r="A346" s="14" t="s">
        <v>689</v>
      </c>
      <c r="B346" t="s">
        <v>690</v>
      </c>
      <c r="C346" t="s">
        <v>13</v>
      </c>
      <c r="D346">
        <v>44.97</v>
      </c>
      <c r="E346" t="s">
        <v>2632</v>
      </c>
      <c r="F346" t="s">
        <v>2633</v>
      </c>
      <c r="G346" s="1">
        <v>99.91</v>
      </c>
      <c r="H346" s="2" t="s">
        <v>2635</v>
      </c>
      <c r="I346" t="s">
        <v>2642</v>
      </c>
      <c r="J346">
        <v>12</v>
      </c>
      <c r="K346">
        <v>0</v>
      </c>
      <c r="L346">
        <v>0</v>
      </c>
    </row>
    <row r="347" spans="1:12">
      <c r="A347" s="14" t="s">
        <v>691</v>
      </c>
      <c r="B347" t="s">
        <v>692</v>
      </c>
      <c r="C347" t="s">
        <v>13</v>
      </c>
      <c r="D347">
        <v>59.5</v>
      </c>
      <c r="E347" t="s">
        <v>2632</v>
      </c>
      <c r="F347" t="s">
        <v>2633</v>
      </c>
      <c r="G347" s="1">
        <v>132.19</v>
      </c>
      <c r="H347" s="1"/>
      <c r="I347" t="s">
        <v>2634</v>
      </c>
      <c r="J347">
        <v>10</v>
      </c>
      <c r="K347">
        <v>0</v>
      </c>
      <c r="L347">
        <v>0</v>
      </c>
    </row>
    <row r="348" spans="1:12">
      <c r="A348" s="14" t="s">
        <v>693</v>
      </c>
      <c r="B348" t="s">
        <v>694</v>
      </c>
      <c r="C348" t="s">
        <v>13</v>
      </c>
      <c r="D348">
        <v>53.19</v>
      </c>
      <c r="E348" t="s">
        <v>2632</v>
      </c>
      <c r="F348" t="s">
        <v>2633</v>
      </c>
      <c r="G348" s="1">
        <v>118.22</v>
      </c>
      <c r="H348" s="2" t="s">
        <v>2635</v>
      </c>
      <c r="I348" t="s">
        <v>2642</v>
      </c>
      <c r="J348">
        <v>12</v>
      </c>
      <c r="K348">
        <v>0</v>
      </c>
      <c r="L348">
        <v>0</v>
      </c>
    </row>
    <row r="349" spans="1:12">
      <c r="A349" s="14" t="s">
        <v>695</v>
      </c>
      <c r="B349" t="s">
        <v>696</v>
      </c>
      <c r="C349" t="s">
        <v>13</v>
      </c>
      <c r="D349">
        <v>44.72</v>
      </c>
      <c r="E349" t="s">
        <v>2632</v>
      </c>
      <c r="F349" t="s">
        <v>2633</v>
      </c>
      <c r="G349" s="1">
        <v>99.37</v>
      </c>
      <c r="H349" s="1"/>
      <c r="I349" t="s">
        <v>2634</v>
      </c>
      <c r="J349">
        <v>10</v>
      </c>
      <c r="K349">
        <v>0</v>
      </c>
      <c r="L349">
        <v>0</v>
      </c>
    </row>
    <row r="350" spans="1:12">
      <c r="A350" s="14" t="s">
        <v>697</v>
      </c>
      <c r="B350" t="s">
        <v>698</v>
      </c>
      <c r="C350" t="s">
        <v>13</v>
      </c>
      <c r="D350">
        <v>41.86</v>
      </c>
      <c r="E350" t="s">
        <v>2632</v>
      </c>
      <c r="F350" t="s">
        <v>2633</v>
      </c>
      <c r="G350" s="1">
        <v>93.05</v>
      </c>
      <c r="H350" s="2" t="s">
        <v>2635</v>
      </c>
      <c r="I350" t="s">
        <v>2642</v>
      </c>
      <c r="J350">
        <v>12</v>
      </c>
      <c r="K350">
        <v>0</v>
      </c>
      <c r="L350">
        <v>0</v>
      </c>
    </row>
    <row r="351" spans="1:12">
      <c r="A351" s="14" t="s">
        <v>699</v>
      </c>
      <c r="B351" t="s">
        <v>700</v>
      </c>
      <c r="C351" t="s">
        <v>13</v>
      </c>
      <c r="D351">
        <v>8.54</v>
      </c>
      <c r="E351" t="s">
        <v>2632</v>
      </c>
      <c r="F351" t="s">
        <v>2633</v>
      </c>
      <c r="G351" s="1">
        <v>18.99</v>
      </c>
      <c r="H351" s="1"/>
      <c r="I351" t="s">
        <v>2634</v>
      </c>
      <c r="J351">
        <v>10</v>
      </c>
      <c r="K351">
        <v>0</v>
      </c>
      <c r="L351">
        <v>0</v>
      </c>
    </row>
    <row r="352" spans="1:12">
      <c r="A352" s="14" t="s">
        <v>701</v>
      </c>
      <c r="B352" t="s">
        <v>702</v>
      </c>
      <c r="C352" t="s">
        <v>13</v>
      </c>
      <c r="D352">
        <v>6.22</v>
      </c>
      <c r="E352" t="s">
        <v>2632</v>
      </c>
      <c r="F352" t="s">
        <v>2633</v>
      </c>
      <c r="G352" s="1">
        <v>13.82</v>
      </c>
      <c r="H352" s="2" t="s">
        <v>2635</v>
      </c>
      <c r="I352" t="s">
        <v>2642</v>
      </c>
      <c r="J352">
        <v>12</v>
      </c>
      <c r="K352">
        <v>0</v>
      </c>
      <c r="L352">
        <v>0</v>
      </c>
    </row>
    <row r="353" spans="1:12">
      <c r="A353" s="14" t="s">
        <v>703</v>
      </c>
      <c r="B353" t="s">
        <v>704</v>
      </c>
      <c r="C353" t="s">
        <v>13</v>
      </c>
      <c r="D353">
        <v>38.42</v>
      </c>
      <c r="E353" t="s">
        <v>2632</v>
      </c>
      <c r="F353" t="s">
        <v>2633</v>
      </c>
      <c r="G353" s="1">
        <v>85.38</v>
      </c>
      <c r="H353" s="2" t="s">
        <v>2635</v>
      </c>
      <c r="I353" t="s">
        <v>2642</v>
      </c>
      <c r="J353">
        <v>12</v>
      </c>
      <c r="K353">
        <v>0</v>
      </c>
      <c r="L353">
        <v>0</v>
      </c>
    </row>
    <row r="354" spans="1:12">
      <c r="A354" s="14" t="s">
        <v>705</v>
      </c>
      <c r="B354" t="s">
        <v>706</v>
      </c>
      <c r="C354" t="s">
        <v>13</v>
      </c>
      <c r="D354">
        <v>57.23</v>
      </c>
      <c r="E354" t="s">
        <v>2632</v>
      </c>
      <c r="F354" t="s">
        <v>2633</v>
      </c>
      <c r="G354" s="1">
        <v>127.2</v>
      </c>
      <c r="H354" s="1"/>
      <c r="I354" t="s">
        <v>2634</v>
      </c>
      <c r="J354">
        <v>10</v>
      </c>
      <c r="K354">
        <v>0</v>
      </c>
      <c r="L354">
        <v>0</v>
      </c>
    </row>
    <row r="355" spans="1:12">
      <c r="A355" s="14" t="s">
        <v>707</v>
      </c>
      <c r="B355" t="s">
        <v>708</v>
      </c>
      <c r="C355" t="s">
        <v>13</v>
      </c>
      <c r="D355">
        <v>55.75</v>
      </c>
      <c r="E355" t="s">
        <v>2632</v>
      </c>
      <c r="F355" t="s">
        <v>2633</v>
      </c>
      <c r="G355" s="1">
        <v>123.88</v>
      </c>
      <c r="H355" s="2" t="s">
        <v>2635</v>
      </c>
      <c r="I355" t="s">
        <v>2642</v>
      </c>
      <c r="J355">
        <v>12</v>
      </c>
      <c r="K355">
        <v>0</v>
      </c>
      <c r="L355">
        <v>0</v>
      </c>
    </row>
    <row r="356" spans="1:12">
      <c r="A356" s="14" t="s">
        <v>709</v>
      </c>
      <c r="B356" t="s">
        <v>710</v>
      </c>
      <c r="C356" t="s">
        <v>13</v>
      </c>
      <c r="D356">
        <v>59.5</v>
      </c>
      <c r="E356" t="s">
        <v>2632</v>
      </c>
      <c r="F356" t="s">
        <v>2633</v>
      </c>
      <c r="G356" s="1">
        <v>132.24</v>
      </c>
      <c r="H356" s="1"/>
      <c r="I356" t="s">
        <v>2634</v>
      </c>
      <c r="J356">
        <v>10</v>
      </c>
      <c r="K356">
        <v>0</v>
      </c>
      <c r="L356">
        <v>0</v>
      </c>
    </row>
    <row r="357" spans="1:12">
      <c r="A357" s="14" t="s">
        <v>711</v>
      </c>
      <c r="B357" t="s">
        <v>712</v>
      </c>
      <c r="C357" t="s">
        <v>13</v>
      </c>
      <c r="D357">
        <v>56.99</v>
      </c>
      <c r="E357" t="s">
        <v>2632</v>
      </c>
      <c r="F357" t="s">
        <v>2633</v>
      </c>
      <c r="G357" s="1">
        <v>126.66</v>
      </c>
      <c r="H357" s="2" t="s">
        <v>2635</v>
      </c>
      <c r="I357" t="s">
        <v>2642</v>
      </c>
      <c r="J357">
        <v>12</v>
      </c>
      <c r="K357">
        <v>0</v>
      </c>
      <c r="L357">
        <v>0</v>
      </c>
    </row>
    <row r="358" spans="1:12">
      <c r="A358" s="14" t="s">
        <v>713</v>
      </c>
      <c r="B358" t="s">
        <v>714</v>
      </c>
      <c r="C358" t="s">
        <v>13</v>
      </c>
      <c r="D358">
        <v>58.19</v>
      </c>
      <c r="E358" t="s">
        <v>2632</v>
      </c>
      <c r="F358" t="s">
        <v>2633</v>
      </c>
      <c r="G358" s="1">
        <v>129.31</v>
      </c>
      <c r="H358" s="1"/>
      <c r="I358" t="s">
        <v>2634</v>
      </c>
      <c r="J358">
        <v>10</v>
      </c>
      <c r="K358">
        <v>0</v>
      </c>
      <c r="L358">
        <v>0</v>
      </c>
    </row>
    <row r="359" spans="1:12">
      <c r="A359" s="14" t="s">
        <v>715</v>
      </c>
      <c r="B359" t="s">
        <v>716</v>
      </c>
      <c r="C359" t="s">
        <v>13</v>
      </c>
      <c r="D359">
        <v>46.95</v>
      </c>
      <c r="E359" t="s">
        <v>2632</v>
      </c>
      <c r="F359" t="s">
        <v>2633</v>
      </c>
      <c r="G359" s="1">
        <v>104.31</v>
      </c>
      <c r="H359" s="2" t="s">
        <v>2635</v>
      </c>
      <c r="I359" t="s">
        <v>2642</v>
      </c>
      <c r="J359">
        <v>12</v>
      </c>
      <c r="K359">
        <v>0</v>
      </c>
      <c r="L359">
        <v>0</v>
      </c>
    </row>
    <row r="360" spans="1:12">
      <c r="A360" s="14" t="s">
        <v>717</v>
      </c>
      <c r="B360" t="s">
        <v>718</v>
      </c>
      <c r="C360" t="s">
        <v>13</v>
      </c>
      <c r="D360">
        <v>53.56</v>
      </c>
      <c r="E360" t="s">
        <v>2632</v>
      </c>
      <c r="F360" t="s">
        <v>2633</v>
      </c>
      <c r="G360" s="1">
        <v>119.01</v>
      </c>
      <c r="H360" s="1"/>
      <c r="I360" t="s">
        <v>2634</v>
      </c>
      <c r="J360">
        <v>10</v>
      </c>
      <c r="K360">
        <v>0</v>
      </c>
      <c r="L360">
        <v>0</v>
      </c>
    </row>
    <row r="361" spans="1:12">
      <c r="A361" s="14" t="s">
        <v>719</v>
      </c>
      <c r="B361" t="s">
        <v>720</v>
      </c>
      <c r="C361" t="s">
        <v>13</v>
      </c>
      <c r="D361">
        <v>49.84</v>
      </c>
      <c r="E361" t="s">
        <v>2632</v>
      </c>
      <c r="F361" t="s">
        <v>2633</v>
      </c>
      <c r="G361" s="1">
        <v>110.76</v>
      </c>
      <c r="H361" s="2" t="s">
        <v>2635</v>
      </c>
      <c r="I361" t="s">
        <v>2642</v>
      </c>
      <c r="J361">
        <v>12</v>
      </c>
      <c r="K361">
        <v>0</v>
      </c>
      <c r="L361">
        <v>0</v>
      </c>
    </row>
    <row r="362" spans="1:12">
      <c r="A362" s="14" t="s">
        <v>721</v>
      </c>
      <c r="B362" t="s">
        <v>722</v>
      </c>
      <c r="C362" t="s">
        <v>13</v>
      </c>
      <c r="D362">
        <v>57.55</v>
      </c>
      <c r="E362" t="s">
        <v>2632</v>
      </c>
      <c r="F362" t="s">
        <v>2633</v>
      </c>
      <c r="G362" s="1">
        <v>127.91</v>
      </c>
      <c r="H362" s="1"/>
      <c r="I362" t="s">
        <v>2634</v>
      </c>
      <c r="J362">
        <v>10</v>
      </c>
      <c r="K362">
        <v>0</v>
      </c>
      <c r="L362">
        <v>0</v>
      </c>
    </row>
    <row r="363" spans="1:12">
      <c r="A363" s="14" t="s">
        <v>723</v>
      </c>
      <c r="B363" t="s">
        <v>724</v>
      </c>
      <c r="C363" t="s">
        <v>13</v>
      </c>
      <c r="D363">
        <v>54.05</v>
      </c>
      <c r="E363" t="s">
        <v>2632</v>
      </c>
      <c r="F363" t="s">
        <v>2633</v>
      </c>
      <c r="G363" s="1">
        <v>120.09</v>
      </c>
      <c r="H363" s="2" t="s">
        <v>2635</v>
      </c>
      <c r="I363" t="s">
        <v>2642</v>
      </c>
      <c r="J363">
        <v>12</v>
      </c>
      <c r="K363">
        <v>0</v>
      </c>
      <c r="L363">
        <v>0</v>
      </c>
    </row>
    <row r="364" spans="1:12">
      <c r="A364" s="14" t="s">
        <v>725</v>
      </c>
      <c r="B364" t="s">
        <v>726</v>
      </c>
      <c r="C364" t="s">
        <v>13</v>
      </c>
      <c r="D364">
        <v>50.88</v>
      </c>
      <c r="E364" t="s">
        <v>2632</v>
      </c>
      <c r="F364" t="s">
        <v>2633</v>
      </c>
      <c r="G364" s="1">
        <v>113.05</v>
      </c>
      <c r="H364" s="1"/>
      <c r="I364" t="s">
        <v>2634</v>
      </c>
      <c r="J364">
        <v>5</v>
      </c>
      <c r="K364">
        <v>0</v>
      </c>
      <c r="L364">
        <v>0</v>
      </c>
    </row>
    <row r="365" spans="1:12">
      <c r="A365" s="14" t="s">
        <v>727</v>
      </c>
      <c r="B365" t="s">
        <v>728</v>
      </c>
      <c r="C365" t="s">
        <v>13</v>
      </c>
      <c r="D365">
        <v>42.56</v>
      </c>
      <c r="E365" t="s">
        <v>2632</v>
      </c>
      <c r="F365" t="s">
        <v>2633</v>
      </c>
      <c r="G365" s="1">
        <v>94.55</v>
      </c>
      <c r="H365" s="2" t="s">
        <v>2635</v>
      </c>
      <c r="I365" t="s">
        <v>2636</v>
      </c>
      <c r="J365">
        <v>10</v>
      </c>
      <c r="K365">
        <v>0</v>
      </c>
      <c r="L365">
        <v>0</v>
      </c>
    </row>
    <row r="366" spans="1:12">
      <c r="A366" s="14" t="s">
        <v>729</v>
      </c>
      <c r="B366" t="s">
        <v>730</v>
      </c>
      <c r="C366" t="s">
        <v>13</v>
      </c>
      <c r="D366">
        <v>48.06</v>
      </c>
      <c r="E366" t="s">
        <v>2632</v>
      </c>
      <c r="F366" t="s">
        <v>2633</v>
      </c>
      <c r="G366" s="1">
        <v>106.8</v>
      </c>
      <c r="H366" s="1"/>
      <c r="I366" t="s">
        <v>2634</v>
      </c>
      <c r="J366">
        <v>5</v>
      </c>
      <c r="K366">
        <v>0</v>
      </c>
      <c r="L366">
        <v>0</v>
      </c>
    </row>
    <row r="367" spans="1:12">
      <c r="A367" s="14" t="s">
        <v>731</v>
      </c>
      <c r="B367" t="s">
        <v>732</v>
      </c>
      <c r="C367" t="s">
        <v>13</v>
      </c>
      <c r="D367">
        <v>46.36</v>
      </c>
      <c r="E367" t="s">
        <v>2632</v>
      </c>
      <c r="F367" t="s">
        <v>2633</v>
      </c>
      <c r="G367" s="1">
        <v>103.05</v>
      </c>
      <c r="H367" s="2" t="s">
        <v>2635</v>
      </c>
      <c r="I367" t="s">
        <v>2636</v>
      </c>
      <c r="J367">
        <v>10</v>
      </c>
      <c r="K367">
        <v>0</v>
      </c>
      <c r="L367">
        <v>0</v>
      </c>
    </row>
    <row r="368" spans="1:12">
      <c r="A368" s="14" t="s">
        <v>733</v>
      </c>
      <c r="B368" t="s">
        <v>734</v>
      </c>
      <c r="C368" t="s">
        <v>13</v>
      </c>
      <c r="D368">
        <v>68.42</v>
      </c>
      <c r="E368" t="s">
        <v>2632</v>
      </c>
      <c r="F368" t="s">
        <v>2633</v>
      </c>
      <c r="G368" s="1">
        <v>152.07</v>
      </c>
      <c r="H368" s="1"/>
      <c r="I368" t="s">
        <v>2634</v>
      </c>
      <c r="J368">
        <v>5</v>
      </c>
      <c r="K368">
        <v>0</v>
      </c>
      <c r="L368">
        <v>0</v>
      </c>
    </row>
    <row r="369" spans="1:12">
      <c r="A369" s="14" t="s">
        <v>735</v>
      </c>
      <c r="B369" t="s">
        <v>736</v>
      </c>
      <c r="C369" t="s">
        <v>13</v>
      </c>
      <c r="D369">
        <v>62.22</v>
      </c>
      <c r="E369" t="s">
        <v>2632</v>
      </c>
      <c r="F369" t="s">
        <v>2633</v>
      </c>
      <c r="G369" s="1">
        <v>138.25</v>
      </c>
      <c r="H369" s="2" t="s">
        <v>2635</v>
      </c>
      <c r="I369" t="s">
        <v>2636</v>
      </c>
      <c r="J369">
        <v>10</v>
      </c>
      <c r="K369">
        <v>0</v>
      </c>
      <c r="L369">
        <v>0</v>
      </c>
    </row>
    <row r="370" spans="1:12">
      <c r="A370" s="14" t="s">
        <v>737</v>
      </c>
      <c r="B370" t="s">
        <v>738</v>
      </c>
      <c r="C370" t="s">
        <v>13</v>
      </c>
      <c r="D370">
        <v>90.5</v>
      </c>
      <c r="E370" t="s">
        <v>2632</v>
      </c>
      <c r="F370" t="s">
        <v>2633</v>
      </c>
      <c r="G370" s="1">
        <v>201.12</v>
      </c>
      <c r="H370" s="1"/>
      <c r="I370" t="s">
        <v>2634</v>
      </c>
      <c r="J370" t="s">
        <v>2634</v>
      </c>
      <c r="K370">
        <v>0</v>
      </c>
      <c r="L370">
        <v>0</v>
      </c>
    </row>
    <row r="371" spans="1:12">
      <c r="A371" s="14" t="s">
        <v>739</v>
      </c>
      <c r="B371" t="s">
        <v>740</v>
      </c>
      <c r="C371" t="s">
        <v>13</v>
      </c>
      <c r="D371">
        <v>85.92</v>
      </c>
      <c r="E371" t="s">
        <v>2632</v>
      </c>
      <c r="F371" t="s">
        <v>2633</v>
      </c>
      <c r="G371" s="1">
        <v>190.92</v>
      </c>
      <c r="H371" s="2" t="s">
        <v>2635</v>
      </c>
      <c r="I371" t="s">
        <v>2636</v>
      </c>
      <c r="J371">
        <v>10</v>
      </c>
      <c r="K371">
        <v>0</v>
      </c>
      <c r="L371">
        <v>0</v>
      </c>
    </row>
    <row r="372" spans="1:12">
      <c r="A372" s="14" t="s">
        <v>741</v>
      </c>
      <c r="B372" t="s">
        <v>742</v>
      </c>
      <c r="C372" t="s">
        <v>13</v>
      </c>
      <c r="D372">
        <v>18.53</v>
      </c>
      <c r="E372" t="s">
        <v>2632</v>
      </c>
      <c r="F372" t="s">
        <v>2633</v>
      </c>
      <c r="G372" s="1">
        <v>41.14</v>
      </c>
      <c r="H372" s="1"/>
      <c r="I372" t="s">
        <v>2634</v>
      </c>
      <c r="J372">
        <v>5</v>
      </c>
      <c r="K372">
        <v>0</v>
      </c>
      <c r="L372">
        <v>0</v>
      </c>
    </row>
    <row r="373" spans="1:12">
      <c r="A373" s="14" t="s">
        <v>743</v>
      </c>
      <c r="B373" t="s">
        <v>744</v>
      </c>
      <c r="C373" t="s">
        <v>13</v>
      </c>
      <c r="D373">
        <v>15.3</v>
      </c>
      <c r="E373" t="s">
        <v>2632</v>
      </c>
      <c r="F373" t="s">
        <v>2633</v>
      </c>
      <c r="G373" s="1">
        <v>34.01</v>
      </c>
      <c r="H373" s="2" t="s">
        <v>2635</v>
      </c>
      <c r="I373" t="s">
        <v>2636</v>
      </c>
      <c r="J373">
        <v>10</v>
      </c>
      <c r="K373">
        <v>0</v>
      </c>
      <c r="L373">
        <v>0</v>
      </c>
    </row>
    <row r="374" spans="1:12">
      <c r="A374" s="14" t="s">
        <v>745</v>
      </c>
      <c r="B374" t="s">
        <v>746</v>
      </c>
      <c r="C374" t="s">
        <v>13</v>
      </c>
      <c r="D374">
        <v>28.79</v>
      </c>
      <c r="E374" t="s">
        <v>2632</v>
      </c>
      <c r="F374" t="s">
        <v>2633</v>
      </c>
      <c r="G374" s="1">
        <v>63.99</v>
      </c>
      <c r="H374" s="1"/>
      <c r="I374" t="s">
        <v>2634</v>
      </c>
      <c r="J374">
        <v>5</v>
      </c>
      <c r="K374">
        <v>0</v>
      </c>
      <c r="L374">
        <v>0</v>
      </c>
    </row>
    <row r="375" spans="1:12">
      <c r="A375" s="14" t="s">
        <v>747</v>
      </c>
      <c r="B375" t="s">
        <v>748</v>
      </c>
      <c r="C375" t="s">
        <v>13</v>
      </c>
      <c r="D375">
        <v>24.05</v>
      </c>
      <c r="E375" t="s">
        <v>2632</v>
      </c>
      <c r="F375" t="s">
        <v>2633</v>
      </c>
      <c r="G375" s="1">
        <v>53.43</v>
      </c>
      <c r="H375" s="2" t="s">
        <v>2635</v>
      </c>
      <c r="I375" t="s">
        <v>2636</v>
      </c>
      <c r="J375">
        <v>10</v>
      </c>
      <c r="K375">
        <v>0</v>
      </c>
      <c r="L375">
        <v>0</v>
      </c>
    </row>
    <row r="376" spans="1:12">
      <c r="A376" s="14" t="s">
        <v>749</v>
      </c>
      <c r="B376" t="s">
        <v>750</v>
      </c>
      <c r="C376" t="s">
        <v>13</v>
      </c>
      <c r="D376">
        <v>16.2</v>
      </c>
      <c r="E376" t="s">
        <v>2632</v>
      </c>
      <c r="F376" t="s">
        <v>2633</v>
      </c>
      <c r="G376" s="1">
        <v>36.01</v>
      </c>
      <c r="H376" s="1"/>
      <c r="I376" t="s">
        <v>2634</v>
      </c>
      <c r="J376">
        <v>5</v>
      </c>
      <c r="K376">
        <v>0</v>
      </c>
      <c r="L376">
        <v>0</v>
      </c>
    </row>
    <row r="377" spans="1:12">
      <c r="A377" s="14" t="s">
        <v>751</v>
      </c>
      <c r="B377" t="s">
        <v>752</v>
      </c>
      <c r="C377" t="s">
        <v>13</v>
      </c>
      <c r="D377">
        <v>32.84</v>
      </c>
      <c r="E377" t="s">
        <v>2632</v>
      </c>
      <c r="F377" t="s">
        <v>2633</v>
      </c>
      <c r="G377" s="1">
        <v>72.97</v>
      </c>
      <c r="H377" s="1"/>
      <c r="I377" t="s">
        <v>2634</v>
      </c>
      <c r="J377">
        <v>5</v>
      </c>
      <c r="K377">
        <v>0</v>
      </c>
      <c r="L377">
        <v>0</v>
      </c>
    </row>
    <row r="378" spans="1:12">
      <c r="A378" s="14" t="s">
        <v>753</v>
      </c>
      <c r="B378" t="s">
        <v>754</v>
      </c>
      <c r="C378" t="s">
        <v>13</v>
      </c>
      <c r="D378">
        <v>29.86</v>
      </c>
      <c r="E378" t="s">
        <v>2632</v>
      </c>
      <c r="F378" t="s">
        <v>2633</v>
      </c>
      <c r="G378" s="1">
        <v>66.36</v>
      </c>
      <c r="H378" s="2" t="s">
        <v>2635</v>
      </c>
      <c r="I378" t="s">
        <v>2636</v>
      </c>
      <c r="J378">
        <v>10</v>
      </c>
      <c r="K378">
        <v>0</v>
      </c>
      <c r="L378">
        <v>0</v>
      </c>
    </row>
    <row r="379" spans="1:12">
      <c r="A379" s="14" t="s">
        <v>755</v>
      </c>
      <c r="B379" t="s">
        <v>756</v>
      </c>
      <c r="C379" t="s">
        <v>13</v>
      </c>
      <c r="D379">
        <v>13.67</v>
      </c>
      <c r="E379" t="s">
        <v>2632</v>
      </c>
      <c r="F379" t="s">
        <v>2633</v>
      </c>
      <c r="G379" s="1">
        <v>30.42</v>
      </c>
      <c r="H379" s="2" t="s">
        <v>2635</v>
      </c>
      <c r="I379" t="s">
        <v>2636</v>
      </c>
      <c r="J379">
        <v>10</v>
      </c>
      <c r="K379">
        <v>0</v>
      </c>
      <c r="L379">
        <v>0</v>
      </c>
    </row>
    <row r="380" spans="1:12">
      <c r="A380" s="14" t="s">
        <v>757</v>
      </c>
      <c r="B380" t="s">
        <v>758</v>
      </c>
      <c r="C380" t="s">
        <v>13</v>
      </c>
      <c r="D380">
        <v>39.18</v>
      </c>
      <c r="E380" t="s">
        <v>2632</v>
      </c>
      <c r="F380" t="s">
        <v>2633</v>
      </c>
      <c r="G380" s="1">
        <v>87.07</v>
      </c>
      <c r="H380" s="1"/>
      <c r="I380" t="s">
        <v>2634</v>
      </c>
      <c r="J380">
        <v>3</v>
      </c>
      <c r="K380">
        <v>0</v>
      </c>
      <c r="L380">
        <v>0</v>
      </c>
    </row>
    <row r="381" spans="1:12">
      <c r="A381" s="14" t="s">
        <v>759</v>
      </c>
      <c r="B381" t="s">
        <v>760</v>
      </c>
      <c r="C381" t="s">
        <v>13</v>
      </c>
      <c r="D381">
        <v>34</v>
      </c>
      <c r="E381" t="s">
        <v>2632</v>
      </c>
      <c r="F381" t="s">
        <v>2633</v>
      </c>
      <c r="G381" s="1">
        <v>75.56</v>
      </c>
      <c r="H381" s="2" t="s">
        <v>2635</v>
      </c>
      <c r="I381" t="s">
        <v>2636</v>
      </c>
      <c r="J381">
        <v>10</v>
      </c>
      <c r="K381">
        <v>0</v>
      </c>
      <c r="L381">
        <v>0</v>
      </c>
    </row>
    <row r="382" spans="1:12">
      <c r="A382" s="14" t="s">
        <v>761</v>
      </c>
      <c r="B382" t="s">
        <v>762</v>
      </c>
      <c r="C382" t="s">
        <v>13</v>
      </c>
      <c r="D382">
        <v>32.84</v>
      </c>
      <c r="E382" t="s">
        <v>2632</v>
      </c>
      <c r="F382" t="s">
        <v>2633</v>
      </c>
      <c r="G382" s="1">
        <v>72.97</v>
      </c>
      <c r="H382" s="1"/>
      <c r="I382" t="s">
        <v>2634</v>
      </c>
      <c r="J382">
        <v>5</v>
      </c>
      <c r="K382">
        <v>0</v>
      </c>
      <c r="L382">
        <v>0</v>
      </c>
    </row>
    <row r="383" spans="1:12">
      <c r="A383" s="14" t="s">
        <v>763</v>
      </c>
      <c r="B383" t="s">
        <v>764</v>
      </c>
      <c r="C383" t="s">
        <v>13</v>
      </c>
      <c r="D383">
        <v>30.89</v>
      </c>
      <c r="E383" t="s">
        <v>2632</v>
      </c>
      <c r="F383" t="s">
        <v>2633</v>
      </c>
      <c r="G383" s="1">
        <v>68.63</v>
      </c>
      <c r="H383" s="2" t="s">
        <v>2635</v>
      </c>
      <c r="I383" t="s">
        <v>2636</v>
      </c>
      <c r="J383">
        <v>10</v>
      </c>
      <c r="K383">
        <v>0</v>
      </c>
      <c r="L383">
        <v>0</v>
      </c>
    </row>
    <row r="384" spans="1:12">
      <c r="A384" s="14" t="s">
        <v>765</v>
      </c>
      <c r="B384" t="s">
        <v>766</v>
      </c>
      <c r="C384" t="s">
        <v>13</v>
      </c>
      <c r="D384">
        <v>38.54</v>
      </c>
      <c r="E384" t="s">
        <v>2632</v>
      </c>
      <c r="F384" t="s">
        <v>2633</v>
      </c>
      <c r="G384" s="1">
        <v>85.63</v>
      </c>
      <c r="H384" s="1"/>
      <c r="I384" t="s">
        <v>2634</v>
      </c>
      <c r="J384">
        <v>5</v>
      </c>
      <c r="K384">
        <v>0</v>
      </c>
      <c r="L384">
        <v>0</v>
      </c>
    </row>
    <row r="385" spans="1:12">
      <c r="A385" s="14" t="s">
        <v>767</v>
      </c>
      <c r="B385" t="s">
        <v>768</v>
      </c>
      <c r="C385" t="s">
        <v>13</v>
      </c>
      <c r="D385">
        <v>36.27</v>
      </c>
      <c r="E385" t="s">
        <v>2632</v>
      </c>
      <c r="F385" t="s">
        <v>2633</v>
      </c>
      <c r="G385" s="1">
        <v>80.61</v>
      </c>
      <c r="H385" s="2" t="s">
        <v>2635</v>
      </c>
      <c r="I385" t="s">
        <v>2636</v>
      </c>
      <c r="J385">
        <v>10</v>
      </c>
      <c r="K385">
        <v>0</v>
      </c>
      <c r="L385">
        <v>0</v>
      </c>
    </row>
    <row r="386" spans="1:12">
      <c r="A386" s="14" t="s">
        <v>769</v>
      </c>
      <c r="B386" t="s">
        <v>770</v>
      </c>
      <c r="C386" t="s">
        <v>13</v>
      </c>
      <c r="D386">
        <v>3.44</v>
      </c>
      <c r="E386" t="s">
        <v>2632</v>
      </c>
      <c r="F386" t="s">
        <v>2633</v>
      </c>
      <c r="G386" s="1">
        <v>7.65</v>
      </c>
      <c r="H386" s="1"/>
      <c r="I386" t="s">
        <v>2634</v>
      </c>
      <c r="J386">
        <v>100</v>
      </c>
      <c r="K386">
        <v>0</v>
      </c>
      <c r="L386">
        <v>0</v>
      </c>
    </row>
    <row r="387" spans="1:12">
      <c r="A387" s="14" t="s">
        <v>771</v>
      </c>
      <c r="B387" t="s">
        <v>772</v>
      </c>
      <c r="C387" t="s">
        <v>13</v>
      </c>
      <c r="D387">
        <v>28.96</v>
      </c>
      <c r="E387" t="s">
        <v>2644</v>
      </c>
      <c r="F387" t="s">
        <v>2633</v>
      </c>
      <c r="G387" s="1">
        <v>64.38</v>
      </c>
      <c r="H387" s="1"/>
      <c r="I387" t="s">
        <v>2634</v>
      </c>
      <c r="J387">
        <v>20</v>
      </c>
      <c r="K387">
        <v>0</v>
      </c>
      <c r="L387">
        <v>0</v>
      </c>
    </row>
    <row r="388" spans="1:12">
      <c r="A388" s="14" t="s">
        <v>773</v>
      </c>
      <c r="B388" t="s">
        <v>774</v>
      </c>
      <c r="C388" t="s">
        <v>13</v>
      </c>
      <c r="D388">
        <v>3.72</v>
      </c>
      <c r="E388" t="s">
        <v>2632</v>
      </c>
      <c r="F388" t="s">
        <v>2633</v>
      </c>
      <c r="G388" s="1">
        <v>8.26</v>
      </c>
      <c r="H388" s="1"/>
      <c r="I388" t="s">
        <v>2634</v>
      </c>
      <c r="J388">
        <v>75</v>
      </c>
      <c r="K388">
        <v>0</v>
      </c>
      <c r="L388">
        <v>0</v>
      </c>
    </row>
    <row r="389" spans="1:12">
      <c r="A389" s="14" t="s">
        <v>775</v>
      </c>
      <c r="B389" t="s">
        <v>776</v>
      </c>
      <c r="C389" t="s">
        <v>13</v>
      </c>
      <c r="D389">
        <v>30.47</v>
      </c>
      <c r="E389" t="s">
        <v>2644</v>
      </c>
      <c r="F389" t="s">
        <v>2633</v>
      </c>
      <c r="G389" s="1">
        <v>67.71</v>
      </c>
      <c r="H389" s="1"/>
      <c r="I389" t="s">
        <v>2634</v>
      </c>
      <c r="J389">
        <v>15</v>
      </c>
      <c r="K389">
        <v>0</v>
      </c>
      <c r="L389">
        <v>0</v>
      </c>
    </row>
    <row r="390" spans="1:12">
      <c r="A390" s="14" t="s">
        <v>777</v>
      </c>
      <c r="B390" t="s">
        <v>778</v>
      </c>
      <c r="C390" t="s">
        <v>13</v>
      </c>
      <c r="D390">
        <v>4.37</v>
      </c>
      <c r="E390" t="s">
        <v>2632</v>
      </c>
      <c r="F390" t="s">
        <v>2633</v>
      </c>
      <c r="G390" s="1">
        <v>9.72</v>
      </c>
      <c r="H390" s="1"/>
      <c r="I390" t="s">
        <v>2634</v>
      </c>
      <c r="J390">
        <v>50</v>
      </c>
      <c r="K390">
        <v>0</v>
      </c>
      <c r="L390">
        <v>0</v>
      </c>
    </row>
    <row r="391" spans="1:12">
      <c r="A391" s="14" t="s">
        <v>779</v>
      </c>
      <c r="B391" t="s">
        <v>780</v>
      </c>
      <c r="C391" t="s">
        <v>13</v>
      </c>
      <c r="D391">
        <v>29.71</v>
      </c>
      <c r="E391" t="s">
        <v>2644</v>
      </c>
      <c r="F391" t="s">
        <v>2633</v>
      </c>
      <c r="G391" s="1">
        <v>66.01</v>
      </c>
      <c r="H391" s="1"/>
      <c r="I391" t="s">
        <v>2634</v>
      </c>
      <c r="J391">
        <v>10</v>
      </c>
      <c r="K391">
        <v>0</v>
      </c>
      <c r="L391">
        <v>0</v>
      </c>
    </row>
    <row r="392" spans="1:12">
      <c r="A392" s="14" t="s">
        <v>781</v>
      </c>
      <c r="B392" t="s">
        <v>782</v>
      </c>
      <c r="C392" t="s">
        <v>13</v>
      </c>
      <c r="D392">
        <v>6.94</v>
      </c>
      <c r="E392" t="s">
        <v>2632</v>
      </c>
      <c r="F392" t="s">
        <v>2633</v>
      </c>
      <c r="G392" s="1">
        <v>15.45</v>
      </c>
      <c r="H392" s="1"/>
      <c r="I392" t="s">
        <v>2634</v>
      </c>
      <c r="J392">
        <v>25</v>
      </c>
      <c r="K392">
        <v>0</v>
      </c>
      <c r="L392">
        <v>0</v>
      </c>
    </row>
    <row r="393" spans="1:12">
      <c r="A393" s="14" t="s">
        <v>783</v>
      </c>
      <c r="B393" t="s">
        <v>784</v>
      </c>
      <c r="C393" t="s">
        <v>13</v>
      </c>
      <c r="D393">
        <v>9.13</v>
      </c>
      <c r="E393" t="s">
        <v>2632</v>
      </c>
      <c r="F393" t="s">
        <v>2633</v>
      </c>
      <c r="G393" s="1">
        <v>20.28</v>
      </c>
      <c r="H393" s="1"/>
      <c r="I393" t="s">
        <v>2634</v>
      </c>
      <c r="J393">
        <v>25</v>
      </c>
      <c r="K393">
        <v>0</v>
      </c>
      <c r="L393">
        <v>0</v>
      </c>
    </row>
    <row r="394" spans="1:12">
      <c r="A394" s="14" t="s">
        <v>785</v>
      </c>
      <c r="B394" t="s">
        <v>786</v>
      </c>
      <c r="C394" t="s">
        <v>13</v>
      </c>
      <c r="D394">
        <v>12.68</v>
      </c>
      <c r="E394" t="s">
        <v>2632</v>
      </c>
      <c r="F394" t="s">
        <v>2633</v>
      </c>
      <c r="G394" s="1">
        <v>28.16</v>
      </c>
      <c r="H394" s="1"/>
      <c r="I394" t="s">
        <v>2634</v>
      </c>
      <c r="J394">
        <v>15</v>
      </c>
      <c r="K394">
        <v>0</v>
      </c>
      <c r="L394">
        <v>0</v>
      </c>
    </row>
    <row r="395" spans="1:12">
      <c r="A395" s="14" t="s">
        <v>787</v>
      </c>
      <c r="B395" t="s">
        <v>788</v>
      </c>
      <c r="C395" t="s">
        <v>13</v>
      </c>
      <c r="D395">
        <v>14.66</v>
      </c>
      <c r="E395" t="s">
        <v>2632</v>
      </c>
      <c r="F395" t="s">
        <v>2633</v>
      </c>
      <c r="G395" s="1">
        <v>32.57</v>
      </c>
      <c r="H395" s="1"/>
      <c r="I395" t="s">
        <v>2634</v>
      </c>
      <c r="J395">
        <v>15</v>
      </c>
      <c r="K395">
        <v>0</v>
      </c>
      <c r="L395">
        <v>0</v>
      </c>
    </row>
    <row r="396" spans="1:12">
      <c r="A396" s="14" t="s">
        <v>789</v>
      </c>
      <c r="B396" t="s">
        <v>790</v>
      </c>
      <c r="C396" t="s">
        <v>13</v>
      </c>
      <c r="D396">
        <v>1.49</v>
      </c>
      <c r="E396" t="s">
        <v>2632</v>
      </c>
      <c r="F396" t="s">
        <v>2633</v>
      </c>
      <c r="G396" s="1">
        <v>3.3</v>
      </c>
      <c r="H396" s="1"/>
      <c r="I396" t="s">
        <v>2634</v>
      </c>
      <c r="J396">
        <v>250</v>
      </c>
      <c r="K396">
        <v>0</v>
      </c>
      <c r="L396">
        <v>0</v>
      </c>
    </row>
    <row r="397" spans="1:12">
      <c r="A397" s="14" t="s">
        <v>791</v>
      </c>
      <c r="B397" t="s">
        <v>792</v>
      </c>
      <c r="C397" t="s">
        <v>13</v>
      </c>
      <c r="D397">
        <v>17.37</v>
      </c>
      <c r="E397" t="s">
        <v>2644</v>
      </c>
      <c r="F397" t="s">
        <v>2633</v>
      </c>
      <c r="G397" s="1">
        <v>38.61</v>
      </c>
      <c r="H397" s="1"/>
      <c r="I397" t="s">
        <v>2634</v>
      </c>
      <c r="J397">
        <v>50</v>
      </c>
      <c r="K397">
        <v>0</v>
      </c>
      <c r="L397">
        <v>0</v>
      </c>
    </row>
    <row r="398" spans="1:12">
      <c r="A398" s="14" t="s">
        <v>793</v>
      </c>
      <c r="B398" t="s">
        <v>794</v>
      </c>
      <c r="C398" t="s">
        <v>13</v>
      </c>
      <c r="D398">
        <v>2.81</v>
      </c>
      <c r="E398" t="s">
        <v>2632</v>
      </c>
      <c r="F398" t="s">
        <v>2633</v>
      </c>
      <c r="G398" s="1">
        <v>5.32</v>
      </c>
      <c r="H398" s="1"/>
      <c r="I398" t="s">
        <v>2634</v>
      </c>
      <c r="J398">
        <v>150</v>
      </c>
      <c r="K398">
        <v>0</v>
      </c>
      <c r="L398">
        <v>0</v>
      </c>
    </row>
    <row r="399" spans="1:12">
      <c r="A399" s="14" t="s">
        <v>795</v>
      </c>
      <c r="B399" t="s">
        <v>780</v>
      </c>
      <c r="C399" t="s">
        <v>13</v>
      </c>
      <c r="D399">
        <v>30.8</v>
      </c>
      <c r="E399" t="s">
        <v>2644</v>
      </c>
      <c r="F399" t="s">
        <v>2633</v>
      </c>
      <c r="G399" s="1">
        <v>68.43</v>
      </c>
      <c r="H399" s="1"/>
      <c r="I399" t="s">
        <v>2634</v>
      </c>
      <c r="J399">
        <v>10</v>
      </c>
      <c r="K399">
        <v>0</v>
      </c>
      <c r="L399">
        <v>0</v>
      </c>
    </row>
    <row r="400" spans="1:12">
      <c r="A400" s="14" t="s">
        <v>796</v>
      </c>
      <c r="B400" t="s">
        <v>797</v>
      </c>
      <c r="C400" t="s">
        <v>13</v>
      </c>
      <c r="D400">
        <v>476.36</v>
      </c>
      <c r="E400" t="s">
        <v>2632</v>
      </c>
      <c r="F400" t="s">
        <v>2633</v>
      </c>
      <c r="G400" s="1">
        <v>1058.55</v>
      </c>
      <c r="H400" s="1"/>
      <c r="I400" t="s">
        <v>2634</v>
      </c>
      <c r="J400">
        <v>1</v>
      </c>
      <c r="K400">
        <v>0</v>
      </c>
      <c r="L400">
        <v>0</v>
      </c>
    </row>
    <row r="401" spans="1:12">
      <c r="A401" s="14" t="s">
        <v>798</v>
      </c>
      <c r="B401" t="s">
        <v>799</v>
      </c>
      <c r="C401" t="s">
        <v>13</v>
      </c>
      <c r="D401">
        <v>574.4</v>
      </c>
      <c r="E401" t="s">
        <v>2632</v>
      </c>
      <c r="F401" t="s">
        <v>2633</v>
      </c>
      <c r="G401" s="1">
        <v>1276.42</v>
      </c>
      <c r="H401" s="1"/>
      <c r="I401" t="s">
        <v>2634</v>
      </c>
      <c r="J401">
        <v>1</v>
      </c>
      <c r="K401">
        <v>0</v>
      </c>
      <c r="L401">
        <v>0</v>
      </c>
    </row>
    <row r="402" spans="1:12">
      <c r="A402" s="14" t="s">
        <v>800</v>
      </c>
      <c r="B402" t="s">
        <v>801</v>
      </c>
      <c r="C402" t="s">
        <v>13</v>
      </c>
      <c r="D402">
        <v>697.41</v>
      </c>
      <c r="E402" t="s">
        <v>2632</v>
      </c>
      <c r="F402" t="s">
        <v>2633</v>
      </c>
      <c r="G402" s="1">
        <v>1549.79</v>
      </c>
      <c r="H402" s="1"/>
      <c r="I402" t="s">
        <v>2634</v>
      </c>
      <c r="J402">
        <v>1</v>
      </c>
      <c r="K402">
        <v>0</v>
      </c>
      <c r="L402">
        <v>0</v>
      </c>
    </row>
    <row r="403" spans="1:12">
      <c r="A403" s="14" t="s">
        <v>802</v>
      </c>
      <c r="B403" t="s">
        <v>803</v>
      </c>
      <c r="C403" t="s">
        <v>13</v>
      </c>
      <c r="D403">
        <v>471.27</v>
      </c>
      <c r="E403" t="s">
        <v>2632</v>
      </c>
      <c r="F403" t="s">
        <v>2633</v>
      </c>
      <c r="G403" s="1">
        <v>1047.28</v>
      </c>
      <c r="H403" s="1"/>
      <c r="I403" t="s">
        <v>2634</v>
      </c>
      <c r="J403">
        <v>1</v>
      </c>
      <c r="K403">
        <v>0</v>
      </c>
      <c r="L403">
        <v>0</v>
      </c>
    </row>
    <row r="404" spans="1:12">
      <c r="A404" s="14" t="s">
        <v>804</v>
      </c>
      <c r="B404" t="s">
        <v>805</v>
      </c>
      <c r="C404" t="s">
        <v>13</v>
      </c>
      <c r="D404">
        <v>32.62</v>
      </c>
      <c r="E404" t="s">
        <v>2632</v>
      </c>
      <c r="F404" t="s">
        <v>2633</v>
      </c>
      <c r="G404" s="1">
        <v>72.49</v>
      </c>
      <c r="H404" s="2" t="s">
        <v>2635</v>
      </c>
      <c r="I404" t="s">
        <v>2642</v>
      </c>
      <c r="J404">
        <v>12</v>
      </c>
      <c r="K404">
        <v>0</v>
      </c>
      <c r="L404">
        <v>0</v>
      </c>
    </row>
    <row r="405" spans="1:12">
      <c r="A405" s="14" t="s">
        <v>806</v>
      </c>
      <c r="B405" t="s">
        <v>807</v>
      </c>
      <c r="C405" t="s">
        <v>13</v>
      </c>
      <c r="D405">
        <v>17.05</v>
      </c>
      <c r="E405" t="s">
        <v>2632</v>
      </c>
      <c r="F405" t="s">
        <v>2633</v>
      </c>
      <c r="G405" s="1">
        <v>37.87</v>
      </c>
      <c r="H405" s="2" t="s">
        <v>2635</v>
      </c>
      <c r="I405" t="s">
        <v>2641</v>
      </c>
      <c r="J405">
        <v>24</v>
      </c>
      <c r="K405">
        <v>0</v>
      </c>
      <c r="L405">
        <v>0</v>
      </c>
    </row>
    <row r="406" spans="1:12">
      <c r="A406" s="14" t="s">
        <v>808</v>
      </c>
      <c r="B406" t="s">
        <v>809</v>
      </c>
      <c r="C406" t="s">
        <v>13</v>
      </c>
      <c r="D406">
        <v>16.45</v>
      </c>
      <c r="E406" t="s">
        <v>2632</v>
      </c>
      <c r="F406" t="s">
        <v>2633</v>
      </c>
      <c r="G406" s="1">
        <v>31.34</v>
      </c>
      <c r="H406" s="1"/>
      <c r="I406" t="s">
        <v>2634</v>
      </c>
      <c r="J406">
        <v>20</v>
      </c>
      <c r="K406">
        <v>0</v>
      </c>
      <c r="L406">
        <v>0</v>
      </c>
    </row>
    <row r="407" spans="1:12">
      <c r="A407" s="14" t="s">
        <v>810</v>
      </c>
      <c r="B407" t="s">
        <v>811</v>
      </c>
      <c r="C407" t="s">
        <v>13</v>
      </c>
      <c r="D407">
        <v>14.63</v>
      </c>
      <c r="E407" t="s">
        <v>2632</v>
      </c>
      <c r="F407" t="s">
        <v>2633</v>
      </c>
      <c r="G407" s="1">
        <v>27.85</v>
      </c>
      <c r="H407" s="2" t="s">
        <v>2635</v>
      </c>
      <c r="I407" t="s">
        <v>2636</v>
      </c>
      <c r="J407">
        <v>10</v>
      </c>
      <c r="K407">
        <v>0</v>
      </c>
      <c r="L407">
        <v>0</v>
      </c>
    </row>
    <row r="408" spans="1:12">
      <c r="A408" s="14" t="s">
        <v>812</v>
      </c>
      <c r="B408" t="s">
        <v>813</v>
      </c>
      <c r="C408" t="s">
        <v>13</v>
      </c>
      <c r="D408">
        <v>16.42</v>
      </c>
      <c r="E408" t="s">
        <v>2632</v>
      </c>
      <c r="F408" t="s">
        <v>2633</v>
      </c>
      <c r="G408" s="1">
        <v>31.27</v>
      </c>
      <c r="H408" s="1"/>
      <c r="I408" t="s">
        <v>2634</v>
      </c>
      <c r="J408">
        <v>20</v>
      </c>
      <c r="K408">
        <v>0</v>
      </c>
      <c r="L408">
        <v>0</v>
      </c>
    </row>
    <row r="409" spans="1:12">
      <c r="A409" s="14" t="s">
        <v>814</v>
      </c>
      <c r="B409" t="s">
        <v>815</v>
      </c>
      <c r="C409" t="s">
        <v>13</v>
      </c>
      <c r="D409">
        <v>14.63</v>
      </c>
      <c r="E409" t="s">
        <v>2632</v>
      </c>
      <c r="F409" t="s">
        <v>2633</v>
      </c>
      <c r="G409" s="1">
        <v>27.85</v>
      </c>
      <c r="H409" s="2" t="s">
        <v>2635</v>
      </c>
      <c r="I409" t="s">
        <v>2636</v>
      </c>
      <c r="J409">
        <v>10</v>
      </c>
      <c r="K409">
        <v>0</v>
      </c>
      <c r="L409">
        <v>0</v>
      </c>
    </row>
    <row r="410" spans="1:12">
      <c r="A410" s="14" t="s">
        <v>816</v>
      </c>
      <c r="B410" t="s">
        <v>817</v>
      </c>
      <c r="C410" t="s">
        <v>13</v>
      </c>
      <c r="D410">
        <v>16.45</v>
      </c>
      <c r="E410" t="s">
        <v>2632</v>
      </c>
      <c r="F410" t="s">
        <v>2633</v>
      </c>
      <c r="G410" s="1">
        <v>31.34</v>
      </c>
      <c r="H410" s="1"/>
      <c r="I410" t="s">
        <v>2634</v>
      </c>
      <c r="J410">
        <v>20</v>
      </c>
      <c r="K410">
        <v>0</v>
      </c>
      <c r="L410">
        <v>0</v>
      </c>
    </row>
    <row r="411" spans="1:12">
      <c r="A411" s="14" t="s">
        <v>818</v>
      </c>
      <c r="B411" t="s">
        <v>819</v>
      </c>
      <c r="C411" t="s">
        <v>13</v>
      </c>
      <c r="D411">
        <v>14.63</v>
      </c>
      <c r="E411" t="s">
        <v>2632</v>
      </c>
      <c r="F411" t="s">
        <v>2633</v>
      </c>
      <c r="G411" s="1">
        <v>27.85</v>
      </c>
      <c r="H411" s="2" t="s">
        <v>2635</v>
      </c>
      <c r="I411" t="s">
        <v>2636</v>
      </c>
      <c r="J411">
        <v>10</v>
      </c>
      <c r="K411">
        <v>0</v>
      </c>
      <c r="L411">
        <v>0</v>
      </c>
    </row>
    <row r="412" spans="1:12">
      <c r="A412" s="14" t="s">
        <v>820</v>
      </c>
      <c r="B412" t="s">
        <v>821</v>
      </c>
      <c r="C412" t="s">
        <v>13</v>
      </c>
      <c r="D412">
        <v>16.43</v>
      </c>
      <c r="E412" t="s">
        <v>2632</v>
      </c>
      <c r="F412" t="s">
        <v>2633</v>
      </c>
      <c r="G412" s="1">
        <v>31.28</v>
      </c>
      <c r="H412" s="1"/>
      <c r="I412" t="s">
        <v>2634</v>
      </c>
      <c r="J412">
        <v>20</v>
      </c>
      <c r="K412">
        <v>0</v>
      </c>
      <c r="L412">
        <v>0</v>
      </c>
    </row>
    <row r="413" spans="1:12">
      <c r="A413" s="14" t="s">
        <v>822</v>
      </c>
      <c r="B413" t="s">
        <v>823</v>
      </c>
      <c r="C413" t="s">
        <v>13</v>
      </c>
      <c r="D413">
        <v>14.63</v>
      </c>
      <c r="E413" t="s">
        <v>2632</v>
      </c>
      <c r="F413" t="s">
        <v>2633</v>
      </c>
      <c r="G413" s="1">
        <v>27.85</v>
      </c>
      <c r="H413" s="2" t="s">
        <v>2635</v>
      </c>
      <c r="I413" t="s">
        <v>2636</v>
      </c>
      <c r="J413">
        <v>10</v>
      </c>
      <c r="K413">
        <v>0</v>
      </c>
      <c r="L413">
        <v>0</v>
      </c>
    </row>
    <row r="414" spans="1:12">
      <c r="A414" s="14" t="s">
        <v>824</v>
      </c>
      <c r="B414" t="s">
        <v>825</v>
      </c>
      <c r="C414" t="s">
        <v>13</v>
      </c>
      <c r="D414">
        <v>16.42</v>
      </c>
      <c r="E414" t="s">
        <v>2632</v>
      </c>
      <c r="F414" t="s">
        <v>2633</v>
      </c>
      <c r="G414" s="1">
        <v>31.27</v>
      </c>
      <c r="H414" s="1"/>
      <c r="I414" t="s">
        <v>2634</v>
      </c>
      <c r="J414">
        <v>20</v>
      </c>
      <c r="K414">
        <v>0</v>
      </c>
      <c r="L414">
        <v>0</v>
      </c>
    </row>
    <row r="415" spans="1:12">
      <c r="A415" s="14" t="s">
        <v>826</v>
      </c>
      <c r="B415" t="s">
        <v>827</v>
      </c>
      <c r="C415" t="s">
        <v>13</v>
      </c>
      <c r="D415">
        <v>14.63</v>
      </c>
      <c r="E415" t="s">
        <v>2632</v>
      </c>
      <c r="F415" t="s">
        <v>2633</v>
      </c>
      <c r="G415" s="1">
        <v>27.85</v>
      </c>
      <c r="H415" s="2" t="s">
        <v>2635</v>
      </c>
      <c r="I415" t="s">
        <v>2636</v>
      </c>
      <c r="J415">
        <v>10</v>
      </c>
      <c r="K415">
        <v>0</v>
      </c>
      <c r="L415">
        <v>0</v>
      </c>
    </row>
    <row r="416" spans="1:12">
      <c r="A416" s="14" t="s">
        <v>828</v>
      </c>
      <c r="B416" t="s">
        <v>829</v>
      </c>
      <c r="C416" t="s">
        <v>13</v>
      </c>
      <c r="D416">
        <v>16.42</v>
      </c>
      <c r="E416" t="s">
        <v>2632</v>
      </c>
      <c r="F416" t="s">
        <v>2633</v>
      </c>
      <c r="G416" s="1">
        <v>31.27</v>
      </c>
      <c r="H416" s="1"/>
      <c r="I416" t="s">
        <v>2634</v>
      </c>
      <c r="J416">
        <v>20</v>
      </c>
      <c r="K416">
        <v>0</v>
      </c>
      <c r="L416">
        <v>0</v>
      </c>
    </row>
    <row r="417" spans="1:12">
      <c r="A417" s="14" t="s">
        <v>830</v>
      </c>
      <c r="B417" t="s">
        <v>831</v>
      </c>
      <c r="C417" t="s">
        <v>13</v>
      </c>
      <c r="D417">
        <v>14.63</v>
      </c>
      <c r="E417" t="s">
        <v>2632</v>
      </c>
      <c r="F417" t="s">
        <v>2633</v>
      </c>
      <c r="G417" s="1">
        <v>27.85</v>
      </c>
      <c r="H417" s="2" t="s">
        <v>2635</v>
      </c>
      <c r="I417" t="s">
        <v>2636</v>
      </c>
      <c r="J417">
        <v>10</v>
      </c>
      <c r="K417">
        <v>0</v>
      </c>
      <c r="L417">
        <v>0</v>
      </c>
    </row>
    <row r="418" spans="1:12">
      <c r="A418" s="14" t="s">
        <v>832</v>
      </c>
      <c r="B418" t="s">
        <v>833</v>
      </c>
      <c r="C418" t="s">
        <v>13</v>
      </c>
      <c r="D418">
        <v>16.42</v>
      </c>
      <c r="E418" t="s">
        <v>2632</v>
      </c>
      <c r="F418" t="s">
        <v>2633</v>
      </c>
      <c r="G418" s="1">
        <v>31.27</v>
      </c>
      <c r="H418" s="1"/>
      <c r="I418" t="s">
        <v>2634</v>
      </c>
      <c r="J418">
        <v>20</v>
      </c>
      <c r="K418">
        <v>0</v>
      </c>
      <c r="L418">
        <v>0</v>
      </c>
    </row>
    <row r="419" spans="1:12">
      <c r="A419" s="14" t="s">
        <v>834</v>
      </c>
      <c r="B419" t="s">
        <v>835</v>
      </c>
      <c r="C419" t="s">
        <v>13</v>
      </c>
      <c r="D419">
        <v>14.63</v>
      </c>
      <c r="E419" t="s">
        <v>2632</v>
      </c>
      <c r="F419" t="s">
        <v>2633</v>
      </c>
      <c r="G419" s="1">
        <v>27.85</v>
      </c>
      <c r="H419" s="2" t="s">
        <v>2635</v>
      </c>
      <c r="I419" t="s">
        <v>2636</v>
      </c>
      <c r="J419">
        <v>10</v>
      </c>
      <c r="K419">
        <v>0</v>
      </c>
      <c r="L419">
        <v>0</v>
      </c>
    </row>
    <row r="420" spans="1:12">
      <c r="A420" s="14" t="s">
        <v>836</v>
      </c>
      <c r="B420" t="s">
        <v>837</v>
      </c>
      <c r="C420" t="s">
        <v>13</v>
      </c>
      <c r="D420">
        <v>16.42</v>
      </c>
      <c r="E420" t="s">
        <v>2632</v>
      </c>
      <c r="F420" t="s">
        <v>2633</v>
      </c>
      <c r="G420" s="1">
        <v>31.27</v>
      </c>
      <c r="H420" s="1"/>
      <c r="I420" t="s">
        <v>2634</v>
      </c>
      <c r="J420">
        <v>20</v>
      </c>
      <c r="K420">
        <v>0</v>
      </c>
      <c r="L420">
        <v>0</v>
      </c>
    </row>
    <row r="421" spans="1:12">
      <c r="A421" s="14" t="s">
        <v>838</v>
      </c>
      <c r="B421" t="s">
        <v>839</v>
      </c>
      <c r="C421" t="s">
        <v>13</v>
      </c>
      <c r="D421">
        <v>14.63</v>
      </c>
      <c r="E421" t="s">
        <v>2632</v>
      </c>
      <c r="F421" t="s">
        <v>2633</v>
      </c>
      <c r="G421" s="1">
        <v>27.85</v>
      </c>
      <c r="H421" s="2" t="s">
        <v>2635</v>
      </c>
      <c r="I421" t="s">
        <v>2636</v>
      </c>
      <c r="J421">
        <v>10</v>
      </c>
      <c r="K421">
        <v>0</v>
      </c>
      <c r="L421">
        <v>0</v>
      </c>
    </row>
    <row r="422" spans="1:12">
      <c r="A422" s="14" t="s">
        <v>840</v>
      </c>
      <c r="B422" t="s">
        <v>841</v>
      </c>
      <c r="C422" t="s">
        <v>13</v>
      </c>
      <c r="D422">
        <v>18.32</v>
      </c>
      <c r="E422" t="s">
        <v>2632</v>
      </c>
      <c r="F422" t="s">
        <v>2633</v>
      </c>
      <c r="G422" s="1">
        <v>34.89</v>
      </c>
      <c r="H422" s="1"/>
      <c r="I422" t="s">
        <v>2634</v>
      </c>
      <c r="J422">
        <v>20</v>
      </c>
      <c r="K422">
        <v>0</v>
      </c>
      <c r="L422">
        <v>0</v>
      </c>
    </row>
    <row r="423" spans="1:12">
      <c r="A423" s="14" t="s">
        <v>842</v>
      </c>
      <c r="B423" t="s">
        <v>843</v>
      </c>
      <c r="C423" t="s">
        <v>13</v>
      </c>
      <c r="D423">
        <v>16.57</v>
      </c>
      <c r="E423" t="s">
        <v>2632</v>
      </c>
      <c r="F423" t="s">
        <v>2633</v>
      </c>
      <c r="G423" s="1">
        <v>31.57</v>
      </c>
      <c r="H423" s="2" t="s">
        <v>2635</v>
      </c>
      <c r="I423" t="s">
        <v>2636</v>
      </c>
      <c r="J423">
        <v>10</v>
      </c>
      <c r="K423">
        <v>0</v>
      </c>
      <c r="L423">
        <v>0</v>
      </c>
    </row>
    <row r="424" spans="1:12">
      <c r="A424" s="14" t="s">
        <v>844</v>
      </c>
      <c r="B424" t="s">
        <v>845</v>
      </c>
      <c r="C424" t="s">
        <v>13</v>
      </c>
      <c r="D424">
        <v>18.33</v>
      </c>
      <c r="E424" t="s">
        <v>2632</v>
      </c>
      <c r="F424" t="s">
        <v>2633</v>
      </c>
      <c r="G424" s="1">
        <v>34.91</v>
      </c>
      <c r="H424" s="1"/>
      <c r="I424" t="s">
        <v>2634</v>
      </c>
      <c r="J424">
        <v>20</v>
      </c>
      <c r="K424">
        <v>0</v>
      </c>
      <c r="L424">
        <v>0</v>
      </c>
    </row>
    <row r="425" spans="1:12">
      <c r="A425" s="14" t="s">
        <v>846</v>
      </c>
      <c r="B425" t="s">
        <v>847</v>
      </c>
      <c r="C425" t="s">
        <v>13</v>
      </c>
      <c r="D425">
        <v>16.57</v>
      </c>
      <c r="E425" t="s">
        <v>2632</v>
      </c>
      <c r="F425" t="s">
        <v>2633</v>
      </c>
      <c r="G425" s="1">
        <v>31.57</v>
      </c>
      <c r="H425" s="2" t="s">
        <v>2635</v>
      </c>
      <c r="I425" t="s">
        <v>2636</v>
      </c>
      <c r="J425">
        <v>10</v>
      </c>
      <c r="K425">
        <v>0</v>
      </c>
      <c r="L425">
        <v>0</v>
      </c>
    </row>
    <row r="426" spans="1:12">
      <c r="A426" s="14" t="s">
        <v>848</v>
      </c>
      <c r="B426" t="s">
        <v>849</v>
      </c>
      <c r="C426" t="s">
        <v>13</v>
      </c>
      <c r="D426">
        <v>16.42</v>
      </c>
      <c r="E426" t="s">
        <v>2632</v>
      </c>
      <c r="F426" t="s">
        <v>2633</v>
      </c>
      <c r="G426" s="1">
        <v>31.27</v>
      </c>
      <c r="H426" s="2" t="s">
        <v>2635</v>
      </c>
      <c r="I426" t="s">
        <v>2636</v>
      </c>
      <c r="J426">
        <v>10</v>
      </c>
      <c r="K426">
        <v>0</v>
      </c>
      <c r="L426">
        <v>0</v>
      </c>
    </row>
    <row r="427" spans="1:12">
      <c r="A427" s="14" t="s">
        <v>850</v>
      </c>
      <c r="B427" t="s">
        <v>851</v>
      </c>
      <c r="C427" t="s">
        <v>13</v>
      </c>
      <c r="D427">
        <v>16.42</v>
      </c>
      <c r="E427" t="s">
        <v>2632</v>
      </c>
      <c r="F427" t="s">
        <v>2633</v>
      </c>
      <c r="G427" s="1">
        <v>31.27</v>
      </c>
      <c r="H427" s="2" t="s">
        <v>2635</v>
      </c>
      <c r="I427" t="s">
        <v>2636</v>
      </c>
      <c r="J427">
        <v>10</v>
      </c>
      <c r="K427">
        <v>0</v>
      </c>
      <c r="L427">
        <v>0</v>
      </c>
    </row>
    <row r="428" spans="1:12">
      <c r="A428" s="14" t="s">
        <v>852</v>
      </c>
      <c r="B428" t="s">
        <v>853</v>
      </c>
      <c r="C428" t="s">
        <v>13</v>
      </c>
      <c r="D428">
        <v>7.7</v>
      </c>
      <c r="E428" t="s">
        <v>2632</v>
      </c>
      <c r="F428" t="s">
        <v>2633</v>
      </c>
      <c r="G428" s="1">
        <v>14.68</v>
      </c>
      <c r="H428" s="1"/>
      <c r="I428" t="s">
        <v>2634</v>
      </c>
      <c r="J428">
        <v>20</v>
      </c>
      <c r="K428">
        <v>0</v>
      </c>
      <c r="L428">
        <v>0</v>
      </c>
    </row>
    <row r="429" spans="1:12">
      <c r="A429" s="14" t="s">
        <v>854</v>
      </c>
      <c r="B429" t="s">
        <v>855</v>
      </c>
      <c r="C429" t="s">
        <v>13</v>
      </c>
      <c r="D429">
        <v>5.35</v>
      </c>
      <c r="E429" t="s">
        <v>2632</v>
      </c>
      <c r="F429" t="s">
        <v>2633</v>
      </c>
      <c r="G429" s="1">
        <v>11.89</v>
      </c>
      <c r="H429" s="2" t="s">
        <v>2635</v>
      </c>
      <c r="I429" t="s">
        <v>2636</v>
      </c>
      <c r="J429">
        <v>10</v>
      </c>
      <c r="K429">
        <v>0</v>
      </c>
      <c r="L429">
        <v>0</v>
      </c>
    </row>
    <row r="430" spans="1:12">
      <c r="A430" s="14" t="s">
        <v>856</v>
      </c>
      <c r="B430" t="s">
        <v>857</v>
      </c>
      <c r="C430" t="s">
        <v>13</v>
      </c>
      <c r="D430">
        <v>335.67</v>
      </c>
      <c r="E430" t="s">
        <v>2632</v>
      </c>
      <c r="F430" t="s">
        <v>2633</v>
      </c>
      <c r="G430" s="1">
        <v>745.93</v>
      </c>
      <c r="H430" s="1"/>
      <c r="I430" t="s">
        <v>2634</v>
      </c>
      <c r="J430">
        <v>4</v>
      </c>
      <c r="K430">
        <v>0</v>
      </c>
      <c r="L430">
        <v>0</v>
      </c>
    </row>
    <row r="431" spans="1:12">
      <c r="A431" s="14" t="s">
        <v>858</v>
      </c>
      <c r="B431" t="s">
        <v>859</v>
      </c>
      <c r="C431" t="s">
        <v>13</v>
      </c>
      <c r="D431">
        <v>271.18</v>
      </c>
      <c r="E431" t="s">
        <v>2632</v>
      </c>
      <c r="F431" t="s">
        <v>2633</v>
      </c>
      <c r="G431" s="1">
        <v>602.63</v>
      </c>
      <c r="H431" s="1"/>
      <c r="I431" t="s">
        <v>2634</v>
      </c>
      <c r="J431">
        <v>4</v>
      </c>
      <c r="K431">
        <v>0</v>
      </c>
      <c r="L431">
        <v>0</v>
      </c>
    </row>
    <row r="432" spans="1:12">
      <c r="A432" s="14" t="s">
        <v>860</v>
      </c>
      <c r="B432" t="s">
        <v>861</v>
      </c>
      <c r="C432" t="s">
        <v>13</v>
      </c>
      <c r="D432">
        <v>445.3</v>
      </c>
      <c r="E432" t="s">
        <v>2632</v>
      </c>
      <c r="F432" t="s">
        <v>2633</v>
      </c>
      <c r="G432" s="1">
        <v>989.54</v>
      </c>
      <c r="H432" s="1"/>
      <c r="I432" t="s">
        <v>2634</v>
      </c>
      <c r="J432">
        <v>4</v>
      </c>
      <c r="K432">
        <v>0</v>
      </c>
      <c r="L432">
        <v>0</v>
      </c>
    </row>
    <row r="433" spans="1:12">
      <c r="A433" s="14" t="s">
        <v>862</v>
      </c>
      <c r="B433" t="s">
        <v>863</v>
      </c>
      <c r="C433" t="s">
        <v>13</v>
      </c>
      <c r="D433">
        <v>320.86</v>
      </c>
      <c r="E433" t="s">
        <v>2632</v>
      </c>
      <c r="F433" t="s">
        <v>2633</v>
      </c>
      <c r="G433" s="1">
        <v>713.02</v>
      </c>
      <c r="H433" s="2" t="s">
        <v>2635</v>
      </c>
      <c r="I433" t="s">
        <v>2645</v>
      </c>
      <c r="J433">
        <v>8</v>
      </c>
      <c r="K433">
        <v>0</v>
      </c>
      <c r="L433">
        <v>0</v>
      </c>
    </row>
    <row r="434" spans="1:12">
      <c r="A434" s="14" t="s">
        <v>864</v>
      </c>
      <c r="B434" t="s">
        <v>865</v>
      </c>
      <c r="C434" t="s">
        <v>13</v>
      </c>
      <c r="D434">
        <v>364.35</v>
      </c>
      <c r="E434" t="s">
        <v>2632</v>
      </c>
      <c r="F434" t="s">
        <v>2633</v>
      </c>
      <c r="G434" s="1">
        <v>809.7</v>
      </c>
      <c r="H434" s="1"/>
      <c r="I434" t="s">
        <v>2634</v>
      </c>
      <c r="J434">
        <v>1</v>
      </c>
      <c r="K434">
        <v>0</v>
      </c>
      <c r="L434">
        <v>0</v>
      </c>
    </row>
    <row r="435" spans="1:12">
      <c r="A435" s="14" t="s">
        <v>866</v>
      </c>
      <c r="B435" t="s">
        <v>867</v>
      </c>
      <c r="C435" t="s">
        <v>13</v>
      </c>
      <c r="D435">
        <v>465.11</v>
      </c>
      <c r="E435" t="s">
        <v>2632</v>
      </c>
      <c r="F435" t="s">
        <v>2633</v>
      </c>
      <c r="G435" s="1">
        <v>1033.57</v>
      </c>
      <c r="H435" s="1"/>
      <c r="I435" t="s">
        <v>2634</v>
      </c>
      <c r="J435">
        <v>1</v>
      </c>
      <c r="K435">
        <v>0</v>
      </c>
      <c r="L435">
        <v>0</v>
      </c>
    </row>
    <row r="436" spans="1:12">
      <c r="A436" s="14" t="s">
        <v>868</v>
      </c>
      <c r="B436" t="s">
        <v>869</v>
      </c>
      <c r="C436" t="s">
        <v>13</v>
      </c>
      <c r="D436">
        <v>88.41</v>
      </c>
      <c r="E436" t="s">
        <v>2632</v>
      </c>
      <c r="F436" t="s">
        <v>2633</v>
      </c>
      <c r="G436" s="1">
        <v>196.49</v>
      </c>
      <c r="H436" s="1"/>
      <c r="I436" t="s">
        <v>2634</v>
      </c>
      <c r="J436">
        <v>5</v>
      </c>
      <c r="K436">
        <v>0</v>
      </c>
      <c r="L436">
        <v>0</v>
      </c>
    </row>
    <row r="437" spans="1:12">
      <c r="A437" s="14" t="s">
        <v>870</v>
      </c>
      <c r="B437" t="s">
        <v>871</v>
      </c>
      <c r="C437" t="s">
        <v>13</v>
      </c>
      <c r="D437">
        <v>86.81</v>
      </c>
      <c r="E437" t="s">
        <v>2632</v>
      </c>
      <c r="F437" t="s">
        <v>2633</v>
      </c>
      <c r="G437" s="1">
        <v>192.93</v>
      </c>
      <c r="H437" s="1"/>
      <c r="I437" t="s">
        <v>2634</v>
      </c>
      <c r="J437" t="s">
        <v>2634</v>
      </c>
      <c r="K437">
        <v>0</v>
      </c>
      <c r="L437">
        <v>0</v>
      </c>
    </row>
    <row r="438" spans="1:12">
      <c r="A438" s="14" t="s">
        <v>872</v>
      </c>
      <c r="B438" t="s">
        <v>873</v>
      </c>
      <c r="C438" t="s">
        <v>13</v>
      </c>
      <c r="D438">
        <v>91.04</v>
      </c>
      <c r="E438" t="s">
        <v>2632</v>
      </c>
      <c r="F438" t="s">
        <v>2633</v>
      </c>
      <c r="G438" s="1">
        <v>202.31</v>
      </c>
      <c r="H438" s="1"/>
      <c r="I438" t="s">
        <v>2634</v>
      </c>
      <c r="J438">
        <v>1</v>
      </c>
      <c r="K438">
        <v>0</v>
      </c>
      <c r="L438">
        <v>0</v>
      </c>
    </row>
    <row r="439" spans="1:12">
      <c r="A439" s="14" t="s">
        <v>874</v>
      </c>
      <c r="B439" t="s">
        <v>875</v>
      </c>
      <c r="C439" t="s">
        <v>13</v>
      </c>
      <c r="D439">
        <v>101.31</v>
      </c>
      <c r="E439" t="s">
        <v>2632</v>
      </c>
      <c r="F439" t="s">
        <v>2633</v>
      </c>
      <c r="G439" s="1">
        <v>225.11</v>
      </c>
      <c r="H439" s="1"/>
      <c r="I439" t="s">
        <v>2634</v>
      </c>
      <c r="J439">
        <v>1</v>
      </c>
      <c r="K439">
        <v>0</v>
      </c>
      <c r="L439">
        <v>0</v>
      </c>
    </row>
    <row r="440" spans="1:12">
      <c r="A440" s="14" t="s">
        <v>876</v>
      </c>
      <c r="B440" t="s">
        <v>877</v>
      </c>
      <c r="C440" t="s">
        <v>13</v>
      </c>
      <c r="D440">
        <v>86.79</v>
      </c>
      <c r="E440" t="s">
        <v>2632</v>
      </c>
      <c r="F440" t="s">
        <v>2633</v>
      </c>
      <c r="G440" s="1">
        <v>192.85</v>
      </c>
      <c r="H440" s="1"/>
      <c r="I440" t="s">
        <v>2634</v>
      </c>
      <c r="J440">
        <v>1</v>
      </c>
      <c r="K440">
        <v>0</v>
      </c>
      <c r="L440">
        <v>0</v>
      </c>
    </row>
    <row r="441" spans="1:12">
      <c r="A441" s="14" t="s">
        <v>878</v>
      </c>
      <c r="B441" t="s">
        <v>879</v>
      </c>
      <c r="C441" t="s">
        <v>13</v>
      </c>
      <c r="D441">
        <v>86.79</v>
      </c>
      <c r="E441" t="s">
        <v>2632</v>
      </c>
      <c r="F441" t="s">
        <v>2633</v>
      </c>
      <c r="G441" s="1">
        <v>192.85</v>
      </c>
      <c r="H441" s="1"/>
      <c r="I441" t="s">
        <v>2634</v>
      </c>
      <c r="J441">
        <v>1</v>
      </c>
      <c r="K441">
        <v>0</v>
      </c>
      <c r="L441">
        <v>0</v>
      </c>
    </row>
    <row r="442" spans="1:12">
      <c r="A442" s="14" t="s">
        <v>880</v>
      </c>
      <c r="B442" t="s">
        <v>881</v>
      </c>
      <c r="C442" t="s">
        <v>13</v>
      </c>
      <c r="D442">
        <v>110.75</v>
      </c>
      <c r="E442" t="s">
        <v>2632</v>
      </c>
      <c r="F442" t="s">
        <v>2633</v>
      </c>
      <c r="G442" s="1">
        <v>246.11</v>
      </c>
      <c r="H442" s="1"/>
      <c r="I442" t="s">
        <v>2634</v>
      </c>
      <c r="J442">
        <v>1</v>
      </c>
      <c r="K442">
        <v>0</v>
      </c>
      <c r="L442">
        <v>0</v>
      </c>
    </row>
    <row r="443" spans="1:12">
      <c r="A443" s="14" t="s">
        <v>882</v>
      </c>
      <c r="B443" t="s">
        <v>883</v>
      </c>
      <c r="C443" t="s">
        <v>13</v>
      </c>
      <c r="D443">
        <v>110.75</v>
      </c>
      <c r="E443" t="s">
        <v>2632</v>
      </c>
      <c r="F443" t="s">
        <v>2633</v>
      </c>
      <c r="G443" s="1">
        <v>246.11</v>
      </c>
      <c r="H443" s="1"/>
      <c r="I443" t="s">
        <v>2634</v>
      </c>
      <c r="J443">
        <v>1</v>
      </c>
      <c r="K443">
        <v>0</v>
      </c>
      <c r="L443">
        <v>0</v>
      </c>
    </row>
    <row r="444" spans="1:12">
      <c r="A444" s="14" t="s">
        <v>884</v>
      </c>
      <c r="B444" t="s">
        <v>885</v>
      </c>
      <c r="C444" t="s">
        <v>13</v>
      </c>
      <c r="D444">
        <v>110.75</v>
      </c>
      <c r="E444" t="s">
        <v>2632</v>
      </c>
      <c r="F444" t="s">
        <v>2633</v>
      </c>
      <c r="G444" s="1">
        <v>246.11</v>
      </c>
      <c r="H444" s="1"/>
      <c r="I444" t="s">
        <v>2634</v>
      </c>
      <c r="J444">
        <v>1</v>
      </c>
      <c r="K444">
        <v>0</v>
      </c>
      <c r="L444">
        <v>0</v>
      </c>
    </row>
    <row r="445" spans="1:12">
      <c r="A445" s="14" t="s">
        <v>886</v>
      </c>
      <c r="B445" t="s">
        <v>887</v>
      </c>
      <c r="C445" t="s">
        <v>13</v>
      </c>
      <c r="D445">
        <v>226.86</v>
      </c>
      <c r="E445" t="s">
        <v>2632</v>
      </c>
      <c r="F445" t="s">
        <v>2633</v>
      </c>
      <c r="G445" s="1">
        <v>504.15</v>
      </c>
      <c r="H445" s="1"/>
      <c r="I445" t="s">
        <v>2634</v>
      </c>
      <c r="J445">
        <v>12</v>
      </c>
      <c r="K445">
        <v>0</v>
      </c>
      <c r="L445">
        <v>0</v>
      </c>
    </row>
    <row r="446" spans="1:12">
      <c r="A446" s="14" t="s">
        <v>888</v>
      </c>
      <c r="B446" t="s">
        <v>889</v>
      </c>
      <c r="C446" t="s">
        <v>13</v>
      </c>
      <c r="D446">
        <v>227.72</v>
      </c>
      <c r="E446" t="s">
        <v>2632</v>
      </c>
      <c r="F446" t="s">
        <v>2633</v>
      </c>
      <c r="G446" s="1">
        <v>506.08</v>
      </c>
      <c r="H446" s="1"/>
      <c r="I446" t="s">
        <v>2634</v>
      </c>
      <c r="J446">
        <v>12</v>
      </c>
      <c r="K446">
        <v>0</v>
      </c>
      <c r="L446">
        <v>0</v>
      </c>
    </row>
    <row r="447" spans="1:12">
      <c r="A447" s="14" t="s">
        <v>890</v>
      </c>
      <c r="B447" t="s">
        <v>891</v>
      </c>
      <c r="C447" t="s">
        <v>13</v>
      </c>
      <c r="D447">
        <v>226.02</v>
      </c>
      <c r="E447" t="s">
        <v>2632</v>
      </c>
      <c r="F447" t="s">
        <v>2633</v>
      </c>
      <c r="G447" s="1">
        <v>502.28</v>
      </c>
      <c r="H447" s="1"/>
      <c r="I447" t="s">
        <v>2634</v>
      </c>
      <c r="J447">
        <v>1</v>
      </c>
      <c r="K447">
        <v>0</v>
      </c>
      <c r="L447">
        <v>0</v>
      </c>
    </row>
    <row r="448" spans="1:12">
      <c r="A448" s="14" t="s">
        <v>892</v>
      </c>
      <c r="B448" t="s">
        <v>893</v>
      </c>
      <c r="C448" t="s">
        <v>13</v>
      </c>
      <c r="D448">
        <v>123.86</v>
      </c>
      <c r="E448" t="s">
        <v>2632</v>
      </c>
      <c r="F448" t="s">
        <v>2633</v>
      </c>
      <c r="G448" s="1">
        <v>275.24</v>
      </c>
      <c r="H448" s="1"/>
      <c r="I448" t="s">
        <v>2634</v>
      </c>
      <c r="J448">
        <v>6</v>
      </c>
      <c r="K448">
        <v>0</v>
      </c>
      <c r="L448">
        <v>0</v>
      </c>
    </row>
    <row r="449" spans="1:12">
      <c r="A449" s="14" t="s">
        <v>894</v>
      </c>
      <c r="B449" t="s">
        <v>895</v>
      </c>
      <c r="C449" t="s">
        <v>13</v>
      </c>
      <c r="D449">
        <v>82.22</v>
      </c>
      <c r="E449" t="s">
        <v>2632</v>
      </c>
      <c r="F449" t="s">
        <v>2633</v>
      </c>
      <c r="G449" s="1">
        <v>182.71</v>
      </c>
      <c r="H449" s="1"/>
      <c r="I449" t="s">
        <v>2634</v>
      </c>
      <c r="J449">
        <v>5</v>
      </c>
      <c r="K449">
        <v>0</v>
      </c>
      <c r="L449">
        <v>0</v>
      </c>
    </row>
    <row r="450" spans="1:12">
      <c r="A450" s="14" t="s">
        <v>896</v>
      </c>
      <c r="B450" t="s">
        <v>897</v>
      </c>
      <c r="C450" t="s">
        <v>13</v>
      </c>
      <c r="D450">
        <v>82.24</v>
      </c>
      <c r="E450" t="s">
        <v>2632</v>
      </c>
      <c r="F450" t="s">
        <v>2633</v>
      </c>
      <c r="G450" s="1">
        <v>182.74</v>
      </c>
      <c r="H450" s="1"/>
      <c r="I450" t="s">
        <v>2634</v>
      </c>
      <c r="J450">
        <v>10</v>
      </c>
      <c r="K450">
        <v>0</v>
      </c>
      <c r="L450">
        <v>0</v>
      </c>
    </row>
    <row r="451" spans="1:12">
      <c r="A451" s="14" t="s">
        <v>898</v>
      </c>
      <c r="B451" t="s">
        <v>899</v>
      </c>
      <c r="C451" t="s">
        <v>13</v>
      </c>
      <c r="D451">
        <v>42.35</v>
      </c>
      <c r="E451" t="s">
        <v>2632</v>
      </c>
      <c r="F451" t="s">
        <v>2633</v>
      </c>
      <c r="G451" s="1">
        <v>94.09</v>
      </c>
      <c r="H451" s="1"/>
      <c r="I451" t="s">
        <v>2634</v>
      </c>
      <c r="J451">
        <v>1</v>
      </c>
      <c r="K451">
        <v>0</v>
      </c>
      <c r="L451">
        <v>0</v>
      </c>
    </row>
    <row r="452" spans="1:12">
      <c r="A452" s="14" t="s">
        <v>900</v>
      </c>
      <c r="B452" t="s">
        <v>901</v>
      </c>
      <c r="C452" t="s">
        <v>13</v>
      </c>
      <c r="D452">
        <v>43.01</v>
      </c>
      <c r="E452" t="s">
        <v>2632</v>
      </c>
      <c r="F452" t="s">
        <v>2633</v>
      </c>
      <c r="G452" s="1">
        <v>95.59</v>
      </c>
      <c r="H452" s="2" t="s">
        <v>2635</v>
      </c>
      <c r="I452" t="s">
        <v>2637</v>
      </c>
      <c r="J452">
        <v>6</v>
      </c>
      <c r="K452">
        <v>0</v>
      </c>
      <c r="L452">
        <v>0</v>
      </c>
    </row>
    <row r="453" spans="1:12">
      <c r="A453" s="14" t="s">
        <v>902</v>
      </c>
      <c r="B453" t="s">
        <v>903</v>
      </c>
      <c r="C453" t="s">
        <v>13</v>
      </c>
      <c r="D453">
        <v>43.77</v>
      </c>
      <c r="E453" t="s">
        <v>2632</v>
      </c>
      <c r="F453" t="s">
        <v>2633</v>
      </c>
      <c r="G453" s="1">
        <v>97.23</v>
      </c>
      <c r="H453" s="1"/>
      <c r="I453" t="s">
        <v>2634</v>
      </c>
      <c r="J453" t="s">
        <v>2634</v>
      </c>
      <c r="K453">
        <v>0</v>
      </c>
      <c r="L453">
        <v>0</v>
      </c>
    </row>
    <row r="454" spans="1:12">
      <c r="A454" s="14" t="s">
        <v>904</v>
      </c>
      <c r="B454" t="s">
        <v>905</v>
      </c>
      <c r="C454" t="s">
        <v>13</v>
      </c>
      <c r="D454">
        <v>36.59</v>
      </c>
      <c r="E454" t="s">
        <v>2632</v>
      </c>
      <c r="F454" t="s">
        <v>2633</v>
      </c>
      <c r="G454" s="1">
        <v>81.28</v>
      </c>
      <c r="H454" s="2" t="s">
        <v>2635</v>
      </c>
      <c r="I454" t="s">
        <v>2637</v>
      </c>
      <c r="J454">
        <v>6</v>
      </c>
      <c r="K454">
        <v>0</v>
      </c>
      <c r="L454">
        <v>0</v>
      </c>
    </row>
    <row r="455" spans="1:12">
      <c r="A455" s="14" t="s">
        <v>906</v>
      </c>
      <c r="B455" t="s">
        <v>907</v>
      </c>
      <c r="C455" t="s">
        <v>13</v>
      </c>
      <c r="D455">
        <v>65.65</v>
      </c>
      <c r="E455" t="s">
        <v>2632</v>
      </c>
      <c r="F455" t="s">
        <v>2633</v>
      </c>
      <c r="G455" s="1">
        <v>145.88</v>
      </c>
      <c r="H455" s="1"/>
      <c r="I455" t="s">
        <v>2634</v>
      </c>
      <c r="J455" t="s">
        <v>2634</v>
      </c>
      <c r="K455">
        <v>0</v>
      </c>
      <c r="L455">
        <v>0</v>
      </c>
    </row>
    <row r="456" spans="1:12">
      <c r="A456" s="14" t="s">
        <v>908</v>
      </c>
      <c r="B456" t="s">
        <v>909</v>
      </c>
      <c r="C456" t="s">
        <v>13</v>
      </c>
      <c r="D456">
        <v>14.77</v>
      </c>
      <c r="E456" t="s">
        <v>2632</v>
      </c>
      <c r="F456" t="s">
        <v>2633</v>
      </c>
      <c r="G456" s="1">
        <v>32.82</v>
      </c>
      <c r="H456" s="1"/>
      <c r="I456" t="s">
        <v>2634</v>
      </c>
      <c r="J456" t="s">
        <v>2634</v>
      </c>
      <c r="K456">
        <v>0</v>
      </c>
      <c r="L456">
        <v>0</v>
      </c>
    </row>
    <row r="457" spans="1:12">
      <c r="A457" s="14" t="s">
        <v>910</v>
      </c>
      <c r="B457" t="s">
        <v>911</v>
      </c>
      <c r="C457" t="s">
        <v>13</v>
      </c>
      <c r="D457">
        <v>9.37</v>
      </c>
      <c r="E457" t="s">
        <v>2632</v>
      </c>
      <c r="F457" t="s">
        <v>2633</v>
      </c>
      <c r="G457" s="1">
        <v>17.85</v>
      </c>
      <c r="H457" s="1"/>
      <c r="I457" t="s">
        <v>2634</v>
      </c>
      <c r="J457">
        <v>12</v>
      </c>
      <c r="K457">
        <v>0</v>
      </c>
      <c r="L457">
        <v>0</v>
      </c>
    </row>
    <row r="458" spans="1:12">
      <c r="A458" s="14" t="s">
        <v>912</v>
      </c>
      <c r="B458" t="s">
        <v>913</v>
      </c>
      <c r="C458" t="s">
        <v>13</v>
      </c>
      <c r="D458">
        <v>6.85</v>
      </c>
      <c r="E458" t="s">
        <v>2632</v>
      </c>
      <c r="F458" t="s">
        <v>2633</v>
      </c>
      <c r="G458" s="1">
        <v>13.03</v>
      </c>
      <c r="H458" s="1"/>
      <c r="I458" t="s">
        <v>2634</v>
      </c>
      <c r="J458">
        <v>24</v>
      </c>
      <c r="K458">
        <v>0</v>
      </c>
      <c r="L458">
        <v>0</v>
      </c>
    </row>
    <row r="459" spans="1:12">
      <c r="A459" s="14" t="s">
        <v>914</v>
      </c>
      <c r="B459" t="s">
        <v>915</v>
      </c>
      <c r="C459" t="s">
        <v>13</v>
      </c>
      <c r="D459">
        <v>396.8</v>
      </c>
      <c r="E459" t="s">
        <v>2632</v>
      </c>
      <c r="F459" t="s">
        <v>2633</v>
      </c>
      <c r="G459" s="1">
        <v>881.82</v>
      </c>
      <c r="H459" s="1"/>
      <c r="I459" t="s">
        <v>2634</v>
      </c>
      <c r="J459">
        <v>12</v>
      </c>
      <c r="K459">
        <v>0</v>
      </c>
      <c r="L459">
        <v>0</v>
      </c>
    </row>
    <row r="460" spans="1:12">
      <c r="A460" s="14" t="s">
        <v>916</v>
      </c>
      <c r="B460" t="s">
        <v>917</v>
      </c>
      <c r="C460" t="s">
        <v>13</v>
      </c>
      <c r="D460">
        <v>685.05</v>
      </c>
      <c r="E460" t="s">
        <v>2632</v>
      </c>
      <c r="F460" t="s">
        <v>2633</v>
      </c>
      <c r="G460" s="1">
        <v>1522.36</v>
      </c>
      <c r="H460" s="1"/>
      <c r="I460" t="s">
        <v>2634</v>
      </c>
      <c r="J460">
        <v>12</v>
      </c>
      <c r="K460">
        <v>0</v>
      </c>
      <c r="L460">
        <v>0</v>
      </c>
    </row>
    <row r="461" spans="1:12">
      <c r="A461" s="14" t="s">
        <v>918</v>
      </c>
      <c r="B461" t="s">
        <v>919</v>
      </c>
      <c r="C461" t="s">
        <v>13</v>
      </c>
      <c r="D461">
        <v>952.45</v>
      </c>
      <c r="E461" t="s">
        <v>2632</v>
      </c>
      <c r="F461" t="s">
        <v>2633</v>
      </c>
      <c r="G461" s="1">
        <v>2116.57</v>
      </c>
      <c r="H461" s="1"/>
      <c r="I461" t="s">
        <v>2634</v>
      </c>
      <c r="J461">
        <v>1</v>
      </c>
      <c r="K461">
        <v>0</v>
      </c>
      <c r="L461">
        <v>0</v>
      </c>
    </row>
    <row r="462" spans="1:12">
      <c r="A462" s="14" t="s">
        <v>920</v>
      </c>
      <c r="B462" t="s">
        <v>921</v>
      </c>
      <c r="C462" t="s">
        <v>13</v>
      </c>
      <c r="D462">
        <v>187.23</v>
      </c>
      <c r="E462" t="s">
        <v>2632</v>
      </c>
      <c r="F462" t="s">
        <v>2633</v>
      </c>
      <c r="G462" s="1">
        <v>416.05</v>
      </c>
      <c r="H462" s="1"/>
      <c r="I462" t="s">
        <v>2634</v>
      </c>
      <c r="J462">
        <v>1</v>
      </c>
      <c r="K462">
        <v>0</v>
      </c>
      <c r="L462">
        <v>0</v>
      </c>
    </row>
    <row r="463" spans="1:12">
      <c r="A463" s="14" t="s">
        <v>922</v>
      </c>
      <c r="B463" t="s">
        <v>917</v>
      </c>
      <c r="C463" t="s">
        <v>13</v>
      </c>
      <c r="D463">
        <v>370.23</v>
      </c>
      <c r="E463" t="s">
        <v>2632</v>
      </c>
      <c r="F463" t="s">
        <v>2633</v>
      </c>
      <c r="G463" s="1">
        <v>822.73</v>
      </c>
      <c r="H463" s="1"/>
      <c r="I463" t="s">
        <v>2634</v>
      </c>
      <c r="J463">
        <v>1</v>
      </c>
      <c r="K463">
        <v>0</v>
      </c>
      <c r="L463">
        <v>0</v>
      </c>
    </row>
    <row r="464" spans="1:12">
      <c r="A464" s="14" t="s">
        <v>923</v>
      </c>
      <c r="B464" t="s">
        <v>924</v>
      </c>
      <c r="C464" t="s">
        <v>13</v>
      </c>
      <c r="D464">
        <v>1189.06</v>
      </c>
      <c r="E464" t="s">
        <v>2632</v>
      </c>
      <c r="F464" t="s">
        <v>2633</v>
      </c>
      <c r="G464" s="1">
        <v>2642.36</v>
      </c>
      <c r="H464" s="1"/>
      <c r="I464" t="s">
        <v>2634</v>
      </c>
      <c r="J464">
        <v>1</v>
      </c>
      <c r="K464">
        <v>0</v>
      </c>
      <c r="L464">
        <v>0</v>
      </c>
    </row>
    <row r="465" spans="1:12">
      <c r="A465" s="14" t="s">
        <v>925</v>
      </c>
      <c r="B465" t="s">
        <v>926</v>
      </c>
      <c r="C465" t="s">
        <v>13</v>
      </c>
      <c r="D465">
        <v>1425.31</v>
      </c>
      <c r="E465" t="s">
        <v>2632</v>
      </c>
      <c r="F465" t="s">
        <v>2633</v>
      </c>
      <c r="G465" s="1">
        <v>3167.39</v>
      </c>
      <c r="H465" s="1"/>
      <c r="I465" t="s">
        <v>2634</v>
      </c>
      <c r="J465">
        <v>1</v>
      </c>
      <c r="K465">
        <v>0</v>
      </c>
      <c r="L465">
        <v>0</v>
      </c>
    </row>
    <row r="466" spans="1:12">
      <c r="A466" s="14" t="s">
        <v>927</v>
      </c>
      <c r="B466" t="s">
        <v>928</v>
      </c>
      <c r="C466" t="s">
        <v>13</v>
      </c>
      <c r="D466">
        <v>55.63</v>
      </c>
      <c r="E466" t="s">
        <v>2632</v>
      </c>
      <c r="F466" t="s">
        <v>2633</v>
      </c>
      <c r="G466" s="1">
        <v>123.63</v>
      </c>
      <c r="H466" s="1"/>
      <c r="I466" t="s">
        <v>2634</v>
      </c>
      <c r="J466">
        <v>1</v>
      </c>
      <c r="K466">
        <v>0</v>
      </c>
      <c r="L466">
        <v>0</v>
      </c>
    </row>
    <row r="467" spans="1:12">
      <c r="A467" s="14" t="s">
        <v>929</v>
      </c>
      <c r="B467" t="s">
        <v>930</v>
      </c>
      <c r="C467" t="s">
        <v>13</v>
      </c>
      <c r="D467">
        <v>73.83</v>
      </c>
      <c r="E467" t="s">
        <v>2632</v>
      </c>
      <c r="F467" t="s">
        <v>2633</v>
      </c>
      <c r="G467" s="1">
        <v>164.08</v>
      </c>
      <c r="H467" s="1"/>
      <c r="I467" t="s">
        <v>2634</v>
      </c>
      <c r="J467">
        <v>12</v>
      </c>
      <c r="K467">
        <v>0</v>
      </c>
      <c r="L467">
        <v>0</v>
      </c>
    </row>
    <row r="468" spans="1:12">
      <c r="A468" s="14" t="s">
        <v>931</v>
      </c>
      <c r="B468" t="s">
        <v>932</v>
      </c>
      <c r="C468" t="s">
        <v>13</v>
      </c>
      <c r="D468">
        <v>69.31</v>
      </c>
      <c r="E468" t="s">
        <v>2632</v>
      </c>
      <c r="F468" t="s">
        <v>2633</v>
      </c>
      <c r="G468" s="1">
        <v>154.05</v>
      </c>
      <c r="H468" s="2" t="s">
        <v>2635</v>
      </c>
      <c r="I468" t="s">
        <v>2637</v>
      </c>
      <c r="J468">
        <v>6</v>
      </c>
      <c r="K468">
        <v>0</v>
      </c>
      <c r="L468">
        <v>0</v>
      </c>
    </row>
    <row r="469" spans="1:12">
      <c r="A469" s="14" t="s">
        <v>933</v>
      </c>
      <c r="B469" t="s">
        <v>934</v>
      </c>
      <c r="C469" t="s">
        <v>13</v>
      </c>
      <c r="D469">
        <v>28.38</v>
      </c>
      <c r="E469" t="s">
        <v>2632</v>
      </c>
      <c r="F469" t="s">
        <v>2633</v>
      </c>
      <c r="G469" s="1">
        <v>63.07</v>
      </c>
      <c r="H469" s="1"/>
      <c r="I469" t="s">
        <v>2634</v>
      </c>
      <c r="J469">
        <v>12</v>
      </c>
      <c r="K469">
        <v>0</v>
      </c>
      <c r="L469">
        <v>0</v>
      </c>
    </row>
    <row r="470" spans="1:12">
      <c r="A470" s="14" t="s">
        <v>935</v>
      </c>
      <c r="B470" t="s">
        <v>936</v>
      </c>
      <c r="C470" t="s">
        <v>13</v>
      </c>
      <c r="D470">
        <v>1.7</v>
      </c>
      <c r="E470" t="s">
        <v>2632</v>
      </c>
      <c r="F470" t="s">
        <v>2633</v>
      </c>
      <c r="G470" s="1">
        <v>3.25</v>
      </c>
      <c r="H470" s="1"/>
      <c r="I470" t="s">
        <v>2634</v>
      </c>
      <c r="J470" t="s">
        <v>2634</v>
      </c>
      <c r="K470">
        <v>0</v>
      </c>
      <c r="L470">
        <v>0</v>
      </c>
    </row>
    <row r="471" spans="1:12">
      <c r="A471" s="14" t="s">
        <v>937</v>
      </c>
      <c r="B471" t="s">
        <v>938</v>
      </c>
      <c r="C471" t="s">
        <v>13</v>
      </c>
      <c r="D471">
        <v>47.31</v>
      </c>
      <c r="E471" t="s">
        <v>2632</v>
      </c>
      <c r="F471" t="s">
        <v>2633</v>
      </c>
      <c r="G471" s="1">
        <v>105.17</v>
      </c>
      <c r="H471" s="1"/>
      <c r="I471" t="s">
        <v>2634</v>
      </c>
      <c r="J471">
        <v>10</v>
      </c>
      <c r="K471">
        <v>0</v>
      </c>
      <c r="L471">
        <v>0</v>
      </c>
    </row>
    <row r="472" spans="1:12">
      <c r="A472" s="14" t="s">
        <v>939</v>
      </c>
      <c r="B472" t="s">
        <v>940</v>
      </c>
      <c r="C472" t="s">
        <v>13</v>
      </c>
      <c r="D472">
        <v>34.46</v>
      </c>
      <c r="E472" t="s">
        <v>2632</v>
      </c>
      <c r="F472" t="s">
        <v>2633</v>
      </c>
      <c r="G472" s="1">
        <v>76.57</v>
      </c>
      <c r="H472" s="2" t="s">
        <v>2635</v>
      </c>
      <c r="I472" t="s">
        <v>2636</v>
      </c>
      <c r="J472">
        <v>10</v>
      </c>
      <c r="K472">
        <v>0</v>
      </c>
      <c r="L472">
        <v>0</v>
      </c>
    </row>
    <row r="473" spans="1:12">
      <c r="A473" s="14" t="s">
        <v>941</v>
      </c>
      <c r="B473" t="s">
        <v>942</v>
      </c>
      <c r="C473" t="s">
        <v>13</v>
      </c>
      <c r="D473">
        <v>54.66</v>
      </c>
      <c r="E473" t="s">
        <v>2632</v>
      </c>
      <c r="F473" t="s">
        <v>2633</v>
      </c>
      <c r="G473" s="1">
        <v>121.48</v>
      </c>
      <c r="H473" s="1"/>
      <c r="I473" t="s">
        <v>2634</v>
      </c>
      <c r="J473">
        <v>10</v>
      </c>
      <c r="K473">
        <v>0</v>
      </c>
      <c r="L473">
        <v>0</v>
      </c>
    </row>
    <row r="474" spans="1:12">
      <c r="A474" s="14" t="s">
        <v>943</v>
      </c>
      <c r="B474" t="s">
        <v>944</v>
      </c>
      <c r="C474" t="s">
        <v>13</v>
      </c>
      <c r="D474">
        <v>54.07</v>
      </c>
      <c r="E474" t="s">
        <v>2632</v>
      </c>
      <c r="F474" t="s">
        <v>2633</v>
      </c>
      <c r="G474" s="1">
        <v>120.2</v>
      </c>
      <c r="H474" s="1"/>
      <c r="I474" t="s">
        <v>2634</v>
      </c>
      <c r="J474">
        <v>10</v>
      </c>
      <c r="K474">
        <v>0</v>
      </c>
      <c r="L474">
        <v>0</v>
      </c>
    </row>
    <row r="475" spans="1:12">
      <c r="A475" s="14" t="s">
        <v>945</v>
      </c>
      <c r="B475" t="s">
        <v>946</v>
      </c>
      <c r="C475" t="s">
        <v>13</v>
      </c>
      <c r="D475">
        <v>41.6</v>
      </c>
      <c r="E475" t="s">
        <v>2632</v>
      </c>
      <c r="F475" t="s">
        <v>2633</v>
      </c>
      <c r="G475" s="1">
        <v>92.44</v>
      </c>
      <c r="H475" s="1"/>
      <c r="I475" t="s">
        <v>2634</v>
      </c>
      <c r="J475">
        <v>10</v>
      </c>
      <c r="K475">
        <v>0</v>
      </c>
      <c r="L475">
        <v>0</v>
      </c>
    </row>
    <row r="476" spans="1:12">
      <c r="A476" s="14" t="s">
        <v>947</v>
      </c>
      <c r="B476" t="s">
        <v>948</v>
      </c>
      <c r="C476" t="s">
        <v>13</v>
      </c>
      <c r="D476">
        <v>30.2</v>
      </c>
      <c r="E476" t="s">
        <v>2632</v>
      </c>
      <c r="F476" t="s">
        <v>2633</v>
      </c>
      <c r="G476" s="1">
        <v>67.12</v>
      </c>
      <c r="H476" s="1"/>
      <c r="I476" t="s">
        <v>2634</v>
      </c>
      <c r="J476">
        <v>10</v>
      </c>
      <c r="K476">
        <v>0</v>
      </c>
      <c r="L476">
        <v>0</v>
      </c>
    </row>
    <row r="477" spans="1:12">
      <c r="A477" s="14" t="s">
        <v>949</v>
      </c>
      <c r="B477" t="s">
        <v>950</v>
      </c>
      <c r="C477" t="s">
        <v>13</v>
      </c>
      <c r="D477">
        <v>30.2</v>
      </c>
      <c r="E477" t="s">
        <v>2632</v>
      </c>
      <c r="F477" t="s">
        <v>2633</v>
      </c>
      <c r="G477" s="1">
        <v>67.12</v>
      </c>
      <c r="H477" s="1"/>
      <c r="I477" t="s">
        <v>2634</v>
      </c>
      <c r="J477">
        <v>10</v>
      </c>
      <c r="K477">
        <v>0</v>
      </c>
      <c r="L477">
        <v>0</v>
      </c>
    </row>
    <row r="478" spans="1:12">
      <c r="A478" s="14" t="s">
        <v>951</v>
      </c>
      <c r="B478" t="s">
        <v>952</v>
      </c>
      <c r="C478" t="s">
        <v>13</v>
      </c>
      <c r="D478">
        <v>23.86</v>
      </c>
      <c r="E478" t="s">
        <v>2632</v>
      </c>
      <c r="F478" t="s">
        <v>2633</v>
      </c>
      <c r="G478" s="1">
        <v>53.01</v>
      </c>
      <c r="H478" s="1"/>
      <c r="I478" t="s">
        <v>2634</v>
      </c>
      <c r="J478">
        <v>10</v>
      </c>
      <c r="K478">
        <v>0</v>
      </c>
      <c r="L478">
        <v>0</v>
      </c>
    </row>
    <row r="479" spans="1:12">
      <c r="A479" s="14" t="s">
        <v>953</v>
      </c>
      <c r="B479" t="s">
        <v>954</v>
      </c>
      <c r="C479" t="s">
        <v>13</v>
      </c>
      <c r="D479">
        <v>23.86</v>
      </c>
      <c r="E479" t="s">
        <v>2632</v>
      </c>
      <c r="F479" t="s">
        <v>2633</v>
      </c>
      <c r="G479" s="1">
        <v>53.01</v>
      </c>
      <c r="H479" s="1"/>
      <c r="I479" t="s">
        <v>2634</v>
      </c>
      <c r="J479">
        <v>10</v>
      </c>
      <c r="K479">
        <v>0</v>
      </c>
      <c r="L479">
        <v>0</v>
      </c>
    </row>
    <row r="480" spans="1:12">
      <c r="A480" s="14" t="s">
        <v>955</v>
      </c>
      <c r="B480" t="s">
        <v>956</v>
      </c>
      <c r="C480" t="s">
        <v>13</v>
      </c>
      <c r="D480">
        <v>38.54</v>
      </c>
      <c r="E480" t="s">
        <v>2632</v>
      </c>
      <c r="F480" t="s">
        <v>2633</v>
      </c>
      <c r="G480" s="1">
        <v>85.63</v>
      </c>
      <c r="H480" s="1"/>
      <c r="I480" t="s">
        <v>2634</v>
      </c>
      <c r="J480">
        <v>10</v>
      </c>
      <c r="K480">
        <v>0</v>
      </c>
      <c r="L480">
        <v>0</v>
      </c>
    </row>
    <row r="481" spans="1:12">
      <c r="A481" s="14" t="s">
        <v>957</v>
      </c>
      <c r="B481" t="s">
        <v>958</v>
      </c>
      <c r="C481" t="s">
        <v>13</v>
      </c>
      <c r="D481">
        <v>48.4</v>
      </c>
      <c r="E481" t="s">
        <v>2632</v>
      </c>
      <c r="F481" t="s">
        <v>2633</v>
      </c>
      <c r="G481" s="1">
        <v>107.55</v>
      </c>
      <c r="H481" s="2" t="s">
        <v>2635</v>
      </c>
      <c r="I481" t="s">
        <v>2640</v>
      </c>
      <c r="J481">
        <v>14</v>
      </c>
      <c r="K481">
        <v>0</v>
      </c>
      <c r="L481">
        <v>0</v>
      </c>
    </row>
    <row r="482" spans="1:12">
      <c r="A482" s="14" t="s">
        <v>959</v>
      </c>
      <c r="B482" t="s">
        <v>960</v>
      </c>
      <c r="C482" t="s">
        <v>13</v>
      </c>
      <c r="D482">
        <v>38.55</v>
      </c>
      <c r="E482" t="s">
        <v>2632</v>
      </c>
      <c r="F482" t="s">
        <v>2633</v>
      </c>
      <c r="G482" s="1">
        <v>85.66</v>
      </c>
      <c r="H482" s="1"/>
      <c r="I482" t="s">
        <v>2634</v>
      </c>
      <c r="J482">
        <v>10</v>
      </c>
      <c r="K482">
        <v>0</v>
      </c>
      <c r="L482">
        <v>0</v>
      </c>
    </row>
    <row r="483" spans="1:12">
      <c r="A483" s="14" t="s">
        <v>961</v>
      </c>
      <c r="B483" t="s">
        <v>962</v>
      </c>
      <c r="C483" t="s">
        <v>13</v>
      </c>
      <c r="D483">
        <v>44.25</v>
      </c>
      <c r="E483" t="s">
        <v>2632</v>
      </c>
      <c r="F483" t="s">
        <v>2633</v>
      </c>
      <c r="G483" s="1">
        <v>98.32</v>
      </c>
      <c r="H483" s="1"/>
      <c r="I483" t="s">
        <v>2634</v>
      </c>
      <c r="J483" t="s">
        <v>2634</v>
      </c>
      <c r="K483">
        <v>0</v>
      </c>
      <c r="L483">
        <v>0</v>
      </c>
    </row>
    <row r="484" spans="1:12">
      <c r="A484" s="14" t="s">
        <v>963</v>
      </c>
      <c r="B484" t="s">
        <v>964</v>
      </c>
      <c r="C484" t="s">
        <v>13</v>
      </c>
      <c r="D484">
        <v>31.92</v>
      </c>
      <c r="E484" t="s">
        <v>2632</v>
      </c>
      <c r="F484" t="s">
        <v>2633</v>
      </c>
      <c r="G484" s="1">
        <v>70.95</v>
      </c>
      <c r="H484" s="1"/>
      <c r="I484" t="s">
        <v>2634</v>
      </c>
      <c r="J484">
        <v>10</v>
      </c>
      <c r="K484">
        <v>0</v>
      </c>
      <c r="L484">
        <v>0</v>
      </c>
    </row>
    <row r="485" spans="1:12">
      <c r="A485" s="14" t="s">
        <v>965</v>
      </c>
      <c r="B485" t="s">
        <v>966</v>
      </c>
      <c r="C485" t="s">
        <v>13</v>
      </c>
      <c r="D485">
        <v>29.4</v>
      </c>
      <c r="E485" t="s">
        <v>2632</v>
      </c>
      <c r="F485" t="s">
        <v>2633</v>
      </c>
      <c r="G485" s="1">
        <v>65.33</v>
      </c>
      <c r="H485" s="2" t="s">
        <v>2635</v>
      </c>
      <c r="I485" t="s">
        <v>2640</v>
      </c>
      <c r="J485">
        <v>14</v>
      </c>
      <c r="K485">
        <v>0</v>
      </c>
      <c r="L485">
        <v>0</v>
      </c>
    </row>
    <row r="486" spans="1:12">
      <c r="A486" s="14" t="s">
        <v>967</v>
      </c>
      <c r="B486" t="s">
        <v>968</v>
      </c>
      <c r="C486" t="s">
        <v>13</v>
      </c>
      <c r="D486">
        <v>31.92</v>
      </c>
      <c r="E486" t="s">
        <v>2632</v>
      </c>
      <c r="F486" t="s">
        <v>2633</v>
      </c>
      <c r="G486" s="1">
        <v>70.95</v>
      </c>
      <c r="H486" s="1"/>
      <c r="I486" t="s">
        <v>2634</v>
      </c>
      <c r="J486">
        <v>10</v>
      </c>
      <c r="K486">
        <v>0</v>
      </c>
      <c r="L486">
        <v>0</v>
      </c>
    </row>
    <row r="487" spans="1:12">
      <c r="A487" s="14" t="s">
        <v>969</v>
      </c>
      <c r="B487" t="s">
        <v>970</v>
      </c>
      <c r="C487" t="s">
        <v>13</v>
      </c>
      <c r="D487">
        <v>149.52</v>
      </c>
      <c r="E487" t="s">
        <v>2632</v>
      </c>
      <c r="F487" t="s">
        <v>2633</v>
      </c>
      <c r="G487" s="1">
        <v>332.26</v>
      </c>
      <c r="H487" s="1"/>
      <c r="I487" t="s">
        <v>2634</v>
      </c>
      <c r="J487">
        <v>1</v>
      </c>
      <c r="K487">
        <v>0</v>
      </c>
      <c r="L487">
        <v>0</v>
      </c>
    </row>
    <row r="488" spans="1:12">
      <c r="A488" s="14" t="s">
        <v>971</v>
      </c>
      <c r="B488" t="s">
        <v>972</v>
      </c>
      <c r="C488" t="s">
        <v>13</v>
      </c>
      <c r="D488">
        <v>327.34</v>
      </c>
      <c r="E488" t="s">
        <v>2632</v>
      </c>
      <c r="F488" t="s">
        <v>2633</v>
      </c>
      <c r="G488" s="1">
        <v>727.38</v>
      </c>
      <c r="H488" s="1"/>
      <c r="I488" t="s">
        <v>2634</v>
      </c>
      <c r="J488">
        <v>1</v>
      </c>
      <c r="K488">
        <v>0</v>
      </c>
      <c r="L488">
        <v>0</v>
      </c>
    </row>
    <row r="489" spans="1:12">
      <c r="A489" s="14" t="s">
        <v>973</v>
      </c>
      <c r="B489" t="s">
        <v>974</v>
      </c>
      <c r="C489" t="s">
        <v>13</v>
      </c>
      <c r="D489">
        <v>309.58</v>
      </c>
      <c r="E489" t="s">
        <v>2632</v>
      </c>
      <c r="F489" t="s">
        <v>2633</v>
      </c>
      <c r="G489" s="1">
        <v>687.95</v>
      </c>
      <c r="H489" s="1"/>
      <c r="I489" t="s">
        <v>2634</v>
      </c>
      <c r="J489">
        <v>1</v>
      </c>
      <c r="K489">
        <v>0</v>
      </c>
      <c r="L489">
        <v>0</v>
      </c>
    </row>
    <row r="490" spans="1:12">
      <c r="A490" s="14" t="s">
        <v>975</v>
      </c>
      <c r="B490" t="s">
        <v>976</v>
      </c>
      <c r="C490" t="s">
        <v>13</v>
      </c>
      <c r="D490">
        <v>750.83</v>
      </c>
      <c r="E490" t="s">
        <v>2632</v>
      </c>
      <c r="F490" t="s">
        <v>2633</v>
      </c>
      <c r="G490" s="1">
        <v>1668.51</v>
      </c>
      <c r="H490" s="1"/>
      <c r="I490" t="s">
        <v>2634</v>
      </c>
      <c r="J490">
        <v>1</v>
      </c>
      <c r="K490">
        <v>0</v>
      </c>
      <c r="L490">
        <v>0</v>
      </c>
    </row>
    <row r="491" spans="1:12">
      <c r="A491" s="14" t="s">
        <v>977</v>
      </c>
      <c r="B491" t="s">
        <v>978</v>
      </c>
      <c r="C491" t="s">
        <v>13</v>
      </c>
      <c r="D491">
        <v>444.08</v>
      </c>
      <c r="E491" t="s">
        <v>2632</v>
      </c>
      <c r="F491" t="s">
        <v>2633</v>
      </c>
      <c r="G491" s="1">
        <v>986.83</v>
      </c>
      <c r="H491" s="1"/>
      <c r="I491" t="s">
        <v>2634</v>
      </c>
      <c r="J491">
        <v>1</v>
      </c>
      <c r="K491">
        <v>0</v>
      </c>
      <c r="L491">
        <v>0</v>
      </c>
    </row>
    <row r="492" spans="1:12">
      <c r="A492" s="14" t="s">
        <v>979</v>
      </c>
      <c r="B492" t="s">
        <v>980</v>
      </c>
      <c r="C492" t="s">
        <v>13</v>
      </c>
      <c r="D492">
        <v>287.98</v>
      </c>
      <c r="E492" t="s">
        <v>2632</v>
      </c>
      <c r="F492" t="s">
        <v>2633</v>
      </c>
      <c r="G492" s="1">
        <v>639.94</v>
      </c>
      <c r="H492" s="1"/>
      <c r="I492" t="s">
        <v>2634</v>
      </c>
      <c r="J492">
        <v>1</v>
      </c>
      <c r="K492">
        <v>0</v>
      </c>
      <c r="L492">
        <v>0</v>
      </c>
    </row>
    <row r="493" spans="1:12">
      <c r="A493" s="14" t="s">
        <v>981</v>
      </c>
      <c r="B493" t="s">
        <v>982</v>
      </c>
      <c r="C493" t="s">
        <v>13</v>
      </c>
      <c r="D493">
        <v>287.8</v>
      </c>
      <c r="E493" t="s">
        <v>2632</v>
      </c>
      <c r="F493" t="s">
        <v>2633</v>
      </c>
      <c r="G493" s="1">
        <v>639.56</v>
      </c>
      <c r="H493" s="1"/>
      <c r="I493" t="s">
        <v>2634</v>
      </c>
      <c r="J493">
        <v>1</v>
      </c>
      <c r="K493">
        <v>0</v>
      </c>
      <c r="L493">
        <v>0</v>
      </c>
    </row>
    <row r="494" spans="1:12">
      <c r="A494" s="14" t="s">
        <v>983</v>
      </c>
      <c r="B494" t="s">
        <v>984</v>
      </c>
      <c r="C494" t="s">
        <v>13</v>
      </c>
      <c r="D494">
        <v>721.78</v>
      </c>
      <c r="E494" t="s">
        <v>2632</v>
      </c>
      <c r="F494" t="s">
        <v>2633</v>
      </c>
      <c r="G494" s="1">
        <v>1603.94</v>
      </c>
      <c r="H494" s="1"/>
      <c r="I494" t="s">
        <v>2634</v>
      </c>
      <c r="J494">
        <v>1</v>
      </c>
      <c r="K494">
        <v>0</v>
      </c>
      <c r="L494">
        <v>0</v>
      </c>
    </row>
    <row r="495" spans="1:12">
      <c r="A495" s="14" t="s">
        <v>985</v>
      </c>
      <c r="B495" t="s">
        <v>986</v>
      </c>
      <c r="C495" t="s">
        <v>13</v>
      </c>
      <c r="D495">
        <v>450.98</v>
      </c>
      <c r="E495" t="s">
        <v>2632</v>
      </c>
      <c r="F495" t="s">
        <v>2633</v>
      </c>
      <c r="G495" s="1">
        <v>1002.18</v>
      </c>
      <c r="H495" s="1"/>
      <c r="I495" t="s">
        <v>2634</v>
      </c>
      <c r="J495">
        <v>1</v>
      </c>
      <c r="K495">
        <v>0</v>
      </c>
      <c r="L495">
        <v>0</v>
      </c>
    </row>
    <row r="496" spans="1:12">
      <c r="A496" s="14" t="s">
        <v>987</v>
      </c>
      <c r="B496" t="s">
        <v>988</v>
      </c>
      <c r="C496" t="s">
        <v>13</v>
      </c>
      <c r="D496">
        <v>456.36</v>
      </c>
      <c r="E496" t="s">
        <v>2632</v>
      </c>
      <c r="F496" t="s">
        <v>2633</v>
      </c>
      <c r="G496" s="1">
        <v>1014.11</v>
      </c>
      <c r="H496" s="1"/>
      <c r="I496" t="s">
        <v>2634</v>
      </c>
      <c r="J496">
        <v>1</v>
      </c>
      <c r="K496">
        <v>0</v>
      </c>
      <c r="L496">
        <v>0</v>
      </c>
    </row>
    <row r="497" spans="1:12">
      <c r="A497" s="14" t="s">
        <v>989</v>
      </c>
      <c r="B497" t="s">
        <v>990</v>
      </c>
      <c r="C497" t="s">
        <v>13</v>
      </c>
      <c r="D497">
        <v>855.18</v>
      </c>
      <c r="E497" t="s">
        <v>2632</v>
      </c>
      <c r="F497" t="s">
        <v>2633</v>
      </c>
      <c r="G497" s="1">
        <v>1900.4</v>
      </c>
      <c r="H497" s="1"/>
      <c r="I497" t="s">
        <v>2634</v>
      </c>
      <c r="J497">
        <v>1</v>
      </c>
      <c r="K497">
        <v>0</v>
      </c>
      <c r="L497">
        <v>0</v>
      </c>
    </row>
    <row r="498" spans="1:12">
      <c r="A498" s="14" t="s">
        <v>991</v>
      </c>
      <c r="B498" t="s">
        <v>992</v>
      </c>
      <c r="C498" t="s">
        <v>13</v>
      </c>
      <c r="D498">
        <v>833.56</v>
      </c>
      <c r="E498" t="s">
        <v>2632</v>
      </c>
      <c r="F498" t="s">
        <v>2633</v>
      </c>
      <c r="G498" s="1">
        <v>1852.36</v>
      </c>
      <c r="H498" s="1"/>
      <c r="I498" t="s">
        <v>2634</v>
      </c>
      <c r="J498">
        <v>1</v>
      </c>
      <c r="K498">
        <v>0</v>
      </c>
      <c r="L498">
        <v>0</v>
      </c>
    </row>
    <row r="499" spans="1:12">
      <c r="A499" s="14" t="s">
        <v>993</v>
      </c>
      <c r="B499" t="s">
        <v>994</v>
      </c>
      <c r="C499" t="s">
        <v>13</v>
      </c>
      <c r="D499">
        <v>531.93</v>
      </c>
      <c r="E499" t="s">
        <v>2632</v>
      </c>
      <c r="F499" t="s">
        <v>2633</v>
      </c>
      <c r="G499" s="1">
        <v>1182.1</v>
      </c>
      <c r="H499" s="1"/>
      <c r="I499" t="s">
        <v>2634</v>
      </c>
      <c r="J499">
        <v>1</v>
      </c>
      <c r="K499">
        <v>0</v>
      </c>
      <c r="L499">
        <v>0</v>
      </c>
    </row>
    <row r="500" spans="1:12">
      <c r="A500" s="14" t="s">
        <v>995</v>
      </c>
      <c r="B500" t="s">
        <v>996</v>
      </c>
      <c r="C500" t="s">
        <v>13</v>
      </c>
      <c r="D500">
        <v>514.63</v>
      </c>
      <c r="E500" t="s">
        <v>2632</v>
      </c>
      <c r="F500" t="s">
        <v>2633</v>
      </c>
      <c r="G500" s="1">
        <v>1143.61</v>
      </c>
      <c r="H500" s="1"/>
      <c r="I500" t="s">
        <v>2634</v>
      </c>
      <c r="J500">
        <v>1</v>
      </c>
      <c r="K500">
        <v>0</v>
      </c>
      <c r="L500">
        <v>0</v>
      </c>
    </row>
    <row r="501" spans="1:12">
      <c r="A501" s="14" t="s">
        <v>997</v>
      </c>
      <c r="B501" t="s">
        <v>998</v>
      </c>
      <c r="C501" t="s">
        <v>13</v>
      </c>
      <c r="D501">
        <v>431.4</v>
      </c>
      <c r="E501" t="s">
        <v>2632</v>
      </c>
      <c r="F501" t="s">
        <v>2633</v>
      </c>
      <c r="G501" s="1">
        <v>958.65</v>
      </c>
      <c r="H501" s="1"/>
      <c r="I501" t="s">
        <v>2634</v>
      </c>
      <c r="J501">
        <v>1</v>
      </c>
      <c r="K501">
        <v>0</v>
      </c>
      <c r="L501">
        <v>0</v>
      </c>
    </row>
    <row r="502" spans="1:12">
      <c r="A502" s="14" t="s">
        <v>999</v>
      </c>
      <c r="B502" t="s">
        <v>1000</v>
      </c>
      <c r="C502" t="s">
        <v>13</v>
      </c>
      <c r="D502">
        <v>424.1</v>
      </c>
      <c r="E502" t="s">
        <v>2632</v>
      </c>
      <c r="F502" t="s">
        <v>2633</v>
      </c>
      <c r="G502" s="1">
        <v>942.46</v>
      </c>
      <c r="H502" s="1"/>
      <c r="I502" t="s">
        <v>2634</v>
      </c>
      <c r="J502">
        <v>1</v>
      </c>
      <c r="K502">
        <v>0</v>
      </c>
      <c r="L502">
        <v>0</v>
      </c>
    </row>
    <row r="503" spans="1:12">
      <c r="A503" s="14" t="s">
        <v>1001</v>
      </c>
      <c r="B503" t="s">
        <v>1002</v>
      </c>
      <c r="C503" t="s">
        <v>13</v>
      </c>
      <c r="D503">
        <v>423.84</v>
      </c>
      <c r="E503" t="s">
        <v>2632</v>
      </c>
      <c r="F503" t="s">
        <v>2633</v>
      </c>
      <c r="G503" s="1">
        <v>941.86</v>
      </c>
      <c r="H503" s="1"/>
      <c r="I503" t="s">
        <v>2634</v>
      </c>
      <c r="J503">
        <v>1</v>
      </c>
      <c r="K503">
        <v>0</v>
      </c>
      <c r="L503">
        <v>0</v>
      </c>
    </row>
    <row r="504" spans="1:12">
      <c r="A504" s="14" t="s">
        <v>1003</v>
      </c>
      <c r="B504" t="s">
        <v>1004</v>
      </c>
      <c r="C504" t="s">
        <v>13</v>
      </c>
      <c r="D504">
        <v>441.53</v>
      </c>
      <c r="E504" t="s">
        <v>2632</v>
      </c>
      <c r="F504" t="s">
        <v>2633</v>
      </c>
      <c r="G504" s="1">
        <v>981.18</v>
      </c>
      <c r="H504" s="1"/>
      <c r="I504" t="s">
        <v>2634</v>
      </c>
      <c r="J504">
        <v>1</v>
      </c>
      <c r="K504">
        <v>0</v>
      </c>
      <c r="L504">
        <v>0</v>
      </c>
    </row>
    <row r="505" spans="1:12">
      <c r="A505" s="14" t="s">
        <v>1005</v>
      </c>
      <c r="B505" t="s">
        <v>1006</v>
      </c>
      <c r="C505" t="s">
        <v>13</v>
      </c>
      <c r="D505">
        <v>865.24</v>
      </c>
      <c r="E505" t="s">
        <v>2632</v>
      </c>
      <c r="F505" t="s">
        <v>2633</v>
      </c>
      <c r="G505" s="1">
        <v>1922.76</v>
      </c>
      <c r="H505" s="1"/>
      <c r="I505" t="s">
        <v>2634</v>
      </c>
      <c r="J505">
        <v>1</v>
      </c>
      <c r="K505">
        <v>0</v>
      </c>
      <c r="L505">
        <v>0</v>
      </c>
    </row>
    <row r="506" spans="1:12">
      <c r="A506" s="14" t="s">
        <v>1007</v>
      </c>
      <c r="B506" t="s">
        <v>1008</v>
      </c>
      <c r="C506" t="s">
        <v>13</v>
      </c>
      <c r="D506">
        <v>846.41</v>
      </c>
      <c r="E506" t="s">
        <v>2632</v>
      </c>
      <c r="F506" t="s">
        <v>2633</v>
      </c>
      <c r="G506" s="1">
        <v>1880.9</v>
      </c>
      <c r="H506" s="1"/>
      <c r="I506" t="s">
        <v>2634</v>
      </c>
      <c r="J506">
        <v>1</v>
      </c>
      <c r="K506">
        <v>0</v>
      </c>
      <c r="L506">
        <v>0</v>
      </c>
    </row>
    <row r="507" spans="1:12">
      <c r="A507" s="14" t="s">
        <v>1009</v>
      </c>
      <c r="B507" t="s">
        <v>1010</v>
      </c>
      <c r="C507" t="s">
        <v>13</v>
      </c>
      <c r="D507">
        <v>525.12</v>
      </c>
      <c r="E507" t="s">
        <v>2632</v>
      </c>
      <c r="F507" t="s">
        <v>2633</v>
      </c>
      <c r="G507" s="1">
        <v>1166.94</v>
      </c>
      <c r="H507" s="1"/>
      <c r="I507" t="s">
        <v>2634</v>
      </c>
      <c r="J507">
        <v>1</v>
      </c>
      <c r="K507">
        <v>0</v>
      </c>
      <c r="L507">
        <v>0</v>
      </c>
    </row>
    <row r="508" spans="1:12">
      <c r="A508" s="14" t="s">
        <v>1011</v>
      </c>
      <c r="B508" t="s">
        <v>1012</v>
      </c>
      <c r="C508" t="s">
        <v>13</v>
      </c>
      <c r="D508">
        <v>488.44</v>
      </c>
      <c r="E508" t="s">
        <v>2632</v>
      </c>
      <c r="F508" t="s">
        <v>2633</v>
      </c>
      <c r="G508" s="1">
        <v>1085.39</v>
      </c>
      <c r="H508" s="1"/>
      <c r="I508" t="s">
        <v>2634</v>
      </c>
      <c r="J508">
        <v>1</v>
      </c>
      <c r="K508">
        <v>0</v>
      </c>
      <c r="L508">
        <v>0</v>
      </c>
    </row>
    <row r="509" spans="1:12">
      <c r="A509" s="14" t="s">
        <v>1013</v>
      </c>
      <c r="B509" t="s">
        <v>1014</v>
      </c>
      <c r="C509" t="s">
        <v>13</v>
      </c>
      <c r="D509">
        <v>1017.32</v>
      </c>
      <c r="E509" t="s">
        <v>2632</v>
      </c>
      <c r="F509" t="s">
        <v>2633</v>
      </c>
      <c r="G509" s="1">
        <v>2260.71</v>
      </c>
      <c r="H509" s="1"/>
      <c r="I509" t="s">
        <v>2634</v>
      </c>
      <c r="J509">
        <v>1</v>
      </c>
      <c r="K509">
        <v>0</v>
      </c>
      <c r="L509">
        <v>0</v>
      </c>
    </row>
    <row r="510" spans="1:12">
      <c r="A510" s="14" t="s">
        <v>1015</v>
      </c>
      <c r="B510" t="s">
        <v>1016</v>
      </c>
      <c r="C510" t="s">
        <v>13</v>
      </c>
      <c r="D510">
        <v>989.06</v>
      </c>
      <c r="E510" t="s">
        <v>2632</v>
      </c>
      <c r="F510" t="s">
        <v>2633</v>
      </c>
      <c r="G510" s="1">
        <v>2197.91</v>
      </c>
      <c r="H510" s="1"/>
      <c r="I510" t="s">
        <v>2634</v>
      </c>
      <c r="J510">
        <v>1</v>
      </c>
      <c r="K510">
        <v>0</v>
      </c>
      <c r="L510">
        <v>0</v>
      </c>
    </row>
    <row r="511" spans="1:12">
      <c r="A511" s="14" t="s">
        <v>1017</v>
      </c>
      <c r="B511" t="s">
        <v>1018</v>
      </c>
      <c r="C511" t="s">
        <v>13</v>
      </c>
      <c r="D511">
        <v>745.24</v>
      </c>
      <c r="E511" t="s">
        <v>2632</v>
      </c>
      <c r="F511" t="s">
        <v>2633</v>
      </c>
      <c r="G511" s="1">
        <v>1656.1</v>
      </c>
      <c r="H511" s="1"/>
      <c r="I511" t="s">
        <v>2634</v>
      </c>
      <c r="J511">
        <v>1</v>
      </c>
      <c r="K511">
        <v>0</v>
      </c>
      <c r="L511">
        <v>0</v>
      </c>
    </row>
    <row r="512" spans="1:12">
      <c r="A512" s="14" t="s">
        <v>1019</v>
      </c>
      <c r="B512" t="s">
        <v>1020</v>
      </c>
      <c r="C512" t="s">
        <v>13</v>
      </c>
      <c r="D512">
        <v>723.65</v>
      </c>
      <c r="E512" t="s">
        <v>2632</v>
      </c>
      <c r="F512" t="s">
        <v>2633</v>
      </c>
      <c r="G512" s="1">
        <v>1608.13</v>
      </c>
      <c r="H512" s="1"/>
      <c r="I512" t="s">
        <v>2634</v>
      </c>
      <c r="J512">
        <v>1</v>
      </c>
      <c r="K512">
        <v>0</v>
      </c>
      <c r="L512">
        <v>0</v>
      </c>
    </row>
    <row r="513" spans="1:12">
      <c r="A513" s="14" t="s">
        <v>1021</v>
      </c>
      <c r="B513" t="s">
        <v>1022</v>
      </c>
      <c r="C513" t="s">
        <v>13</v>
      </c>
      <c r="D513">
        <v>1107.25</v>
      </c>
      <c r="E513" t="s">
        <v>2632</v>
      </c>
      <c r="F513" t="s">
        <v>2633</v>
      </c>
      <c r="G513" s="1">
        <v>2460.58</v>
      </c>
      <c r="H513" s="1"/>
      <c r="I513" t="s">
        <v>2634</v>
      </c>
      <c r="J513">
        <v>1</v>
      </c>
      <c r="K513">
        <v>0</v>
      </c>
      <c r="L513">
        <v>0</v>
      </c>
    </row>
    <row r="514" spans="1:12">
      <c r="A514" s="14" t="s">
        <v>1023</v>
      </c>
      <c r="B514" t="s">
        <v>1024</v>
      </c>
      <c r="C514" t="s">
        <v>13</v>
      </c>
      <c r="D514">
        <v>1103.05</v>
      </c>
      <c r="E514" t="s">
        <v>2632</v>
      </c>
      <c r="F514" t="s">
        <v>2633</v>
      </c>
      <c r="G514" s="1">
        <v>2451.21</v>
      </c>
      <c r="H514" s="1"/>
      <c r="I514" t="s">
        <v>2634</v>
      </c>
      <c r="J514">
        <v>1</v>
      </c>
      <c r="K514">
        <v>0</v>
      </c>
      <c r="L514">
        <v>0</v>
      </c>
    </row>
    <row r="515" spans="1:12">
      <c r="A515" s="14" t="s">
        <v>1025</v>
      </c>
      <c r="B515" t="s">
        <v>1026</v>
      </c>
      <c r="C515" t="s">
        <v>13</v>
      </c>
      <c r="D515">
        <v>721.96</v>
      </c>
      <c r="E515" t="s">
        <v>2632</v>
      </c>
      <c r="F515" t="s">
        <v>2633</v>
      </c>
      <c r="G515" s="1">
        <v>1604.38</v>
      </c>
      <c r="H515" s="1"/>
      <c r="I515" t="s">
        <v>2634</v>
      </c>
      <c r="J515">
        <v>1</v>
      </c>
      <c r="K515">
        <v>0</v>
      </c>
      <c r="L515">
        <v>0</v>
      </c>
    </row>
    <row r="516" spans="1:12">
      <c r="A516" s="14" t="s">
        <v>1027</v>
      </c>
      <c r="B516" t="s">
        <v>1028</v>
      </c>
      <c r="C516" t="s">
        <v>13</v>
      </c>
      <c r="D516">
        <v>234.26</v>
      </c>
      <c r="E516" t="s">
        <v>2632</v>
      </c>
      <c r="F516" t="s">
        <v>2633</v>
      </c>
      <c r="G516" s="1">
        <v>520.57</v>
      </c>
      <c r="H516" s="1"/>
      <c r="I516" t="s">
        <v>2634</v>
      </c>
      <c r="J516">
        <v>1</v>
      </c>
      <c r="K516">
        <v>0</v>
      </c>
      <c r="L516">
        <v>0</v>
      </c>
    </row>
    <row r="517" spans="1:12">
      <c r="A517" s="14" t="s">
        <v>1029</v>
      </c>
      <c r="B517" t="s">
        <v>1030</v>
      </c>
      <c r="C517" t="s">
        <v>13</v>
      </c>
      <c r="D517">
        <v>217.07</v>
      </c>
      <c r="E517" t="s">
        <v>2632</v>
      </c>
      <c r="F517" t="s">
        <v>2633</v>
      </c>
      <c r="G517" s="1">
        <v>482.37</v>
      </c>
      <c r="H517" s="1"/>
      <c r="I517" t="s">
        <v>2634</v>
      </c>
      <c r="J517">
        <v>1</v>
      </c>
      <c r="K517">
        <v>0</v>
      </c>
      <c r="L517">
        <v>0</v>
      </c>
    </row>
    <row r="518" spans="1:12">
      <c r="A518" s="14" t="s">
        <v>1031</v>
      </c>
      <c r="B518" t="s">
        <v>1032</v>
      </c>
      <c r="C518" t="s">
        <v>13</v>
      </c>
      <c r="D518">
        <v>305.49</v>
      </c>
      <c r="E518" t="s">
        <v>2632</v>
      </c>
      <c r="F518" t="s">
        <v>2633</v>
      </c>
      <c r="G518" s="1">
        <v>678.88</v>
      </c>
      <c r="H518" s="1"/>
      <c r="I518" t="s">
        <v>2634</v>
      </c>
      <c r="J518">
        <v>1</v>
      </c>
      <c r="K518">
        <v>0</v>
      </c>
      <c r="L518">
        <v>0</v>
      </c>
    </row>
    <row r="519" spans="1:12">
      <c r="A519" s="14" t="s">
        <v>1033</v>
      </c>
      <c r="B519" t="s">
        <v>1034</v>
      </c>
      <c r="C519" t="s">
        <v>13</v>
      </c>
      <c r="D519">
        <v>287.56</v>
      </c>
      <c r="E519" t="s">
        <v>2632</v>
      </c>
      <c r="F519" t="s">
        <v>2633</v>
      </c>
      <c r="G519" s="1">
        <v>639.02</v>
      </c>
      <c r="H519" s="1"/>
      <c r="I519" t="s">
        <v>2634</v>
      </c>
      <c r="J519">
        <v>1</v>
      </c>
      <c r="K519">
        <v>0</v>
      </c>
      <c r="L519">
        <v>0</v>
      </c>
    </row>
    <row r="520" spans="1:12">
      <c r="A520" s="14" t="s">
        <v>1035</v>
      </c>
      <c r="B520" t="s">
        <v>1036</v>
      </c>
      <c r="C520" t="s">
        <v>13</v>
      </c>
      <c r="D520">
        <v>244.38</v>
      </c>
      <c r="E520" t="s">
        <v>2632</v>
      </c>
      <c r="F520" t="s">
        <v>2633</v>
      </c>
      <c r="G520" s="1">
        <v>543.06</v>
      </c>
      <c r="H520" s="1"/>
      <c r="I520" t="s">
        <v>2634</v>
      </c>
      <c r="J520">
        <v>1</v>
      </c>
      <c r="K520">
        <v>0</v>
      </c>
      <c r="L520">
        <v>0</v>
      </c>
    </row>
    <row r="521" spans="1:12">
      <c r="A521" s="14" t="s">
        <v>1037</v>
      </c>
      <c r="B521" t="s">
        <v>1038</v>
      </c>
      <c r="C521" t="s">
        <v>13</v>
      </c>
      <c r="D521">
        <v>228.84</v>
      </c>
      <c r="E521" t="s">
        <v>2632</v>
      </c>
      <c r="F521" t="s">
        <v>2633</v>
      </c>
      <c r="G521" s="1">
        <v>508.55</v>
      </c>
      <c r="H521" s="1"/>
      <c r="I521" t="s">
        <v>2634</v>
      </c>
      <c r="J521">
        <v>1</v>
      </c>
      <c r="K521">
        <v>0</v>
      </c>
      <c r="L521">
        <v>0</v>
      </c>
    </row>
    <row r="522" spans="1:12">
      <c r="A522" s="14" t="s">
        <v>1039</v>
      </c>
      <c r="B522" t="s">
        <v>1040</v>
      </c>
      <c r="C522" t="s">
        <v>13</v>
      </c>
      <c r="D522">
        <v>693.41</v>
      </c>
      <c r="E522" t="s">
        <v>2632</v>
      </c>
      <c r="F522" t="s">
        <v>2633</v>
      </c>
      <c r="G522" s="1">
        <v>1540.92</v>
      </c>
      <c r="H522" s="1"/>
      <c r="I522" t="s">
        <v>2634</v>
      </c>
      <c r="J522">
        <v>1</v>
      </c>
      <c r="K522">
        <v>0</v>
      </c>
      <c r="L522">
        <v>0</v>
      </c>
    </row>
    <row r="523" spans="1:12">
      <c r="A523" s="14" t="s">
        <v>1041</v>
      </c>
      <c r="B523" t="s">
        <v>1042</v>
      </c>
      <c r="C523" t="s">
        <v>13</v>
      </c>
      <c r="D523">
        <v>694.74</v>
      </c>
      <c r="E523" t="s">
        <v>2632</v>
      </c>
      <c r="F523" t="s">
        <v>2633</v>
      </c>
      <c r="G523" s="1">
        <v>1543.88</v>
      </c>
      <c r="H523" s="1"/>
      <c r="I523" t="s">
        <v>2634</v>
      </c>
      <c r="J523">
        <v>1</v>
      </c>
      <c r="K523">
        <v>0</v>
      </c>
      <c r="L523">
        <v>0</v>
      </c>
    </row>
    <row r="524" spans="1:12">
      <c r="A524" s="14" t="s">
        <v>1043</v>
      </c>
      <c r="B524" t="s">
        <v>1044</v>
      </c>
      <c r="C524" t="s">
        <v>13</v>
      </c>
      <c r="D524">
        <v>376.98</v>
      </c>
      <c r="E524" t="s">
        <v>2632</v>
      </c>
      <c r="F524" t="s">
        <v>2633</v>
      </c>
      <c r="G524" s="1">
        <v>837.75</v>
      </c>
      <c r="H524" s="1"/>
      <c r="I524" t="s">
        <v>2634</v>
      </c>
      <c r="J524">
        <v>1</v>
      </c>
      <c r="K524">
        <v>0</v>
      </c>
      <c r="L524">
        <v>0</v>
      </c>
    </row>
    <row r="525" spans="1:12">
      <c r="A525" s="14" t="s">
        <v>1045</v>
      </c>
      <c r="B525" t="s">
        <v>1046</v>
      </c>
      <c r="C525" t="s">
        <v>13</v>
      </c>
      <c r="D525">
        <v>358.63</v>
      </c>
      <c r="E525" t="s">
        <v>2632</v>
      </c>
      <c r="F525" t="s">
        <v>2633</v>
      </c>
      <c r="G525" s="1">
        <v>796.95</v>
      </c>
      <c r="H525" s="1"/>
      <c r="I525" t="s">
        <v>2634</v>
      </c>
      <c r="J525">
        <v>1</v>
      </c>
      <c r="K525">
        <v>0</v>
      </c>
      <c r="L525">
        <v>0</v>
      </c>
    </row>
    <row r="526" spans="1:12">
      <c r="A526" s="14" t="s">
        <v>1047</v>
      </c>
      <c r="B526" t="s">
        <v>1048</v>
      </c>
      <c r="C526" t="s">
        <v>13</v>
      </c>
      <c r="D526">
        <v>325.77</v>
      </c>
      <c r="E526" t="s">
        <v>2632</v>
      </c>
      <c r="F526" t="s">
        <v>2633</v>
      </c>
      <c r="G526" s="1">
        <v>723.93</v>
      </c>
      <c r="H526" s="1"/>
      <c r="I526" t="s">
        <v>2634</v>
      </c>
      <c r="J526">
        <v>1</v>
      </c>
      <c r="K526">
        <v>0</v>
      </c>
      <c r="L526">
        <v>0</v>
      </c>
    </row>
    <row r="527" spans="1:12">
      <c r="A527" s="14" t="s">
        <v>1049</v>
      </c>
      <c r="B527" t="s">
        <v>1050</v>
      </c>
      <c r="C527" t="s">
        <v>13</v>
      </c>
      <c r="D527">
        <v>308.91</v>
      </c>
      <c r="E527" t="s">
        <v>2632</v>
      </c>
      <c r="F527" t="s">
        <v>2633</v>
      </c>
      <c r="G527" s="1">
        <v>686.48</v>
      </c>
      <c r="H527" s="1"/>
      <c r="I527" t="s">
        <v>2634</v>
      </c>
      <c r="J527">
        <v>1</v>
      </c>
      <c r="K527">
        <v>0</v>
      </c>
      <c r="L527">
        <v>0</v>
      </c>
    </row>
    <row r="528" spans="1:12">
      <c r="A528" s="14" t="s">
        <v>1051</v>
      </c>
      <c r="B528" t="s">
        <v>1052</v>
      </c>
      <c r="C528" t="s">
        <v>13</v>
      </c>
      <c r="D528">
        <v>298.11</v>
      </c>
      <c r="E528" t="s">
        <v>2632</v>
      </c>
      <c r="F528" t="s">
        <v>2633</v>
      </c>
      <c r="G528" s="1">
        <v>662.47</v>
      </c>
      <c r="H528" s="1"/>
      <c r="I528" t="s">
        <v>2634</v>
      </c>
      <c r="J528">
        <v>1</v>
      </c>
      <c r="K528">
        <v>0</v>
      </c>
      <c r="L528">
        <v>0</v>
      </c>
    </row>
    <row r="529" spans="1:12">
      <c r="A529" s="14" t="s">
        <v>1053</v>
      </c>
      <c r="B529" t="s">
        <v>1054</v>
      </c>
      <c r="C529" t="s">
        <v>13</v>
      </c>
      <c r="D529">
        <v>192.11</v>
      </c>
      <c r="E529" t="s">
        <v>2632</v>
      </c>
      <c r="F529" t="s">
        <v>2633</v>
      </c>
      <c r="G529" s="1">
        <v>426.91</v>
      </c>
      <c r="H529" s="1"/>
      <c r="I529" t="s">
        <v>2634</v>
      </c>
      <c r="J529">
        <v>1</v>
      </c>
      <c r="K529">
        <v>0</v>
      </c>
      <c r="L529">
        <v>0</v>
      </c>
    </row>
    <row r="530" spans="1:12">
      <c r="A530" s="14" t="s">
        <v>1055</v>
      </c>
      <c r="B530" t="s">
        <v>1056</v>
      </c>
      <c r="C530" t="s">
        <v>13</v>
      </c>
      <c r="D530">
        <v>213.36</v>
      </c>
      <c r="E530" t="s">
        <v>2632</v>
      </c>
      <c r="F530" t="s">
        <v>2633</v>
      </c>
      <c r="G530" s="1">
        <v>474.13</v>
      </c>
      <c r="H530" s="1"/>
      <c r="I530" t="s">
        <v>2634</v>
      </c>
      <c r="J530">
        <v>1</v>
      </c>
      <c r="K530">
        <v>0</v>
      </c>
      <c r="L530">
        <v>0</v>
      </c>
    </row>
    <row r="531" spans="1:12">
      <c r="A531" s="14" t="s">
        <v>1057</v>
      </c>
      <c r="B531" t="s">
        <v>1058</v>
      </c>
      <c r="C531" t="s">
        <v>13</v>
      </c>
      <c r="D531">
        <v>62.87</v>
      </c>
      <c r="E531" t="s">
        <v>2632</v>
      </c>
      <c r="F531" t="s">
        <v>2633</v>
      </c>
      <c r="G531" s="1">
        <v>139.73</v>
      </c>
      <c r="H531" s="1"/>
      <c r="I531" t="s">
        <v>2634</v>
      </c>
      <c r="J531">
        <v>20</v>
      </c>
      <c r="K531">
        <v>0</v>
      </c>
      <c r="L531">
        <v>0</v>
      </c>
    </row>
    <row r="532" spans="1:12">
      <c r="A532" s="14" t="s">
        <v>1059</v>
      </c>
      <c r="B532" t="s">
        <v>1060</v>
      </c>
      <c r="C532" t="s">
        <v>13</v>
      </c>
      <c r="D532">
        <v>75.71</v>
      </c>
      <c r="E532" t="s">
        <v>2632</v>
      </c>
      <c r="F532" t="s">
        <v>2633</v>
      </c>
      <c r="G532" s="1">
        <v>168.25</v>
      </c>
      <c r="H532" s="1"/>
      <c r="I532" t="s">
        <v>2634</v>
      </c>
      <c r="J532">
        <v>10</v>
      </c>
      <c r="K532">
        <v>0</v>
      </c>
      <c r="L532">
        <v>0</v>
      </c>
    </row>
    <row r="533" spans="1:12">
      <c r="A533" s="14" t="s">
        <v>1061</v>
      </c>
      <c r="B533" t="s">
        <v>1062</v>
      </c>
      <c r="C533" t="s">
        <v>13</v>
      </c>
      <c r="D533">
        <v>57.9</v>
      </c>
      <c r="E533" t="s">
        <v>2632</v>
      </c>
      <c r="F533" t="s">
        <v>2633</v>
      </c>
      <c r="G533" s="1">
        <v>128.66</v>
      </c>
      <c r="H533" s="2" t="s">
        <v>2635</v>
      </c>
      <c r="I533" t="s">
        <v>2638</v>
      </c>
      <c r="J533">
        <v>20</v>
      </c>
      <c r="K533">
        <v>0</v>
      </c>
      <c r="L533">
        <v>0</v>
      </c>
    </row>
    <row r="534" spans="1:12">
      <c r="A534" s="14" t="s">
        <v>1063</v>
      </c>
      <c r="B534" t="s">
        <v>1064</v>
      </c>
      <c r="C534" t="s">
        <v>13</v>
      </c>
      <c r="D534">
        <v>102.54</v>
      </c>
      <c r="E534" t="s">
        <v>2632</v>
      </c>
      <c r="F534" t="s">
        <v>2633</v>
      </c>
      <c r="G534" s="1">
        <v>227.86</v>
      </c>
      <c r="H534" s="1"/>
      <c r="I534" t="s">
        <v>2634</v>
      </c>
      <c r="J534">
        <v>9</v>
      </c>
      <c r="K534">
        <v>0</v>
      </c>
      <c r="L534">
        <v>0</v>
      </c>
    </row>
    <row r="535" spans="1:12">
      <c r="A535" s="14" t="s">
        <v>1065</v>
      </c>
      <c r="B535" t="s">
        <v>1066</v>
      </c>
      <c r="C535" t="s">
        <v>13</v>
      </c>
      <c r="D535">
        <v>95.9</v>
      </c>
      <c r="E535" t="s">
        <v>2632</v>
      </c>
      <c r="F535" t="s">
        <v>2633</v>
      </c>
      <c r="G535" s="1">
        <v>213.11</v>
      </c>
      <c r="H535" s="1"/>
      <c r="I535" t="s">
        <v>2634</v>
      </c>
      <c r="J535">
        <v>1</v>
      </c>
      <c r="K535">
        <v>0</v>
      </c>
      <c r="L535">
        <v>0</v>
      </c>
    </row>
    <row r="536" spans="1:12">
      <c r="A536" s="14" t="s">
        <v>1067</v>
      </c>
      <c r="B536" t="s">
        <v>1068</v>
      </c>
      <c r="C536" t="s">
        <v>13</v>
      </c>
      <c r="D536">
        <v>451.58</v>
      </c>
      <c r="E536" t="s">
        <v>2632</v>
      </c>
      <c r="F536" t="s">
        <v>2633</v>
      </c>
      <c r="G536" s="1">
        <v>1003.54</v>
      </c>
      <c r="H536" s="1"/>
      <c r="I536" t="s">
        <v>2634</v>
      </c>
      <c r="J536">
        <v>1</v>
      </c>
      <c r="K536">
        <v>0</v>
      </c>
      <c r="L536">
        <v>0</v>
      </c>
    </row>
    <row r="537" spans="1:12">
      <c r="A537" s="14" t="s">
        <v>1069</v>
      </c>
      <c r="B537" t="s">
        <v>1070</v>
      </c>
      <c r="C537" t="s">
        <v>13</v>
      </c>
      <c r="D537">
        <v>167.43</v>
      </c>
      <c r="E537" t="s">
        <v>2632</v>
      </c>
      <c r="F537" t="s">
        <v>2633</v>
      </c>
      <c r="G537" s="1">
        <v>372.08</v>
      </c>
      <c r="H537" s="1"/>
      <c r="I537" t="s">
        <v>2634</v>
      </c>
      <c r="J537">
        <v>1</v>
      </c>
      <c r="K537">
        <v>0</v>
      </c>
      <c r="L537">
        <v>0</v>
      </c>
    </row>
    <row r="538" spans="1:12">
      <c r="A538" s="14" t="s">
        <v>1071</v>
      </c>
      <c r="B538" t="s">
        <v>1072</v>
      </c>
      <c r="C538" t="s">
        <v>13</v>
      </c>
      <c r="D538">
        <v>293.89</v>
      </c>
      <c r="E538" t="s">
        <v>2632</v>
      </c>
      <c r="F538" t="s">
        <v>2633</v>
      </c>
      <c r="G538" s="1">
        <v>653.11</v>
      </c>
      <c r="H538" s="1"/>
      <c r="I538" t="s">
        <v>2634</v>
      </c>
      <c r="J538">
        <v>1</v>
      </c>
      <c r="K538">
        <v>0</v>
      </c>
      <c r="L538">
        <v>0</v>
      </c>
    </row>
    <row r="539" spans="1:12">
      <c r="A539" s="14" t="s">
        <v>1073</v>
      </c>
      <c r="B539" t="s">
        <v>1074</v>
      </c>
      <c r="C539" t="s">
        <v>13</v>
      </c>
      <c r="D539">
        <v>293.89</v>
      </c>
      <c r="E539" t="s">
        <v>2632</v>
      </c>
      <c r="F539" t="s">
        <v>2633</v>
      </c>
      <c r="G539" s="1">
        <v>653.11</v>
      </c>
      <c r="H539" s="1"/>
      <c r="I539" t="s">
        <v>2634</v>
      </c>
      <c r="J539">
        <v>1</v>
      </c>
      <c r="K539">
        <v>0</v>
      </c>
      <c r="L539">
        <v>0</v>
      </c>
    </row>
    <row r="540" spans="1:12">
      <c r="A540" s="14" t="s">
        <v>1075</v>
      </c>
      <c r="B540" t="s">
        <v>1076</v>
      </c>
      <c r="C540" t="s">
        <v>13</v>
      </c>
      <c r="D540">
        <v>293.89</v>
      </c>
      <c r="E540" t="s">
        <v>2632</v>
      </c>
      <c r="F540" t="s">
        <v>2633</v>
      </c>
      <c r="G540" s="1">
        <v>653.11</v>
      </c>
      <c r="H540" s="1"/>
      <c r="I540" t="s">
        <v>2634</v>
      </c>
      <c r="J540">
        <v>1</v>
      </c>
      <c r="K540">
        <v>0</v>
      </c>
      <c r="L540">
        <v>0</v>
      </c>
    </row>
    <row r="541" spans="1:12">
      <c r="A541" s="14" t="s">
        <v>1077</v>
      </c>
      <c r="B541" t="s">
        <v>1078</v>
      </c>
      <c r="C541" t="s">
        <v>13</v>
      </c>
      <c r="D541">
        <v>165.66</v>
      </c>
      <c r="E541" t="s">
        <v>2632</v>
      </c>
      <c r="F541" t="s">
        <v>2633</v>
      </c>
      <c r="G541" s="1">
        <v>368.11</v>
      </c>
      <c r="H541" s="1"/>
      <c r="I541" t="s">
        <v>2634</v>
      </c>
      <c r="J541">
        <v>1</v>
      </c>
      <c r="K541">
        <v>0</v>
      </c>
      <c r="L541">
        <v>0</v>
      </c>
    </row>
    <row r="542" spans="1:12">
      <c r="A542" s="14" t="s">
        <v>1079</v>
      </c>
      <c r="B542" t="s">
        <v>1080</v>
      </c>
      <c r="C542" t="s">
        <v>13</v>
      </c>
      <c r="D542">
        <v>61.89</v>
      </c>
      <c r="E542" t="s">
        <v>2632</v>
      </c>
      <c r="F542" t="s">
        <v>2633</v>
      </c>
      <c r="G542" s="1">
        <v>137.53</v>
      </c>
      <c r="H542" s="1"/>
      <c r="I542" t="s">
        <v>2634</v>
      </c>
      <c r="J542">
        <v>5</v>
      </c>
      <c r="K542">
        <v>0</v>
      </c>
      <c r="L542">
        <v>0</v>
      </c>
    </row>
    <row r="543" spans="1:12">
      <c r="A543" s="14" t="s">
        <v>1081</v>
      </c>
      <c r="B543" t="s">
        <v>1082</v>
      </c>
      <c r="C543" t="s">
        <v>13</v>
      </c>
      <c r="D543">
        <v>467.39</v>
      </c>
      <c r="E543" t="s">
        <v>2632</v>
      </c>
      <c r="F543" t="s">
        <v>2633</v>
      </c>
      <c r="G543" s="1">
        <v>1038.64</v>
      </c>
      <c r="H543" s="1"/>
      <c r="I543" t="s">
        <v>2634</v>
      </c>
      <c r="J543">
        <v>1</v>
      </c>
      <c r="K543">
        <v>0</v>
      </c>
      <c r="L543">
        <v>0</v>
      </c>
    </row>
    <row r="544" spans="1:12">
      <c r="A544" s="14" t="s">
        <v>1083</v>
      </c>
      <c r="B544" t="s">
        <v>1084</v>
      </c>
      <c r="C544" t="s">
        <v>13</v>
      </c>
      <c r="D544">
        <v>197.08</v>
      </c>
      <c r="E544" t="s">
        <v>2632</v>
      </c>
      <c r="F544" t="s">
        <v>2633</v>
      </c>
      <c r="G544" s="1">
        <v>437.95</v>
      </c>
      <c r="H544" s="1"/>
      <c r="I544" t="s">
        <v>2634</v>
      </c>
      <c r="J544">
        <v>5</v>
      </c>
      <c r="K544">
        <v>0</v>
      </c>
      <c r="L544">
        <v>0</v>
      </c>
    </row>
    <row r="545" spans="1:12">
      <c r="A545" s="14" t="s">
        <v>1085</v>
      </c>
      <c r="B545" t="s">
        <v>1086</v>
      </c>
      <c r="C545" t="s">
        <v>13</v>
      </c>
      <c r="D545">
        <v>189.66</v>
      </c>
      <c r="E545" t="s">
        <v>2632</v>
      </c>
      <c r="F545" t="s">
        <v>2633</v>
      </c>
      <c r="G545" s="1">
        <v>421.44</v>
      </c>
      <c r="H545" s="1"/>
      <c r="I545" t="s">
        <v>2634</v>
      </c>
      <c r="J545">
        <v>1</v>
      </c>
      <c r="K545">
        <v>0</v>
      </c>
      <c r="L545">
        <v>0</v>
      </c>
    </row>
    <row r="546" spans="1:12">
      <c r="A546" s="14" t="s">
        <v>1087</v>
      </c>
      <c r="B546" t="s">
        <v>1088</v>
      </c>
      <c r="C546" t="s">
        <v>13</v>
      </c>
      <c r="D546">
        <v>533.07</v>
      </c>
      <c r="E546" t="s">
        <v>2632</v>
      </c>
      <c r="F546" t="s">
        <v>2633</v>
      </c>
      <c r="G546" s="1">
        <v>1184.6</v>
      </c>
      <c r="H546" s="1"/>
      <c r="I546" t="s">
        <v>2634</v>
      </c>
      <c r="J546">
        <v>1</v>
      </c>
      <c r="K546">
        <v>0</v>
      </c>
      <c r="L546">
        <v>0</v>
      </c>
    </row>
    <row r="547" spans="1:12">
      <c r="A547" s="14" t="s">
        <v>1089</v>
      </c>
      <c r="B547" t="s">
        <v>1090</v>
      </c>
      <c r="C547" t="s">
        <v>13</v>
      </c>
      <c r="D547">
        <v>273.19</v>
      </c>
      <c r="E547" t="s">
        <v>2632</v>
      </c>
      <c r="F547" t="s">
        <v>2633</v>
      </c>
      <c r="G547" s="1">
        <v>607.11</v>
      </c>
      <c r="H547" s="1"/>
      <c r="I547" t="s">
        <v>2634</v>
      </c>
      <c r="J547">
        <v>1</v>
      </c>
      <c r="K547">
        <v>0</v>
      </c>
      <c r="L547">
        <v>0</v>
      </c>
    </row>
    <row r="548" spans="1:12">
      <c r="A548" s="14" t="s">
        <v>1091</v>
      </c>
      <c r="B548" t="s">
        <v>1092</v>
      </c>
      <c r="C548" t="s">
        <v>13</v>
      </c>
      <c r="D548">
        <v>190</v>
      </c>
      <c r="E548" t="s">
        <v>2632</v>
      </c>
      <c r="F548" t="s">
        <v>2633</v>
      </c>
      <c r="G548" s="1">
        <v>422.21</v>
      </c>
      <c r="H548" s="1"/>
      <c r="I548" t="s">
        <v>2634</v>
      </c>
      <c r="J548">
        <v>6</v>
      </c>
      <c r="K548">
        <v>0</v>
      </c>
      <c r="L548">
        <v>0</v>
      </c>
    </row>
    <row r="549" spans="1:12">
      <c r="A549" s="14" t="s">
        <v>1093</v>
      </c>
      <c r="B549" t="s">
        <v>1094</v>
      </c>
      <c r="C549" t="s">
        <v>13</v>
      </c>
      <c r="D549">
        <v>213.27</v>
      </c>
      <c r="E549" t="s">
        <v>2632</v>
      </c>
      <c r="F549" t="s">
        <v>2633</v>
      </c>
      <c r="G549" s="1">
        <v>473.93</v>
      </c>
      <c r="H549" s="1"/>
      <c r="I549" t="s">
        <v>2634</v>
      </c>
      <c r="J549">
        <v>1</v>
      </c>
      <c r="K549">
        <v>0</v>
      </c>
      <c r="L549">
        <v>0</v>
      </c>
    </row>
    <row r="550" spans="1:12">
      <c r="A550" s="14" t="s">
        <v>1095</v>
      </c>
      <c r="B550" t="s">
        <v>1096</v>
      </c>
      <c r="C550" t="s">
        <v>13</v>
      </c>
      <c r="D550">
        <v>275.76</v>
      </c>
      <c r="E550" t="s">
        <v>2632</v>
      </c>
      <c r="F550" t="s">
        <v>2633</v>
      </c>
      <c r="G550" s="1">
        <v>612.81</v>
      </c>
      <c r="H550" s="1"/>
      <c r="I550" t="s">
        <v>2634</v>
      </c>
      <c r="J550">
        <v>1</v>
      </c>
      <c r="K550">
        <v>0</v>
      </c>
      <c r="L550">
        <v>0</v>
      </c>
    </row>
    <row r="551" spans="1:12">
      <c r="A551" s="14" t="s">
        <v>1097</v>
      </c>
      <c r="B551" t="s">
        <v>1098</v>
      </c>
      <c r="C551" t="s">
        <v>13</v>
      </c>
      <c r="D551">
        <v>548.38</v>
      </c>
      <c r="E551" t="s">
        <v>2632</v>
      </c>
      <c r="F551" t="s">
        <v>2633</v>
      </c>
      <c r="G551" s="1">
        <v>1218.64</v>
      </c>
      <c r="H551" s="1"/>
      <c r="I551" t="s">
        <v>2634</v>
      </c>
      <c r="J551">
        <v>1</v>
      </c>
      <c r="K551">
        <v>0</v>
      </c>
      <c r="L551">
        <v>0</v>
      </c>
    </row>
    <row r="552" spans="1:12">
      <c r="A552" s="14" t="s">
        <v>1099</v>
      </c>
      <c r="B552" t="s">
        <v>1100</v>
      </c>
      <c r="C552" t="s">
        <v>13</v>
      </c>
      <c r="D552">
        <v>248.35</v>
      </c>
      <c r="E552" t="s">
        <v>2632</v>
      </c>
      <c r="F552" t="s">
        <v>2633</v>
      </c>
      <c r="G552" s="1">
        <v>551.89</v>
      </c>
      <c r="H552" s="1"/>
      <c r="I552" t="s">
        <v>2634</v>
      </c>
      <c r="J552">
        <v>1</v>
      </c>
      <c r="K552">
        <v>0</v>
      </c>
      <c r="L552">
        <v>0</v>
      </c>
    </row>
    <row r="553" spans="1:12">
      <c r="A553" s="14" t="s">
        <v>1101</v>
      </c>
      <c r="B553" t="s">
        <v>1102</v>
      </c>
      <c r="C553" t="s">
        <v>13</v>
      </c>
      <c r="D553">
        <v>387.41</v>
      </c>
      <c r="E553" t="s">
        <v>2632</v>
      </c>
      <c r="F553" t="s">
        <v>2633</v>
      </c>
      <c r="G553" s="1">
        <v>860.93</v>
      </c>
      <c r="H553" s="1"/>
      <c r="I553" t="s">
        <v>2634</v>
      </c>
      <c r="J553">
        <v>5</v>
      </c>
      <c r="K553">
        <v>0</v>
      </c>
      <c r="L553">
        <v>0</v>
      </c>
    </row>
    <row r="554" spans="1:12">
      <c r="A554" s="14" t="s">
        <v>1103</v>
      </c>
      <c r="B554" t="s">
        <v>1104</v>
      </c>
      <c r="C554" t="s">
        <v>13</v>
      </c>
      <c r="D554">
        <v>405.78</v>
      </c>
      <c r="E554" t="s">
        <v>2632</v>
      </c>
      <c r="F554" t="s">
        <v>2633</v>
      </c>
      <c r="G554" s="1">
        <v>901.73</v>
      </c>
      <c r="H554" s="1"/>
      <c r="I554" t="s">
        <v>2634</v>
      </c>
      <c r="J554">
        <v>1</v>
      </c>
      <c r="K554">
        <v>0</v>
      </c>
      <c r="L554">
        <v>0</v>
      </c>
    </row>
    <row r="555" spans="1:12">
      <c r="A555" s="14" t="s">
        <v>1105</v>
      </c>
      <c r="B555" t="s">
        <v>1106</v>
      </c>
      <c r="C555" t="s">
        <v>13</v>
      </c>
      <c r="D555">
        <v>620.31</v>
      </c>
      <c r="E555" t="s">
        <v>2632</v>
      </c>
      <c r="F555" t="s">
        <v>2633</v>
      </c>
      <c r="G555" s="1">
        <v>1378.46</v>
      </c>
      <c r="H555" s="1"/>
      <c r="I555" t="s">
        <v>2634</v>
      </c>
      <c r="J555">
        <v>1</v>
      </c>
      <c r="K555">
        <v>0</v>
      </c>
      <c r="L555">
        <v>0</v>
      </c>
    </row>
    <row r="556" spans="1:12">
      <c r="A556" s="14" t="s">
        <v>1107</v>
      </c>
      <c r="B556" t="s">
        <v>1108</v>
      </c>
      <c r="C556" t="s">
        <v>13</v>
      </c>
      <c r="D556">
        <v>294.13</v>
      </c>
      <c r="E556" t="s">
        <v>2632</v>
      </c>
      <c r="F556" t="s">
        <v>2633</v>
      </c>
      <c r="G556" s="1">
        <v>653.6</v>
      </c>
      <c r="H556" s="1"/>
      <c r="I556" t="s">
        <v>2634</v>
      </c>
      <c r="J556">
        <v>1</v>
      </c>
      <c r="K556">
        <v>0</v>
      </c>
      <c r="L556">
        <v>0</v>
      </c>
    </row>
    <row r="557" spans="1:12">
      <c r="A557" s="14" t="s">
        <v>1109</v>
      </c>
      <c r="B557" t="s">
        <v>1110</v>
      </c>
      <c r="C557" t="s">
        <v>13</v>
      </c>
      <c r="D557">
        <v>295.74</v>
      </c>
      <c r="E557" t="s">
        <v>2632</v>
      </c>
      <c r="F557" t="s">
        <v>2633</v>
      </c>
      <c r="G557" s="1">
        <v>657.19</v>
      </c>
      <c r="H557" s="1"/>
      <c r="I557" t="s">
        <v>2634</v>
      </c>
      <c r="J557">
        <v>1</v>
      </c>
      <c r="K557">
        <v>0</v>
      </c>
      <c r="L557">
        <v>0</v>
      </c>
    </row>
    <row r="558" spans="1:12">
      <c r="A558" s="14" t="s">
        <v>1111</v>
      </c>
      <c r="B558" t="s">
        <v>1112</v>
      </c>
      <c r="C558" t="s">
        <v>13</v>
      </c>
      <c r="D558">
        <v>299.14</v>
      </c>
      <c r="E558" t="s">
        <v>2632</v>
      </c>
      <c r="F558" t="s">
        <v>2633</v>
      </c>
      <c r="G558" s="1">
        <v>664.8</v>
      </c>
      <c r="H558" s="1"/>
      <c r="I558" t="s">
        <v>2634</v>
      </c>
      <c r="J558">
        <v>1</v>
      </c>
      <c r="K558">
        <v>0</v>
      </c>
      <c r="L558">
        <v>0</v>
      </c>
    </row>
    <row r="559" spans="1:12">
      <c r="A559" s="14" t="s">
        <v>1113</v>
      </c>
      <c r="B559" t="s">
        <v>1114</v>
      </c>
      <c r="C559" t="s">
        <v>13</v>
      </c>
      <c r="D559">
        <v>394.35</v>
      </c>
      <c r="E559" t="s">
        <v>2632</v>
      </c>
      <c r="F559" t="s">
        <v>2633</v>
      </c>
      <c r="G559" s="1">
        <v>876.35</v>
      </c>
      <c r="H559" s="1"/>
      <c r="I559" t="s">
        <v>2634</v>
      </c>
      <c r="J559">
        <v>1</v>
      </c>
      <c r="K559">
        <v>0</v>
      </c>
      <c r="L559">
        <v>0</v>
      </c>
    </row>
    <row r="560" spans="1:12">
      <c r="A560" s="14" t="s">
        <v>1115</v>
      </c>
      <c r="B560" t="s">
        <v>1116</v>
      </c>
      <c r="C560" t="s">
        <v>13</v>
      </c>
      <c r="D560">
        <v>414.26</v>
      </c>
      <c r="E560" t="s">
        <v>2632</v>
      </c>
      <c r="F560" t="s">
        <v>2633</v>
      </c>
      <c r="G560" s="1">
        <v>920.58</v>
      </c>
      <c r="H560" s="1"/>
      <c r="I560" t="s">
        <v>2634</v>
      </c>
      <c r="J560">
        <v>1</v>
      </c>
      <c r="K560">
        <v>0</v>
      </c>
      <c r="L560">
        <v>0</v>
      </c>
    </row>
    <row r="561" spans="1:12">
      <c r="A561" s="14" t="s">
        <v>1117</v>
      </c>
      <c r="B561" t="s">
        <v>1118</v>
      </c>
      <c r="C561" t="s">
        <v>13</v>
      </c>
      <c r="D561">
        <v>630.38</v>
      </c>
      <c r="E561" t="s">
        <v>2632</v>
      </c>
      <c r="F561" t="s">
        <v>2633</v>
      </c>
      <c r="G561" s="1">
        <v>1400.84</v>
      </c>
      <c r="H561" s="1"/>
      <c r="I561" t="s">
        <v>2634</v>
      </c>
      <c r="J561">
        <v>1</v>
      </c>
      <c r="K561">
        <v>0</v>
      </c>
      <c r="L561">
        <v>0</v>
      </c>
    </row>
    <row r="562" spans="1:12">
      <c r="A562" s="14" t="s">
        <v>1119</v>
      </c>
      <c r="B562" t="s">
        <v>1120</v>
      </c>
      <c r="C562" t="s">
        <v>13</v>
      </c>
      <c r="D562">
        <v>560.27</v>
      </c>
      <c r="E562" t="s">
        <v>2632</v>
      </c>
      <c r="F562" t="s">
        <v>2633</v>
      </c>
      <c r="G562" s="1">
        <v>1245.03</v>
      </c>
      <c r="H562" s="1"/>
      <c r="I562" t="s">
        <v>2634</v>
      </c>
      <c r="J562">
        <v>1</v>
      </c>
      <c r="K562">
        <v>0</v>
      </c>
      <c r="L562">
        <v>0</v>
      </c>
    </row>
    <row r="563" spans="1:12">
      <c r="A563" s="14" t="s">
        <v>1121</v>
      </c>
      <c r="B563" t="s">
        <v>1122</v>
      </c>
      <c r="C563" t="s">
        <v>13</v>
      </c>
      <c r="D563">
        <v>582.43</v>
      </c>
      <c r="E563" t="s">
        <v>2632</v>
      </c>
      <c r="F563" t="s">
        <v>2633</v>
      </c>
      <c r="G563" s="1">
        <v>1294.27</v>
      </c>
      <c r="H563" s="1"/>
      <c r="I563" t="s">
        <v>2634</v>
      </c>
      <c r="J563">
        <v>1</v>
      </c>
      <c r="K563">
        <v>0</v>
      </c>
      <c r="L563">
        <v>0</v>
      </c>
    </row>
    <row r="564" spans="1:12">
      <c r="A564" s="14" t="s">
        <v>1123</v>
      </c>
      <c r="B564" t="s">
        <v>1124</v>
      </c>
      <c r="C564" t="s">
        <v>13</v>
      </c>
      <c r="D564">
        <v>810.07</v>
      </c>
      <c r="E564" t="s">
        <v>2632</v>
      </c>
      <c r="F564" t="s">
        <v>2633</v>
      </c>
      <c r="G564" s="1">
        <v>1800.15</v>
      </c>
      <c r="H564" s="1"/>
      <c r="I564" t="s">
        <v>2634</v>
      </c>
      <c r="J564">
        <v>1</v>
      </c>
      <c r="K564">
        <v>0</v>
      </c>
      <c r="L564">
        <v>0</v>
      </c>
    </row>
    <row r="565" spans="1:12">
      <c r="A565" s="14" t="s">
        <v>1125</v>
      </c>
      <c r="B565" t="s">
        <v>1126</v>
      </c>
      <c r="C565" t="s">
        <v>13</v>
      </c>
      <c r="D565">
        <v>480.64</v>
      </c>
      <c r="E565" t="s">
        <v>2632</v>
      </c>
      <c r="F565" t="s">
        <v>2633</v>
      </c>
      <c r="G565" s="1">
        <v>1068.08</v>
      </c>
      <c r="H565" s="1"/>
      <c r="I565" t="s">
        <v>2634</v>
      </c>
      <c r="J565">
        <v>1</v>
      </c>
      <c r="K565">
        <v>0</v>
      </c>
      <c r="L565">
        <v>0</v>
      </c>
    </row>
    <row r="566" spans="1:12">
      <c r="A566" s="14" t="s">
        <v>1127</v>
      </c>
      <c r="B566" t="s">
        <v>1128</v>
      </c>
      <c r="C566" t="s">
        <v>13</v>
      </c>
      <c r="D566">
        <v>807.08</v>
      </c>
      <c r="E566" t="s">
        <v>2632</v>
      </c>
      <c r="F566" t="s">
        <v>2633</v>
      </c>
      <c r="G566" s="1">
        <v>1793.51</v>
      </c>
      <c r="H566" s="1"/>
      <c r="I566" t="s">
        <v>2634</v>
      </c>
      <c r="J566">
        <v>1</v>
      </c>
      <c r="K566">
        <v>0</v>
      </c>
      <c r="L566">
        <v>0</v>
      </c>
    </row>
    <row r="567" spans="1:12">
      <c r="A567" s="14" t="s">
        <v>1129</v>
      </c>
      <c r="B567" t="s">
        <v>1130</v>
      </c>
      <c r="C567" t="s">
        <v>13</v>
      </c>
      <c r="D567">
        <v>542.19</v>
      </c>
      <c r="E567" t="s">
        <v>2632</v>
      </c>
      <c r="F567" t="s">
        <v>2633</v>
      </c>
      <c r="G567" s="1">
        <v>1204.85</v>
      </c>
      <c r="H567" s="1"/>
      <c r="I567" t="s">
        <v>2634</v>
      </c>
      <c r="J567">
        <v>1</v>
      </c>
      <c r="K567">
        <v>0</v>
      </c>
      <c r="L567">
        <v>0</v>
      </c>
    </row>
    <row r="568" spans="1:12">
      <c r="A568" s="14" t="s">
        <v>1131</v>
      </c>
      <c r="B568" t="s">
        <v>1132</v>
      </c>
      <c r="C568" t="s">
        <v>13</v>
      </c>
      <c r="D568">
        <v>561.27</v>
      </c>
      <c r="E568" t="s">
        <v>2632</v>
      </c>
      <c r="F568" t="s">
        <v>2633</v>
      </c>
      <c r="G568" s="1">
        <v>1247.28</v>
      </c>
      <c r="H568" s="1"/>
      <c r="I568" t="s">
        <v>2634</v>
      </c>
      <c r="J568">
        <v>1</v>
      </c>
      <c r="K568">
        <v>0</v>
      </c>
      <c r="L568">
        <v>0</v>
      </c>
    </row>
    <row r="569" spans="1:12">
      <c r="A569" s="14" t="s">
        <v>1133</v>
      </c>
      <c r="B569" t="s">
        <v>1134</v>
      </c>
      <c r="C569" t="s">
        <v>13</v>
      </c>
      <c r="D569">
        <v>731.13</v>
      </c>
      <c r="E569" t="s">
        <v>2632</v>
      </c>
      <c r="F569" t="s">
        <v>2633</v>
      </c>
      <c r="G569" s="1">
        <v>1624.73</v>
      </c>
      <c r="H569" s="1"/>
      <c r="I569" t="s">
        <v>2634</v>
      </c>
      <c r="J569">
        <v>1</v>
      </c>
      <c r="K569">
        <v>0</v>
      </c>
      <c r="L569">
        <v>0</v>
      </c>
    </row>
    <row r="570" spans="1:12">
      <c r="A570" s="14" t="s">
        <v>1135</v>
      </c>
      <c r="B570" t="s">
        <v>1136</v>
      </c>
      <c r="C570" t="s">
        <v>13</v>
      </c>
      <c r="D570">
        <v>375.59</v>
      </c>
      <c r="E570" t="s">
        <v>2632</v>
      </c>
      <c r="F570" t="s">
        <v>2633</v>
      </c>
      <c r="G570" s="1">
        <v>834.65</v>
      </c>
      <c r="H570" s="1"/>
      <c r="I570" t="s">
        <v>2634</v>
      </c>
      <c r="J570">
        <v>1</v>
      </c>
      <c r="K570">
        <v>0</v>
      </c>
      <c r="L570">
        <v>0</v>
      </c>
    </row>
    <row r="571" spans="1:12">
      <c r="A571" s="14" t="s">
        <v>1137</v>
      </c>
      <c r="B571" t="s">
        <v>1138</v>
      </c>
      <c r="C571" t="s">
        <v>13</v>
      </c>
      <c r="D571">
        <v>460.27</v>
      </c>
      <c r="E571" t="s">
        <v>2632</v>
      </c>
      <c r="F571" t="s">
        <v>2633</v>
      </c>
      <c r="G571" s="1">
        <v>1022.83</v>
      </c>
      <c r="H571" s="1"/>
      <c r="I571" t="s">
        <v>2634</v>
      </c>
      <c r="J571">
        <v>1</v>
      </c>
      <c r="K571">
        <v>0</v>
      </c>
      <c r="L571">
        <v>0</v>
      </c>
    </row>
    <row r="572" spans="1:12">
      <c r="A572" s="14" t="s">
        <v>1139</v>
      </c>
      <c r="B572" t="s">
        <v>1140</v>
      </c>
      <c r="C572" t="s">
        <v>13</v>
      </c>
      <c r="D572">
        <v>467.46</v>
      </c>
      <c r="E572" t="s">
        <v>2632</v>
      </c>
      <c r="F572" t="s">
        <v>2633</v>
      </c>
      <c r="G572" s="1">
        <v>1038.81</v>
      </c>
      <c r="H572" s="1"/>
      <c r="I572" t="s">
        <v>2634</v>
      </c>
      <c r="J572">
        <v>1</v>
      </c>
      <c r="K572">
        <v>0</v>
      </c>
      <c r="L572">
        <v>0</v>
      </c>
    </row>
    <row r="573" spans="1:12">
      <c r="A573" s="14" t="s">
        <v>1141</v>
      </c>
      <c r="B573" t="s">
        <v>1142</v>
      </c>
      <c r="C573" t="s">
        <v>13</v>
      </c>
      <c r="D573">
        <v>386.17</v>
      </c>
      <c r="E573" t="s">
        <v>2632</v>
      </c>
      <c r="F573" t="s">
        <v>2633</v>
      </c>
      <c r="G573" s="1">
        <v>858.17</v>
      </c>
      <c r="H573" s="1"/>
      <c r="I573" t="s">
        <v>2634</v>
      </c>
      <c r="J573">
        <v>1</v>
      </c>
      <c r="K573">
        <v>0</v>
      </c>
      <c r="L573">
        <v>0</v>
      </c>
    </row>
    <row r="574" spans="1:12">
      <c r="A574" s="14" t="s">
        <v>1143</v>
      </c>
      <c r="B574" t="s">
        <v>1144</v>
      </c>
      <c r="C574" t="s">
        <v>13</v>
      </c>
      <c r="D574">
        <v>373.67</v>
      </c>
      <c r="E574" t="s">
        <v>2632</v>
      </c>
      <c r="F574" t="s">
        <v>2633</v>
      </c>
      <c r="G574" s="1">
        <v>830.4</v>
      </c>
      <c r="H574" s="1"/>
      <c r="I574" t="s">
        <v>2634</v>
      </c>
      <c r="J574">
        <v>1</v>
      </c>
      <c r="K574">
        <v>0</v>
      </c>
      <c r="L574">
        <v>0</v>
      </c>
    </row>
    <row r="575" spans="1:12">
      <c r="A575" s="14" t="s">
        <v>1145</v>
      </c>
      <c r="B575" t="s">
        <v>1146</v>
      </c>
      <c r="C575" t="s">
        <v>13</v>
      </c>
      <c r="D575">
        <v>752.19</v>
      </c>
      <c r="E575" t="s">
        <v>2632</v>
      </c>
      <c r="F575" t="s">
        <v>2633</v>
      </c>
      <c r="G575" s="1">
        <v>1671.55</v>
      </c>
      <c r="H575" s="1"/>
      <c r="I575" t="s">
        <v>2634</v>
      </c>
      <c r="J575">
        <v>1</v>
      </c>
      <c r="K575">
        <v>0</v>
      </c>
      <c r="L575">
        <v>0</v>
      </c>
    </row>
    <row r="576" spans="1:12">
      <c r="A576" s="14" t="s">
        <v>1147</v>
      </c>
      <c r="B576" t="s">
        <v>1148</v>
      </c>
      <c r="C576" t="s">
        <v>13</v>
      </c>
      <c r="D576">
        <v>778.35</v>
      </c>
      <c r="E576" t="s">
        <v>2632</v>
      </c>
      <c r="F576" t="s">
        <v>2633</v>
      </c>
      <c r="G576" s="1">
        <v>1729.67</v>
      </c>
      <c r="H576" s="1"/>
      <c r="I576" t="s">
        <v>2634</v>
      </c>
      <c r="J576">
        <v>1</v>
      </c>
      <c r="K576">
        <v>0</v>
      </c>
      <c r="L576">
        <v>0</v>
      </c>
    </row>
    <row r="577" spans="1:12">
      <c r="A577" s="14" t="s">
        <v>1149</v>
      </c>
      <c r="B577" t="s">
        <v>1150</v>
      </c>
      <c r="C577" t="s">
        <v>13</v>
      </c>
      <c r="D577">
        <v>945.72</v>
      </c>
      <c r="E577" t="s">
        <v>2632</v>
      </c>
      <c r="F577" t="s">
        <v>2633</v>
      </c>
      <c r="G577" s="1">
        <v>2101.61</v>
      </c>
      <c r="H577" s="1"/>
      <c r="I577" t="s">
        <v>2634</v>
      </c>
      <c r="J577">
        <v>1</v>
      </c>
      <c r="K577">
        <v>0</v>
      </c>
      <c r="L577">
        <v>0</v>
      </c>
    </row>
    <row r="578" spans="1:12">
      <c r="A578" s="14" t="s">
        <v>1151</v>
      </c>
      <c r="B578" t="s">
        <v>1152</v>
      </c>
      <c r="C578" t="s">
        <v>13</v>
      </c>
      <c r="D578">
        <v>547.92</v>
      </c>
      <c r="E578" t="s">
        <v>2632</v>
      </c>
      <c r="F578" t="s">
        <v>2633</v>
      </c>
      <c r="G578" s="1">
        <v>1217.58</v>
      </c>
      <c r="H578" s="1"/>
      <c r="I578" t="s">
        <v>2634</v>
      </c>
      <c r="J578">
        <v>1</v>
      </c>
      <c r="K578">
        <v>0</v>
      </c>
      <c r="L578">
        <v>0</v>
      </c>
    </row>
    <row r="579" spans="1:12">
      <c r="A579" s="14" t="s">
        <v>1153</v>
      </c>
      <c r="B579" t="s">
        <v>1154</v>
      </c>
      <c r="C579" t="s">
        <v>13</v>
      </c>
      <c r="D579">
        <v>767.25</v>
      </c>
      <c r="E579" t="s">
        <v>2632</v>
      </c>
      <c r="F579" t="s">
        <v>2633</v>
      </c>
      <c r="G579" s="1">
        <v>1705</v>
      </c>
      <c r="H579" s="1"/>
      <c r="I579" t="s">
        <v>2634</v>
      </c>
      <c r="J579">
        <v>1</v>
      </c>
      <c r="K579">
        <v>0</v>
      </c>
      <c r="L579">
        <v>0</v>
      </c>
    </row>
    <row r="580" spans="1:12">
      <c r="A580" s="14" t="s">
        <v>1155</v>
      </c>
      <c r="B580" t="s">
        <v>1156</v>
      </c>
      <c r="C580" t="s">
        <v>13</v>
      </c>
      <c r="D580">
        <v>520.62</v>
      </c>
      <c r="E580" t="s">
        <v>2632</v>
      </c>
      <c r="F580" t="s">
        <v>2633</v>
      </c>
      <c r="G580" s="1">
        <v>1156.93</v>
      </c>
      <c r="H580" s="1"/>
      <c r="I580" t="s">
        <v>2634</v>
      </c>
      <c r="J580">
        <v>1</v>
      </c>
      <c r="K580">
        <v>0</v>
      </c>
      <c r="L580">
        <v>0</v>
      </c>
    </row>
    <row r="581" spans="1:12">
      <c r="A581" s="14" t="s">
        <v>1157</v>
      </c>
      <c r="B581" t="s">
        <v>1158</v>
      </c>
      <c r="C581" t="s">
        <v>13</v>
      </c>
      <c r="D581">
        <v>795.12</v>
      </c>
      <c r="E581" t="s">
        <v>2632</v>
      </c>
      <c r="F581" t="s">
        <v>2633</v>
      </c>
      <c r="G581" s="1">
        <v>1766.92</v>
      </c>
      <c r="H581" s="1"/>
      <c r="I581" t="s">
        <v>2634</v>
      </c>
      <c r="J581">
        <v>1</v>
      </c>
      <c r="K581">
        <v>0</v>
      </c>
      <c r="L581">
        <v>0</v>
      </c>
    </row>
    <row r="582" spans="1:12">
      <c r="A582" s="14" t="s">
        <v>1159</v>
      </c>
      <c r="B582" t="s">
        <v>1160</v>
      </c>
      <c r="C582" t="s">
        <v>13</v>
      </c>
      <c r="D582">
        <v>754.15</v>
      </c>
      <c r="E582" t="s">
        <v>2632</v>
      </c>
      <c r="F582" t="s">
        <v>2633</v>
      </c>
      <c r="G582" s="1">
        <v>1675.9</v>
      </c>
      <c r="H582" s="1"/>
      <c r="I582" t="s">
        <v>2634</v>
      </c>
      <c r="J582">
        <v>1</v>
      </c>
      <c r="K582">
        <v>0</v>
      </c>
      <c r="L582">
        <v>0</v>
      </c>
    </row>
    <row r="583" spans="1:12">
      <c r="A583" s="14" t="s">
        <v>1161</v>
      </c>
      <c r="B583" t="s">
        <v>1162</v>
      </c>
      <c r="C583" t="s">
        <v>13</v>
      </c>
      <c r="D583">
        <v>779.97</v>
      </c>
      <c r="E583" t="s">
        <v>2632</v>
      </c>
      <c r="F583" t="s">
        <v>2633</v>
      </c>
      <c r="G583" s="1">
        <v>1733.26</v>
      </c>
      <c r="H583" s="1"/>
      <c r="I583" t="s">
        <v>2634</v>
      </c>
      <c r="J583">
        <v>1</v>
      </c>
      <c r="K583">
        <v>0</v>
      </c>
      <c r="L583">
        <v>0</v>
      </c>
    </row>
    <row r="584" spans="1:12">
      <c r="A584" s="14" t="s">
        <v>1163</v>
      </c>
      <c r="B584" t="s">
        <v>1164</v>
      </c>
      <c r="C584" t="s">
        <v>13</v>
      </c>
      <c r="D584">
        <v>947.85</v>
      </c>
      <c r="E584" t="s">
        <v>2632</v>
      </c>
      <c r="F584" t="s">
        <v>2633</v>
      </c>
      <c r="G584" s="1">
        <v>2106.33</v>
      </c>
      <c r="H584" s="1"/>
      <c r="I584" t="s">
        <v>2634</v>
      </c>
      <c r="J584">
        <v>1</v>
      </c>
      <c r="K584">
        <v>0</v>
      </c>
      <c r="L584">
        <v>0</v>
      </c>
    </row>
    <row r="585" spans="1:12">
      <c r="A585" s="14" t="s">
        <v>1165</v>
      </c>
      <c r="B585" t="s">
        <v>1166</v>
      </c>
      <c r="C585" t="s">
        <v>13</v>
      </c>
      <c r="D585">
        <v>978.73</v>
      </c>
      <c r="E585" t="s">
        <v>2632</v>
      </c>
      <c r="F585" t="s">
        <v>2633</v>
      </c>
      <c r="G585" s="1">
        <v>2174.95</v>
      </c>
      <c r="H585" s="1"/>
      <c r="I585" t="s">
        <v>2634</v>
      </c>
      <c r="J585">
        <v>1</v>
      </c>
      <c r="K585">
        <v>0</v>
      </c>
      <c r="L585">
        <v>0</v>
      </c>
    </row>
    <row r="586" spans="1:12">
      <c r="A586" s="14" t="s">
        <v>1167</v>
      </c>
      <c r="B586" t="s">
        <v>1168</v>
      </c>
      <c r="C586" t="s">
        <v>13</v>
      </c>
      <c r="D586">
        <v>1002.68</v>
      </c>
      <c r="E586" t="s">
        <v>2632</v>
      </c>
      <c r="F586" t="s">
        <v>2633</v>
      </c>
      <c r="G586" s="1">
        <v>2228.19</v>
      </c>
      <c r="H586" s="1"/>
      <c r="I586" t="s">
        <v>2634</v>
      </c>
      <c r="J586">
        <v>1</v>
      </c>
      <c r="K586">
        <v>0</v>
      </c>
      <c r="L586">
        <v>0</v>
      </c>
    </row>
    <row r="587" spans="1:12">
      <c r="A587" s="14" t="s">
        <v>1169</v>
      </c>
      <c r="B587" t="s">
        <v>1170</v>
      </c>
      <c r="C587" t="s">
        <v>13</v>
      </c>
      <c r="D587">
        <v>1237.01</v>
      </c>
      <c r="E587" t="s">
        <v>2632</v>
      </c>
      <c r="F587" t="s">
        <v>2633</v>
      </c>
      <c r="G587" s="1">
        <v>2748.91</v>
      </c>
      <c r="H587" s="1"/>
      <c r="I587" t="s">
        <v>2634</v>
      </c>
      <c r="J587">
        <v>1</v>
      </c>
      <c r="K587">
        <v>0</v>
      </c>
      <c r="L587">
        <v>0</v>
      </c>
    </row>
    <row r="588" spans="1:12">
      <c r="A588" s="14" t="s">
        <v>1171</v>
      </c>
      <c r="B588" t="s">
        <v>1172</v>
      </c>
      <c r="C588" t="s">
        <v>13</v>
      </c>
      <c r="D588">
        <v>867.83</v>
      </c>
      <c r="E588" t="s">
        <v>2632</v>
      </c>
      <c r="F588" t="s">
        <v>2633</v>
      </c>
      <c r="G588" s="1">
        <v>1928.52</v>
      </c>
      <c r="H588" s="1"/>
      <c r="I588" t="s">
        <v>2634</v>
      </c>
      <c r="J588">
        <v>1</v>
      </c>
      <c r="K588">
        <v>0</v>
      </c>
      <c r="L588">
        <v>0</v>
      </c>
    </row>
    <row r="589" spans="1:12">
      <c r="A589" s="14" t="s">
        <v>1173</v>
      </c>
      <c r="B589" t="s">
        <v>1174</v>
      </c>
      <c r="C589" t="s">
        <v>13</v>
      </c>
      <c r="D589">
        <v>1085.33</v>
      </c>
      <c r="E589" t="s">
        <v>2632</v>
      </c>
      <c r="F589" t="s">
        <v>2633</v>
      </c>
      <c r="G589" s="1">
        <v>2411.85</v>
      </c>
      <c r="H589" s="1"/>
      <c r="I589" t="s">
        <v>2634</v>
      </c>
      <c r="J589">
        <v>1</v>
      </c>
      <c r="K589">
        <v>0</v>
      </c>
      <c r="L589">
        <v>0</v>
      </c>
    </row>
    <row r="590" spans="1:12">
      <c r="A590" s="14" t="s">
        <v>1175</v>
      </c>
      <c r="B590" t="s">
        <v>1176</v>
      </c>
      <c r="C590" t="s">
        <v>13</v>
      </c>
      <c r="D590">
        <v>872.28</v>
      </c>
      <c r="E590" t="s">
        <v>2632</v>
      </c>
      <c r="F590" t="s">
        <v>2633</v>
      </c>
      <c r="G590" s="1">
        <v>1938.41</v>
      </c>
      <c r="H590" s="1"/>
      <c r="I590" t="s">
        <v>2634</v>
      </c>
      <c r="J590">
        <v>1</v>
      </c>
      <c r="K590">
        <v>0</v>
      </c>
      <c r="L590">
        <v>0</v>
      </c>
    </row>
    <row r="591" spans="1:12">
      <c r="A591" s="14" t="s">
        <v>1177</v>
      </c>
      <c r="B591" t="s">
        <v>1178</v>
      </c>
      <c r="C591" t="s">
        <v>13</v>
      </c>
      <c r="D591">
        <v>1156.43</v>
      </c>
      <c r="E591" t="s">
        <v>2632</v>
      </c>
      <c r="F591" t="s">
        <v>2633</v>
      </c>
      <c r="G591" s="1">
        <v>2569.84</v>
      </c>
      <c r="H591" s="1"/>
      <c r="I591" t="s">
        <v>2634</v>
      </c>
      <c r="J591">
        <v>1</v>
      </c>
      <c r="K591">
        <v>0</v>
      </c>
      <c r="L591">
        <v>0</v>
      </c>
    </row>
    <row r="592" spans="1:12">
      <c r="A592" s="14" t="s">
        <v>1179</v>
      </c>
      <c r="B592" t="s">
        <v>1180</v>
      </c>
      <c r="C592" t="s">
        <v>13</v>
      </c>
      <c r="D592">
        <v>982.59</v>
      </c>
      <c r="E592" t="s">
        <v>2632</v>
      </c>
      <c r="F592" t="s">
        <v>2633</v>
      </c>
      <c r="G592" s="1">
        <v>2183.54</v>
      </c>
      <c r="H592" s="1"/>
      <c r="I592" t="s">
        <v>2634</v>
      </c>
      <c r="J592">
        <v>1</v>
      </c>
      <c r="K592">
        <v>0</v>
      </c>
      <c r="L592">
        <v>0</v>
      </c>
    </row>
    <row r="593" spans="1:12">
      <c r="A593" s="14" t="s">
        <v>1181</v>
      </c>
      <c r="B593" t="s">
        <v>1182</v>
      </c>
      <c r="C593" t="s">
        <v>13</v>
      </c>
      <c r="D593">
        <v>1004.51</v>
      </c>
      <c r="E593" t="s">
        <v>2632</v>
      </c>
      <c r="F593" t="s">
        <v>2633</v>
      </c>
      <c r="G593" s="1">
        <v>2232.25</v>
      </c>
      <c r="H593" s="1"/>
      <c r="I593" t="s">
        <v>2634</v>
      </c>
      <c r="J593">
        <v>1</v>
      </c>
      <c r="K593">
        <v>0</v>
      </c>
      <c r="L593">
        <v>0</v>
      </c>
    </row>
    <row r="594" spans="1:12">
      <c r="A594" s="14" t="s">
        <v>1183</v>
      </c>
      <c r="B594" t="s">
        <v>1184</v>
      </c>
      <c r="C594" t="s">
        <v>13</v>
      </c>
      <c r="D594">
        <v>1264.17</v>
      </c>
      <c r="E594" t="s">
        <v>2632</v>
      </c>
      <c r="F594" t="s">
        <v>2633</v>
      </c>
      <c r="G594" s="1">
        <v>2809.26</v>
      </c>
      <c r="H594" s="1"/>
      <c r="I594" t="s">
        <v>2634</v>
      </c>
      <c r="J594">
        <v>1</v>
      </c>
      <c r="K594">
        <v>0</v>
      </c>
      <c r="L594">
        <v>0</v>
      </c>
    </row>
    <row r="595" spans="1:12">
      <c r="A595" s="14" t="s">
        <v>1185</v>
      </c>
      <c r="B595" t="s">
        <v>1186</v>
      </c>
      <c r="C595" t="s">
        <v>13</v>
      </c>
      <c r="D595">
        <v>1317.48</v>
      </c>
      <c r="E595" t="s">
        <v>2632</v>
      </c>
      <c r="F595" t="s">
        <v>2633</v>
      </c>
      <c r="G595" s="1">
        <v>2927.75</v>
      </c>
      <c r="H595" s="1"/>
      <c r="I595" t="s">
        <v>2634</v>
      </c>
      <c r="J595">
        <v>1</v>
      </c>
      <c r="K595">
        <v>0</v>
      </c>
      <c r="L595">
        <v>0</v>
      </c>
    </row>
    <row r="596" spans="1:12">
      <c r="A596" s="14" t="s">
        <v>1187</v>
      </c>
      <c r="B596" t="s">
        <v>1188</v>
      </c>
      <c r="C596" t="s">
        <v>13</v>
      </c>
      <c r="D596">
        <v>1337.46</v>
      </c>
      <c r="E596" t="s">
        <v>2632</v>
      </c>
      <c r="F596" t="s">
        <v>2633</v>
      </c>
      <c r="G596" s="1">
        <v>2972.15</v>
      </c>
      <c r="H596" s="1"/>
      <c r="I596" t="s">
        <v>2634</v>
      </c>
      <c r="J596">
        <v>1</v>
      </c>
      <c r="K596">
        <v>0</v>
      </c>
      <c r="L596">
        <v>0</v>
      </c>
    </row>
    <row r="597" spans="1:12">
      <c r="A597" s="14" t="s">
        <v>1189</v>
      </c>
      <c r="B597" t="s">
        <v>1190</v>
      </c>
      <c r="C597" t="s">
        <v>13</v>
      </c>
      <c r="D597">
        <v>1519.7</v>
      </c>
      <c r="E597" t="s">
        <v>2632</v>
      </c>
      <c r="F597" t="s">
        <v>2633</v>
      </c>
      <c r="G597" s="1">
        <v>3377.11</v>
      </c>
      <c r="H597" s="1"/>
      <c r="I597" t="s">
        <v>2634</v>
      </c>
      <c r="J597">
        <v>1</v>
      </c>
      <c r="K597">
        <v>0</v>
      </c>
      <c r="L597">
        <v>0</v>
      </c>
    </row>
    <row r="598" spans="1:12">
      <c r="A598" s="14" t="s">
        <v>1191</v>
      </c>
      <c r="B598" t="s">
        <v>1192</v>
      </c>
      <c r="C598" t="s">
        <v>13</v>
      </c>
      <c r="D598">
        <v>1444.47</v>
      </c>
      <c r="E598" t="s">
        <v>2632</v>
      </c>
      <c r="F598" t="s">
        <v>2633</v>
      </c>
      <c r="G598" s="1">
        <v>3209.95</v>
      </c>
      <c r="H598" s="1"/>
      <c r="I598" t="s">
        <v>2634</v>
      </c>
      <c r="J598">
        <v>1</v>
      </c>
      <c r="K598">
        <v>0</v>
      </c>
      <c r="L598">
        <v>0</v>
      </c>
    </row>
    <row r="599" spans="1:12">
      <c r="A599" s="14" t="s">
        <v>1193</v>
      </c>
      <c r="B599" t="s">
        <v>1194</v>
      </c>
      <c r="C599" t="s">
        <v>13</v>
      </c>
      <c r="D599">
        <v>16.75</v>
      </c>
      <c r="E599" t="s">
        <v>2632</v>
      </c>
      <c r="F599" t="s">
        <v>2633</v>
      </c>
      <c r="G599" s="1">
        <v>37.24</v>
      </c>
      <c r="H599" s="1"/>
      <c r="I599" t="s">
        <v>2634</v>
      </c>
      <c r="J599">
        <v>12</v>
      </c>
      <c r="K599">
        <v>0</v>
      </c>
      <c r="L599">
        <v>0</v>
      </c>
    </row>
    <row r="600" spans="1:12">
      <c r="A600" s="14" t="s">
        <v>1195</v>
      </c>
      <c r="B600" t="s">
        <v>1196</v>
      </c>
      <c r="C600" t="s">
        <v>13</v>
      </c>
      <c r="D600">
        <v>15.89</v>
      </c>
      <c r="E600" t="s">
        <v>2632</v>
      </c>
      <c r="F600" t="s">
        <v>2633</v>
      </c>
      <c r="G600" s="1">
        <v>35.31</v>
      </c>
      <c r="H600" s="2" t="s">
        <v>2635</v>
      </c>
      <c r="I600" t="s">
        <v>2642</v>
      </c>
      <c r="J600">
        <v>12</v>
      </c>
      <c r="K600">
        <v>0</v>
      </c>
      <c r="L600">
        <v>0</v>
      </c>
    </row>
    <row r="601" spans="1:12">
      <c r="A601" s="14" t="s">
        <v>1197</v>
      </c>
      <c r="B601" t="s">
        <v>1198</v>
      </c>
      <c r="C601" t="s">
        <v>13</v>
      </c>
      <c r="D601">
        <v>17.06</v>
      </c>
      <c r="E601" t="s">
        <v>2632</v>
      </c>
      <c r="F601" t="s">
        <v>2633</v>
      </c>
      <c r="G601" s="1">
        <v>37.91</v>
      </c>
      <c r="H601" s="1"/>
      <c r="I601" t="s">
        <v>2634</v>
      </c>
      <c r="J601">
        <v>12</v>
      </c>
      <c r="K601">
        <v>0</v>
      </c>
      <c r="L601">
        <v>0</v>
      </c>
    </row>
    <row r="602" spans="1:12">
      <c r="A602" s="14" t="s">
        <v>1199</v>
      </c>
      <c r="B602" t="s">
        <v>1200</v>
      </c>
      <c r="C602" t="s">
        <v>13</v>
      </c>
      <c r="D602">
        <v>16.29</v>
      </c>
      <c r="E602" t="s">
        <v>2632</v>
      </c>
      <c r="F602" t="s">
        <v>2633</v>
      </c>
      <c r="G602" s="1">
        <v>36.22</v>
      </c>
      <c r="H602" s="2" t="s">
        <v>2635</v>
      </c>
      <c r="I602" t="s">
        <v>2641</v>
      </c>
      <c r="J602">
        <v>24</v>
      </c>
      <c r="K602">
        <v>0</v>
      </c>
      <c r="L602">
        <v>0</v>
      </c>
    </row>
    <row r="603" spans="1:12">
      <c r="A603" s="14" t="s">
        <v>1201</v>
      </c>
      <c r="B603" t="s">
        <v>1202</v>
      </c>
      <c r="C603" t="s">
        <v>13</v>
      </c>
      <c r="D603">
        <v>0.65</v>
      </c>
      <c r="E603" t="s">
        <v>2632</v>
      </c>
      <c r="F603" t="s">
        <v>2633</v>
      </c>
      <c r="G603" s="1">
        <v>1.63</v>
      </c>
      <c r="H603" s="1"/>
      <c r="I603" t="s">
        <v>2634</v>
      </c>
      <c r="J603" t="s">
        <v>2634</v>
      </c>
      <c r="K603">
        <v>0</v>
      </c>
      <c r="L603">
        <v>0</v>
      </c>
    </row>
    <row r="604" spans="1:12">
      <c r="A604" s="14" t="s">
        <v>1203</v>
      </c>
      <c r="B604" t="s">
        <v>1204</v>
      </c>
      <c r="C604" t="s">
        <v>13</v>
      </c>
      <c r="D604">
        <v>1.63</v>
      </c>
      <c r="E604" t="s">
        <v>2632</v>
      </c>
      <c r="F604" t="s">
        <v>2633</v>
      </c>
      <c r="G604" s="1">
        <v>4.06</v>
      </c>
      <c r="H604" s="1"/>
      <c r="I604" t="s">
        <v>2634</v>
      </c>
      <c r="J604" t="s">
        <v>2634</v>
      </c>
      <c r="K604">
        <v>0</v>
      </c>
      <c r="L604">
        <v>0</v>
      </c>
    </row>
    <row r="605" spans="1:12">
      <c r="A605" s="14" t="s">
        <v>1205</v>
      </c>
      <c r="B605" t="s">
        <v>1206</v>
      </c>
      <c r="C605" t="s">
        <v>13</v>
      </c>
      <c r="D605">
        <v>22.35</v>
      </c>
      <c r="E605" t="s">
        <v>2632</v>
      </c>
      <c r="F605" t="s">
        <v>2633</v>
      </c>
      <c r="G605" s="1">
        <v>42.57</v>
      </c>
      <c r="H605" s="1"/>
      <c r="I605" t="s">
        <v>2634</v>
      </c>
      <c r="J605" t="s">
        <v>2634</v>
      </c>
      <c r="K605">
        <v>0</v>
      </c>
      <c r="L605">
        <v>0</v>
      </c>
    </row>
    <row r="606" spans="1:12">
      <c r="A606" s="14" t="s">
        <v>1207</v>
      </c>
      <c r="B606" t="s">
        <v>1208</v>
      </c>
      <c r="C606" t="s">
        <v>13</v>
      </c>
      <c r="D606">
        <v>15.01</v>
      </c>
      <c r="E606" t="s">
        <v>2632</v>
      </c>
      <c r="F606" t="s">
        <v>2633</v>
      </c>
      <c r="G606" s="1">
        <v>33.38</v>
      </c>
      <c r="H606" s="2" t="s">
        <v>2635</v>
      </c>
      <c r="I606" t="s">
        <v>2637</v>
      </c>
      <c r="J606">
        <v>6</v>
      </c>
      <c r="K606">
        <v>0</v>
      </c>
      <c r="L606">
        <v>0</v>
      </c>
    </row>
    <row r="607" spans="1:12">
      <c r="A607" s="14" t="s">
        <v>1209</v>
      </c>
      <c r="B607" t="s">
        <v>1210</v>
      </c>
      <c r="C607" t="s">
        <v>13</v>
      </c>
      <c r="D607">
        <v>20.82</v>
      </c>
      <c r="E607" t="s">
        <v>2632</v>
      </c>
      <c r="F607" t="s">
        <v>2633</v>
      </c>
      <c r="G607" s="1">
        <v>46.28</v>
      </c>
      <c r="H607" s="1"/>
      <c r="I607" t="s">
        <v>2634</v>
      </c>
      <c r="J607">
        <v>12</v>
      </c>
      <c r="K607">
        <v>0</v>
      </c>
      <c r="L607">
        <v>0</v>
      </c>
    </row>
    <row r="608" spans="1:12">
      <c r="A608" s="14" t="s">
        <v>1211</v>
      </c>
      <c r="B608" t="s">
        <v>1212</v>
      </c>
      <c r="C608" t="s">
        <v>13</v>
      </c>
      <c r="D608">
        <v>8.06</v>
      </c>
      <c r="E608" t="s">
        <v>2632</v>
      </c>
      <c r="F608" t="s">
        <v>2633</v>
      </c>
      <c r="G608" s="1">
        <v>17.89</v>
      </c>
      <c r="H608" s="2" t="s">
        <v>2635</v>
      </c>
      <c r="I608" t="s">
        <v>2642</v>
      </c>
      <c r="J608">
        <v>12</v>
      </c>
      <c r="K608">
        <v>0</v>
      </c>
      <c r="L608">
        <v>0</v>
      </c>
    </row>
    <row r="609" spans="1:12">
      <c r="A609" s="14" t="s">
        <v>1213</v>
      </c>
      <c r="B609" t="s">
        <v>1214</v>
      </c>
      <c r="C609" t="s">
        <v>13</v>
      </c>
      <c r="D609">
        <v>12.41</v>
      </c>
      <c r="E609" t="s">
        <v>2632</v>
      </c>
      <c r="F609" t="s">
        <v>2633</v>
      </c>
      <c r="G609" s="1">
        <v>27.56</v>
      </c>
      <c r="H609" s="1"/>
      <c r="I609" t="s">
        <v>2634</v>
      </c>
      <c r="J609">
        <v>12</v>
      </c>
      <c r="K609">
        <v>0</v>
      </c>
      <c r="L609">
        <v>0</v>
      </c>
    </row>
    <row r="610" spans="1:12">
      <c r="A610" s="14" t="s">
        <v>1215</v>
      </c>
      <c r="B610" t="s">
        <v>1216</v>
      </c>
      <c r="C610" t="s">
        <v>13</v>
      </c>
      <c r="D610">
        <v>13.11</v>
      </c>
      <c r="E610" t="s">
        <v>2632</v>
      </c>
      <c r="F610" t="s">
        <v>2633</v>
      </c>
      <c r="G610" s="1">
        <v>29.16</v>
      </c>
      <c r="H610" s="2" t="s">
        <v>2635</v>
      </c>
      <c r="I610" t="s">
        <v>2637</v>
      </c>
      <c r="J610">
        <v>6</v>
      </c>
      <c r="K610">
        <v>0</v>
      </c>
      <c r="L610">
        <v>0</v>
      </c>
    </row>
    <row r="611" spans="1:12">
      <c r="A611" s="14" t="s">
        <v>1217</v>
      </c>
      <c r="B611" t="s">
        <v>1218</v>
      </c>
      <c r="C611" t="s">
        <v>13</v>
      </c>
      <c r="D611">
        <v>18.61</v>
      </c>
      <c r="E611" t="s">
        <v>2632</v>
      </c>
      <c r="F611" t="s">
        <v>2633</v>
      </c>
      <c r="G611" s="1">
        <v>41.37</v>
      </c>
      <c r="H611" s="1"/>
      <c r="I611" t="s">
        <v>2634</v>
      </c>
      <c r="J611">
        <v>12</v>
      </c>
      <c r="K611">
        <v>0</v>
      </c>
      <c r="L611">
        <v>0</v>
      </c>
    </row>
    <row r="612" spans="1:12">
      <c r="A612" s="14" t="s">
        <v>1219</v>
      </c>
      <c r="B612" t="s">
        <v>1220</v>
      </c>
      <c r="C612" t="s">
        <v>13</v>
      </c>
      <c r="D612">
        <v>19.55</v>
      </c>
      <c r="E612" t="s">
        <v>2632</v>
      </c>
      <c r="F612" t="s">
        <v>2633</v>
      </c>
      <c r="G612" s="1">
        <v>43.48</v>
      </c>
      <c r="H612" s="1"/>
      <c r="I612" t="s">
        <v>2634</v>
      </c>
      <c r="J612">
        <v>10</v>
      </c>
      <c r="K612">
        <v>0</v>
      </c>
      <c r="L612">
        <v>0</v>
      </c>
    </row>
    <row r="613" spans="1:12">
      <c r="A613" s="14" t="s">
        <v>1221</v>
      </c>
      <c r="B613" t="s">
        <v>1222</v>
      </c>
      <c r="C613" t="s">
        <v>13</v>
      </c>
      <c r="D613">
        <v>29.48</v>
      </c>
      <c r="E613" t="s">
        <v>2632</v>
      </c>
      <c r="F613" t="s">
        <v>2633</v>
      </c>
      <c r="G613" s="1">
        <v>65.49</v>
      </c>
      <c r="H613" s="1"/>
      <c r="I613" t="s">
        <v>2634</v>
      </c>
      <c r="J613">
        <v>15</v>
      </c>
      <c r="K613">
        <v>0</v>
      </c>
      <c r="L613">
        <v>0</v>
      </c>
    </row>
    <row r="614" spans="1:12">
      <c r="A614" s="14" t="s">
        <v>1223</v>
      </c>
      <c r="B614" t="s">
        <v>1224</v>
      </c>
      <c r="C614" t="s">
        <v>13</v>
      </c>
      <c r="D614">
        <v>44.2</v>
      </c>
      <c r="E614" t="s">
        <v>2632</v>
      </c>
      <c r="F614" t="s">
        <v>2633</v>
      </c>
      <c r="G614" s="1">
        <v>98.21</v>
      </c>
      <c r="H614" s="1"/>
      <c r="I614" t="s">
        <v>2634</v>
      </c>
      <c r="J614">
        <v>10</v>
      </c>
      <c r="K614">
        <v>0</v>
      </c>
      <c r="L614">
        <v>0</v>
      </c>
    </row>
    <row r="615" spans="1:12">
      <c r="A615" s="14" t="s">
        <v>1225</v>
      </c>
      <c r="B615" t="s">
        <v>1226</v>
      </c>
      <c r="C615" t="s">
        <v>13</v>
      </c>
      <c r="D615">
        <v>13.98</v>
      </c>
      <c r="E615" t="s">
        <v>2632</v>
      </c>
      <c r="F615" t="s">
        <v>2633</v>
      </c>
      <c r="G615" s="1">
        <v>31.06</v>
      </c>
      <c r="H615" s="2" t="s">
        <v>2635</v>
      </c>
      <c r="I615" t="s">
        <v>2646</v>
      </c>
      <c r="J615">
        <v>4</v>
      </c>
      <c r="K615">
        <v>0</v>
      </c>
      <c r="L615">
        <v>0</v>
      </c>
    </row>
    <row r="616" spans="1:12">
      <c r="A616" s="14" t="s">
        <v>1227</v>
      </c>
      <c r="B616" t="s">
        <v>1228</v>
      </c>
      <c r="C616" t="s">
        <v>13</v>
      </c>
      <c r="D616">
        <v>19.72</v>
      </c>
      <c r="E616" t="s">
        <v>2632</v>
      </c>
      <c r="F616" t="s">
        <v>2633</v>
      </c>
      <c r="G616" s="1">
        <v>43.84</v>
      </c>
      <c r="H616" s="1"/>
      <c r="I616" t="s">
        <v>2634</v>
      </c>
      <c r="J616">
        <v>15</v>
      </c>
      <c r="K616">
        <v>0</v>
      </c>
      <c r="L616">
        <v>0</v>
      </c>
    </row>
    <row r="617" spans="1:12">
      <c r="A617" s="14" t="s">
        <v>1229</v>
      </c>
      <c r="B617" t="s">
        <v>1230</v>
      </c>
      <c r="C617" t="s">
        <v>13</v>
      </c>
      <c r="D617">
        <v>6.9</v>
      </c>
      <c r="E617" t="s">
        <v>2632</v>
      </c>
      <c r="F617" t="s">
        <v>2633</v>
      </c>
      <c r="G617" s="1">
        <v>15.32</v>
      </c>
      <c r="H617" s="2" t="s">
        <v>2635</v>
      </c>
      <c r="I617" t="s">
        <v>2636</v>
      </c>
      <c r="J617">
        <v>10</v>
      </c>
      <c r="K617">
        <v>0</v>
      </c>
      <c r="L617">
        <v>0</v>
      </c>
    </row>
    <row r="618" spans="1:12">
      <c r="A618" s="14" t="s">
        <v>1231</v>
      </c>
      <c r="B618" t="s">
        <v>1232</v>
      </c>
      <c r="C618" t="s">
        <v>13</v>
      </c>
      <c r="D618">
        <v>10.72</v>
      </c>
      <c r="E618" t="s">
        <v>2632</v>
      </c>
      <c r="F618" t="s">
        <v>2633</v>
      </c>
      <c r="G618" s="1">
        <v>23.83</v>
      </c>
      <c r="H618" s="1"/>
      <c r="I618" t="s">
        <v>2634</v>
      </c>
      <c r="J618">
        <v>15</v>
      </c>
      <c r="K618">
        <v>0</v>
      </c>
      <c r="L618">
        <v>0</v>
      </c>
    </row>
    <row r="619" spans="1:12">
      <c r="A619" s="14" t="s">
        <v>1233</v>
      </c>
      <c r="B619" t="s">
        <v>1234</v>
      </c>
      <c r="C619" t="s">
        <v>13</v>
      </c>
      <c r="D619">
        <v>5.83</v>
      </c>
      <c r="E619" t="s">
        <v>2632</v>
      </c>
      <c r="F619" t="s">
        <v>2633</v>
      </c>
      <c r="G619" s="1">
        <v>12.98</v>
      </c>
      <c r="H619" s="1"/>
      <c r="I619" t="s">
        <v>2634</v>
      </c>
      <c r="J619">
        <v>20</v>
      </c>
      <c r="K619">
        <v>0</v>
      </c>
      <c r="L619">
        <v>0</v>
      </c>
    </row>
    <row r="620" spans="1:12">
      <c r="A620" s="14" t="s">
        <v>1235</v>
      </c>
      <c r="B620" t="s">
        <v>1236</v>
      </c>
      <c r="C620" t="s">
        <v>13</v>
      </c>
      <c r="D620">
        <v>2.97</v>
      </c>
      <c r="E620" t="s">
        <v>2632</v>
      </c>
      <c r="F620" t="s">
        <v>2633</v>
      </c>
      <c r="G620" s="1">
        <v>5.66</v>
      </c>
      <c r="H620" s="1"/>
      <c r="I620" t="s">
        <v>2634</v>
      </c>
      <c r="J620" t="s">
        <v>2634</v>
      </c>
      <c r="K620">
        <v>0</v>
      </c>
      <c r="L620">
        <v>0</v>
      </c>
    </row>
    <row r="621" spans="1:12">
      <c r="A621" s="14" t="s">
        <v>1237</v>
      </c>
      <c r="B621" t="s">
        <v>1238</v>
      </c>
      <c r="C621" t="s">
        <v>13</v>
      </c>
      <c r="D621">
        <v>3.16</v>
      </c>
      <c r="E621" t="s">
        <v>2632</v>
      </c>
      <c r="F621" t="s">
        <v>2633</v>
      </c>
      <c r="G621" s="1">
        <v>7.04</v>
      </c>
      <c r="H621" s="1"/>
      <c r="I621" t="s">
        <v>2634</v>
      </c>
      <c r="J621" t="s">
        <v>2634</v>
      </c>
      <c r="K621">
        <v>0</v>
      </c>
      <c r="L621">
        <v>0</v>
      </c>
    </row>
    <row r="622" spans="1:12">
      <c r="A622" s="14" t="s">
        <v>1239</v>
      </c>
      <c r="B622" t="s">
        <v>1240</v>
      </c>
      <c r="C622" t="s">
        <v>13</v>
      </c>
      <c r="D622">
        <v>6.83</v>
      </c>
      <c r="E622" t="s">
        <v>2632</v>
      </c>
      <c r="F622" t="s">
        <v>2633</v>
      </c>
      <c r="G622" s="1">
        <v>15.17</v>
      </c>
      <c r="H622" s="1"/>
      <c r="I622" t="s">
        <v>2634</v>
      </c>
      <c r="J622">
        <v>6</v>
      </c>
      <c r="K622">
        <v>0</v>
      </c>
      <c r="L622">
        <v>0</v>
      </c>
    </row>
    <row r="623" spans="1:12">
      <c r="A623" s="14" t="s">
        <v>1241</v>
      </c>
      <c r="B623" t="s">
        <v>1242</v>
      </c>
      <c r="C623" t="s">
        <v>13</v>
      </c>
      <c r="D623">
        <v>3.77</v>
      </c>
      <c r="E623" t="s">
        <v>2632</v>
      </c>
      <c r="F623" t="s">
        <v>2633</v>
      </c>
      <c r="G623" s="1">
        <v>8.38</v>
      </c>
      <c r="H623" s="1"/>
      <c r="I623" t="s">
        <v>2634</v>
      </c>
      <c r="J623" t="s">
        <v>2634</v>
      </c>
      <c r="K623">
        <v>0</v>
      </c>
      <c r="L623">
        <v>0</v>
      </c>
    </row>
    <row r="624" spans="1:12">
      <c r="A624" s="14" t="s">
        <v>1243</v>
      </c>
      <c r="B624" t="s">
        <v>1244</v>
      </c>
      <c r="C624" t="s">
        <v>13</v>
      </c>
      <c r="D624">
        <v>3.29</v>
      </c>
      <c r="E624" t="s">
        <v>2632</v>
      </c>
      <c r="F624" t="s">
        <v>2633</v>
      </c>
      <c r="G624" s="1">
        <v>7.31</v>
      </c>
      <c r="H624" s="1"/>
      <c r="I624" t="s">
        <v>2634</v>
      </c>
      <c r="J624" t="s">
        <v>2634</v>
      </c>
      <c r="K624">
        <v>0</v>
      </c>
      <c r="L624">
        <v>0</v>
      </c>
    </row>
    <row r="625" spans="1:12">
      <c r="A625" s="14" t="s">
        <v>1245</v>
      </c>
      <c r="B625" t="s">
        <v>1246</v>
      </c>
      <c r="C625" t="s">
        <v>13</v>
      </c>
      <c r="D625">
        <v>2.38</v>
      </c>
      <c r="E625" t="s">
        <v>2632</v>
      </c>
      <c r="F625" t="s">
        <v>2633</v>
      </c>
      <c r="G625" s="1">
        <v>4.54</v>
      </c>
      <c r="H625" s="1"/>
      <c r="I625" t="s">
        <v>2634</v>
      </c>
      <c r="J625" t="s">
        <v>2634</v>
      </c>
      <c r="K625">
        <v>0</v>
      </c>
      <c r="L625">
        <v>0</v>
      </c>
    </row>
    <row r="626" spans="1:12">
      <c r="A626" s="14" t="s">
        <v>1247</v>
      </c>
      <c r="B626" t="s">
        <v>1248</v>
      </c>
      <c r="C626" t="s">
        <v>13</v>
      </c>
      <c r="D626">
        <v>2.38</v>
      </c>
      <c r="E626" t="s">
        <v>2632</v>
      </c>
      <c r="F626" t="s">
        <v>2633</v>
      </c>
      <c r="G626" s="1">
        <v>4.54</v>
      </c>
      <c r="H626" s="1"/>
      <c r="I626" t="s">
        <v>2634</v>
      </c>
      <c r="J626" t="s">
        <v>2634</v>
      </c>
      <c r="K626">
        <v>0</v>
      </c>
      <c r="L626">
        <v>0</v>
      </c>
    </row>
    <row r="627" spans="1:12">
      <c r="A627" s="14" t="s">
        <v>1249</v>
      </c>
      <c r="B627" t="s">
        <v>1250</v>
      </c>
      <c r="C627" t="s">
        <v>13</v>
      </c>
      <c r="D627">
        <v>1.05</v>
      </c>
      <c r="E627" t="s">
        <v>2632</v>
      </c>
      <c r="F627" t="s">
        <v>2633</v>
      </c>
      <c r="G627" s="1">
        <v>2.34</v>
      </c>
      <c r="H627" s="1"/>
      <c r="I627" t="s">
        <v>2634</v>
      </c>
      <c r="J627">
        <v>1</v>
      </c>
      <c r="K627">
        <v>0</v>
      </c>
      <c r="L627">
        <v>0</v>
      </c>
    </row>
    <row r="628" spans="1:12">
      <c r="A628" s="14" t="s">
        <v>1251</v>
      </c>
      <c r="B628" t="s">
        <v>1252</v>
      </c>
      <c r="C628" t="s">
        <v>13</v>
      </c>
      <c r="D628">
        <v>3.08</v>
      </c>
      <c r="E628" t="s">
        <v>2632</v>
      </c>
      <c r="F628" t="s">
        <v>2633</v>
      </c>
      <c r="G628" s="1">
        <v>5.87</v>
      </c>
      <c r="H628" s="1"/>
      <c r="I628" t="s">
        <v>2634</v>
      </c>
      <c r="J628">
        <v>1</v>
      </c>
      <c r="K628">
        <v>0</v>
      </c>
      <c r="L628">
        <v>0</v>
      </c>
    </row>
    <row r="629" spans="1:12">
      <c r="A629" s="14" t="s">
        <v>1253</v>
      </c>
      <c r="B629" t="s">
        <v>1254</v>
      </c>
      <c r="C629" t="s">
        <v>13</v>
      </c>
      <c r="D629">
        <v>36.84</v>
      </c>
      <c r="E629" t="s">
        <v>2632</v>
      </c>
      <c r="F629" t="s">
        <v>2633</v>
      </c>
      <c r="G629" s="1">
        <v>81.86</v>
      </c>
      <c r="H629" s="1"/>
      <c r="I629" t="s">
        <v>2634</v>
      </c>
      <c r="J629">
        <v>1</v>
      </c>
      <c r="K629">
        <v>0</v>
      </c>
      <c r="L629">
        <v>0</v>
      </c>
    </row>
    <row r="630" spans="1:12">
      <c r="A630" s="14" t="s">
        <v>1255</v>
      </c>
      <c r="B630" t="s">
        <v>1256</v>
      </c>
      <c r="C630" t="s">
        <v>13</v>
      </c>
      <c r="D630">
        <v>51.67</v>
      </c>
      <c r="E630" t="s">
        <v>2632</v>
      </c>
      <c r="F630" t="s">
        <v>2633</v>
      </c>
      <c r="G630" s="1">
        <v>114.8</v>
      </c>
      <c r="H630" s="1"/>
      <c r="I630" t="s">
        <v>2634</v>
      </c>
      <c r="J630">
        <v>1</v>
      </c>
      <c r="K630">
        <v>0</v>
      </c>
      <c r="L630">
        <v>0</v>
      </c>
    </row>
    <row r="631" spans="1:12">
      <c r="A631" s="14" t="s">
        <v>1257</v>
      </c>
      <c r="B631" t="s">
        <v>1258</v>
      </c>
      <c r="C631" t="s">
        <v>13</v>
      </c>
      <c r="D631">
        <v>42.07</v>
      </c>
      <c r="E631" t="s">
        <v>2632</v>
      </c>
      <c r="F631" t="s">
        <v>2633</v>
      </c>
      <c r="G631" s="1">
        <v>93.49</v>
      </c>
      <c r="H631" s="1"/>
      <c r="I631" t="s">
        <v>2634</v>
      </c>
      <c r="J631">
        <v>1</v>
      </c>
      <c r="K631">
        <v>0</v>
      </c>
      <c r="L631">
        <v>0</v>
      </c>
    </row>
    <row r="632" spans="1:12">
      <c r="A632" s="14" t="s">
        <v>1259</v>
      </c>
      <c r="B632" t="s">
        <v>1260</v>
      </c>
      <c r="C632" t="s">
        <v>13</v>
      </c>
      <c r="D632">
        <v>55.42</v>
      </c>
      <c r="E632" t="s">
        <v>2632</v>
      </c>
      <c r="F632" t="s">
        <v>2633</v>
      </c>
      <c r="G632" s="1">
        <v>123.14</v>
      </c>
      <c r="H632" s="1"/>
      <c r="I632" t="s">
        <v>2634</v>
      </c>
      <c r="J632">
        <v>1</v>
      </c>
      <c r="K632">
        <v>0</v>
      </c>
      <c r="L632">
        <v>0</v>
      </c>
    </row>
    <row r="633" spans="1:12">
      <c r="A633" s="14" t="s">
        <v>1261</v>
      </c>
      <c r="B633" t="s">
        <v>1262</v>
      </c>
      <c r="C633" t="s">
        <v>13</v>
      </c>
      <c r="D633">
        <v>53.4</v>
      </c>
      <c r="E633" t="s">
        <v>2632</v>
      </c>
      <c r="F633" t="s">
        <v>2633</v>
      </c>
      <c r="G633" s="1">
        <v>118.67</v>
      </c>
      <c r="H633" s="1"/>
      <c r="I633" t="s">
        <v>2634</v>
      </c>
      <c r="J633">
        <v>1</v>
      </c>
      <c r="K633">
        <v>0</v>
      </c>
      <c r="L633">
        <v>0</v>
      </c>
    </row>
    <row r="634" spans="1:12">
      <c r="A634" s="14" t="s">
        <v>1263</v>
      </c>
      <c r="B634" t="s">
        <v>1264</v>
      </c>
      <c r="C634" t="s">
        <v>13</v>
      </c>
      <c r="D634">
        <v>65.28</v>
      </c>
      <c r="E634" t="s">
        <v>2632</v>
      </c>
      <c r="F634" t="s">
        <v>2633</v>
      </c>
      <c r="G634" s="1">
        <v>145.09</v>
      </c>
      <c r="H634" s="1"/>
      <c r="I634" t="s">
        <v>2634</v>
      </c>
      <c r="J634">
        <v>1</v>
      </c>
      <c r="K634">
        <v>0</v>
      </c>
      <c r="L634">
        <v>0</v>
      </c>
    </row>
    <row r="635" spans="1:12">
      <c r="A635" s="14" t="s">
        <v>1265</v>
      </c>
      <c r="B635" t="s">
        <v>1266</v>
      </c>
      <c r="C635" t="s">
        <v>13</v>
      </c>
      <c r="D635">
        <v>2.44</v>
      </c>
      <c r="E635" t="s">
        <v>2632</v>
      </c>
      <c r="F635" t="s">
        <v>2633</v>
      </c>
      <c r="G635" s="1">
        <v>4.65</v>
      </c>
      <c r="H635" s="1"/>
      <c r="I635" t="s">
        <v>2634</v>
      </c>
      <c r="J635" t="s">
        <v>2634</v>
      </c>
      <c r="K635">
        <v>0</v>
      </c>
      <c r="L635">
        <v>0</v>
      </c>
    </row>
    <row r="636" spans="1:12">
      <c r="A636" s="14" t="s">
        <v>1267</v>
      </c>
      <c r="B636" t="s">
        <v>1268</v>
      </c>
      <c r="C636" t="s">
        <v>13</v>
      </c>
      <c r="D636">
        <v>3.78</v>
      </c>
      <c r="E636" t="s">
        <v>2632</v>
      </c>
      <c r="F636" t="s">
        <v>2633</v>
      </c>
      <c r="G636" s="1">
        <v>7.21</v>
      </c>
      <c r="H636" s="1"/>
      <c r="I636" t="s">
        <v>2634</v>
      </c>
      <c r="J636">
        <v>12</v>
      </c>
      <c r="K636">
        <v>0</v>
      </c>
      <c r="L636">
        <v>0</v>
      </c>
    </row>
    <row r="637" spans="1:12">
      <c r="A637" s="14" t="s">
        <v>1269</v>
      </c>
      <c r="B637" t="s">
        <v>1270</v>
      </c>
      <c r="C637" t="s">
        <v>13</v>
      </c>
      <c r="D637">
        <v>2.44</v>
      </c>
      <c r="E637" t="s">
        <v>2632</v>
      </c>
      <c r="F637" t="s">
        <v>2633</v>
      </c>
      <c r="G637" s="1">
        <v>4.65</v>
      </c>
      <c r="H637" s="1"/>
      <c r="I637" t="s">
        <v>2634</v>
      </c>
      <c r="J637" t="s">
        <v>2634</v>
      </c>
      <c r="K637">
        <v>0</v>
      </c>
      <c r="L637">
        <v>0</v>
      </c>
    </row>
    <row r="638" spans="1:12">
      <c r="A638" s="14" t="s">
        <v>1271</v>
      </c>
      <c r="B638" t="s">
        <v>1272</v>
      </c>
      <c r="C638" t="s">
        <v>13</v>
      </c>
      <c r="D638">
        <v>3.79</v>
      </c>
      <c r="E638" t="s">
        <v>2632</v>
      </c>
      <c r="F638" t="s">
        <v>2633</v>
      </c>
      <c r="G638" s="1">
        <v>7.23</v>
      </c>
      <c r="H638" s="1"/>
      <c r="I638" t="s">
        <v>2634</v>
      </c>
      <c r="J638">
        <v>12</v>
      </c>
      <c r="K638">
        <v>0</v>
      </c>
      <c r="L638">
        <v>0</v>
      </c>
    </row>
    <row r="639" spans="1:12">
      <c r="A639" s="14" t="s">
        <v>1273</v>
      </c>
      <c r="B639" t="s">
        <v>1274</v>
      </c>
      <c r="C639" t="s">
        <v>13</v>
      </c>
      <c r="D639">
        <v>2.44</v>
      </c>
      <c r="E639" t="s">
        <v>2632</v>
      </c>
      <c r="F639" t="s">
        <v>2633</v>
      </c>
      <c r="G639" s="1">
        <v>4.65</v>
      </c>
      <c r="H639" s="1"/>
      <c r="I639" t="s">
        <v>2634</v>
      </c>
      <c r="J639" t="s">
        <v>2634</v>
      </c>
      <c r="K639">
        <v>0</v>
      </c>
      <c r="L639">
        <v>0</v>
      </c>
    </row>
    <row r="640" spans="1:12">
      <c r="A640" s="14" t="s">
        <v>1275</v>
      </c>
      <c r="B640" t="s">
        <v>1276</v>
      </c>
      <c r="C640" t="s">
        <v>13</v>
      </c>
      <c r="D640">
        <v>3.78</v>
      </c>
      <c r="E640" t="s">
        <v>2632</v>
      </c>
      <c r="F640" t="s">
        <v>2633</v>
      </c>
      <c r="G640" s="1">
        <v>7.21</v>
      </c>
      <c r="H640" s="1"/>
      <c r="I640" t="s">
        <v>2634</v>
      </c>
      <c r="J640">
        <v>12</v>
      </c>
      <c r="K640">
        <v>0</v>
      </c>
      <c r="L640">
        <v>0</v>
      </c>
    </row>
    <row r="641" spans="1:12">
      <c r="A641" s="14" t="s">
        <v>1277</v>
      </c>
      <c r="B641" t="s">
        <v>1278</v>
      </c>
      <c r="C641" t="s">
        <v>13</v>
      </c>
      <c r="D641">
        <v>2.44</v>
      </c>
      <c r="E641" t="s">
        <v>2632</v>
      </c>
      <c r="F641" t="s">
        <v>2633</v>
      </c>
      <c r="G641" s="1">
        <v>4.65</v>
      </c>
      <c r="H641" s="1"/>
      <c r="I641" t="s">
        <v>2634</v>
      </c>
      <c r="J641" t="s">
        <v>2634</v>
      </c>
      <c r="K641">
        <v>0</v>
      </c>
      <c r="L641">
        <v>0</v>
      </c>
    </row>
    <row r="642" spans="1:12">
      <c r="A642" s="14" t="s">
        <v>1279</v>
      </c>
      <c r="B642" t="s">
        <v>1280</v>
      </c>
      <c r="C642" t="s">
        <v>13</v>
      </c>
      <c r="D642">
        <v>3.78</v>
      </c>
      <c r="E642" t="s">
        <v>2632</v>
      </c>
      <c r="F642" t="s">
        <v>2633</v>
      </c>
      <c r="G642" s="1">
        <v>7.21</v>
      </c>
      <c r="H642" s="1"/>
      <c r="I642" t="s">
        <v>2634</v>
      </c>
      <c r="J642">
        <v>12</v>
      </c>
      <c r="K642">
        <v>0</v>
      </c>
      <c r="L642">
        <v>0</v>
      </c>
    </row>
    <row r="643" spans="1:12">
      <c r="A643" s="14" t="s">
        <v>1281</v>
      </c>
      <c r="B643" t="s">
        <v>1282</v>
      </c>
      <c r="C643" t="s">
        <v>13</v>
      </c>
      <c r="D643">
        <v>2.44</v>
      </c>
      <c r="E643" t="s">
        <v>2632</v>
      </c>
      <c r="F643" t="s">
        <v>2633</v>
      </c>
      <c r="G643" s="1">
        <v>4.65</v>
      </c>
      <c r="H643" s="1"/>
      <c r="I643" t="s">
        <v>2634</v>
      </c>
      <c r="J643" t="s">
        <v>2634</v>
      </c>
      <c r="K643">
        <v>0</v>
      </c>
      <c r="L643">
        <v>0</v>
      </c>
    </row>
    <row r="644" spans="1:12">
      <c r="A644" s="14" t="s">
        <v>1283</v>
      </c>
      <c r="B644" t="s">
        <v>1284</v>
      </c>
      <c r="C644" t="s">
        <v>13</v>
      </c>
      <c r="D644">
        <v>3.79</v>
      </c>
      <c r="E644" t="s">
        <v>2632</v>
      </c>
      <c r="F644" t="s">
        <v>2633</v>
      </c>
      <c r="G644" s="1">
        <v>7.23</v>
      </c>
      <c r="H644" s="1"/>
      <c r="I644" t="s">
        <v>2634</v>
      </c>
      <c r="J644">
        <v>12</v>
      </c>
      <c r="K644">
        <v>0</v>
      </c>
      <c r="L644">
        <v>0</v>
      </c>
    </row>
    <row r="645" spans="1:12">
      <c r="A645" s="14" t="s">
        <v>1285</v>
      </c>
      <c r="B645" t="s">
        <v>1286</v>
      </c>
      <c r="C645" t="s">
        <v>13</v>
      </c>
      <c r="D645">
        <v>2.44</v>
      </c>
      <c r="E645" t="s">
        <v>2632</v>
      </c>
      <c r="F645" t="s">
        <v>2633</v>
      </c>
      <c r="G645" s="1">
        <v>4.65</v>
      </c>
      <c r="H645" s="1"/>
      <c r="I645" t="s">
        <v>2634</v>
      </c>
      <c r="J645" t="s">
        <v>2634</v>
      </c>
      <c r="K645">
        <v>0</v>
      </c>
      <c r="L645">
        <v>0</v>
      </c>
    </row>
    <row r="646" spans="1:12">
      <c r="A646" s="14" t="s">
        <v>1287</v>
      </c>
      <c r="B646" t="s">
        <v>1288</v>
      </c>
      <c r="C646" t="s">
        <v>13</v>
      </c>
      <c r="D646">
        <v>3.78</v>
      </c>
      <c r="E646" t="s">
        <v>2632</v>
      </c>
      <c r="F646" t="s">
        <v>2633</v>
      </c>
      <c r="G646" s="1">
        <v>7.21</v>
      </c>
      <c r="H646" s="1"/>
      <c r="I646" t="s">
        <v>2634</v>
      </c>
      <c r="J646">
        <v>12</v>
      </c>
      <c r="K646">
        <v>0</v>
      </c>
      <c r="L646">
        <v>0</v>
      </c>
    </row>
    <row r="647" spans="1:12">
      <c r="A647" s="14" t="s">
        <v>1289</v>
      </c>
      <c r="B647" t="s">
        <v>1290</v>
      </c>
      <c r="C647" t="s">
        <v>13</v>
      </c>
      <c r="D647">
        <v>22.78</v>
      </c>
      <c r="E647" t="s">
        <v>2632</v>
      </c>
      <c r="F647" t="s">
        <v>2633</v>
      </c>
      <c r="G647" s="1">
        <v>43.37</v>
      </c>
      <c r="H647" s="1"/>
      <c r="I647" t="s">
        <v>2634</v>
      </c>
      <c r="J647">
        <v>1</v>
      </c>
      <c r="K647">
        <v>0</v>
      </c>
      <c r="L647">
        <v>0</v>
      </c>
    </row>
    <row r="648" spans="1:12">
      <c r="A648" s="14" t="s">
        <v>1291</v>
      </c>
      <c r="B648" t="s">
        <v>1292</v>
      </c>
      <c r="C648" t="s">
        <v>13</v>
      </c>
      <c r="D648">
        <v>22.66</v>
      </c>
      <c r="E648" t="s">
        <v>2632</v>
      </c>
      <c r="F648" t="s">
        <v>2633</v>
      </c>
      <c r="G648" s="1">
        <v>43.18</v>
      </c>
      <c r="H648" s="1"/>
      <c r="I648" t="s">
        <v>2634</v>
      </c>
      <c r="J648">
        <v>1</v>
      </c>
      <c r="K648">
        <v>0</v>
      </c>
      <c r="L648">
        <v>0</v>
      </c>
    </row>
    <row r="649" spans="1:12">
      <c r="A649" s="14" t="s">
        <v>1293</v>
      </c>
      <c r="B649" t="s">
        <v>1294</v>
      </c>
      <c r="C649" t="s">
        <v>13</v>
      </c>
      <c r="D649">
        <v>8.07</v>
      </c>
      <c r="E649" t="s">
        <v>2632</v>
      </c>
      <c r="F649" t="s">
        <v>2633</v>
      </c>
      <c r="G649" s="1">
        <v>15.35</v>
      </c>
      <c r="H649" s="1"/>
      <c r="I649" t="s">
        <v>2634</v>
      </c>
      <c r="J649">
        <v>5</v>
      </c>
      <c r="K649">
        <v>0</v>
      </c>
      <c r="L649">
        <v>0</v>
      </c>
    </row>
    <row r="650" spans="1:12">
      <c r="A650" s="14" t="s">
        <v>1295</v>
      </c>
      <c r="B650" t="s">
        <v>1296</v>
      </c>
      <c r="C650" t="s">
        <v>13</v>
      </c>
      <c r="D650">
        <v>3.3</v>
      </c>
      <c r="E650" t="s">
        <v>2632</v>
      </c>
      <c r="F650" t="s">
        <v>2633</v>
      </c>
      <c r="G650" s="1">
        <v>6.26</v>
      </c>
      <c r="H650" s="1"/>
      <c r="I650" t="s">
        <v>2634</v>
      </c>
      <c r="J650" t="s">
        <v>2634</v>
      </c>
      <c r="K650">
        <v>0</v>
      </c>
      <c r="L650">
        <v>0</v>
      </c>
    </row>
    <row r="651" spans="1:12">
      <c r="A651" s="14" t="s">
        <v>1297</v>
      </c>
      <c r="B651" t="s">
        <v>1298</v>
      </c>
      <c r="C651" t="s">
        <v>13</v>
      </c>
      <c r="D651">
        <v>51.43</v>
      </c>
      <c r="E651" t="s">
        <v>2632</v>
      </c>
      <c r="F651" t="s">
        <v>2633</v>
      </c>
      <c r="G651" s="1">
        <v>97.96</v>
      </c>
      <c r="H651" s="1"/>
      <c r="I651" t="s">
        <v>2634</v>
      </c>
      <c r="J651">
        <v>5</v>
      </c>
      <c r="K651">
        <v>0</v>
      </c>
      <c r="L651">
        <v>0</v>
      </c>
    </row>
    <row r="652" spans="1:12">
      <c r="A652" s="14" t="s">
        <v>1299</v>
      </c>
      <c r="B652" t="s">
        <v>1300</v>
      </c>
      <c r="C652" t="s">
        <v>13</v>
      </c>
      <c r="D652">
        <v>4.96</v>
      </c>
      <c r="E652" t="s">
        <v>2632</v>
      </c>
      <c r="F652" t="s">
        <v>2633</v>
      </c>
      <c r="G652" s="1">
        <v>9.45</v>
      </c>
      <c r="H652" s="1"/>
      <c r="I652" t="s">
        <v>2634</v>
      </c>
      <c r="J652">
        <v>20</v>
      </c>
      <c r="K652">
        <v>0</v>
      </c>
      <c r="L652">
        <v>0</v>
      </c>
    </row>
    <row r="653" spans="1:12">
      <c r="A653" s="14" t="s">
        <v>1301</v>
      </c>
      <c r="B653" t="s">
        <v>1302</v>
      </c>
      <c r="C653" t="s">
        <v>13</v>
      </c>
      <c r="D653">
        <v>5.37</v>
      </c>
      <c r="E653" t="s">
        <v>2632</v>
      </c>
      <c r="F653" t="s">
        <v>2633</v>
      </c>
      <c r="G653" s="1">
        <v>10.24</v>
      </c>
      <c r="H653" s="1"/>
      <c r="I653" t="s">
        <v>2634</v>
      </c>
      <c r="J653" t="s">
        <v>2634</v>
      </c>
      <c r="K653">
        <v>0</v>
      </c>
      <c r="L653">
        <v>0</v>
      </c>
    </row>
    <row r="654" spans="1:12">
      <c r="A654" s="14" t="s">
        <v>1303</v>
      </c>
      <c r="B654" t="s">
        <v>1304</v>
      </c>
      <c r="C654" t="s">
        <v>13</v>
      </c>
      <c r="D654">
        <v>5.26</v>
      </c>
      <c r="E654" t="s">
        <v>2632</v>
      </c>
      <c r="F654" t="s">
        <v>2633</v>
      </c>
      <c r="G654" s="1">
        <v>10.02</v>
      </c>
      <c r="H654" s="1"/>
      <c r="I654" t="s">
        <v>2634</v>
      </c>
      <c r="J654">
        <v>5</v>
      </c>
      <c r="K654">
        <v>0</v>
      </c>
      <c r="L654">
        <v>0</v>
      </c>
    </row>
    <row r="655" spans="1:12">
      <c r="A655" s="14" t="s">
        <v>1305</v>
      </c>
      <c r="B655" t="s">
        <v>1306</v>
      </c>
      <c r="C655" t="s">
        <v>13</v>
      </c>
      <c r="D655">
        <v>6.71</v>
      </c>
      <c r="E655" t="s">
        <v>2632</v>
      </c>
      <c r="F655" t="s">
        <v>2633</v>
      </c>
      <c r="G655" s="1">
        <v>12.79</v>
      </c>
      <c r="H655" s="1"/>
      <c r="I655" t="s">
        <v>2634</v>
      </c>
      <c r="J655">
        <v>10</v>
      </c>
      <c r="K655">
        <v>0</v>
      </c>
      <c r="L655">
        <v>0</v>
      </c>
    </row>
    <row r="656" spans="1:12">
      <c r="A656" s="14" t="s">
        <v>1307</v>
      </c>
      <c r="B656" t="s">
        <v>1308</v>
      </c>
      <c r="C656" t="s">
        <v>13</v>
      </c>
      <c r="D656">
        <v>6.71</v>
      </c>
      <c r="E656" t="s">
        <v>2632</v>
      </c>
      <c r="F656" t="s">
        <v>2633</v>
      </c>
      <c r="G656" s="1">
        <v>12.77</v>
      </c>
      <c r="H656" s="1"/>
      <c r="I656" t="s">
        <v>2634</v>
      </c>
      <c r="J656">
        <v>5</v>
      </c>
      <c r="K656">
        <v>0</v>
      </c>
      <c r="L656">
        <v>0</v>
      </c>
    </row>
    <row r="657" spans="1:12">
      <c r="A657" s="14" t="s">
        <v>1309</v>
      </c>
      <c r="B657" t="s">
        <v>1310</v>
      </c>
      <c r="C657" t="s">
        <v>13</v>
      </c>
      <c r="D657">
        <v>3.73</v>
      </c>
      <c r="E657" t="s">
        <v>2632</v>
      </c>
      <c r="F657" t="s">
        <v>2633</v>
      </c>
      <c r="G657" s="1">
        <v>7.07</v>
      </c>
      <c r="H657" s="1"/>
      <c r="I657" t="s">
        <v>2634</v>
      </c>
      <c r="J657" t="s">
        <v>2634</v>
      </c>
      <c r="K657">
        <v>0</v>
      </c>
      <c r="L657">
        <v>0</v>
      </c>
    </row>
    <row r="658" spans="1:12">
      <c r="A658" s="14" t="s">
        <v>1311</v>
      </c>
      <c r="B658" t="s">
        <v>1312</v>
      </c>
      <c r="C658" t="s">
        <v>13</v>
      </c>
      <c r="D658">
        <v>4.34</v>
      </c>
      <c r="E658" t="s">
        <v>2632</v>
      </c>
      <c r="F658" t="s">
        <v>2633</v>
      </c>
      <c r="G658" s="1">
        <v>8.28</v>
      </c>
      <c r="H658" s="1"/>
      <c r="I658" t="s">
        <v>2634</v>
      </c>
      <c r="J658" t="s">
        <v>2634</v>
      </c>
      <c r="K658">
        <v>0</v>
      </c>
      <c r="L658">
        <v>0</v>
      </c>
    </row>
    <row r="659" spans="1:12">
      <c r="A659" s="14" t="s">
        <v>1313</v>
      </c>
      <c r="B659" t="s">
        <v>1314</v>
      </c>
      <c r="C659" t="s">
        <v>13</v>
      </c>
      <c r="D659">
        <v>14.59</v>
      </c>
      <c r="E659" t="s">
        <v>2632</v>
      </c>
      <c r="F659" t="s">
        <v>2633</v>
      </c>
      <c r="G659" s="1">
        <v>27.78</v>
      </c>
      <c r="H659" s="1"/>
      <c r="I659" t="s">
        <v>2634</v>
      </c>
      <c r="J659" t="s">
        <v>2634</v>
      </c>
      <c r="K659">
        <v>0</v>
      </c>
      <c r="L659">
        <v>0</v>
      </c>
    </row>
    <row r="660" spans="1:12">
      <c r="A660" s="14" t="s">
        <v>1315</v>
      </c>
      <c r="B660" t="s">
        <v>1316</v>
      </c>
      <c r="C660" t="s">
        <v>13</v>
      </c>
      <c r="D660">
        <v>9.16</v>
      </c>
      <c r="E660" t="s">
        <v>2632</v>
      </c>
      <c r="F660" t="s">
        <v>2633</v>
      </c>
      <c r="G660" s="1">
        <v>17.45</v>
      </c>
      <c r="H660" s="1"/>
      <c r="I660" t="s">
        <v>2634</v>
      </c>
      <c r="J660" t="s">
        <v>2634</v>
      </c>
      <c r="K660">
        <v>0</v>
      </c>
      <c r="L660">
        <v>0</v>
      </c>
    </row>
    <row r="661" spans="1:12">
      <c r="A661" s="14" t="s">
        <v>1317</v>
      </c>
      <c r="B661" t="s">
        <v>1318</v>
      </c>
      <c r="C661" t="s">
        <v>13</v>
      </c>
      <c r="D661">
        <v>24.69</v>
      </c>
      <c r="E661" t="s">
        <v>2632</v>
      </c>
      <c r="F661" t="s">
        <v>2633</v>
      </c>
      <c r="G661" s="1">
        <v>47.03</v>
      </c>
      <c r="H661" s="1"/>
      <c r="I661" t="s">
        <v>2634</v>
      </c>
      <c r="J661" t="s">
        <v>2634</v>
      </c>
      <c r="K661">
        <v>0</v>
      </c>
      <c r="L661">
        <v>0</v>
      </c>
    </row>
    <row r="662" spans="1:12">
      <c r="A662" s="14" t="s">
        <v>1319</v>
      </c>
      <c r="B662" t="s">
        <v>1320</v>
      </c>
      <c r="C662" t="s">
        <v>13</v>
      </c>
      <c r="D662">
        <v>9.2</v>
      </c>
      <c r="E662" t="s">
        <v>2632</v>
      </c>
      <c r="F662" t="s">
        <v>2633</v>
      </c>
      <c r="G662" s="1">
        <v>17.54</v>
      </c>
      <c r="H662" s="1"/>
      <c r="I662" t="s">
        <v>2634</v>
      </c>
      <c r="J662" t="s">
        <v>2634</v>
      </c>
      <c r="K662">
        <v>0</v>
      </c>
      <c r="L662">
        <v>0</v>
      </c>
    </row>
    <row r="663" spans="1:12">
      <c r="A663" s="14" t="s">
        <v>1321</v>
      </c>
      <c r="B663" t="s">
        <v>1322</v>
      </c>
      <c r="C663" t="s">
        <v>13</v>
      </c>
      <c r="D663">
        <v>12.08</v>
      </c>
      <c r="E663" t="s">
        <v>2632</v>
      </c>
      <c r="F663" t="s">
        <v>2633</v>
      </c>
      <c r="G663" s="1">
        <v>22.99</v>
      </c>
      <c r="H663" s="1"/>
      <c r="I663" t="s">
        <v>2634</v>
      </c>
      <c r="J663" t="s">
        <v>2634</v>
      </c>
      <c r="K663">
        <v>0</v>
      </c>
      <c r="L663">
        <v>0</v>
      </c>
    </row>
    <row r="664" spans="1:12">
      <c r="A664" s="14" t="s">
        <v>1323</v>
      </c>
      <c r="B664" t="s">
        <v>1324</v>
      </c>
      <c r="C664" t="s">
        <v>13</v>
      </c>
      <c r="D664">
        <v>16.8</v>
      </c>
      <c r="E664" t="s">
        <v>2632</v>
      </c>
      <c r="F664" t="s">
        <v>2633</v>
      </c>
      <c r="G664" s="1">
        <v>32</v>
      </c>
      <c r="H664" s="1"/>
      <c r="I664" t="s">
        <v>2634</v>
      </c>
      <c r="J664" t="s">
        <v>2634</v>
      </c>
      <c r="K664">
        <v>0</v>
      </c>
      <c r="L664">
        <v>0</v>
      </c>
    </row>
    <row r="665" spans="1:12">
      <c r="A665" s="14" t="s">
        <v>1325</v>
      </c>
      <c r="B665" t="s">
        <v>1326</v>
      </c>
      <c r="C665" t="s">
        <v>13</v>
      </c>
      <c r="D665">
        <v>10.96</v>
      </c>
      <c r="E665" t="s">
        <v>2632</v>
      </c>
      <c r="F665" t="s">
        <v>2633</v>
      </c>
      <c r="G665" s="1">
        <v>20.88</v>
      </c>
      <c r="H665" s="1"/>
      <c r="I665" t="s">
        <v>2634</v>
      </c>
      <c r="J665" t="s">
        <v>2634</v>
      </c>
      <c r="K665">
        <v>0</v>
      </c>
      <c r="L665">
        <v>0</v>
      </c>
    </row>
    <row r="666" spans="1:12">
      <c r="A666" s="14" t="s">
        <v>1327</v>
      </c>
      <c r="B666" t="s">
        <v>1328</v>
      </c>
      <c r="C666" t="s">
        <v>13</v>
      </c>
      <c r="D666">
        <v>20.63</v>
      </c>
      <c r="E666" t="s">
        <v>2632</v>
      </c>
      <c r="F666" t="s">
        <v>2633</v>
      </c>
      <c r="G666" s="1">
        <v>45.83</v>
      </c>
      <c r="H666" s="1"/>
      <c r="I666" t="s">
        <v>2634</v>
      </c>
      <c r="J666">
        <v>5</v>
      </c>
      <c r="K666">
        <v>0</v>
      </c>
      <c r="L666">
        <v>0</v>
      </c>
    </row>
    <row r="667" spans="1:12">
      <c r="A667" s="14" t="s">
        <v>1329</v>
      </c>
      <c r="B667" t="s">
        <v>1330</v>
      </c>
      <c r="C667" t="s">
        <v>13</v>
      </c>
      <c r="D667">
        <v>29.4</v>
      </c>
      <c r="E667" t="s">
        <v>2632</v>
      </c>
      <c r="F667" t="s">
        <v>2633</v>
      </c>
      <c r="G667" s="1">
        <v>65.37</v>
      </c>
      <c r="H667" s="1"/>
      <c r="I667" t="s">
        <v>2634</v>
      </c>
      <c r="J667" t="s">
        <v>2634</v>
      </c>
      <c r="K667">
        <v>0</v>
      </c>
      <c r="L667">
        <v>0</v>
      </c>
    </row>
    <row r="668" spans="1:12">
      <c r="A668" s="14" t="s">
        <v>1331</v>
      </c>
      <c r="B668" t="s">
        <v>1332</v>
      </c>
      <c r="C668" t="s">
        <v>13</v>
      </c>
      <c r="D668">
        <v>18.23</v>
      </c>
      <c r="E668" t="s">
        <v>2632</v>
      </c>
      <c r="F668" t="s">
        <v>2633</v>
      </c>
      <c r="G668" s="1">
        <v>40.5</v>
      </c>
      <c r="H668" s="1"/>
      <c r="I668" t="s">
        <v>2634</v>
      </c>
      <c r="J668" t="s">
        <v>2634</v>
      </c>
      <c r="K668">
        <v>0</v>
      </c>
      <c r="L668">
        <v>0</v>
      </c>
    </row>
    <row r="669" spans="1:12">
      <c r="A669" s="14" t="s">
        <v>1333</v>
      </c>
      <c r="B669" t="s">
        <v>1334</v>
      </c>
      <c r="C669" t="s">
        <v>13</v>
      </c>
      <c r="D669">
        <v>18.23</v>
      </c>
      <c r="E669" t="s">
        <v>2632</v>
      </c>
      <c r="F669" t="s">
        <v>2633</v>
      </c>
      <c r="G669" s="1">
        <v>40.5</v>
      </c>
      <c r="H669" s="1"/>
      <c r="I669" t="s">
        <v>2634</v>
      </c>
      <c r="J669" t="s">
        <v>2634</v>
      </c>
      <c r="K669">
        <v>0</v>
      </c>
      <c r="L669">
        <v>0</v>
      </c>
    </row>
    <row r="670" spans="1:12">
      <c r="A670" s="14" t="s">
        <v>1335</v>
      </c>
      <c r="B670" t="s">
        <v>1336</v>
      </c>
      <c r="C670" t="s">
        <v>13</v>
      </c>
      <c r="D670">
        <v>17.87</v>
      </c>
      <c r="E670" t="s">
        <v>2632</v>
      </c>
      <c r="F670" t="s">
        <v>2633</v>
      </c>
      <c r="G670" s="1">
        <v>39.74</v>
      </c>
      <c r="H670" s="1"/>
      <c r="I670" t="s">
        <v>2634</v>
      </c>
      <c r="J670" t="s">
        <v>2634</v>
      </c>
      <c r="K670">
        <v>0</v>
      </c>
      <c r="L670">
        <v>0</v>
      </c>
    </row>
    <row r="671" spans="1:12">
      <c r="A671" s="14" t="s">
        <v>1337</v>
      </c>
      <c r="B671" t="s">
        <v>1338</v>
      </c>
      <c r="C671" t="s">
        <v>13</v>
      </c>
      <c r="D671">
        <v>17.87</v>
      </c>
      <c r="E671" t="s">
        <v>2632</v>
      </c>
      <c r="F671" t="s">
        <v>2633</v>
      </c>
      <c r="G671" s="1">
        <v>39.74</v>
      </c>
      <c r="H671" s="1"/>
      <c r="I671" t="s">
        <v>2634</v>
      </c>
      <c r="J671" t="s">
        <v>2634</v>
      </c>
      <c r="K671">
        <v>0</v>
      </c>
      <c r="L671">
        <v>0</v>
      </c>
    </row>
    <row r="672" spans="1:12">
      <c r="A672" s="14" t="s">
        <v>1339</v>
      </c>
      <c r="B672" t="s">
        <v>1340</v>
      </c>
      <c r="C672" t="s">
        <v>13</v>
      </c>
      <c r="D672">
        <v>9.34</v>
      </c>
      <c r="E672" t="s">
        <v>2632</v>
      </c>
      <c r="F672" t="s">
        <v>2633</v>
      </c>
      <c r="G672" s="1">
        <v>23.37</v>
      </c>
      <c r="H672" s="1"/>
      <c r="I672" t="s">
        <v>2634</v>
      </c>
      <c r="J672" t="s">
        <v>2634</v>
      </c>
      <c r="K672">
        <v>0</v>
      </c>
      <c r="L672">
        <v>0</v>
      </c>
    </row>
    <row r="673" spans="1:12">
      <c r="A673" s="14" t="s">
        <v>1341</v>
      </c>
      <c r="B673" t="s">
        <v>1342</v>
      </c>
      <c r="C673" t="s">
        <v>13</v>
      </c>
      <c r="D673">
        <v>8.86</v>
      </c>
      <c r="E673" t="s">
        <v>2632</v>
      </c>
      <c r="F673" t="s">
        <v>2633</v>
      </c>
      <c r="G673" s="1">
        <v>22.17</v>
      </c>
      <c r="H673" s="1"/>
      <c r="I673" t="s">
        <v>2634</v>
      </c>
      <c r="J673" t="s">
        <v>2634</v>
      </c>
      <c r="K673">
        <v>0</v>
      </c>
      <c r="L673">
        <v>0</v>
      </c>
    </row>
    <row r="674" spans="1:12">
      <c r="A674" s="14" t="s">
        <v>1343</v>
      </c>
      <c r="B674" t="s">
        <v>1344</v>
      </c>
      <c r="C674" t="s">
        <v>13</v>
      </c>
      <c r="D674">
        <v>1.64</v>
      </c>
      <c r="E674" t="s">
        <v>2632</v>
      </c>
      <c r="F674" t="s">
        <v>2633</v>
      </c>
      <c r="G674" s="1">
        <v>4.08</v>
      </c>
      <c r="H674" s="1"/>
      <c r="I674" t="s">
        <v>2634</v>
      </c>
      <c r="J674" t="s">
        <v>2634</v>
      </c>
      <c r="K674">
        <v>0</v>
      </c>
      <c r="L674">
        <v>0</v>
      </c>
    </row>
    <row r="675" spans="1:12">
      <c r="A675" s="14" t="s">
        <v>1345</v>
      </c>
      <c r="B675" t="s">
        <v>1346</v>
      </c>
      <c r="C675" t="s">
        <v>13</v>
      </c>
      <c r="D675">
        <v>2.93</v>
      </c>
      <c r="E675" t="s">
        <v>2632</v>
      </c>
      <c r="F675" t="s">
        <v>2633</v>
      </c>
      <c r="G675" s="1">
        <v>7.34</v>
      </c>
      <c r="H675" s="1"/>
      <c r="I675" t="s">
        <v>2634</v>
      </c>
      <c r="J675" t="s">
        <v>2634</v>
      </c>
      <c r="K675">
        <v>0</v>
      </c>
      <c r="L675">
        <v>0</v>
      </c>
    </row>
    <row r="676" spans="1:12">
      <c r="A676" s="14" t="s">
        <v>1347</v>
      </c>
      <c r="B676" t="s">
        <v>1348</v>
      </c>
      <c r="C676" t="s">
        <v>13</v>
      </c>
      <c r="D676">
        <v>17.75</v>
      </c>
      <c r="E676" t="s">
        <v>2632</v>
      </c>
      <c r="F676" t="s">
        <v>2633</v>
      </c>
      <c r="G676" s="1">
        <v>39.45</v>
      </c>
      <c r="H676" s="1"/>
      <c r="I676" t="s">
        <v>2634</v>
      </c>
      <c r="J676" t="s">
        <v>2634</v>
      </c>
      <c r="K676">
        <v>0</v>
      </c>
      <c r="L676">
        <v>0</v>
      </c>
    </row>
    <row r="677" spans="1:12">
      <c r="A677" s="14" t="s">
        <v>1349</v>
      </c>
      <c r="B677" t="s">
        <v>1350</v>
      </c>
      <c r="C677" t="s">
        <v>13</v>
      </c>
      <c r="D677">
        <v>9.86</v>
      </c>
      <c r="E677" t="s">
        <v>2632</v>
      </c>
      <c r="F677" t="s">
        <v>2633</v>
      </c>
      <c r="G677" s="1">
        <v>18.76</v>
      </c>
      <c r="H677" s="1"/>
      <c r="I677" t="s">
        <v>2634</v>
      </c>
      <c r="J677" t="s">
        <v>2634</v>
      </c>
      <c r="K677">
        <v>0</v>
      </c>
      <c r="L677">
        <v>0</v>
      </c>
    </row>
    <row r="678" spans="1:12">
      <c r="A678" s="14" t="s">
        <v>1351</v>
      </c>
      <c r="B678" t="s">
        <v>1352</v>
      </c>
      <c r="C678" t="s">
        <v>13</v>
      </c>
      <c r="D678">
        <v>10.54</v>
      </c>
      <c r="E678" t="s">
        <v>2632</v>
      </c>
      <c r="F678" t="s">
        <v>2633</v>
      </c>
      <c r="G678" s="1">
        <v>23.46</v>
      </c>
      <c r="H678" s="1"/>
      <c r="I678" t="s">
        <v>2634</v>
      </c>
      <c r="J678" t="s">
        <v>2634</v>
      </c>
      <c r="K678">
        <v>0</v>
      </c>
      <c r="L678">
        <v>0</v>
      </c>
    </row>
    <row r="679" spans="1:12">
      <c r="A679" s="14" t="s">
        <v>1353</v>
      </c>
      <c r="B679" t="s">
        <v>1354</v>
      </c>
      <c r="C679" t="s">
        <v>13</v>
      </c>
      <c r="D679">
        <v>5.23</v>
      </c>
      <c r="E679" t="s">
        <v>2632</v>
      </c>
      <c r="F679" t="s">
        <v>2633</v>
      </c>
      <c r="G679" s="1">
        <v>9.96</v>
      </c>
      <c r="H679" s="1"/>
      <c r="I679" t="s">
        <v>2634</v>
      </c>
      <c r="J679" t="s">
        <v>2634</v>
      </c>
      <c r="K679">
        <v>0</v>
      </c>
      <c r="L679">
        <v>0</v>
      </c>
    </row>
    <row r="680" spans="1:12">
      <c r="A680" s="14" t="s">
        <v>1355</v>
      </c>
      <c r="B680" t="s">
        <v>1356</v>
      </c>
      <c r="C680" t="s">
        <v>13</v>
      </c>
      <c r="D680">
        <v>5.63</v>
      </c>
      <c r="E680" t="s">
        <v>2632</v>
      </c>
      <c r="F680" t="s">
        <v>2633</v>
      </c>
      <c r="G680" s="1">
        <v>12.48</v>
      </c>
      <c r="H680" s="1"/>
      <c r="I680" t="s">
        <v>2634</v>
      </c>
      <c r="J680" t="s">
        <v>2634</v>
      </c>
      <c r="K680">
        <v>0</v>
      </c>
      <c r="L680">
        <v>0</v>
      </c>
    </row>
    <row r="681" spans="1:12">
      <c r="A681" s="14" t="s">
        <v>1357</v>
      </c>
      <c r="B681" t="s">
        <v>1358</v>
      </c>
      <c r="C681" t="s">
        <v>13</v>
      </c>
      <c r="D681">
        <v>2.05</v>
      </c>
      <c r="E681" t="s">
        <v>2632</v>
      </c>
      <c r="F681" t="s">
        <v>2633</v>
      </c>
      <c r="G681" s="1">
        <v>4.55</v>
      </c>
      <c r="H681" s="1"/>
      <c r="I681" t="s">
        <v>2634</v>
      </c>
      <c r="J681" t="s">
        <v>2634</v>
      </c>
      <c r="K681">
        <v>0</v>
      </c>
      <c r="L681">
        <v>0</v>
      </c>
    </row>
    <row r="682" spans="1:12">
      <c r="A682" s="14" t="s">
        <v>1359</v>
      </c>
      <c r="B682" t="s">
        <v>1360</v>
      </c>
      <c r="C682" t="s">
        <v>13</v>
      </c>
      <c r="D682">
        <v>2.05</v>
      </c>
      <c r="E682" t="s">
        <v>2632</v>
      </c>
      <c r="F682" t="s">
        <v>2633</v>
      </c>
      <c r="G682" s="1">
        <v>4.55</v>
      </c>
      <c r="H682" s="1"/>
      <c r="I682" t="s">
        <v>2634</v>
      </c>
      <c r="J682" t="s">
        <v>2634</v>
      </c>
      <c r="K682">
        <v>0</v>
      </c>
      <c r="L682">
        <v>0</v>
      </c>
    </row>
    <row r="683" spans="1:12">
      <c r="A683" s="14" t="s">
        <v>1361</v>
      </c>
      <c r="B683" t="s">
        <v>1362</v>
      </c>
      <c r="C683" t="s">
        <v>13</v>
      </c>
      <c r="D683">
        <v>2.05</v>
      </c>
      <c r="E683" t="s">
        <v>2632</v>
      </c>
      <c r="F683" t="s">
        <v>2633</v>
      </c>
      <c r="G683" s="1">
        <v>4.55</v>
      </c>
      <c r="H683" s="1"/>
      <c r="I683" t="s">
        <v>2634</v>
      </c>
      <c r="J683" t="s">
        <v>2634</v>
      </c>
      <c r="K683">
        <v>0</v>
      </c>
      <c r="L683">
        <v>0</v>
      </c>
    </row>
    <row r="684" spans="1:12">
      <c r="A684" s="14" t="s">
        <v>1363</v>
      </c>
      <c r="B684" t="s">
        <v>1364</v>
      </c>
      <c r="C684" t="s">
        <v>13</v>
      </c>
      <c r="D684">
        <v>5.63</v>
      </c>
      <c r="E684" t="s">
        <v>2632</v>
      </c>
      <c r="F684" t="s">
        <v>2633</v>
      </c>
      <c r="G684" s="1">
        <v>12.48</v>
      </c>
      <c r="H684" s="1"/>
      <c r="I684" t="s">
        <v>2634</v>
      </c>
      <c r="J684" t="s">
        <v>2634</v>
      </c>
      <c r="K684">
        <v>0</v>
      </c>
      <c r="L684">
        <v>0</v>
      </c>
    </row>
    <row r="685" spans="1:12">
      <c r="A685" s="14" t="s">
        <v>1365</v>
      </c>
      <c r="B685" t="s">
        <v>1366</v>
      </c>
      <c r="C685" t="s">
        <v>13</v>
      </c>
      <c r="D685">
        <v>5.63</v>
      </c>
      <c r="E685" t="s">
        <v>2632</v>
      </c>
      <c r="F685" t="s">
        <v>2633</v>
      </c>
      <c r="G685" s="1">
        <v>12.48</v>
      </c>
      <c r="H685" s="1"/>
      <c r="I685" t="s">
        <v>2634</v>
      </c>
      <c r="J685" t="s">
        <v>2634</v>
      </c>
      <c r="K685">
        <v>0</v>
      </c>
      <c r="L685">
        <v>0</v>
      </c>
    </row>
    <row r="686" spans="1:12">
      <c r="A686" s="14" t="s">
        <v>1367</v>
      </c>
      <c r="B686" t="s">
        <v>1368</v>
      </c>
      <c r="C686" t="s">
        <v>13</v>
      </c>
      <c r="D686">
        <v>5.63</v>
      </c>
      <c r="E686" t="s">
        <v>2632</v>
      </c>
      <c r="F686" t="s">
        <v>2633</v>
      </c>
      <c r="G686" s="1">
        <v>12.48</v>
      </c>
      <c r="H686" s="1"/>
      <c r="I686" t="s">
        <v>2634</v>
      </c>
      <c r="J686" t="s">
        <v>2634</v>
      </c>
      <c r="K686">
        <v>0</v>
      </c>
      <c r="L686">
        <v>0</v>
      </c>
    </row>
    <row r="687" spans="1:12">
      <c r="A687" s="14" t="s">
        <v>1369</v>
      </c>
      <c r="B687" t="s">
        <v>1370</v>
      </c>
      <c r="C687" t="s">
        <v>13</v>
      </c>
      <c r="D687">
        <v>5.24</v>
      </c>
      <c r="E687" t="s">
        <v>2632</v>
      </c>
      <c r="F687" t="s">
        <v>2633</v>
      </c>
      <c r="G687" s="1">
        <v>9.99</v>
      </c>
      <c r="H687" s="1"/>
      <c r="I687" t="s">
        <v>2634</v>
      </c>
      <c r="J687" t="s">
        <v>2634</v>
      </c>
      <c r="K687">
        <v>0</v>
      </c>
      <c r="L687">
        <v>0</v>
      </c>
    </row>
    <row r="688" spans="1:12">
      <c r="A688" s="14" t="s">
        <v>1371</v>
      </c>
      <c r="B688" t="s">
        <v>1372</v>
      </c>
      <c r="C688" t="s">
        <v>13</v>
      </c>
      <c r="D688">
        <v>5.63</v>
      </c>
      <c r="E688" t="s">
        <v>2632</v>
      </c>
      <c r="F688" t="s">
        <v>2633</v>
      </c>
      <c r="G688" s="1">
        <v>12.48</v>
      </c>
      <c r="H688" s="1"/>
      <c r="I688" t="s">
        <v>2634</v>
      </c>
      <c r="J688" t="s">
        <v>2634</v>
      </c>
      <c r="K688">
        <v>0</v>
      </c>
      <c r="L688">
        <v>0</v>
      </c>
    </row>
    <row r="689" spans="1:12">
      <c r="A689" s="14" t="s">
        <v>1373</v>
      </c>
      <c r="B689" t="s">
        <v>1374</v>
      </c>
      <c r="C689" t="s">
        <v>13</v>
      </c>
      <c r="D689">
        <v>5.63</v>
      </c>
      <c r="E689" t="s">
        <v>2632</v>
      </c>
      <c r="F689" t="s">
        <v>2633</v>
      </c>
      <c r="G689" s="1">
        <v>12.48</v>
      </c>
      <c r="H689" s="1"/>
      <c r="I689" t="s">
        <v>2634</v>
      </c>
      <c r="J689" t="s">
        <v>2634</v>
      </c>
      <c r="K689">
        <v>0</v>
      </c>
      <c r="L689">
        <v>0</v>
      </c>
    </row>
    <row r="690" spans="1:12">
      <c r="A690" s="14" t="s">
        <v>1375</v>
      </c>
      <c r="B690" t="s">
        <v>1376</v>
      </c>
      <c r="C690" t="s">
        <v>13</v>
      </c>
      <c r="D690">
        <v>5.63</v>
      </c>
      <c r="E690" t="s">
        <v>2632</v>
      </c>
      <c r="F690" t="s">
        <v>2633</v>
      </c>
      <c r="G690" s="1">
        <v>12.48</v>
      </c>
      <c r="H690" s="1"/>
      <c r="I690" t="s">
        <v>2634</v>
      </c>
      <c r="J690" t="s">
        <v>2634</v>
      </c>
      <c r="K690">
        <v>0</v>
      </c>
      <c r="L690">
        <v>0</v>
      </c>
    </row>
    <row r="691" spans="1:12">
      <c r="A691" s="14" t="s">
        <v>1377</v>
      </c>
      <c r="B691" t="s">
        <v>1378</v>
      </c>
      <c r="C691" t="s">
        <v>13</v>
      </c>
      <c r="D691">
        <v>5.63</v>
      </c>
      <c r="E691" t="s">
        <v>2632</v>
      </c>
      <c r="F691" t="s">
        <v>2633</v>
      </c>
      <c r="G691" s="1">
        <v>12.48</v>
      </c>
      <c r="H691" s="1"/>
      <c r="I691" t="s">
        <v>2634</v>
      </c>
      <c r="J691" t="s">
        <v>2634</v>
      </c>
      <c r="K691">
        <v>0</v>
      </c>
      <c r="L691">
        <v>0</v>
      </c>
    </row>
    <row r="692" spans="1:12">
      <c r="A692" s="14" t="s">
        <v>1379</v>
      </c>
      <c r="B692" t="s">
        <v>1380</v>
      </c>
      <c r="C692" t="s">
        <v>13</v>
      </c>
      <c r="D692">
        <v>6.79</v>
      </c>
      <c r="E692" t="s">
        <v>2632</v>
      </c>
      <c r="F692" t="s">
        <v>2633</v>
      </c>
      <c r="G692" s="1">
        <v>15.09</v>
      </c>
      <c r="H692" s="1"/>
      <c r="I692" t="s">
        <v>2634</v>
      </c>
      <c r="J692" t="s">
        <v>2634</v>
      </c>
      <c r="K692">
        <v>0</v>
      </c>
      <c r="L692">
        <v>0</v>
      </c>
    </row>
    <row r="693" spans="1:12">
      <c r="A693" s="14" t="s">
        <v>1381</v>
      </c>
      <c r="B693" t="s">
        <v>1382</v>
      </c>
      <c r="C693" t="s">
        <v>13</v>
      </c>
      <c r="D693">
        <v>5.63</v>
      </c>
      <c r="E693" t="s">
        <v>2632</v>
      </c>
      <c r="F693" t="s">
        <v>2633</v>
      </c>
      <c r="G693" s="1">
        <v>12.48</v>
      </c>
      <c r="H693" s="1"/>
      <c r="I693" t="s">
        <v>2634</v>
      </c>
      <c r="J693" t="s">
        <v>2634</v>
      </c>
      <c r="K693">
        <v>0</v>
      </c>
      <c r="L693">
        <v>0</v>
      </c>
    </row>
    <row r="694" spans="1:12">
      <c r="A694" s="14" t="s">
        <v>1383</v>
      </c>
      <c r="B694" t="s">
        <v>1384</v>
      </c>
      <c r="C694" t="s">
        <v>13</v>
      </c>
      <c r="D694">
        <v>5.63</v>
      </c>
      <c r="E694" t="s">
        <v>2632</v>
      </c>
      <c r="F694" t="s">
        <v>2633</v>
      </c>
      <c r="G694" s="1">
        <v>12.48</v>
      </c>
      <c r="H694" s="1"/>
      <c r="I694" t="s">
        <v>2634</v>
      </c>
      <c r="J694" t="s">
        <v>2634</v>
      </c>
      <c r="K694">
        <v>0</v>
      </c>
      <c r="L694">
        <v>0</v>
      </c>
    </row>
    <row r="695" spans="1:12">
      <c r="A695" s="14" t="s">
        <v>1385</v>
      </c>
      <c r="B695" t="s">
        <v>1386</v>
      </c>
      <c r="C695" t="s">
        <v>13</v>
      </c>
      <c r="D695">
        <v>5.19</v>
      </c>
      <c r="E695" t="s">
        <v>2632</v>
      </c>
      <c r="F695" t="s">
        <v>2633</v>
      </c>
      <c r="G695" s="1">
        <v>9.9</v>
      </c>
      <c r="H695" s="1"/>
      <c r="I695" t="s">
        <v>2634</v>
      </c>
      <c r="J695" t="s">
        <v>2634</v>
      </c>
      <c r="K695">
        <v>0</v>
      </c>
      <c r="L695">
        <v>0</v>
      </c>
    </row>
    <row r="696" spans="1:12">
      <c r="A696" s="14" t="s">
        <v>1387</v>
      </c>
      <c r="B696" t="s">
        <v>1388</v>
      </c>
      <c r="C696" t="s">
        <v>13</v>
      </c>
      <c r="D696">
        <v>5.63</v>
      </c>
      <c r="E696" t="s">
        <v>2632</v>
      </c>
      <c r="F696" t="s">
        <v>2633</v>
      </c>
      <c r="G696" s="1">
        <v>12.48</v>
      </c>
      <c r="H696" s="1"/>
      <c r="I696" t="s">
        <v>2634</v>
      </c>
      <c r="J696" t="s">
        <v>2634</v>
      </c>
      <c r="K696">
        <v>0</v>
      </c>
      <c r="L696">
        <v>0</v>
      </c>
    </row>
    <row r="697" spans="1:12">
      <c r="A697" s="14" t="s">
        <v>1389</v>
      </c>
      <c r="B697" t="s">
        <v>1390</v>
      </c>
      <c r="C697" t="s">
        <v>13</v>
      </c>
      <c r="D697">
        <v>5.63</v>
      </c>
      <c r="E697" t="s">
        <v>2632</v>
      </c>
      <c r="F697" t="s">
        <v>2633</v>
      </c>
      <c r="G697" s="1">
        <v>12.48</v>
      </c>
      <c r="H697" s="1"/>
      <c r="I697" t="s">
        <v>2634</v>
      </c>
      <c r="J697" t="s">
        <v>2634</v>
      </c>
      <c r="K697">
        <v>0</v>
      </c>
      <c r="L697">
        <v>0</v>
      </c>
    </row>
    <row r="698" spans="1:12">
      <c r="A698" s="14" t="s">
        <v>1391</v>
      </c>
      <c r="B698" t="s">
        <v>1392</v>
      </c>
      <c r="C698" t="s">
        <v>13</v>
      </c>
      <c r="D698">
        <v>5.63</v>
      </c>
      <c r="E698" t="s">
        <v>2632</v>
      </c>
      <c r="F698" t="s">
        <v>2633</v>
      </c>
      <c r="G698" s="1">
        <v>12.48</v>
      </c>
      <c r="H698" s="1"/>
      <c r="I698" t="s">
        <v>2634</v>
      </c>
      <c r="J698" t="s">
        <v>2634</v>
      </c>
      <c r="K698">
        <v>0</v>
      </c>
      <c r="L698">
        <v>0</v>
      </c>
    </row>
    <row r="699" spans="1:12">
      <c r="A699" s="14" t="s">
        <v>1393</v>
      </c>
      <c r="B699" t="s">
        <v>1394</v>
      </c>
      <c r="C699" t="s">
        <v>13</v>
      </c>
      <c r="D699">
        <v>5.63</v>
      </c>
      <c r="E699" t="s">
        <v>2632</v>
      </c>
      <c r="F699" t="s">
        <v>2633</v>
      </c>
      <c r="G699" s="1">
        <v>12.48</v>
      </c>
      <c r="H699" s="1"/>
      <c r="I699" t="s">
        <v>2634</v>
      </c>
      <c r="J699" t="s">
        <v>2634</v>
      </c>
      <c r="K699">
        <v>0</v>
      </c>
      <c r="L699">
        <v>0</v>
      </c>
    </row>
    <row r="700" spans="1:12">
      <c r="A700" s="14" t="s">
        <v>1395</v>
      </c>
      <c r="B700" t="s">
        <v>1396</v>
      </c>
      <c r="C700" t="s">
        <v>13</v>
      </c>
      <c r="D700">
        <v>5.23</v>
      </c>
      <c r="E700" t="s">
        <v>2632</v>
      </c>
      <c r="F700" t="s">
        <v>2633</v>
      </c>
      <c r="G700" s="1">
        <v>9.96</v>
      </c>
      <c r="H700" s="1"/>
      <c r="I700" t="s">
        <v>2634</v>
      </c>
      <c r="J700" t="s">
        <v>2634</v>
      </c>
      <c r="K700">
        <v>0</v>
      </c>
      <c r="L700">
        <v>0</v>
      </c>
    </row>
    <row r="701" spans="1:12">
      <c r="A701" s="14" t="s">
        <v>1397</v>
      </c>
      <c r="B701" t="s">
        <v>1398</v>
      </c>
      <c r="C701" t="s">
        <v>13</v>
      </c>
      <c r="D701">
        <v>5.21</v>
      </c>
      <c r="E701" t="s">
        <v>2632</v>
      </c>
      <c r="F701" t="s">
        <v>2633</v>
      </c>
      <c r="G701" s="1">
        <v>9.92</v>
      </c>
      <c r="H701" s="1"/>
      <c r="I701" t="s">
        <v>2634</v>
      </c>
      <c r="J701" t="s">
        <v>2634</v>
      </c>
      <c r="K701">
        <v>0</v>
      </c>
      <c r="L701">
        <v>0</v>
      </c>
    </row>
    <row r="702" spans="1:12">
      <c r="A702" s="14" t="s">
        <v>1399</v>
      </c>
      <c r="B702" t="s">
        <v>1400</v>
      </c>
      <c r="C702" t="s">
        <v>13</v>
      </c>
      <c r="D702">
        <v>5.63</v>
      </c>
      <c r="E702" t="s">
        <v>2632</v>
      </c>
      <c r="F702" t="s">
        <v>2633</v>
      </c>
      <c r="G702" s="1">
        <v>12.48</v>
      </c>
      <c r="H702" s="1"/>
      <c r="I702" t="s">
        <v>2634</v>
      </c>
      <c r="J702" t="s">
        <v>2634</v>
      </c>
      <c r="K702">
        <v>0</v>
      </c>
      <c r="L702">
        <v>0</v>
      </c>
    </row>
    <row r="703" spans="1:12">
      <c r="A703" s="14" t="s">
        <v>1401</v>
      </c>
      <c r="B703" t="s">
        <v>1402</v>
      </c>
      <c r="C703" t="s">
        <v>13</v>
      </c>
      <c r="D703">
        <v>3.73</v>
      </c>
      <c r="E703" t="s">
        <v>2632</v>
      </c>
      <c r="F703" t="s">
        <v>2633</v>
      </c>
      <c r="G703" s="1">
        <v>8.29</v>
      </c>
      <c r="H703" s="1"/>
      <c r="I703" t="s">
        <v>2634</v>
      </c>
      <c r="J703" t="s">
        <v>2634</v>
      </c>
      <c r="K703">
        <v>0</v>
      </c>
      <c r="L703">
        <v>0</v>
      </c>
    </row>
    <row r="704" spans="1:12">
      <c r="A704" s="14" t="s">
        <v>1403</v>
      </c>
      <c r="B704" t="s">
        <v>1404</v>
      </c>
      <c r="C704" t="s">
        <v>13</v>
      </c>
      <c r="D704">
        <v>5.21</v>
      </c>
      <c r="E704" t="s">
        <v>2632</v>
      </c>
      <c r="F704" t="s">
        <v>2633</v>
      </c>
      <c r="G704" s="1">
        <v>9.92</v>
      </c>
      <c r="H704" s="1"/>
      <c r="I704" t="s">
        <v>2634</v>
      </c>
      <c r="J704" t="s">
        <v>2634</v>
      </c>
      <c r="K704">
        <v>0</v>
      </c>
      <c r="L704">
        <v>0</v>
      </c>
    </row>
    <row r="705" spans="1:12">
      <c r="A705" s="14" t="s">
        <v>1405</v>
      </c>
      <c r="B705" t="s">
        <v>1406</v>
      </c>
      <c r="C705" t="s">
        <v>13</v>
      </c>
      <c r="D705">
        <v>5.63</v>
      </c>
      <c r="E705" t="s">
        <v>2632</v>
      </c>
      <c r="F705" t="s">
        <v>2633</v>
      </c>
      <c r="G705" s="1">
        <v>12.48</v>
      </c>
      <c r="H705" s="1"/>
      <c r="I705" t="s">
        <v>2634</v>
      </c>
      <c r="J705" t="s">
        <v>2634</v>
      </c>
      <c r="K705">
        <v>0</v>
      </c>
      <c r="L705">
        <v>0</v>
      </c>
    </row>
    <row r="706" spans="1:12">
      <c r="A706" s="14" t="s">
        <v>1407</v>
      </c>
      <c r="B706" t="s">
        <v>1408</v>
      </c>
      <c r="C706" t="s">
        <v>13</v>
      </c>
      <c r="D706">
        <v>5.63</v>
      </c>
      <c r="E706" t="s">
        <v>2632</v>
      </c>
      <c r="F706" t="s">
        <v>2633</v>
      </c>
      <c r="G706" s="1">
        <v>12.48</v>
      </c>
      <c r="H706" s="1"/>
      <c r="I706" t="s">
        <v>2634</v>
      </c>
      <c r="J706" t="s">
        <v>2634</v>
      </c>
      <c r="K706">
        <v>0</v>
      </c>
      <c r="L706">
        <v>0</v>
      </c>
    </row>
    <row r="707" spans="1:12">
      <c r="A707" s="14" t="s">
        <v>1409</v>
      </c>
      <c r="B707" t="s">
        <v>1410</v>
      </c>
      <c r="C707" t="s">
        <v>13</v>
      </c>
      <c r="D707">
        <v>5.63</v>
      </c>
      <c r="E707" t="s">
        <v>2632</v>
      </c>
      <c r="F707" t="s">
        <v>2633</v>
      </c>
      <c r="G707" s="1">
        <v>12.48</v>
      </c>
      <c r="H707" s="1"/>
      <c r="I707" t="s">
        <v>2634</v>
      </c>
      <c r="J707" t="s">
        <v>2634</v>
      </c>
      <c r="K707">
        <v>0</v>
      </c>
      <c r="L707">
        <v>0</v>
      </c>
    </row>
    <row r="708" spans="1:12">
      <c r="A708" s="14" t="s">
        <v>1411</v>
      </c>
      <c r="B708" t="s">
        <v>1412</v>
      </c>
      <c r="C708" t="s">
        <v>13</v>
      </c>
      <c r="D708">
        <v>5.23</v>
      </c>
      <c r="E708" t="s">
        <v>2632</v>
      </c>
      <c r="F708" t="s">
        <v>2633</v>
      </c>
      <c r="G708" s="1">
        <v>9.96</v>
      </c>
      <c r="H708" s="1"/>
      <c r="I708" t="s">
        <v>2634</v>
      </c>
      <c r="J708" t="s">
        <v>2634</v>
      </c>
      <c r="K708">
        <v>0</v>
      </c>
      <c r="L708">
        <v>0</v>
      </c>
    </row>
    <row r="709" spans="1:12">
      <c r="A709" s="14" t="s">
        <v>1413</v>
      </c>
      <c r="B709" t="s">
        <v>1414</v>
      </c>
      <c r="C709" t="s">
        <v>13</v>
      </c>
      <c r="D709">
        <v>1.61</v>
      </c>
      <c r="E709" t="s">
        <v>2632</v>
      </c>
      <c r="F709" t="s">
        <v>2633</v>
      </c>
      <c r="G709" s="1">
        <v>3.57</v>
      </c>
      <c r="H709" s="1"/>
      <c r="I709" t="s">
        <v>2634</v>
      </c>
      <c r="J709" t="s">
        <v>2634</v>
      </c>
      <c r="K709">
        <v>0</v>
      </c>
      <c r="L709">
        <v>0</v>
      </c>
    </row>
    <row r="710" spans="1:12">
      <c r="A710" s="14" t="s">
        <v>1415</v>
      </c>
      <c r="B710" t="s">
        <v>1416</v>
      </c>
      <c r="C710" t="s">
        <v>13</v>
      </c>
      <c r="D710">
        <v>10.96</v>
      </c>
      <c r="E710" t="s">
        <v>2632</v>
      </c>
      <c r="F710" t="s">
        <v>2633</v>
      </c>
      <c r="G710" s="1">
        <v>24.34</v>
      </c>
      <c r="H710" s="1"/>
      <c r="I710" t="s">
        <v>2634</v>
      </c>
      <c r="J710" t="s">
        <v>2634</v>
      </c>
      <c r="K710">
        <v>0</v>
      </c>
      <c r="L710">
        <v>0</v>
      </c>
    </row>
    <row r="711" spans="1:12">
      <c r="A711" s="14" t="s">
        <v>1417</v>
      </c>
      <c r="B711" t="s">
        <v>1418</v>
      </c>
      <c r="C711" t="s">
        <v>13</v>
      </c>
      <c r="D711">
        <v>10.96</v>
      </c>
      <c r="E711" t="s">
        <v>2632</v>
      </c>
      <c r="F711" t="s">
        <v>2633</v>
      </c>
      <c r="G711" s="1">
        <v>24.34</v>
      </c>
      <c r="H711" s="1"/>
      <c r="I711" t="s">
        <v>2634</v>
      </c>
      <c r="J711" t="s">
        <v>2634</v>
      </c>
      <c r="K711">
        <v>0</v>
      </c>
      <c r="L711">
        <v>0</v>
      </c>
    </row>
    <row r="712" spans="1:12">
      <c r="A712" s="14" t="s">
        <v>1419</v>
      </c>
      <c r="B712" t="s">
        <v>1420</v>
      </c>
      <c r="C712" t="s">
        <v>13</v>
      </c>
      <c r="D712">
        <v>15.01</v>
      </c>
      <c r="E712" t="s">
        <v>2632</v>
      </c>
      <c r="F712" t="s">
        <v>2633</v>
      </c>
      <c r="G712" s="1">
        <v>28.61</v>
      </c>
      <c r="H712" s="1"/>
      <c r="I712" t="s">
        <v>2634</v>
      </c>
      <c r="J712" t="s">
        <v>2634</v>
      </c>
      <c r="K712">
        <v>0</v>
      </c>
      <c r="L712">
        <v>0</v>
      </c>
    </row>
    <row r="713" spans="1:12">
      <c r="A713" s="14" t="s">
        <v>1421</v>
      </c>
      <c r="B713" t="s">
        <v>1422</v>
      </c>
      <c r="C713" t="s">
        <v>13</v>
      </c>
      <c r="D713">
        <v>10.96</v>
      </c>
      <c r="E713" t="s">
        <v>2632</v>
      </c>
      <c r="F713" t="s">
        <v>2633</v>
      </c>
      <c r="G713" s="1">
        <v>24.34</v>
      </c>
      <c r="H713" s="1"/>
      <c r="I713" t="s">
        <v>2634</v>
      </c>
      <c r="J713" t="s">
        <v>2634</v>
      </c>
      <c r="K713">
        <v>0</v>
      </c>
      <c r="L713">
        <v>0</v>
      </c>
    </row>
    <row r="714" spans="1:12">
      <c r="A714" s="14" t="s">
        <v>1423</v>
      </c>
      <c r="B714" t="s">
        <v>1424</v>
      </c>
      <c r="C714" t="s">
        <v>13</v>
      </c>
      <c r="D714">
        <v>10.23</v>
      </c>
      <c r="E714" t="s">
        <v>2632</v>
      </c>
      <c r="F714" t="s">
        <v>2633</v>
      </c>
      <c r="G714" s="1">
        <v>19.49</v>
      </c>
      <c r="H714" s="1"/>
      <c r="I714" t="s">
        <v>2634</v>
      </c>
      <c r="J714" t="s">
        <v>2634</v>
      </c>
      <c r="K714">
        <v>0</v>
      </c>
      <c r="L714">
        <v>0</v>
      </c>
    </row>
    <row r="715" spans="1:12">
      <c r="A715" s="14" t="s">
        <v>1425</v>
      </c>
      <c r="B715" t="s">
        <v>1426</v>
      </c>
      <c r="C715" t="s">
        <v>13</v>
      </c>
      <c r="D715">
        <v>10.96</v>
      </c>
      <c r="E715" t="s">
        <v>2632</v>
      </c>
      <c r="F715" t="s">
        <v>2633</v>
      </c>
      <c r="G715" s="1">
        <v>24.34</v>
      </c>
      <c r="H715" s="1"/>
      <c r="I715" t="s">
        <v>2634</v>
      </c>
      <c r="J715" t="s">
        <v>2634</v>
      </c>
      <c r="K715">
        <v>0</v>
      </c>
      <c r="L715">
        <v>0</v>
      </c>
    </row>
    <row r="716" spans="1:12">
      <c r="A716" s="14" t="s">
        <v>1427</v>
      </c>
      <c r="B716" t="s">
        <v>1428</v>
      </c>
      <c r="C716" t="s">
        <v>13</v>
      </c>
      <c r="D716">
        <v>10.96</v>
      </c>
      <c r="E716" t="s">
        <v>2632</v>
      </c>
      <c r="F716" t="s">
        <v>2633</v>
      </c>
      <c r="G716" s="1">
        <v>24.34</v>
      </c>
      <c r="H716" s="1"/>
      <c r="I716" t="s">
        <v>2634</v>
      </c>
      <c r="J716" t="s">
        <v>2634</v>
      </c>
      <c r="K716">
        <v>0</v>
      </c>
      <c r="L716">
        <v>0</v>
      </c>
    </row>
    <row r="717" spans="1:12">
      <c r="A717" s="14" t="s">
        <v>1429</v>
      </c>
      <c r="B717" t="s">
        <v>1430</v>
      </c>
      <c r="C717" t="s">
        <v>13</v>
      </c>
      <c r="D717">
        <v>10.96</v>
      </c>
      <c r="E717" t="s">
        <v>2632</v>
      </c>
      <c r="F717" t="s">
        <v>2633</v>
      </c>
      <c r="G717" s="1">
        <v>24.34</v>
      </c>
      <c r="H717" s="1"/>
      <c r="I717" t="s">
        <v>2634</v>
      </c>
      <c r="J717" t="s">
        <v>2634</v>
      </c>
      <c r="K717">
        <v>0</v>
      </c>
      <c r="L717">
        <v>0</v>
      </c>
    </row>
    <row r="718" spans="1:12">
      <c r="A718" s="14" t="s">
        <v>1431</v>
      </c>
      <c r="B718" t="s">
        <v>1432</v>
      </c>
      <c r="C718" t="s">
        <v>13</v>
      </c>
      <c r="D718">
        <v>10.96</v>
      </c>
      <c r="E718" t="s">
        <v>2632</v>
      </c>
      <c r="F718" t="s">
        <v>2633</v>
      </c>
      <c r="G718" s="1">
        <v>24.34</v>
      </c>
      <c r="H718" s="1"/>
      <c r="I718" t="s">
        <v>2634</v>
      </c>
      <c r="J718" t="s">
        <v>2634</v>
      </c>
      <c r="K718">
        <v>0</v>
      </c>
      <c r="L718">
        <v>0</v>
      </c>
    </row>
    <row r="719" spans="1:12">
      <c r="A719" s="14" t="s">
        <v>1433</v>
      </c>
      <c r="B719" t="s">
        <v>1434</v>
      </c>
      <c r="C719" t="s">
        <v>13</v>
      </c>
      <c r="D719">
        <v>10.96</v>
      </c>
      <c r="E719" t="s">
        <v>2632</v>
      </c>
      <c r="F719" t="s">
        <v>2633</v>
      </c>
      <c r="G719" s="1">
        <v>24.34</v>
      </c>
      <c r="H719" s="1"/>
      <c r="I719" t="s">
        <v>2634</v>
      </c>
      <c r="J719" t="s">
        <v>2634</v>
      </c>
      <c r="K719">
        <v>0</v>
      </c>
      <c r="L719">
        <v>0</v>
      </c>
    </row>
    <row r="720" spans="1:12">
      <c r="A720" s="14" t="s">
        <v>1435</v>
      </c>
      <c r="B720" t="s">
        <v>1436</v>
      </c>
      <c r="C720" t="s">
        <v>13</v>
      </c>
      <c r="D720">
        <v>10.96</v>
      </c>
      <c r="E720" t="s">
        <v>2632</v>
      </c>
      <c r="F720" t="s">
        <v>2633</v>
      </c>
      <c r="G720" s="1">
        <v>24.34</v>
      </c>
      <c r="H720" s="1"/>
      <c r="I720" t="s">
        <v>2634</v>
      </c>
      <c r="J720" t="s">
        <v>2634</v>
      </c>
      <c r="K720">
        <v>0</v>
      </c>
      <c r="L720">
        <v>0</v>
      </c>
    </row>
    <row r="721" spans="1:12">
      <c r="A721" s="14" t="s">
        <v>1437</v>
      </c>
      <c r="B721" t="s">
        <v>1438</v>
      </c>
      <c r="C721" t="s">
        <v>13</v>
      </c>
      <c r="D721">
        <v>10.96</v>
      </c>
      <c r="E721" t="s">
        <v>2632</v>
      </c>
      <c r="F721" t="s">
        <v>2633</v>
      </c>
      <c r="G721" s="1">
        <v>24.34</v>
      </c>
      <c r="H721" s="1"/>
      <c r="I721" t="s">
        <v>2634</v>
      </c>
      <c r="J721" t="s">
        <v>2634</v>
      </c>
      <c r="K721">
        <v>0</v>
      </c>
      <c r="L721">
        <v>0</v>
      </c>
    </row>
    <row r="722" spans="1:12">
      <c r="A722" s="14" t="s">
        <v>1439</v>
      </c>
      <c r="B722" t="s">
        <v>1440</v>
      </c>
      <c r="C722" t="s">
        <v>13</v>
      </c>
      <c r="D722">
        <v>15.65</v>
      </c>
      <c r="E722" t="s">
        <v>2632</v>
      </c>
      <c r="F722" t="s">
        <v>2633</v>
      </c>
      <c r="G722" s="1">
        <v>29.81</v>
      </c>
      <c r="H722" s="1"/>
      <c r="I722" t="s">
        <v>2634</v>
      </c>
      <c r="J722" t="s">
        <v>2634</v>
      </c>
      <c r="K722">
        <v>0</v>
      </c>
      <c r="L722">
        <v>0</v>
      </c>
    </row>
    <row r="723" spans="1:12">
      <c r="A723" s="14" t="s">
        <v>1441</v>
      </c>
      <c r="B723" t="s">
        <v>1442</v>
      </c>
      <c r="C723" t="s">
        <v>13</v>
      </c>
      <c r="D723">
        <v>10.98</v>
      </c>
      <c r="E723" t="s">
        <v>2632</v>
      </c>
      <c r="F723" t="s">
        <v>2633</v>
      </c>
      <c r="G723" s="1">
        <v>24.39</v>
      </c>
      <c r="H723" s="1"/>
      <c r="I723" t="s">
        <v>2634</v>
      </c>
      <c r="J723" t="s">
        <v>2634</v>
      </c>
      <c r="K723">
        <v>0</v>
      </c>
      <c r="L723">
        <v>0</v>
      </c>
    </row>
    <row r="724" spans="1:12">
      <c r="A724" s="14" t="s">
        <v>1443</v>
      </c>
      <c r="B724" t="s">
        <v>1444</v>
      </c>
      <c r="C724" t="s">
        <v>13</v>
      </c>
      <c r="D724">
        <v>10.96</v>
      </c>
      <c r="E724" t="s">
        <v>2632</v>
      </c>
      <c r="F724" t="s">
        <v>2633</v>
      </c>
      <c r="G724" s="1">
        <v>24.34</v>
      </c>
      <c r="H724" s="1"/>
      <c r="I724" t="s">
        <v>2634</v>
      </c>
      <c r="J724" t="s">
        <v>2634</v>
      </c>
      <c r="K724">
        <v>0</v>
      </c>
      <c r="L724">
        <v>0</v>
      </c>
    </row>
    <row r="725" spans="1:12">
      <c r="A725" s="14" t="s">
        <v>1445</v>
      </c>
      <c r="B725" t="s">
        <v>1446</v>
      </c>
      <c r="C725" t="s">
        <v>13</v>
      </c>
      <c r="D725">
        <v>10.96</v>
      </c>
      <c r="E725" t="s">
        <v>2632</v>
      </c>
      <c r="F725" t="s">
        <v>2633</v>
      </c>
      <c r="G725" s="1">
        <v>24.34</v>
      </c>
      <c r="H725" s="1"/>
      <c r="I725" t="s">
        <v>2634</v>
      </c>
      <c r="J725" t="s">
        <v>2634</v>
      </c>
      <c r="K725">
        <v>0</v>
      </c>
      <c r="L725">
        <v>0</v>
      </c>
    </row>
    <row r="726" spans="1:12">
      <c r="A726" s="14" t="s">
        <v>1447</v>
      </c>
      <c r="B726" t="s">
        <v>1448</v>
      </c>
      <c r="C726" t="s">
        <v>13</v>
      </c>
      <c r="D726">
        <v>10.98</v>
      </c>
      <c r="E726" t="s">
        <v>2632</v>
      </c>
      <c r="F726" t="s">
        <v>2633</v>
      </c>
      <c r="G726" s="1">
        <v>24.39</v>
      </c>
      <c r="H726" s="1"/>
      <c r="I726" t="s">
        <v>2634</v>
      </c>
      <c r="J726" t="s">
        <v>2634</v>
      </c>
      <c r="K726">
        <v>0</v>
      </c>
      <c r="L726">
        <v>0</v>
      </c>
    </row>
    <row r="727" spans="1:12">
      <c r="A727" s="14" t="s">
        <v>1449</v>
      </c>
      <c r="B727" t="s">
        <v>1450</v>
      </c>
      <c r="C727" t="s">
        <v>13</v>
      </c>
      <c r="D727">
        <v>61.75</v>
      </c>
      <c r="E727" t="s">
        <v>2632</v>
      </c>
      <c r="F727" t="s">
        <v>2633</v>
      </c>
      <c r="G727" s="1">
        <v>117.62</v>
      </c>
      <c r="H727" s="1"/>
      <c r="I727" t="s">
        <v>2634</v>
      </c>
      <c r="J727" t="s">
        <v>2634</v>
      </c>
      <c r="K727">
        <v>0</v>
      </c>
      <c r="L727">
        <v>0</v>
      </c>
    </row>
    <row r="728" spans="1:12">
      <c r="A728" s="14" t="s">
        <v>1451</v>
      </c>
      <c r="B728" t="s">
        <v>1452</v>
      </c>
      <c r="C728" t="s">
        <v>13</v>
      </c>
      <c r="D728">
        <v>42.77</v>
      </c>
      <c r="E728" t="s">
        <v>2632</v>
      </c>
      <c r="F728" t="s">
        <v>2633</v>
      </c>
      <c r="G728" s="1">
        <v>81.45</v>
      </c>
      <c r="H728" s="1"/>
      <c r="I728" t="s">
        <v>2634</v>
      </c>
      <c r="J728" t="s">
        <v>2634</v>
      </c>
      <c r="K728">
        <v>0</v>
      </c>
      <c r="L728">
        <v>0</v>
      </c>
    </row>
    <row r="729" spans="1:12">
      <c r="A729" s="14" t="s">
        <v>1453</v>
      </c>
      <c r="B729" t="s">
        <v>1454</v>
      </c>
      <c r="C729" t="s">
        <v>13</v>
      </c>
      <c r="D729">
        <v>80.07</v>
      </c>
      <c r="E729" t="s">
        <v>2632</v>
      </c>
      <c r="F729" t="s">
        <v>2633</v>
      </c>
      <c r="G729" s="1">
        <v>152.52</v>
      </c>
      <c r="H729" s="1"/>
      <c r="I729" t="s">
        <v>2634</v>
      </c>
      <c r="J729" t="s">
        <v>2634</v>
      </c>
      <c r="K729">
        <v>0</v>
      </c>
      <c r="L729">
        <v>0</v>
      </c>
    </row>
    <row r="730" spans="1:12">
      <c r="A730" s="14" t="s">
        <v>1455</v>
      </c>
      <c r="B730" t="s">
        <v>1456</v>
      </c>
      <c r="C730" t="s">
        <v>13</v>
      </c>
      <c r="D730">
        <v>41.34</v>
      </c>
      <c r="E730" t="s">
        <v>2632</v>
      </c>
      <c r="F730" t="s">
        <v>2633</v>
      </c>
      <c r="G730" s="1">
        <v>78.71</v>
      </c>
      <c r="H730" s="1"/>
      <c r="I730" t="s">
        <v>2634</v>
      </c>
      <c r="J730" t="s">
        <v>2634</v>
      </c>
      <c r="K730">
        <v>0</v>
      </c>
      <c r="L730">
        <v>0</v>
      </c>
    </row>
    <row r="731" spans="1:12">
      <c r="A731" s="14" t="s">
        <v>1457</v>
      </c>
      <c r="B731" t="s">
        <v>1458</v>
      </c>
      <c r="C731" t="s">
        <v>13</v>
      </c>
      <c r="D731">
        <v>67.92</v>
      </c>
      <c r="E731" t="s">
        <v>2632</v>
      </c>
      <c r="F731" t="s">
        <v>2633</v>
      </c>
      <c r="G731" s="1">
        <v>129.37</v>
      </c>
      <c r="H731" s="1"/>
      <c r="I731" t="s">
        <v>2634</v>
      </c>
      <c r="J731" t="s">
        <v>2634</v>
      </c>
      <c r="K731">
        <v>0</v>
      </c>
      <c r="L731">
        <v>0</v>
      </c>
    </row>
    <row r="732" spans="1:12">
      <c r="A732" s="14" t="s">
        <v>1459</v>
      </c>
      <c r="B732" t="s">
        <v>1460</v>
      </c>
      <c r="C732" t="s">
        <v>13</v>
      </c>
      <c r="D732">
        <v>41.34</v>
      </c>
      <c r="E732" t="s">
        <v>2632</v>
      </c>
      <c r="F732" t="s">
        <v>2633</v>
      </c>
      <c r="G732" s="1">
        <v>78.71</v>
      </c>
      <c r="H732" s="1"/>
      <c r="I732" t="s">
        <v>2634</v>
      </c>
      <c r="J732" t="s">
        <v>2634</v>
      </c>
      <c r="K732">
        <v>0</v>
      </c>
      <c r="L732">
        <v>0</v>
      </c>
    </row>
    <row r="733" spans="1:12">
      <c r="A733" s="14" t="s">
        <v>1461</v>
      </c>
      <c r="B733" t="s">
        <v>1462</v>
      </c>
      <c r="C733" t="s">
        <v>13</v>
      </c>
      <c r="D733">
        <v>41.34</v>
      </c>
      <c r="E733" t="s">
        <v>2632</v>
      </c>
      <c r="F733" t="s">
        <v>2633</v>
      </c>
      <c r="G733" s="1">
        <v>78.71</v>
      </c>
      <c r="H733" s="1"/>
      <c r="I733" t="s">
        <v>2634</v>
      </c>
      <c r="J733" t="s">
        <v>2634</v>
      </c>
      <c r="K733">
        <v>0</v>
      </c>
      <c r="L733">
        <v>0</v>
      </c>
    </row>
    <row r="734" spans="1:12">
      <c r="A734" s="14" t="s">
        <v>1463</v>
      </c>
      <c r="B734" t="s">
        <v>1464</v>
      </c>
      <c r="C734" t="s">
        <v>13</v>
      </c>
      <c r="D734">
        <v>61.75</v>
      </c>
      <c r="E734" t="s">
        <v>2632</v>
      </c>
      <c r="F734" t="s">
        <v>2633</v>
      </c>
      <c r="G734" s="1">
        <v>117.62</v>
      </c>
      <c r="H734" s="1"/>
      <c r="I734" t="s">
        <v>2634</v>
      </c>
      <c r="J734" t="s">
        <v>2634</v>
      </c>
      <c r="K734">
        <v>0</v>
      </c>
      <c r="L734">
        <v>0</v>
      </c>
    </row>
    <row r="735" spans="1:12">
      <c r="A735" s="14" t="s">
        <v>1465</v>
      </c>
      <c r="B735" t="s">
        <v>1466</v>
      </c>
      <c r="C735" t="s">
        <v>13</v>
      </c>
      <c r="D735">
        <v>80.07</v>
      </c>
      <c r="E735" t="s">
        <v>2632</v>
      </c>
      <c r="F735" t="s">
        <v>2633</v>
      </c>
      <c r="G735" s="1">
        <v>152.52</v>
      </c>
      <c r="H735" s="1"/>
      <c r="I735" t="s">
        <v>2634</v>
      </c>
      <c r="J735" t="s">
        <v>2634</v>
      </c>
      <c r="K735">
        <v>0</v>
      </c>
      <c r="L735">
        <v>0</v>
      </c>
    </row>
    <row r="736" spans="1:12">
      <c r="A736" s="14" t="s">
        <v>1467</v>
      </c>
      <c r="B736" t="s">
        <v>1468</v>
      </c>
      <c r="C736" t="s">
        <v>13</v>
      </c>
      <c r="D736">
        <v>33.98</v>
      </c>
      <c r="E736" t="s">
        <v>2632</v>
      </c>
      <c r="F736" t="s">
        <v>2633</v>
      </c>
      <c r="G736" s="1">
        <v>64.71</v>
      </c>
      <c r="H736" s="1"/>
      <c r="I736" t="s">
        <v>2634</v>
      </c>
      <c r="J736" t="s">
        <v>2634</v>
      </c>
      <c r="K736">
        <v>0</v>
      </c>
      <c r="L736">
        <v>0</v>
      </c>
    </row>
    <row r="737" spans="1:12">
      <c r="A737" s="14" t="s">
        <v>1469</v>
      </c>
      <c r="B737" t="s">
        <v>1470</v>
      </c>
      <c r="C737" t="s">
        <v>13</v>
      </c>
      <c r="D737">
        <v>15</v>
      </c>
      <c r="E737" t="s">
        <v>2632</v>
      </c>
      <c r="F737" t="s">
        <v>2633</v>
      </c>
      <c r="G737" s="1">
        <v>28.59</v>
      </c>
      <c r="H737" s="1"/>
      <c r="I737" t="s">
        <v>2634</v>
      </c>
      <c r="J737" t="s">
        <v>2634</v>
      </c>
      <c r="K737">
        <v>0</v>
      </c>
      <c r="L737">
        <v>0</v>
      </c>
    </row>
    <row r="738" spans="1:12">
      <c r="A738" s="14" t="s">
        <v>1471</v>
      </c>
      <c r="B738" t="s">
        <v>1472</v>
      </c>
      <c r="C738" t="s">
        <v>13</v>
      </c>
      <c r="D738">
        <v>14.55</v>
      </c>
      <c r="E738" t="s">
        <v>2632</v>
      </c>
      <c r="F738" t="s">
        <v>2633</v>
      </c>
      <c r="G738" s="1">
        <v>27.74</v>
      </c>
      <c r="H738" s="1"/>
      <c r="I738" t="s">
        <v>2634</v>
      </c>
      <c r="J738" t="s">
        <v>2634</v>
      </c>
      <c r="K738">
        <v>0</v>
      </c>
      <c r="L738">
        <v>0</v>
      </c>
    </row>
    <row r="739" spans="1:12">
      <c r="A739" s="14" t="s">
        <v>1473</v>
      </c>
      <c r="B739" t="s">
        <v>1474</v>
      </c>
      <c r="C739" t="s">
        <v>13</v>
      </c>
      <c r="D739">
        <v>33.98</v>
      </c>
      <c r="E739" t="s">
        <v>2632</v>
      </c>
      <c r="F739" t="s">
        <v>2633</v>
      </c>
      <c r="G739" s="1">
        <v>64.71</v>
      </c>
      <c r="H739" s="1"/>
      <c r="I739" t="s">
        <v>2634</v>
      </c>
      <c r="J739" t="s">
        <v>2634</v>
      </c>
      <c r="K739">
        <v>0</v>
      </c>
      <c r="L739">
        <v>0</v>
      </c>
    </row>
    <row r="740" spans="1:12">
      <c r="A740" s="14" t="s">
        <v>1475</v>
      </c>
      <c r="B740" t="s">
        <v>1476</v>
      </c>
      <c r="C740" t="s">
        <v>13</v>
      </c>
      <c r="D740">
        <v>57.09</v>
      </c>
      <c r="E740" t="s">
        <v>2632</v>
      </c>
      <c r="F740" t="s">
        <v>2633</v>
      </c>
      <c r="G740" s="1">
        <v>108.73</v>
      </c>
      <c r="H740" s="1"/>
      <c r="I740" t="s">
        <v>2634</v>
      </c>
      <c r="J740" t="s">
        <v>2634</v>
      </c>
      <c r="K740">
        <v>0</v>
      </c>
      <c r="L740">
        <v>0</v>
      </c>
    </row>
    <row r="741" spans="1:12">
      <c r="A741" s="14" t="s">
        <v>1477</v>
      </c>
      <c r="B741" t="s">
        <v>1478</v>
      </c>
      <c r="C741" t="s">
        <v>13</v>
      </c>
      <c r="D741">
        <v>14.55</v>
      </c>
      <c r="E741" t="s">
        <v>2632</v>
      </c>
      <c r="F741" t="s">
        <v>2633</v>
      </c>
      <c r="G741" s="1">
        <v>27.74</v>
      </c>
      <c r="H741" s="1"/>
      <c r="I741" t="s">
        <v>2634</v>
      </c>
      <c r="J741" t="s">
        <v>2634</v>
      </c>
      <c r="K741">
        <v>0</v>
      </c>
      <c r="L741">
        <v>0</v>
      </c>
    </row>
    <row r="742" spans="1:12">
      <c r="A742" s="14" t="s">
        <v>1479</v>
      </c>
      <c r="B742" t="s">
        <v>1480</v>
      </c>
      <c r="C742" t="s">
        <v>13</v>
      </c>
      <c r="D742">
        <v>14.55</v>
      </c>
      <c r="E742" t="s">
        <v>2632</v>
      </c>
      <c r="F742" t="s">
        <v>2633</v>
      </c>
      <c r="G742" s="1">
        <v>27.74</v>
      </c>
      <c r="H742" s="1"/>
      <c r="I742" t="s">
        <v>2634</v>
      </c>
      <c r="J742" t="s">
        <v>2634</v>
      </c>
      <c r="K742">
        <v>0</v>
      </c>
      <c r="L742">
        <v>0</v>
      </c>
    </row>
    <row r="743" spans="1:12">
      <c r="A743" s="14" t="s">
        <v>1481</v>
      </c>
      <c r="B743" t="s">
        <v>1482</v>
      </c>
      <c r="C743" t="s">
        <v>13</v>
      </c>
      <c r="D743">
        <v>33.98</v>
      </c>
      <c r="E743" t="s">
        <v>2632</v>
      </c>
      <c r="F743" t="s">
        <v>2633</v>
      </c>
      <c r="G743" s="1">
        <v>64.71</v>
      </c>
      <c r="H743" s="1"/>
      <c r="I743" t="s">
        <v>2634</v>
      </c>
      <c r="J743" t="s">
        <v>2634</v>
      </c>
      <c r="K743">
        <v>0</v>
      </c>
      <c r="L743">
        <v>0</v>
      </c>
    </row>
    <row r="744" spans="1:12">
      <c r="A744" s="14" t="s">
        <v>1483</v>
      </c>
      <c r="B744" t="s">
        <v>1484</v>
      </c>
      <c r="C744" t="s">
        <v>13</v>
      </c>
      <c r="D744">
        <v>57.09</v>
      </c>
      <c r="E744" t="s">
        <v>2632</v>
      </c>
      <c r="F744" t="s">
        <v>2633</v>
      </c>
      <c r="G744" s="1">
        <v>108.73</v>
      </c>
      <c r="H744" s="1"/>
      <c r="I744" t="s">
        <v>2634</v>
      </c>
      <c r="J744" t="s">
        <v>2634</v>
      </c>
      <c r="K744">
        <v>0</v>
      </c>
      <c r="L744">
        <v>0</v>
      </c>
    </row>
    <row r="745" spans="1:12">
      <c r="A745" s="14" t="s">
        <v>1485</v>
      </c>
      <c r="B745" t="s">
        <v>1486</v>
      </c>
      <c r="C745" t="s">
        <v>13</v>
      </c>
      <c r="D745">
        <v>14.55</v>
      </c>
      <c r="E745" t="s">
        <v>2632</v>
      </c>
      <c r="F745" t="s">
        <v>2633</v>
      </c>
      <c r="G745" s="1">
        <v>27.74</v>
      </c>
      <c r="H745" s="1"/>
      <c r="I745" t="s">
        <v>2634</v>
      </c>
      <c r="J745" t="s">
        <v>2634</v>
      </c>
      <c r="K745">
        <v>0</v>
      </c>
      <c r="L745">
        <v>0</v>
      </c>
    </row>
    <row r="746" spans="1:12">
      <c r="A746" s="14" t="s">
        <v>1487</v>
      </c>
      <c r="B746" t="s">
        <v>1488</v>
      </c>
      <c r="C746" t="s">
        <v>13</v>
      </c>
      <c r="D746">
        <v>33.98</v>
      </c>
      <c r="E746" t="s">
        <v>2632</v>
      </c>
      <c r="F746" t="s">
        <v>2633</v>
      </c>
      <c r="G746" s="1">
        <v>64.71</v>
      </c>
      <c r="H746" s="1"/>
      <c r="I746" t="s">
        <v>2634</v>
      </c>
      <c r="J746" t="s">
        <v>2634</v>
      </c>
      <c r="K746">
        <v>0</v>
      </c>
      <c r="L746">
        <v>0</v>
      </c>
    </row>
    <row r="747" spans="1:12">
      <c r="A747" s="14" t="s">
        <v>1489</v>
      </c>
      <c r="B747" t="s">
        <v>1490</v>
      </c>
      <c r="C747" t="s">
        <v>13</v>
      </c>
      <c r="D747">
        <v>14.55</v>
      </c>
      <c r="E747" t="s">
        <v>2632</v>
      </c>
      <c r="F747" t="s">
        <v>2633</v>
      </c>
      <c r="G747" s="1">
        <v>27.74</v>
      </c>
      <c r="H747" s="1"/>
      <c r="I747" t="s">
        <v>2634</v>
      </c>
      <c r="J747" t="s">
        <v>2634</v>
      </c>
      <c r="K747">
        <v>0</v>
      </c>
      <c r="L747">
        <v>0</v>
      </c>
    </row>
    <row r="748" spans="1:12">
      <c r="A748" s="14" t="s">
        <v>1491</v>
      </c>
      <c r="B748" t="s">
        <v>1492</v>
      </c>
      <c r="C748" t="s">
        <v>13</v>
      </c>
      <c r="D748">
        <v>33.98</v>
      </c>
      <c r="E748" t="s">
        <v>2632</v>
      </c>
      <c r="F748" t="s">
        <v>2633</v>
      </c>
      <c r="G748" s="1">
        <v>64.71</v>
      </c>
      <c r="H748" s="1"/>
      <c r="I748" t="s">
        <v>2634</v>
      </c>
      <c r="J748" t="s">
        <v>2634</v>
      </c>
      <c r="K748">
        <v>0</v>
      </c>
      <c r="L748">
        <v>0</v>
      </c>
    </row>
    <row r="749" spans="1:12">
      <c r="A749" s="14" t="s">
        <v>1493</v>
      </c>
      <c r="B749" t="s">
        <v>1494</v>
      </c>
      <c r="C749" t="s">
        <v>13</v>
      </c>
      <c r="D749">
        <v>57.09</v>
      </c>
      <c r="E749" t="s">
        <v>2632</v>
      </c>
      <c r="F749" t="s">
        <v>2633</v>
      </c>
      <c r="G749" s="1">
        <v>108.73</v>
      </c>
      <c r="H749" s="1"/>
      <c r="I749" t="s">
        <v>2634</v>
      </c>
      <c r="J749" t="s">
        <v>2634</v>
      </c>
      <c r="K749">
        <v>0</v>
      </c>
      <c r="L749">
        <v>0</v>
      </c>
    </row>
    <row r="750" spans="1:12">
      <c r="A750" s="14" t="s">
        <v>1495</v>
      </c>
      <c r="B750" t="s">
        <v>1496</v>
      </c>
      <c r="C750" t="s">
        <v>13</v>
      </c>
      <c r="D750">
        <v>14.55</v>
      </c>
      <c r="E750" t="s">
        <v>2632</v>
      </c>
      <c r="F750" t="s">
        <v>2633</v>
      </c>
      <c r="G750" s="1">
        <v>27.74</v>
      </c>
      <c r="H750" s="1"/>
      <c r="I750" t="s">
        <v>2634</v>
      </c>
      <c r="J750" t="s">
        <v>2634</v>
      </c>
      <c r="K750">
        <v>0</v>
      </c>
      <c r="L750">
        <v>0</v>
      </c>
    </row>
    <row r="751" spans="1:12">
      <c r="A751" s="14" t="s">
        <v>1497</v>
      </c>
      <c r="B751" t="s">
        <v>1498</v>
      </c>
      <c r="C751" t="s">
        <v>13</v>
      </c>
      <c r="D751">
        <v>49.06</v>
      </c>
      <c r="E751" t="s">
        <v>2632</v>
      </c>
      <c r="F751" t="s">
        <v>2633</v>
      </c>
      <c r="G751" s="1">
        <v>93.45</v>
      </c>
      <c r="H751" s="1"/>
      <c r="I751" t="s">
        <v>2634</v>
      </c>
      <c r="J751" t="s">
        <v>2634</v>
      </c>
      <c r="K751">
        <v>0</v>
      </c>
      <c r="L751">
        <v>0</v>
      </c>
    </row>
    <row r="752" spans="1:12">
      <c r="A752" s="14" t="s">
        <v>1499</v>
      </c>
      <c r="B752" t="s">
        <v>1500</v>
      </c>
      <c r="C752" t="s">
        <v>13</v>
      </c>
      <c r="D752">
        <v>33.98</v>
      </c>
      <c r="E752" t="s">
        <v>2632</v>
      </c>
      <c r="F752" t="s">
        <v>2633</v>
      </c>
      <c r="G752" s="1">
        <v>64.71</v>
      </c>
      <c r="H752" s="1"/>
      <c r="I752" t="s">
        <v>2634</v>
      </c>
      <c r="J752" t="s">
        <v>2634</v>
      </c>
      <c r="K752">
        <v>0</v>
      </c>
      <c r="L752">
        <v>0</v>
      </c>
    </row>
    <row r="753" spans="1:12">
      <c r="A753" s="14" t="s">
        <v>1501</v>
      </c>
      <c r="B753" t="s">
        <v>1502</v>
      </c>
      <c r="C753" t="s">
        <v>13</v>
      </c>
      <c r="D753">
        <v>14.55</v>
      </c>
      <c r="E753" t="s">
        <v>2632</v>
      </c>
      <c r="F753" t="s">
        <v>2633</v>
      </c>
      <c r="G753" s="1">
        <v>27.74</v>
      </c>
      <c r="H753" s="1"/>
      <c r="I753" t="s">
        <v>2634</v>
      </c>
      <c r="J753" t="s">
        <v>2634</v>
      </c>
      <c r="K753">
        <v>0</v>
      </c>
      <c r="L753">
        <v>0</v>
      </c>
    </row>
    <row r="754" spans="1:12">
      <c r="A754" s="14" t="s">
        <v>1503</v>
      </c>
      <c r="B754" t="s">
        <v>1504</v>
      </c>
      <c r="C754" t="s">
        <v>13</v>
      </c>
      <c r="D754">
        <v>33.98</v>
      </c>
      <c r="E754" t="s">
        <v>2632</v>
      </c>
      <c r="F754" t="s">
        <v>2633</v>
      </c>
      <c r="G754" s="1">
        <v>64.71</v>
      </c>
      <c r="H754" s="1"/>
      <c r="I754" t="s">
        <v>2634</v>
      </c>
      <c r="J754" t="s">
        <v>2634</v>
      </c>
      <c r="K754">
        <v>0</v>
      </c>
      <c r="L754">
        <v>0</v>
      </c>
    </row>
    <row r="755" spans="1:12">
      <c r="A755" s="14" t="s">
        <v>1505</v>
      </c>
      <c r="B755" t="s">
        <v>1506</v>
      </c>
      <c r="C755" t="s">
        <v>13</v>
      </c>
      <c r="D755">
        <v>57.09</v>
      </c>
      <c r="E755" t="s">
        <v>2632</v>
      </c>
      <c r="F755" t="s">
        <v>2633</v>
      </c>
      <c r="G755" s="1">
        <v>108.73</v>
      </c>
      <c r="H755" s="1"/>
      <c r="I755" t="s">
        <v>2634</v>
      </c>
      <c r="J755" t="s">
        <v>2634</v>
      </c>
      <c r="K755">
        <v>0</v>
      </c>
      <c r="L755">
        <v>0</v>
      </c>
    </row>
    <row r="756" spans="1:12">
      <c r="A756" s="14" t="s">
        <v>1507</v>
      </c>
      <c r="B756" t="s">
        <v>1508</v>
      </c>
      <c r="C756" t="s">
        <v>13</v>
      </c>
      <c r="D756">
        <v>14.55</v>
      </c>
      <c r="E756" t="s">
        <v>2632</v>
      </c>
      <c r="F756" t="s">
        <v>2633</v>
      </c>
      <c r="G756" s="1">
        <v>27.74</v>
      </c>
      <c r="H756" s="1"/>
      <c r="I756" t="s">
        <v>2634</v>
      </c>
      <c r="J756" t="s">
        <v>2634</v>
      </c>
      <c r="K756">
        <v>0</v>
      </c>
      <c r="L756">
        <v>0</v>
      </c>
    </row>
    <row r="757" spans="1:12">
      <c r="A757" s="14" t="s">
        <v>1509</v>
      </c>
      <c r="B757" t="s">
        <v>1510</v>
      </c>
      <c r="C757" t="s">
        <v>13</v>
      </c>
      <c r="D757">
        <v>14.55</v>
      </c>
      <c r="E757" t="s">
        <v>2632</v>
      </c>
      <c r="F757" t="s">
        <v>2633</v>
      </c>
      <c r="G757" s="1">
        <v>27.74</v>
      </c>
      <c r="H757" s="1"/>
      <c r="I757" t="s">
        <v>2634</v>
      </c>
      <c r="J757" t="s">
        <v>2634</v>
      </c>
      <c r="K757">
        <v>0</v>
      </c>
      <c r="L757">
        <v>0</v>
      </c>
    </row>
    <row r="758" spans="1:12">
      <c r="A758" s="14" t="s">
        <v>1511</v>
      </c>
      <c r="B758" t="s">
        <v>1512</v>
      </c>
      <c r="C758" t="s">
        <v>13</v>
      </c>
      <c r="D758">
        <v>49.06</v>
      </c>
      <c r="E758" t="s">
        <v>2632</v>
      </c>
      <c r="F758" t="s">
        <v>2633</v>
      </c>
      <c r="G758" s="1">
        <v>93.45</v>
      </c>
      <c r="H758" s="1"/>
      <c r="I758" t="s">
        <v>2634</v>
      </c>
      <c r="J758" t="s">
        <v>2634</v>
      </c>
      <c r="K758">
        <v>0</v>
      </c>
      <c r="L758">
        <v>0</v>
      </c>
    </row>
    <row r="759" spans="1:12">
      <c r="A759" s="14" t="s">
        <v>1513</v>
      </c>
      <c r="B759" t="s">
        <v>1514</v>
      </c>
      <c r="C759" t="s">
        <v>13</v>
      </c>
      <c r="D759">
        <v>33.98</v>
      </c>
      <c r="E759" t="s">
        <v>2632</v>
      </c>
      <c r="F759" t="s">
        <v>2633</v>
      </c>
      <c r="G759" s="1">
        <v>64.71</v>
      </c>
      <c r="H759" s="1"/>
      <c r="I759" t="s">
        <v>2634</v>
      </c>
      <c r="J759" t="s">
        <v>2634</v>
      </c>
      <c r="K759">
        <v>0</v>
      </c>
      <c r="L759">
        <v>0</v>
      </c>
    </row>
    <row r="760" spans="1:12">
      <c r="A760" s="14" t="s">
        <v>1515</v>
      </c>
      <c r="B760" t="s">
        <v>1516</v>
      </c>
      <c r="C760" t="s">
        <v>13</v>
      </c>
      <c r="D760">
        <v>14.55</v>
      </c>
      <c r="E760" t="s">
        <v>2632</v>
      </c>
      <c r="F760" t="s">
        <v>2633</v>
      </c>
      <c r="G760" s="1">
        <v>27.74</v>
      </c>
      <c r="H760" s="1"/>
      <c r="I760" t="s">
        <v>2634</v>
      </c>
      <c r="J760" t="s">
        <v>2634</v>
      </c>
      <c r="K760">
        <v>0</v>
      </c>
      <c r="L760">
        <v>0</v>
      </c>
    </row>
    <row r="761" spans="1:12">
      <c r="A761" s="14" t="s">
        <v>1517</v>
      </c>
      <c r="B761" t="s">
        <v>1518</v>
      </c>
      <c r="C761" t="s">
        <v>13</v>
      </c>
      <c r="D761">
        <v>3.89</v>
      </c>
      <c r="E761" t="s">
        <v>2632</v>
      </c>
      <c r="F761" t="s">
        <v>2633</v>
      </c>
      <c r="G761" s="1">
        <v>7.4</v>
      </c>
      <c r="H761" s="1"/>
      <c r="I761" t="s">
        <v>2634</v>
      </c>
      <c r="J761" t="s">
        <v>2634</v>
      </c>
      <c r="K761">
        <v>0</v>
      </c>
      <c r="L761">
        <v>0</v>
      </c>
    </row>
    <row r="762" spans="1:12">
      <c r="A762" s="14" t="s">
        <v>1519</v>
      </c>
      <c r="B762" t="s">
        <v>1520</v>
      </c>
      <c r="C762" t="s">
        <v>13</v>
      </c>
      <c r="D762">
        <v>24.92</v>
      </c>
      <c r="E762" t="s">
        <v>2632</v>
      </c>
      <c r="F762" t="s">
        <v>2633</v>
      </c>
      <c r="G762" s="1">
        <v>55.37</v>
      </c>
      <c r="H762" s="1"/>
      <c r="I762" t="s">
        <v>2634</v>
      </c>
      <c r="J762">
        <v>20</v>
      </c>
      <c r="K762">
        <v>0</v>
      </c>
      <c r="L762">
        <v>0</v>
      </c>
    </row>
    <row r="763" spans="1:12">
      <c r="A763" s="14" t="s">
        <v>1521</v>
      </c>
      <c r="B763" t="s">
        <v>1522</v>
      </c>
      <c r="C763" t="s">
        <v>13</v>
      </c>
      <c r="D763">
        <v>30.21</v>
      </c>
      <c r="E763" t="s">
        <v>2632</v>
      </c>
      <c r="F763" t="s">
        <v>2633</v>
      </c>
      <c r="G763" s="1">
        <v>67.15</v>
      </c>
      <c r="H763" s="1"/>
      <c r="I763" t="s">
        <v>2634</v>
      </c>
      <c r="J763">
        <v>8</v>
      </c>
      <c r="K763">
        <v>0</v>
      </c>
      <c r="L763">
        <v>0</v>
      </c>
    </row>
    <row r="764" spans="1:12">
      <c r="A764" s="14" t="s">
        <v>1523</v>
      </c>
      <c r="B764" t="s">
        <v>1524</v>
      </c>
      <c r="C764" t="s">
        <v>13</v>
      </c>
      <c r="D764">
        <v>34.56</v>
      </c>
      <c r="E764" t="s">
        <v>2632</v>
      </c>
      <c r="F764" t="s">
        <v>2633</v>
      </c>
      <c r="G764" s="1">
        <v>76.8</v>
      </c>
      <c r="H764" s="1"/>
      <c r="I764" t="s">
        <v>2634</v>
      </c>
      <c r="J764">
        <v>6</v>
      </c>
      <c r="K764">
        <v>0</v>
      </c>
      <c r="L764">
        <v>0</v>
      </c>
    </row>
    <row r="765" spans="1:12">
      <c r="A765" s="14" t="s">
        <v>1525</v>
      </c>
      <c r="B765" t="s">
        <v>1526</v>
      </c>
      <c r="C765" t="s">
        <v>13</v>
      </c>
      <c r="D765">
        <v>135.67</v>
      </c>
      <c r="E765" t="s">
        <v>2632</v>
      </c>
      <c r="F765" t="s">
        <v>2633</v>
      </c>
      <c r="G765" s="1">
        <v>301.49</v>
      </c>
      <c r="H765" s="1"/>
      <c r="I765" t="s">
        <v>2634</v>
      </c>
      <c r="J765">
        <v>4</v>
      </c>
      <c r="K765">
        <v>0</v>
      </c>
      <c r="L765">
        <v>0</v>
      </c>
    </row>
    <row r="766" spans="1:12">
      <c r="A766" s="14" t="s">
        <v>1527</v>
      </c>
      <c r="B766" t="s">
        <v>1528</v>
      </c>
      <c r="C766" t="s">
        <v>13</v>
      </c>
      <c r="D766">
        <v>225.74</v>
      </c>
      <c r="E766" t="s">
        <v>2632</v>
      </c>
      <c r="F766" t="s">
        <v>2633</v>
      </c>
      <c r="G766" s="1">
        <v>501.65</v>
      </c>
      <c r="H766" s="1"/>
      <c r="I766" t="s">
        <v>2634</v>
      </c>
      <c r="J766">
        <v>8</v>
      </c>
      <c r="K766">
        <v>0</v>
      </c>
      <c r="L766">
        <v>0</v>
      </c>
    </row>
    <row r="767" spans="1:12">
      <c r="A767" s="14" t="s">
        <v>1529</v>
      </c>
      <c r="B767" t="s">
        <v>1530</v>
      </c>
      <c r="C767" t="s">
        <v>13</v>
      </c>
      <c r="D767">
        <v>339.22</v>
      </c>
      <c r="E767" t="s">
        <v>2632</v>
      </c>
      <c r="F767" t="s">
        <v>2633</v>
      </c>
      <c r="G767" s="1">
        <v>753.8</v>
      </c>
      <c r="H767" s="1"/>
      <c r="I767" t="s">
        <v>2634</v>
      </c>
      <c r="J767">
        <v>1</v>
      </c>
      <c r="K767">
        <v>0</v>
      </c>
      <c r="L767">
        <v>0</v>
      </c>
    </row>
    <row r="768" spans="1:12">
      <c r="A768" s="14" t="s">
        <v>1531</v>
      </c>
      <c r="B768" t="s">
        <v>1532</v>
      </c>
      <c r="C768" t="s">
        <v>13</v>
      </c>
      <c r="D768">
        <v>175.3</v>
      </c>
      <c r="E768" t="s">
        <v>2632</v>
      </c>
      <c r="F768" t="s">
        <v>2633</v>
      </c>
      <c r="G768" s="1">
        <v>389.55</v>
      </c>
      <c r="H768" s="1"/>
      <c r="I768" t="s">
        <v>2634</v>
      </c>
      <c r="J768">
        <v>4</v>
      </c>
      <c r="K768">
        <v>0</v>
      </c>
      <c r="L768">
        <v>0</v>
      </c>
    </row>
    <row r="769" spans="1:12">
      <c r="A769" s="14" t="s">
        <v>1533</v>
      </c>
      <c r="B769" t="s">
        <v>1534</v>
      </c>
      <c r="C769" t="s">
        <v>13</v>
      </c>
      <c r="D769">
        <v>130.87</v>
      </c>
      <c r="E769" t="s">
        <v>2632</v>
      </c>
      <c r="F769" t="s">
        <v>2633</v>
      </c>
      <c r="G769" s="1">
        <v>290.82</v>
      </c>
      <c r="H769" s="1"/>
      <c r="I769" t="s">
        <v>2634</v>
      </c>
      <c r="J769">
        <v>3</v>
      </c>
      <c r="K769">
        <v>0</v>
      </c>
      <c r="L769">
        <v>0</v>
      </c>
    </row>
    <row r="770" spans="1:12">
      <c r="A770" s="14" t="s">
        <v>1535</v>
      </c>
      <c r="B770" t="s">
        <v>1536</v>
      </c>
      <c r="C770" t="s">
        <v>13</v>
      </c>
      <c r="D770">
        <v>24.44</v>
      </c>
      <c r="E770" t="s">
        <v>2632</v>
      </c>
      <c r="F770" t="s">
        <v>2633</v>
      </c>
      <c r="G770" s="1">
        <v>54.32</v>
      </c>
      <c r="H770" s="1"/>
      <c r="I770" t="s">
        <v>2634</v>
      </c>
      <c r="J770">
        <v>10</v>
      </c>
      <c r="K770">
        <v>0</v>
      </c>
      <c r="L770">
        <v>0</v>
      </c>
    </row>
    <row r="771" spans="1:12">
      <c r="A771" s="14" t="s">
        <v>1537</v>
      </c>
      <c r="B771" t="s">
        <v>1538</v>
      </c>
      <c r="C771" t="s">
        <v>13</v>
      </c>
      <c r="D771">
        <v>11.17</v>
      </c>
      <c r="E771" t="s">
        <v>2632</v>
      </c>
      <c r="F771" t="s">
        <v>2633</v>
      </c>
      <c r="G771" s="1">
        <v>24.78</v>
      </c>
      <c r="H771" s="1"/>
      <c r="I771" t="s">
        <v>2634</v>
      </c>
      <c r="J771">
        <v>10</v>
      </c>
      <c r="K771">
        <v>0</v>
      </c>
      <c r="L771">
        <v>0</v>
      </c>
    </row>
    <row r="772" spans="1:12">
      <c r="A772" s="14" t="s">
        <v>1539</v>
      </c>
      <c r="B772" t="s">
        <v>1540</v>
      </c>
      <c r="C772" t="s">
        <v>13</v>
      </c>
      <c r="D772">
        <v>33.64</v>
      </c>
      <c r="E772" t="s">
        <v>2632</v>
      </c>
      <c r="F772" t="s">
        <v>2633</v>
      </c>
      <c r="G772" s="1">
        <v>74.73</v>
      </c>
      <c r="H772" s="1"/>
      <c r="I772" t="s">
        <v>2634</v>
      </c>
      <c r="J772">
        <v>12</v>
      </c>
      <c r="K772">
        <v>0</v>
      </c>
      <c r="L772">
        <v>0</v>
      </c>
    </row>
    <row r="773" spans="1:12">
      <c r="A773" s="14" t="s">
        <v>1541</v>
      </c>
      <c r="B773" t="s">
        <v>1542</v>
      </c>
      <c r="C773" t="s">
        <v>13</v>
      </c>
      <c r="D773">
        <v>36.65</v>
      </c>
      <c r="E773" t="s">
        <v>2632</v>
      </c>
      <c r="F773" t="s">
        <v>2633</v>
      </c>
      <c r="G773" s="1">
        <v>81.45</v>
      </c>
      <c r="H773" s="2" t="s">
        <v>2635</v>
      </c>
      <c r="I773" t="s">
        <v>2647</v>
      </c>
      <c r="J773">
        <v>15</v>
      </c>
      <c r="K773">
        <v>0</v>
      </c>
      <c r="L773">
        <v>0</v>
      </c>
    </row>
    <row r="774" spans="1:12">
      <c r="A774" s="14" t="s">
        <v>1543</v>
      </c>
      <c r="B774" t="s">
        <v>1544</v>
      </c>
      <c r="C774" t="s">
        <v>13</v>
      </c>
      <c r="D774">
        <v>40.08</v>
      </c>
      <c r="E774" t="s">
        <v>2632</v>
      </c>
      <c r="F774" t="s">
        <v>2633</v>
      </c>
      <c r="G774" s="1">
        <v>89.07</v>
      </c>
      <c r="H774" s="1"/>
      <c r="I774" t="s">
        <v>2634</v>
      </c>
      <c r="J774">
        <v>12</v>
      </c>
      <c r="K774">
        <v>0</v>
      </c>
      <c r="L774">
        <v>0</v>
      </c>
    </row>
    <row r="775" spans="1:12">
      <c r="A775" s="14" t="s">
        <v>1545</v>
      </c>
      <c r="B775" t="s">
        <v>1546</v>
      </c>
      <c r="C775" t="s">
        <v>13</v>
      </c>
      <c r="D775">
        <v>39.95</v>
      </c>
      <c r="E775" t="s">
        <v>2632</v>
      </c>
      <c r="F775" t="s">
        <v>2633</v>
      </c>
      <c r="G775" s="1">
        <v>88.78</v>
      </c>
      <c r="H775" s="1"/>
      <c r="I775" t="s">
        <v>2634</v>
      </c>
      <c r="J775">
        <v>12</v>
      </c>
      <c r="K775">
        <v>0</v>
      </c>
      <c r="L775">
        <v>0</v>
      </c>
    </row>
    <row r="776" spans="1:12">
      <c r="A776" s="14" t="s">
        <v>1547</v>
      </c>
      <c r="B776" t="s">
        <v>1548</v>
      </c>
      <c r="C776" t="s">
        <v>13</v>
      </c>
      <c r="D776">
        <v>41.68</v>
      </c>
      <c r="E776" t="s">
        <v>2632</v>
      </c>
      <c r="F776" t="s">
        <v>2633</v>
      </c>
      <c r="G776" s="1">
        <v>92.61</v>
      </c>
      <c r="H776" s="1"/>
      <c r="I776" t="s">
        <v>2634</v>
      </c>
      <c r="J776">
        <v>12</v>
      </c>
      <c r="K776">
        <v>0</v>
      </c>
      <c r="L776">
        <v>0</v>
      </c>
    </row>
    <row r="777" spans="1:12">
      <c r="A777" s="14" t="s">
        <v>1549</v>
      </c>
      <c r="B777" t="s">
        <v>1550</v>
      </c>
      <c r="C777" t="s">
        <v>13</v>
      </c>
      <c r="D777">
        <v>40.98</v>
      </c>
      <c r="E777" t="s">
        <v>2632</v>
      </c>
      <c r="F777" t="s">
        <v>2633</v>
      </c>
      <c r="G777" s="1">
        <v>91.07</v>
      </c>
      <c r="H777" s="1"/>
      <c r="I777" t="s">
        <v>2634</v>
      </c>
      <c r="J777">
        <v>10</v>
      </c>
      <c r="K777">
        <v>0</v>
      </c>
      <c r="L777">
        <v>0</v>
      </c>
    </row>
    <row r="778" spans="1:12">
      <c r="A778" s="14" t="s">
        <v>1551</v>
      </c>
      <c r="B778" t="s">
        <v>1552</v>
      </c>
      <c r="C778" t="s">
        <v>13</v>
      </c>
      <c r="D778">
        <v>35.36</v>
      </c>
      <c r="E778" t="s">
        <v>2632</v>
      </c>
      <c r="F778" t="s">
        <v>2633</v>
      </c>
      <c r="G778" s="1">
        <v>78.57</v>
      </c>
      <c r="H778" s="2" t="s">
        <v>2635</v>
      </c>
      <c r="I778" t="s">
        <v>2647</v>
      </c>
      <c r="J778">
        <v>15</v>
      </c>
      <c r="K778">
        <v>0</v>
      </c>
      <c r="L778">
        <v>0</v>
      </c>
    </row>
    <row r="779" spans="1:12">
      <c r="A779" s="14" t="s">
        <v>1553</v>
      </c>
      <c r="B779" t="s">
        <v>1554</v>
      </c>
      <c r="C779" t="s">
        <v>13</v>
      </c>
      <c r="D779">
        <v>50.73</v>
      </c>
      <c r="E779" t="s">
        <v>2632</v>
      </c>
      <c r="F779" t="s">
        <v>2633</v>
      </c>
      <c r="G779" s="1">
        <v>112.74</v>
      </c>
      <c r="H779" s="1"/>
      <c r="I779" t="s">
        <v>2634</v>
      </c>
      <c r="J779">
        <v>10</v>
      </c>
      <c r="K779">
        <v>0</v>
      </c>
      <c r="L779">
        <v>0</v>
      </c>
    </row>
    <row r="780" spans="1:12">
      <c r="A780" s="14" t="s">
        <v>1555</v>
      </c>
      <c r="B780" t="s">
        <v>1556</v>
      </c>
      <c r="C780" t="s">
        <v>13</v>
      </c>
      <c r="D780">
        <v>46.94</v>
      </c>
      <c r="E780" t="s">
        <v>2632</v>
      </c>
      <c r="F780" t="s">
        <v>2633</v>
      </c>
      <c r="G780" s="1">
        <v>104.32</v>
      </c>
      <c r="H780" s="1"/>
      <c r="I780" t="s">
        <v>2634</v>
      </c>
      <c r="J780">
        <v>10</v>
      </c>
      <c r="K780">
        <v>0</v>
      </c>
      <c r="L780">
        <v>0</v>
      </c>
    </row>
    <row r="781" spans="1:12">
      <c r="A781" s="14" t="s">
        <v>1557</v>
      </c>
      <c r="B781" t="s">
        <v>1558</v>
      </c>
      <c r="C781" t="s">
        <v>13</v>
      </c>
      <c r="D781">
        <v>40.98</v>
      </c>
      <c r="E781" t="s">
        <v>2632</v>
      </c>
      <c r="F781" t="s">
        <v>2633</v>
      </c>
      <c r="G781" s="1">
        <v>91.07</v>
      </c>
      <c r="H781" s="1"/>
      <c r="I781" t="s">
        <v>2634</v>
      </c>
      <c r="J781">
        <v>10</v>
      </c>
      <c r="K781">
        <v>0</v>
      </c>
      <c r="L781">
        <v>0</v>
      </c>
    </row>
    <row r="782" spans="1:12">
      <c r="A782" s="14" t="s">
        <v>1559</v>
      </c>
      <c r="B782" t="s">
        <v>1560</v>
      </c>
      <c r="C782" t="s">
        <v>13</v>
      </c>
      <c r="D782">
        <v>49.79</v>
      </c>
      <c r="E782" t="s">
        <v>2632</v>
      </c>
      <c r="F782" t="s">
        <v>2633</v>
      </c>
      <c r="G782" s="1">
        <v>110.63</v>
      </c>
      <c r="H782" s="1"/>
      <c r="I782" t="s">
        <v>2634</v>
      </c>
      <c r="J782">
        <v>10</v>
      </c>
      <c r="K782">
        <v>0</v>
      </c>
      <c r="L782">
        <v>0</v>
      </c>
    </row>
    <row r="783" spans="1:12">
      <c r="A783" s="14" t="s">
        <v>1561</v>
      </c>
      <c r="B783" t="s">
        <v>1562</v>
      </c>
      <c r="C783" t="s">
        <v>13</v>
      </c>
      <c r="D783">
        <v>44.22</v>
      </c>
      <c r="E783" t="s">
        <v>2632</v>
      </c>
      <c r="F783" t="s">
        <v>2633</v>
      </c>
      <c r="G783" s="1">
        <v>98.28</v>
      </c>
      <c r="H783" s="2" t="s">
        <v>2635</v>
      </c>
      <c r="I783" t="s">
        <v>2636</v>
      </c>
      <c r="J783">
        <v>10</v>
      </c>
      <c r="K783">
        <v>0</v>
      </c>
      <c r="L783">
        <v>0</v>
      </c>
    </row>
    <row r="784" spans="1:12">
      <c r="A784" s="14" t="s">
        <v>1563</v>
      </c>
      <c r="B784" t="s">
        <v>1564</v>
      </c>
      <c r="C784" t="s">
        <v>13</v>
      </c>
      <c r="D784">
        <v>46.29</v>
      </c>
      <c r="E784" t="s">
        <v>2632</v>
      </c>
      <c r="F784" t="s">
        <v>2633</v>
      </c>
      <c r="G784" s="1">
        <v>102.87</v>
      </c>
      <c r="H784" s="2" t="s">
        <v>2635</v>
      </c>
      <c r="I784" t="s">
        <v>2636</v>
      </c>
      <c r="J784">
        <v>10</v>
      </c>
      <c r="K784">
        <v>0</v>
      </c>
      <c r="L784">
        <v>0</v>
      </c>
    </row>
    <row r="785" spans="1:12">
      <c r="A785" s="14" t="s">
        <v>1565</v>
      </c>
      <c r="B785" t="s">
        <v>1566</v>
      </c>
      <c r="C785" t="s">
        <v>13</v>
      </c>
      <c r="D785">
        <v>54.55</v>
      </c>
      <c r="E785" t="s">
        <v>2632</v>
      </c>
      <c r="F785" t="s">
        <v>2633</v>
      </c>
      <c r="G785" s="1">
        <v>121.22</v>
      </c>
      <c r="H785" s="1"/>
      <c r="I785" t="s">
        <v>2634</v>
      </c>
      <c r="J785">
        <v>10</v>
      </c>
      <c r="K785">
        <v>0</v>
      </c>
      <c r="L785">
        <v>0</v>
      </c>
    </row>
    <row r="786" spans="1:12">
      <c r="A786" s="14" t="s">
        <v>1567</v>
      </c>
      <c r="B786" t="s">
        <v>1568</v>
      </c>
      <c r="C786" t="s">
        <v>13</v>
      </c>
      <c r="D786">
        <v>54.55</v>
      </c>
      <c r="E786" t="s">
        <v>2632</v>
      </c>
      <c r="F786" t="s">
        <v>2633</v>
      </c>
      <c r="G786" s="1">
        <v>121.22</v>
      </c>
      <c r="H786" s="1"/>
      <c r="I786" t="s">
        <v>2634</v>
      </c>
      <c r="J786">
        <v>10</v>
      </c>
      <c r="K786">
        <v>0</v>
      </c>
      <c r="L786">
        <v>0</v>
      </c>
    </row>
    <row r="787" spans="1:12">
      <c r="A787" s="14" t="s">
        <v>1569</v>
      </c>
      <c r="B787" t="s">
        <v>1570</v>
      </c>
      <c r="C787" t="s">
        <v>13</v>
      </c>
      <c r="D787">
        <v>47.42</v>
      </c>
      <c r="E787" t="s">
        <v>2632</v>
      </c>
      <c r="F787" t="s">
        <v>2633</v>
      </c>
      <c r="G787" s="1">
        <v>105.36</v>
      </c>
      <c r="H787" s="1"/>
      <c r="I787" t="s">
        <v>2634</v>
      </c>
      <c r="J787">
        <v>10</v>
      </c>
      <c r="K787">
        <v>0</v>
      </c>
      <c r="L787">
        <v>0</v>
      </c>
    </row>
    <row r="788" spans="1:12">
      <c r="A788" s="14" t="s">
        <v>1571</v>
      </c>
      <c r="B788" t="s">
        <v>1572</v>
      </c>
      <c r="C788" t="s">
        <v>13</v>
      </c>
      <c r="D788">
        <v>3.35</v>
      </c>
      <c r="E788" t="s">
        <v>2632</v>
      </c>
      <c r="F788" t="s">
        <v>2633</v>
      </c>
      <c r="G788" s="1">
        <v>6.39</v>
      </c>
      <c r="H788" s="1"/>
      <c r="I788" t="s">
        <v>2634</v>
      </c>
      <c r="J788">
        <v>100</v>
      </c>
      <c r="K788">
        <v>0</v>
      </c>
      <c r="L788">
        <v>0</v>
      </c>
    </row>
    <row r="789" spans="1:12">
      <c r="A789" s="14" t="s">
        <v>1573</v>
      </c>
      <c r="B789" t="s">
        <v>1574</v>
      </c>
      <c r="C789" t="s">
        <v>13</v>
      </c>
      <c r="D789">
        <v>6.11</v>
      </c>
      <c r="E789" t="s">
        <v>2632</v>
      </c>
      <c r="F789" t="s">
        <v>2633</v>
      </c>
      <c r="G789" s="1">
        <v>11.64</v>
      </c>
      <c r="H789" s="1"/>
      <c r="I789" t="s">
        <v>2634</v>
      </c>
      <c r="J789">
        <v>20</v>
      </c>
      <c r="K789">
        <v>0</v>
      </c>
      <c r="L789">
        <v>0</v>
      </c>
    </row>
    <row r="790" spans="1:12">
      <c r="A790" s="14" t="s">
        <v>1575</v>
      </c>
      <c r="B790" t="s">
        <v>1576</v>
      </c>
      <c r="C790" t="s">
        <v>13</v>
      </c>
      <c r="D790">
        <v>3.35</v>
      </c>
      <c r="E790" t="s">
        <v>2632</v>
      </c>
      <c r="F790" t="s">
        <v>2633</v>
      </c>
      <c r="G790" s="1">
        <v>6.39</v>
      </c>
      <c r="H790" s="1"/>
      <c r="I790" t="s">
        <v>2634</v>
      </c>
      <c r="J790">
        <v>100</v>
      </c>
      <c r="K790">
        <v>0</v>
      </c>
      <c r="L790">
        <v>0</v>
      </c>
    </row>
    <row r="791" spans="1:12">
      <c r="A791" s="14" t="s">
        <v>1577</v>
      </c>
      <c r="B791" t="s">
        <v>1578</v>
      </c>
      <c r="C791" t="s">
        <v>13</v>
      </c>
      <c r="D791">
        <v>7.14</v>
      </c>
      <c r="E791" t="s">
        <v>2632</v>
      </c>
      <c r="F791" t="s">
        <v>2633</v>
      </c>
      <c r="G791" s="1">
        <v>13.58</v>
      </c>
      <c r="H791" s="1"/>
      <c r="I791" t="s">
        <v>2634</v>
      </c>
      <c r="J791">
        <v>20</v>
      </c>
      <c r="K791">
        <v>0</v>
      </c>
      <c r="L791">
        <v>0</v>
      </c>
    </row>
    <row r="792" spans="1:12">
      <c r="A792" s="14" t="s">
        <v>1579</v>
      </c>
      <c r="B792" t="s">
        <v>1580</v>
      </c>
      <c r="C792" t="s">
        <v>13</v>
      </c>
      <c r="D792">
        <v>3.59</v>
      </c>
      <c r="E792" t="s">
        <v>2632</v>
      </c>
      <c r="F792" t="s">
        <v>2633</v>
      </c>
      <c r="G792" s="1">
        <v>6.85</v>
      </c>
      <c r="H792" s="1"/>
      <c r="I792" t="s">
        <v>2634</v>
      </c>
      <c r="J792">
        <v>100</v>
      </c>
      <c r="K792">
        <v>0</v>
      </c>
      <c r="L792">
        <v>0</v>
      </c>
    </row>
    <row r="793" spans="1:12">
      <c r="A793" s="14" t="s">
        <v>1581</v>
      </c>
      <c r="B793" t="s">
        <v>1582</v>
      </c>
      <c r="C793" t="s">
        <v>13</v>
      </c>
      <c r="D793">
        <v>6.16</v>
      </c>
      <c r="E793" t="s">
        <v>2632</v>
      </c>
      <c r="F793" t="s">
        <v>2633</v>
      </c>
      <c r="G793" s="1">
        <v>11.75</v>
      </c>
      <c r="H793" s="1"/>
      <c r="I793" t="s">
        <v>2634</v>
      </c>
      <c r="J793">
        <v>20</v>
      </c>
      <c r="K793">
        <v>0</v>
      </c>
      <c r="L793">
        <v>0</v>
      </c>
    </row>
    <row r="794" spans="1:12">
      <c r="A794" s="14" t="s">
        <v>1583</v>
      </c>
      <c r="B794" t="s">
        <v>1584</v>
      </c>
      <c r="C794" t="s">
        <v>13</v>
      </c>
      <c r="D794">
        <v>3.71</v>
      </c>
      <c r="E794" t="s">
        <v>2632</v>
      </c>
      <c r="F794" t="s">
        <v>2633</v>
      </c>
      <c r="G794" s="1">
        <v>7.08</v>
      </c>
      <c r="H794" s="1"/>
      <c r="I794" t="s">
        <v>2634</v>
      </c>
      <c r="J794">
        <v>100</v>
      </c>
      <c r="K794">
        <v>0</v>
      </c>
      <c r="L794">
        <v>0</v>
      </c>
    </row>
    <row r="795" spans="1:12">
      <c r="A795" s="14" t="s">
        <v>1585</v>
      </c>
      <c r="B795" t="s">
        <v>1586</v>
      </c>
      <c r="C795" t="s">
        <v>13</v>
      </c>
      <c r="D795">
        <v>6.29</v>
      </c>
      <c r="E795" t="s">
        <v>2632</v>
      </c>
      <c r="F795" t="s">
        <v>2633</v>
      </c>
      <c r="G795" s="1">
        <v>11.98</v>
      </c>
      <c r="H795" s="1"/>
      <c r="I795" t="s">
        <v>2634</v>
      </c>
      <c r="J795">
        <v>20</v>
      </c>
      <c r="K795">
        <v>0</v>
      </c>
      <c r="L795">
        <v>0</v>
      </c>
    </row>
    <row r="796" spans="1:12">
      <c r="A796" s="14" t="s">
        <v>1587</v>
      </c>
      <c r="B796" t="s">
        <v>1588</v>
      </c>
      <c r="C796" t="s">
        <v>13</v>
      </c>
      <c r="D796">
        <v>3.64</v>
      </c>
      <c r="E796" t="s">
        <v>2632</v>
      </c>
      <c r="F796" t="s">
        <v>2633</v>
      </c>
      <c r="G796" s="1">
        <v>6.96</v>
      </c>
      <c r="H796" s="1"/>
      <c r="I796" t="s">
        <v>2634</v>
      </c>
      <c r="J796">
        <v>100</v>
      </c>
      <c r="K796">
        <v>0</v>
      </c>
      <c r="L796">
        <v>0</v>
      </c>
    </row>
    <row r="797" spans="1:12">
      <c r="A797" s="14" t="s">
        <v>1589</v>
      </c>
      <c r="B797" t="s">
        <v>1590</v>
      </c>
      <c r="C797" t="s">
        <v>13</v>
      </c>
      <c r="D797">
        <v>6.22</v>
      </c>
      <c r="E797" t="s">
        <v>2632</v>
      </c>
      <c r="F797" t="s">
        <v>2633</v>
      </c>
      <c r="G797" s="1">
        <v>11.85</v>
      </c>
      <c r="H797" s="1"/>
      <c r="I797" t="s">
        <v>2634</v>
      </c>
      <c r="J797">
        <v>20</v>
      </c>
      <c r="K797">
        <v>0</v>
      </c>
      <c r="L797">
        <v>0</v>
      </c>
    </row>
    <row r="798" spans="1:12">
      <c r="A798" s="14" t="s">
        <v>1591</v>
      </c>
      <c r="B798" t="s">
        <v>1592</v>
      </c>
      <c r="C798" t="s">
        <v>13</v>
      </c>
      <c r="D798">
        <v>3.35</v>
      </c>
      <c r="E798" t="s">
        <v>2632</v>
      </c>
      <c r="F798" t="s">
        <v>2633</v>
      </c>
      <c r="G798" s="1">
        <v>6.39</v>
      </c>
      <c r="H798" s="1"/>
      <c r="I798" t="s">
        <v>2634</v>
      </c>
      <c r="J798">
        <v>100</v>
      </c>
      <c r="K798">
        <v>0</v>
      </c>
      <c r="L798">
        <v>0</v>
      </c>
    </row>
    <row r="799" spans="1:12">
      <c r="A799" s="14" t="s">
        <v>1593</v>
      </c>
      <c r="B799" t="s">
        <v>1594</v>
      </c>
      <c r="C799" t="s">
        <v>13</v>
      </c>
      <c r="D799">
        <v>6.11</v>
      </c>
      <c r="E799" t="s">
        <v>2632</v>
      </c>
      <c r="F799" t="s">
        <v>2633</v>
      </c>
      <c r="G799" s="1">
        <v>11.64</v>
      </c>
      <c r="H799" s="1"/>
      <c r="I799" t="s">
        <v>2634</v>
      </c>
      <c r="J799">
        <v>20</v>
      </c>
      <c r="K799">
        <v>0</v>
      </c>
      <c r="L799">
        <v>0</v>
      </c>
    </row>
    <row r="800" spans="1:12">
      <c r="A800" s="14" t="s">
        <v>1595</v>
      </c>
      <c r="B800" t="s">
        <v>1596</v>
      </c>
      <c r="C800" t="s">
        <v>13</v>
      </c>
      <c r="D800">
        <v>3.35</v>
      </c>
      <c r="E800" t="s">
        <v>2632</v>
      </c>
      <c r="F800" t="s">
        <v>2633</v>
      </c>
      <c r="G800" s="1">
        <v>6.39</v>
      </c>
      <c r="H800" s="1"/>
      <c r="I800" t="s">
        <v>2634</v>
      </c>
      <c r="J800">
        <v>100</v>
      </c>
      <c r="K800">
        <v>0</v>
      </c>
      <c r="L800">
        <v>0</v>
      </c>
    </row>
    <row r="801" spans="1:12">
      <c r="A801" s="14" t="s">
        <v>1597</v>
      </c>
      <c r="B801" t="s">
        <v>1598</v>
      </c>
      <c r="C801" t="s">
        <v>13</v>
      </c>
      <c r="D801">
        <v>6.11</v>
      </c>
      <c r="E801" t="s">
        <v>2632</v>
      </c>
      <c r="F801" t="s">
        <v>2633</v>
      </c>
      <c r="G801" s="1">
        <v>11.64</v>
      </c>
      <c r="H801" s="1"/>
      <c r="I801" t="s">
        <v>2634</v>
      </c>
      <c r="J801">
        <v>20</v>
      </c>
      <c r="K801">
        <v>0</v>
      </c>
      <c r="L801">
        <v>0</v>
      </c>
    </row>
    <row r="802" spans="1:12">
      <c r="A802" s="14" t="s">
        <v>1599</v>
      </c>
      <c r="B802" t="s">
        <v>1600</v>
      </c>
      <c r="C802" t="s">
        <v>13</v>
      </c>
      <c r="D802">
        <v>3.35</v>
      </c>
      <c r="E802" t="s">
        <v>2632</v>
      </c>
      <c r="F802" t="s">
        <v>2633</v>
      </c>
      <c r="G802" s="1">
        <v>6.39</v>
      </c>
      <c r="H802" s="1"/>
      <c r="I802" t="s">
        <v>2634</v>
      </c>
      <c r="J802">
        <v>100</v>
      </c>
      <c r="K802">
        <v>0</v>
      </c>
      <c r="L802">
        <v>0</v>
      </c>
    </row>
    <row r="803" spans="1:12">
      <c r="A803" s="14" t="s">
        <v>1601</v>
      </c>
      <c r="B803" t="s">
        <v>1602</v>
      </c>
      <c r="C803" t="s">
        <v>13</v>
      </c>
      <c r="D803">
        <v>6.11</v>
      </c>
      <c r="E803" t="s">
        <v>2632</v>
      </c>
      <c r="F803" t="s">
        <v>2633</v>
      </c>
      <c r="G803" s="1">
        <v>11.64</v>
      </c>
      <c r="H803" s="1"/>
      <c r="I803" t="s">
        <v>2634</v>
      </c>
      <c r="J803">
        <v>20</v>
      </c>
      <c r="K803">
        <v>0</v>
      </c>
      <c r="L803">
        <v>0</v>
      </c>
    </row>
    <row r="804" spans="1:12">
      <c r="A804" s="14" t="s">
        <v>1603</v>
      </c>
      <c r="B804" t="s">
        <v>1604</v>
      </c>
      <c r="C804" t="s">
        <v>13</v>
      </c>
      <c r="D804">
        <v>1.73</v>
      </c>
      <c r="E804" t="s">
        <v>2632</v>
      </c>
      <c r="F804" t="s">
        <v>2633</v>
      </c>
      <c r="G804" s="1">
        <v>3.31</v>
      </c>
      <c r="H804" s="1"/>
      <c r="I804" t="s">
        <v>2634</v>
      </c>
      <c r="J804" t="s">
        <v>2634</v>
      </c>
      <c r="K804">
        <v>0</v>
      </c>
      <c r="L804">
        <v>0</v>
      </c>
    </row>
    <row r="805" spans="1:12">
      <c r="A805" s="14" t="s">
        <v>1605</v>
      </c>
      <c r="B805" t="s">
        <v>1606</v>
      </c>
      <c r="C805" t="s">
        <v>13</v>
      </c>
      <c r="D805">
        <v>47.07</v>
      </c>
      <c r="E805" t="s">
        <v>2632</v>
      </c>
      <c r="F805" t="s">
        <v>2633</v>
      </c>
      <c r="G805" s="1">
        <v>104.59</v>
      </c>
      <c r="H805" s="1"/>
      <c r="I805" t="s">
        <v>2634</v>
      </c>
      <c r="J805">
        <v>8</v>
      </c>
      <c r="K805">
        <v>0</v>
      </c>
      <c r="L805">
        <v>0</v>
      </c>
    </row>
    <row r="806" spans="1:12">
      <c r="A806" s="14" t="s">
        <v>1607</v>
      </c>
      <c r="B806" t="s">
        <v>1608</v>
      </c>
      <c r="C806" t="s">
        <v>13</v>
      </c>
      <c r="D806">
        <v>45.34</v>
      </c>
      <c r="E806" t="s">
        <v>2632</v>
      </c>
      <c r="F806" t="s">
        <v>2633</v>
      </c>
      <c r="G806" s="1">
        <v>100.78</v>
      </c>
      <c r="H806" s="2" t="s">
        <v>2635</v>
      </c>
      <c r="I806" t="s">
        <v>2642</v>
      </c>
      <c r="J806">
        <v>12</v>
      </c>
      <c r="K806">
        <v>0</v>
      </c>
      <c r="L806">
        <v>0</v>
      </c>
    </row>
    <row r="807" spans="1:12">
      <c r="A807" s="14" t="s">
        <v>1609</v>
      </c>
      <c r="B807" t="s">
        <v>1610</v>
      </c>
      <c r="C807" t="s">
        <v>13</v>
      </c>
      <c r="D807">
        <v>60.74</v>
      </c>
      <c r="E807" t="s">
        <v>2632</v>
      </c>
      <c r="F807" t="s">
        <v>2633</v>
      </c>
      <c r="G807" s="1">
        <v>134.99</v>
      </c>
      <c r="H807" s="1"/>
      <c r="I807" t="s">
        <v>2634</v>
      </c>
      <c r="J807">
        <v>8</v>
      </c>
      <c r="K807">
        <v>0</v>
      </c>
      <c r="L807">
        <v>0</v>
      </c>
    </row>
    <row r="808" spans="1:12">
      <c r="A808" s="14" t="s">
        <v>1611</v>
      </c>
      <c r="B808" t="s">
        <v>1612</v>
      </c>
      <c r="C808" t="s">
        <v>13</v>
      </c>
      <c r="D808">
        <v>56.86</v>
      </c>
      <c r="E808" t="s">
        <v>2632</v>
      </c>
      <c r="F808" t="s">
        <v>2633</v>
      </c>
      <c r="G808" s="1">
        <v>126.37</v>
      </c>
      <c r="H808" s="1"/>
      <c r="I808" t="s">
        <v>2634</v>
      </c>
      <c r="J808">
        <v>8</v>
      </c>
      <c r="K808">
        <v>0</v>
      </c>
      <c r="L808">
        <v>0</v>
      </c>
    </row>
    <row r="809" spans="1:12">
      <c r="A809" s="14" t="s">
        <v>1613</v>
      </c>
      <c r="B809" t="s">
        <v>1614</v>
      </c>
      <c r="C809" t="s">
        <v>13</v>
      </c>
      <c r="D809">
        <v>82.06</v>
      </c>
      <c r="E809" t="s">
        <v>2632</v>
      </c>
      <c r="F809" t="s">
        <v>2633</v>
      </c>
      <c r="G809" s="1">
        <v>182.37</v>
      </c>
      <c r="H809" s="1"/>
      <c r="I809" t="s">
        <v>2634</v>
      </c>
      <c r="J809">
        <v>8</v>
      </c>
      <c r="K809">
        <v>0</v>
      </c>
      <c r="L809">
        <v>0</v>
      </c>
    </row>
    <row r="810" spans="1:12">
      <c r="A810" s="14" t="s">
        <v>1615</v>
      </c>
      <c r="B810" t="s">
        <v>1616</v>
      </c>
      <c r="C810" t="s">
        <v>13</v>
      </c>
      <c r="D810">
        <v>14</v>
      </c>
      <c r="E810" t="s">
        <v>2632</v>
      </c>
      <c r="F810" t="s">
        <v>2633</v>
      </c>
      <c r="G810" s="1">
        <v>31.12</v>
      </c>
      <c r="H810" s="1"/>
      <c r="I810" t="s">
        <v>2634</v>
      </c>
      <c r="J810" t="s">
        <v>2634</v>
      </c>
      <c r="K810">
        <v>0</v>
      </c>
      <c r="L810">
        <v>0</v>
      </c>
    </row>
    <row r="811" spans="1:12">
      <c r="A811" s="14" t="s">
        <v>1617</v>
      </c>
      <c r="B811" t="s">
        <v>1618</v>
      </c>
      <c r="C811" t="s">
        <v>13</v>
      </c>
      <c r="D811">
        <v>33.1</v>
      </c>
      <c r="E811" t="s">
        <v>2632</v>
      </c>
      <c r="F811" t="s">
        <v>2633</v>
      </c>
      <c r="G811" s="1">
        <v>73.54</v>
      </c>
      <c r="H811" s="1"/>
      <c r="I811" t="s">
        <v>2634</v>
      </c>
      <c r="J811" t="s">
        <v>2634</v>
      </c>
      <c r="K811">
        <v>0</v>
      </c>
      <c r="L811">
        <v>0</v>
      </c>
    </row>
    <row r="812" spans="1:12">
      <c r="A812" s="14" t="s">
        <v>1619</v>
      </c>
      <c r="B812" t="s">
        <v>1620</v>
      </c>
      <c r="C812" t="s">
        <v>13</v>
      </c>
      <c r="D812">
        <v>11.99</v>
      </c>
      <c r="E812" t="s">
        <v>2632</v>
      </c>
      <c r="F812" t="s">
        <v>2633</v>
      </c>
      <c r="G812" s="1">
        <v>22.86</v>
      </c>
      <c r="H812" s="1"/>
      <c r="I812" t="s">
        <v>2634</v>
      </c>
      <c r="J812" t="s">
        <v>2634</v>
      </c>
      <c r="K812">
        <v>0</v>
      </c>
      <c r="L812">
        <v>0</v>
      </c>
    </row>
    <row r="813" spans="1:12">
      <c r="A813" s="14" t="s">
        <v>1621</v>
      </c>
      <c r="B813" t="s">
        <v>1622</v>
      </c>
      <c r="C813" t="s">
        <v>13</v>
      </c>
      <c r="D813">
        <v>24.74</v>
      </c>
      <c r="E813" t="s">
        <v>2632</v>
      </c>
      <c r="F813" t="s">
        <v>2633</v>
      </c>
      <c r="G813" s="1">
        <v>54.99</v>
      </c>
      <c r="H813" s="1"/>
      <c r="I813" t="s">
        <v>2634</v>
      </c>
      <c r="J813">
        <v>48</v>
      </c>
      <c r="K813">
        <v>0</v>
      </c>
      <c r="L813">
        <v>0</v>
      </c>
    </row>
    <row r="814" spans="1:12">
      <c r="A814" s="14" t="s">
        <v>1623</v>
      </c>
      <c r="B814" t="s">
        <v>1624</v>
      </c>
      <c r="C814" t="s">
        <v>13</v>
      </c>
      <c r="D814">
        <v>18.76</v>
      </c>
      <c r="E814" t="s">
        <v>2632</v>
      </c>
      <c r="F814" t="s">
        <v>2633</v>
      </c>
      <c r="G814" s="1">
        <v>35.75</v>
      </c>
      <c r="H814" s="1"/>
      <c r="I814" t="s">
        <v>2634</v>
      </c>
      <c r="J814" t="s">
        <v>2634</v>
      </c>
      <c r="K814">
        <v>0</v>
      </c>
      <c r="L814">
        <v>0</v>
      </c>
    </row>
    <row r="815" spans="1:12">
      <c r="A815" s="14" t="s">
        <v>1625</v>
      </c>
      <c r="B815" t="s">
        <v>1626</v>
      </c>
      <c r="C815" t="s">
        <v>13</v>
      </c>
      <c r="D815">
        <v>1.39</v>
      </c>
      <c r="E815" t="s">
        <v>2632</v>
      </c>
      <c r="F815" t="s">
        <v>2633</v>
      </c>
      <c r="G815" s="1">
        <v>2.65</v>
      </c>
      <c r="H815" s="1"/>
      <c r="I815" t="s">
        <v>2634</v>
      </c>
      <c r="J815" t="s">
        <v>2634</v>
      </c>
      <c r="K815">
        <v>0</v>
      </c>
      <c r="L815">
        <v>0</v>
      </c>
    </row>
    <row r="816" spans="1:12">
      <c r="A816" s="14" t="s">
        <v>1627</v>
      </c>
      <c r="B816" t="s">
        <v>1628</v>
      </c>
      <c r="C816" t="s">
        <v>13</v>
      </c>
      <c r="D816">
        <v>3.78</v>
      </c>
      <c r="E816" t="s">
        <v>2632</v>
      </c>
      <c r="F816" t="s">
        <v>2633</v>
      </c>
      <c r="G816" s="1">
        <v>7.17</v>
      </c>
      <c r="H816" s="1"/>
      <c r="I816" t="s">
        <v>2634</v>
      </c>
      <c r="J816" t="s">
        <v>2634</v>
      </c>
      <c r="K816">
        <v>0</v>
      </c>
      <c r="L816">
        <v>0</v>
      </c>
    </row>
    <row r="817" spans="1:12">
      <c r="A817" s="14" t="s">
        <v>1629</v>
      </c>
      <c r="B817" t="s">
        <v>1630</v>
      </c>
      <c r="C817" t="s">
        <v>13</v>
      </c>
      <c r="D817">
        <v>5.76</v>
      </c>
      <c r="E817" t="s">
        <v>2632</v>
      </c>
      <c r="F817" t="s">
        <v>2633</v>
      </c>
      <c r="G817" s="1">
        <v>10.99</v>
      </c>
      <c r="H817" s="1"/>
      <c r="I817" t="s">
        <v>2634</v>
      </c>
      <c r="J817" t="s">
        <v>2634</v>
      </c>
      <c r="K817">
        <v>0</v>
      </c>
      <c r="L817">
        <v>0</v>
      </c>
    </row>
    <row r="818" spans="1:12">
      <c r="A818" s="14" t="s">
        <v>1631</v>
      </c>
      <c r="B818" t="s">
        <v>1632</v>
      </c>
      <c r="C818" t="s">
        <v>13</v>
      </c>
      <c r="D818">
        <v>13.55</v>
      </c>
      <c r="E818" t="s">
        <v>2632</v>
      </c>
      <c r="F818" t="s">
        <v>2633</v>
      </c>
      <c r="G818" s="1">
        <v>25.81</v>
      </c>
      <c r="H818" s="1"/>
      <c r="I818" t="s">
        <v>2634</v>
      </c>
      <c r="J818" t="s">
        <v>2634</v>
      </c>
      <c r="K818">
        <v>0</v>
      </c>
      <c r="L818">
        <v>0</v>
      </c>
    </row>
    <row r="819" spans="1:12">
      <c r="A819" s="14" t="s">
        <v>1633</v>
      </c>
      <c r="B819" t="s">
        <v>1634</v>
      </c>
      <c r="C819" t="s">
        <v>13</v>
      </c>
      <c r="D819">
        <v>9.31</v>
      </c>
      <c r="E819" t="s">
        <v>2632</v>
      </c>
      <c r="F819" t="s">
        <v>2633</v>
      </c>
      <c r="G819" s="1">
        <v>17.71</v>
      </c>
      <c r="H819" s="1"/>
      <c r="I819" t="s">
        <v>2634</v>
      </c>
      <c r="J819" t="s">
        <v>2634</v>
      </c>
      <c r="K819">
        <v>0</v>
      </c>
      <c r="L819">
        <v>0</v>
      </c>
    </row>
    <row r="820" spans="1:12">
      <c r="A820" s="14" t="s">
        <v>1635</v>
      </c>
      <c r="B820" t="s">
        <v>1636</v>
      </c>
      <c r="C820" t="s">
        <v>13</v>
      </c>
      <c r="D820">
        <v>25.43</v>
      </c>
      <c r="E820" t="s">
        <v>2632</v>
      </c>
      <c r="F820" t="s">
        <v>2633</v>
      </c>
      <c r="G820" s="1">
        <v>48.43</v>
      </c>
      <c r="H820" s="1"/>
      <c r="I820" t="s">
        <v>2634</v>
      </c>
      <c r="J820" t="s">
        <v>2634</v>
      </c>
      <c r="K820">
        <v>0</v>
      </c>
      <c r="L820">
        <v>0</v>
      </c>
    </row>
    <row r="821" spans="1:12">
      <c r="A821" s="14" t="s">
        <v>1637</v>
      </c>
      <c r="B821" t="s">
        <v>1638</v>
      </c>
      <c r="C821" t="s">
        <v>13</v>
      </c>
      <c r="D821">
        <v>1.47</v>
      </c>
      <c r="E821" t="s">
        <v>2632</v>
      </c>
      <c r="F821" t="s">
        <v>2633</v>
      </c>
      <c r="G821" s="1">
        <v>3.7</v>
      </c>
      <c r="H821" s="1"/>
      <c r="I821" t="s">
        <v>2634</v>
      </c>
      <c r="J821" t="s">
        <v>2634</v>
      </c>
      <c r="K821">
        <v>0</v>
      </c>
      <c r="L821">
        <v>0</v>
      </c>
    </row>
    <row r="822" spans="1:12">
      <c r="A822" s="14" t="s">
        <v>1639</v>
      </c>
      <c r="B822" t="s">
        <v>1640</v>
      </c>
      <c r="C822" t="s">
        <v>13</v>
      </c>
      <c r="D822">
        <v>2.6</v>
      </c>
      <c r="E822" t="s">
        <v>2632</v>
      </c>
      <c r="F822" t="s">
        <v>2633</v>
      </c>
      <c r="G822" s="1">
        <v>4.98</v>
      </c>
      <c r="H822" s="1"/>
      <c r="I822" t="s">
        <v>2634</v>
      </c>
      <c r="J822" t="s">
        <v>2634</v>
      </c>
      <c r="K822">
        <v>0</v>
      </c>
      <c r="L822">
        <v>0</v>
      </c>
    </row>
    <row r="823" spans="1:12">
      <c r="A823" s="14" t="s">
        <v>1641</v>
      </c>
      <c r="B823" t="s">
        <v>1642</v>
      </c>
      <c r="C823" t="s">
        <v>13</v>
      </c>
      <c r="D823">
        <v>2.79</v>
      </c>
      <c r="E823" t="s">
        <v>2648</v>
      </c>
      <c r="F823" t="s">
        <v>2633</v>
      </c>
      <c r="G823" s="1">
        <v>5.3</v>
      </c>
      <c r="H823" s="1"/>
      <c r="I823" t="s">
        <v>2634</v>
      </c>
      <c r="J823" t="s">
        <v>2634</v>
      </c>
      <c r="K823">
        <v>0</v>
      </c>
      <c r="L823">
        <v>0</v>
      </c>
    </row>
    <row r="824" spans="1:12">
      <c r="A824" s="14" t="s">
        <v>1643</v>
      </c>
      <c r="B824" t="s">
        <v>1644</v>
      </c>
      <c r="C824" t="s">
        <v>13</v>
      </c>
      <c r="D824">
        <v>17.69</v>
      </c>
      <c r="E824" t="s">
        <v>2632</v>
      </c>
      <c r="F824" t="s">
        <v>2633</v>
      </c>
      <c r="G824" s="1">
        <v>33.72</v>
      </c>
      <c r="H824" s="1"/>
      <c r="I824" t="s">
        <v>2634</v>
      </c>
      <c r="J824">
        <v>5</v>
      </c>
      <c r="K824">
        <v>0</v>
      </c>
      <c r="L824">
        <v>0</v>
      </c>
    </row>
    <row r="825" spans="1:12">
      <c r="A825" s="14" t="s">
        <v>1645</v>
      </c>
      <c r="B825" t="s">
        <v>1646</v>
      </c>
      <c r="C825" t="s">
        <v>13</v>
      </c>
      <c r="D825">
        <v>17.69</v>
      </c>
      <c r="E825" t="s">
        <v>2632</v>
      </c>
      <c r="F825" t="s">
        <v>2633</v>
      </c>
      <c r="G825" s="1">
        <v>33.72</v>
      </c>
      <c r="H825" s="1"/>
      <c r="I825" t="s">
        <v>2634</v>
      </c>
      <c r="J825">
        <v>5</v>
      </c>
      <c r="K825">
        <v>0</v>
      </c>
      <c r="L825">
        <v>0</v>
      </c>
    </row>
    <row r="826" spans="1:12">
      <c r="A826" s="14" t="s">
        <v>1647</v>
      </c>
      <c r="B826" t="s">
        <v>1648</v>
      </c>
      <c r="C826" t="s">
        <v>13</v>
      </c>
      <c r="D826">
        <v>17.69</v>
      </c>
      <c r="E826" t="s">
        <v>2632</v>
      </c>
      <c r="F826" t="s">
        <v>2633</v>
      </c>
      <c r="G826" s="1">
        <v>33.72</v>
      </c>
      <c r="H826" s="1"/>
      <c r="I826" t="s">
        <v>2634</v>
      </c>
      <c r="J826">
        <v>5</v>
      </c>
      <c r="K826">
        <v>0</v>
      </c>
      <c r="L826">
        <v>0</v>
      </c>
    </row>
    <row r="827" spans="1:12">
      <c r="A827" s="14" t="s">
        <v>1649</v>
      </c>
      <c r="B827" t="s">
        <v>1650</v>
      </c>
      <c r="C827" t="s">
        <v>13</v>
      </c>
      <c r="D827">
        <v>150.44</v>
      </c>
      <c r="E827" t="s">
        <v>2632</v>
      </c>
      <c r="F827" t="s">
        <v>2633</v>
      </c>
      <c r="G827" s="1">
        <v>334.29</v>
      </c>
      <c r="H827" s="1"/>
      <c r="I827" t="s">
        <v>2634</v>
      </c>
      <c r="J827">
        <v>5</v>
      </c>
      <c r="K827">
        <v>0</v>
      </c>
      <c r="L827">
        <v>0</v>
      </c>
    </row>
    <row r="828" spans="1:12">
      <c r="A828" s="14" t="s">
        <v>1651</v>
      </c>
      <c r="B828" t="s">
        <v>1652</v>
      </c>
      <c r="C828" t="s">
        <v>13</v>
      </c>
      <c r="D828">
        <v>8.57</v>
      </c>
      <c r="E828" t="s">
        <v>2632</v>
      </c>
      <c r="F828" t="s">
        <v>2633</v>
      </c>
      <c r="G828" s="1">
        <v>16.31</v>
      </c>
      <c r="H828" s="1"/>
      <c r="I828" t="s">
        <v>2634</v>
      </c>
      <c r="J828" t="s">
        <v>2634</v>
      </c>
      <c r="K828">
        <v>0</v>
      </c>
      <c r="L828">
        <v>0</v>
      </c>
    </row>
    <row r="829" spans="1:12">
      <c r="A829" s="14" t="s">
        <v>1653</v>
      </c>
      <c r="B829" t="s">
        <v>1654</v>
      </c>
      <c r="C829" t="s">
        <v>13</v>
      </c>
      <c r="D829">
        <v>3.47</v>
      </c>
      <c r="E829" t="s">
        <v>2632</v>
      </c>
      <c r="F829" t="s">
        <v>2633</v>
      </c>
      <c r="G829" s="1">
        <v>6.61</v>
      </c>
      <c r="H829" s="1"/>
      <c r="I829" t="s">
        <v>2634</v>
      </c>
      <c r="J829" t="s">
        <v>2634</v>
      </c>
      <c r="K829">
        <v>0</v>
      </c>
      <c r="L829">
        <v>0</v>
      </c>
    </row>
    <row r="830" spans="1:12">
      <c r="A830" s="14" t="s">
        <v>1655</v>
      </c>
      <c r="B830" t="s">
        <v>1656</v>
      </c>
      <c r="C830" t="s">
        <v>13</v>
      </c>
      <c r="D830">
        <v>13.87</v>
      </c>
      <c r="E830" t="s">
        <v>2632</v>
      </c>
      <c r="F830" t="s">
        <v>2633</v>
      </c>
      <c r="G830" s="1">
        <v>26.42</v>
      </c>
      <c r="H830" s="1"/>
      <c r="I830" t="s">
        <v>2634</v>
      </c>
      <c r="J830" t="s">
        <v>2634</v>
      </c>
      <c r="K830">
        <v>0</v>
      </c>
      <c r="L830">
        <v>0</v>
      </c>
    </row>
    <row r="831" spans="1:12">
      <c r="A831" s="14" t="s">
        <v>1657</v>
      </c>
      <c r="B831" t="s">
        <v>1658</v>
      </c>
      <c r="C831" t="s">
        <v>13</v>
      </c>
      <c r="D831">
        <v>38.99</v>
      </c>
      <c r="E831" t="s">
        <v>2632</v>
      </c>
      <c r="F831" t="s">
        <v>2633</v>
      </c>
      <c r="G831" s="1">
        <v>74.23</v>
      </c>
      <c r="H831" s="1"/>
      <c r="I831" t="s">
        <v>2634</v>
      </c>
      <c r="J831" t="s">
        <v>2634</v>
      </c>
      <c r="K831">
        <v>0</v>
      </c>
      <c r="L831">
        <v>0</v>
      </c>
    </row>
    <row r="832" spans="1:12">
      <c r="A832" s="14" t="s">
        <v>1659</v>
      </c>
      <c r="B832" t="s">
        <v>1660</v>
      </c>
      <c r="C832" t="s">
        <v>13</v>
      </c>
      <c r="D832">
        <v>27.41</v>
      </c>
      <c r="E832" t="s">
        <v>2632</v>
      </c>
      <c r="F832" t="s">
        <v>2633</v>
      </c>
      <c r="G832" s="1">
        <v>52.2</v>
      </c>
      <c r="H832" s="1"/>
      <c r="I832" t="s">
        <v>2634</v>
      </c>
      <c r="J832" t="s">
        <v>2634</v>
      </c>
      <c r="K832">
        <v>0</v>
      </c>
      <c r="L832">
        <v>0</v>
      </c>
    </row>
    <row r="833" spans="1:12">
      <c r="A833" s="14" t="s">
        <v>1661</v>
      </c>
      <c r="B833" t="s">
        <v>1662</v>
      </c>
      <c r="C833" t="s">
        <v>13</v>
      </c>
      <c r="D833">
        <v>32.62</v>
      </c>
      <c r="E833" t="s">
        <v>2632</v>
      </c>
      <c r="F833" t="s">
        <v>2633</v>
      </c>
      <c r="G833" s="1">
        <v>72.46</v>
      </c>
      <c r="H833" s="1"/>
      <c r="I833" t="s">
        <v>2634</v>
      </c>
      <c r="J833" t="s">
        <v>2634</v>
      </c>
      <c r="K833">
        <v>0</v>
      </c>
      <c r="L833">
        <v>0</v>
      </c>
    </row>
    <row r="834" spans="1:12">
      <c r="A834" s="14" t="s">
        <v>1663</v>
      </c>
      <c r="B834" t="s">
        <v>1664</v>
      </c>
      <c r="C834" t="s">
        <v>13</v>
      </c>
      <c r="D834">
        <v>20.35</v>
      </c>
      <c r="E834" t="s">
        <v>2632</v>
      </c>
      <c r="F834" t="s">
        <v>2633</v>
      </c>
      <c r="G834" s="1">
        <v>38.76</v>
      </c>
      <c r="H834" s="1"/>
      <c r="I834" t="s">
        <v>2634</v>
      </c>
      <c r="J834" t="s">
        <v>2634</v>
      </c>
      <c r="K834">
        <v>0</v>
      </c>
      <c r="L834">
        <v>0</v>
      </c>
    </row>
    <row r="835" spans="1:12">
      <c r="A835" s="14" t="s">
        <v>1665</v>
      </c>
      <c r="B835" t="s">
        <v>1666</v>
      </c>
      <c r="C835" t="s">
        <v>13</v>
      </c>
      <c r="D835">
        <v>38.04</v>
      </c>
      <c r="E835" t="s">
        <v>2632</v>
      </c>
      <c r="F835" t="s">
        <v>2633</v>
      </c>
      <c r="G835" s="1">
        <v>72.46</v>
      </c>
      <c r="H835" s="1"/>
      <c r="I835" t="s">
        <v>2634</v>
      </c>
      <c r="J835" t="s">
        <v>2634</v>
      </c>
      <c r="K835">
        <v>0</v>
      </c>
      <c r="L835">
        <v>0</v>
      </c>
    </row>
    <row r="836" spans="1:12">
      <c r="A836" s="14" t="s">
        <v>1667</v>
      </c>
      <c r="B836" t="s">
        <v>1668</v>
      </c>
      <c r="C836" t="s">
        <v>13</v>
      </c>
      <c r="D836">
        <v>37.81</v>
      </c>
      <c r="E836" t="s">
        <v>2632</v>
      </c>
      <c r="F836" t="s">
        <v>2633</v>
      </c>
      <c r="G836" s="1">
        <v>72.03</v>
      </c>
      <c r="H836" s="1"/>
      <c r="I836" t="s">
        <v>2634</v>
      </c>
      <c r="J836" t="s">
        <v>2634</v>
      </c>
      <c r="K836">
        <v>0</v>
      </c>
      <c r="L836">
        <v>0</v>
      </c>
    </row>
    <row r="837" spans="1:12">
      <c r="A837" s="14" t="s">
        <v>1669</v>
      </c>
      <c r="B837" t="s">
        <v>1670</v>
      </c>
      <c r="C837" t="s">
        <v>13</v>
      </c>
      <c r="D837">
        <v>39.32</v>
      </c>
      <c r="E837" t="s">
        <v>2632</v>
      </c>
      <c r="F837" t="s">
        <v>2633</v>
      </c>
      <c r="G837" s="1">
        <v>74.91</v>
      </c>
      <c r="H837" s="1"/>
      <c r="I837" t="s">
        <v>2634</v>
      </c>
      <c r="J837" t="s">
        <v>2634</v>
      </c>
      <c r="K837">
        <v>0</v>
      </c>
      <c r="L837">
        <v>0</v>
      </c>
    </row>
    <row r="838" spans="1:12">
      <c r="A838" s="14" t="s">
        <v>1671</v>
      </c>
      <c r="B838" t="s">
        <v>1672</v>
      </c>
      <c r="C838" t="s">
        <v>13</v>
      </c>
      <c r="D838">
        <v>38.04</v>
      </c>
      <c r="E838" t="s">
        <v>2632</v>
      </c>
      <c r="F838" t="s">
        <v>2633</v>
      </c>
      <c r="G838" s="1">
        <v>72.46</v>
      </c>
      <c r="H838" s="1"/>
      <c r="I838" t="s">
        <v>2634</v>
      </c>
      <c r="J838" t="s">
        <v>2634</v>
      </c>
      <c r="K838">
        <v>0</v>
      </c>
      <c r="L838">
        <v>0</v>
      </c>
    </row>
    <row r="839" spans="1:12">
      <c r="A839" s="14" t="s">
        <v>1673</v>
      </c>
      <c r="B839" t="s">
        <v>1674</v>
      </c>
      <c r="C839" t="s">
        <v>13</v>
      </c>
      <c r="D839">
        <v>38.04</v>
      </c>
      <c r="E839" t="s">
        <v>2632</v>
      </c>
      <c r="F839" t="s">
        <v>2633</v>
      </c>
      <c r="G839" s="1">
        <v>72.46</v>
      </c>
      <c r="H839" s="1"/>
      <c r="I839" t="s">
        <v>2634</v>
      </c>
      <c r="J839" t="s">
        <v>2634</v>
      </c>
      <c r="K839">
        <v>0</v>
      </c>
      <c r="L839">
        <v>0</v>
      </c>
    </row>
    <row r="840" spans="1:12">
      <c r="A840" s="14" t="s">
        <v>1675</v>
      </c>
      <c r="B840" t="s">
        <v>1676</v>
      </c>
      <c r="C840" t="s">
        <v>13</v>
      </c>
      <c r="D840">
        <v>61.78</v>
      </c>
      <c r="E840" t="s">
        <v>2632</v>
      </c>
      <c r="F840" t="s">
        <v>2633</v>
      </c>
      <c r="G840" s="1">
        <v>117.69</v>
      </c>
      <c r="H840" s="1"/>
      <c r="I840" t="s">
        <v>2634</v>
      </c>
      <c r="J840" t="s">
        <v>2634</v>
      </c>
      <c r="K840">
        <v>0</v>
      </c>
      <c r="L840">
        <v>0</v>
      </c>
    </row>
    <row r="841" spans="1:12">
      <c r="A841" s="14" t="s">
        <v>1677</v>
      </c>
      <c r="B841" t="s">
        <v>1678</v>
      </c>
      <c r="C841" t="s">
        <v>13</v>
      </c>
      <c r="D841">
        <v>62.16</v>
      </c>
      <c r="E841" t="s">
        <v>2632</v>
      </c>
      <c r="F841" t="s">
        <v>2633</v>
      </c>
      <c r="G841" s="1">
        <v>118.41</v>
      </c>
      <c r="H841" s="1"/>
      <c r="I841" t="s">
        <v>2634</v>
      </c>
      <c r="J841" t="s">
        <v>2634</v>
      </c>
      <c r="K841">
        <v>0</v>
      </c>
      <c r="L841">
        <v>0</v>
      </c>
    </row>
    <row r="842" spans="1:12">
      <c r="A842" s="14" t="s">
        <v>1679</v>
      </c>
      <c r="B842" t="s">
        <v>1680</v>
      </c>
      <c r="C842" t="s">
        <v>13</v>
      </c>
      <c r="D842">
        <v>62.16</v>
      </c>
      <c r="E842" t="s">
        <v>2632</v>
      </c>
      <c r="F842" t="s">
        <v>2633</v>
      </c>
      <c r="G842" s="1">
        <v>118.41</v>
      </c>
      <c r="H842" s="1"/>
      <c r="I842" t="s">
        <v>2634</v>
      </c>
      <c r="J842" t="s">
        <v>2634</v>
      </c>
      <c r="K842">
        <v>0</v>
      </c>
      <c r="L842">
        <v>0</v>
      </c>
    </row>
    <row r="843" spans="1:12">
      <c r="A843" s="14" t="s">
        <v>1681</v>
      </c>
      <c r="B843" t="s">
        <v>1682</v>
      </c>
      <c r="C843" t="s">
        <v>13</v>
      </c>
      <c r="D843">
        <v>17.67</v>
      </c>
      <c r="E843" t="s">
        <v>2632</v>
      </c>
      <c r="F843" t="s">
        <v>2633</v>
      </c>
      <c r="G843" s="1">
        <v>33.66</v>
      </c>
      <c r="H843" s="1"/>
      <c r="I843" t="s">
        <v>2634</v>
      </c>
      <c r="J843" t="s">
        <v>2634</v>
      </c>
      <c r="K843">
        <v>0</v>
      </c>
      <c r="L843">
        <v>0</v>
      </c>
    </row>
    <row r="844" spans="1:12">
      <c r="A844" s="14" t="s">
        <v>1683</v>
      </c>
      <c r="B844" t="s">
        <v>1684</v>
      </c>
      <c r="C844" t="s">
        <v>13</v>
      </c>
      <c r="D844">
        <v>7.4</v>
      </c>
      <c r="E844" t="s">
        <v>2632</v>
      </c>
      <c r="F844" t="s">
        <v>2633</v>
      </c>
      <c r="G844" s="1">
        <v>14.12</v>
      </c>
      <c r="H844" s="1"/>
      <c r="I844" t="s">
        <v>2634</v>
      </c>
      <c r="J844" t="s">
        <v>2634</v>
      </c>
      <c r="K844">
        <v>0</v>
      </c>
      <c r="L844">
        <v>0</v>
      </c>
    </row>
    <row r="845" spans="1:12">
      <c r="A845" s="14" t="s">
        <v>1685</v>
      </c>
      <c r="B845" t="s">
        <v>1686</v>
      </c>
      <c r="C845" t="s">
        <v>13</v>
      </c>
      <c r="D845">
        <v>5.5</v>
      </c>
      <c r="E845" t="s">
        <v>2632</v>
      </c>
      <c r="F845" t="s">
        <v>2633</v>
      </c>
      <c r="G845" s="1">
        <v>10.49</v>
      </c>
      <c r="H845" s="1"/>
      <c r="I845" t="s">
        <v>2634</v>
      </c>
      <c r="J845" t="s">
        <v>2634</v>
      </c>
      <c r="K845">
        <v>0</v>
      </c>
      <c r="L845">
        <v>0</v>
      </c>
    </row>
    <row r="846" spans="1:12">
      <c r="A846" s="14" t="s">
        <v>1687</v>
      </c>
      <c r="B846" t="s">
        <v>1688</v>
      </c>
      <c r="C846" t="s">
        <v>13</v>
      </c>
      <c r="D846">
        <v>12.57</v>
      </c>
      <c r="E846" t="s">
        <v>2632</v>
      </c>
      <c r="F846" t="s">
        <v>2633</v>
      </c>
      <c r="G846" s="1">
        <v>23.94</v>
      </c>
      <c r="H846" s="1"/>
      <c r="I846" t="s">
        <v>2634</v>
      </c>
      <c r="J846" t="s">
        <v>2634</v>
      </c>
      <c r="K846">
        <v>0</v>
      </c>
      <c r="L846">
        <v>0</v>
      </c>
    </row>
    <row r="847" spans="1:12">
      <c r="A847" s="14" t="s">
        <v>1689</v>
      </c>
      <c r="B847" t="s">
        <v>1690</v>
      </c>
      <c r="C847" t="s">
        <v>13</v>
      </c>
      <c r="D847">
        <v>9.58</v>
      </c>
      <c r="E847" t="s">
        <v>2632</v>
      </c>
      <c r="F847" t="s">
        <v>2633</v>
      </c>
      <c r="G847" s="1">
        <v>18.23</v>
      </c>
      <c r="H847" s="1"/>
      <c r="I847" t="s">
        <v>2634</v>
      </c>
      <c r="J847" t="s">
        <v>2634</v>
      </c>
      <c r="K847">
        <v>0</v>
      </c>
      <c r="L847">
        <v>0</v>
      </c>
    </row>
    <row r="848" spans="1:12">
      <c r="A848" s="14" t="s">
        <v>1691</v>
      </c>
      <c r="B848" t="s">
        <v>1692</v>
      </c>
      <c r="C848" t="s">
        <v>13</v>
      </c>
      <c r="D848">
        <v>11.67</v>
      </c>
      <c r="E848" t="s">
        <v>2632</v>
      </c>
      <c r="F848" t="s">
        <v>2633</v>
      </c>
      <c r="G848" s="1">
        <v>22.23</v>
      </c>
      <c r="H848" s="1"/>
      <c r="I848" t="s">
        <v>2634</v>
      </c>
      <c r="J848">
        <v>15</v>
      </c>
      <c r="K848">
        <v>0</v>
      </c>
      <c r="L848">
        <v>0</v>
      </c>
    </row>
    <row r="849" spans="1:12">
      <c r="A849" s="14" t="s">
        <v>1693</v>
      </c>
      <c r="B849" t="s">
        <v>1694</v>
      </c>
      <c r="C849" t="s">
        <v>13</v>
      </c>
      <c r="D849">
        <v>9.14</v>
      </c>
      <c r="E849" t="s">
        <v>2632</v>
      </c>
      <c r="F849" t="s">
        <v>2633</v>
      </c>
      <c r="G849" s="1">
        <v>17.4</v>
      </c>
      <c r="H849" s="1"/>
      <c r="I849" t="s">
        <v>2634</v>
      </c>
      <c r="J849" t="s">
        <v>2634</v>
      </c>
      <c r="K849">
        <v>0</v>
      </c>
      <c r="L849">
        <v>0</v>
      </c>
    </row>
    <row r="850" spans="1:12">
      <c r="A850" s="14" t="s">
        <v>1695</v>
      </c>
      <c r="B850" t="s">
        <v>1696</v>
      </c>
      <c r="C850" t="s">
        <v>13</v>
      </c>
      <c r="D850">
        <v>9.14</v>
      </c>
      <c r="E850" t="s">
        <v>2632</v>
      </c>
      <c r="F850" t="s">
        <v>2633</v>
      </c>
      <c r="G850" s="1">
        <v>17.4</v>
      </c>
      <c r="H850" s="1"/>
      <c r="I850" t="s">
        <v>2634</v>
      </c>
      <c r="J850" t="s">
        <v>2634</v>
      </c>
      <c r="K850">
        <v>0</v>
      </c>
      <c r="L850">
        <v>0</v>
      </c>
    </row>
    <row r="851" spans="1:12">
      <c r="A851" s="14" t="s">
        <v>1697</v>
      </c>
      <c r="B851" t="s">
        <v>1698</v>
      </c>
      <c r="C851" t="s">
        <v>13</v>
      </c>
      <c r="D851">
        <v>11.44</v>
      </c>
      <c r="E851" t="s">
        <v>2632</v>
      </c>
      <c r="F851" t="s">
        <v>2633</v>
      </c>
      <c r="G851" s="1">
        <v>21.77</v>
      </c>
      <c r="H851" s="1"/>
      <c r="I851" t="s">
        <v>2634</v>
      </c>
      <c r="J851">
        <v>15</v>
      </c>
      <c r="K851">
        <v>0</v>
      </c>
      <c r="L851">
        <v>0</v>
      </c>
    </row>
    <row r="852" spans="1:12">
      <c r="A852" s="14" t="s">
        <v>1699</v>
      </c>
      <c r="B852" t="s">
        <v>1700</v>
      </c>
      <c r="C852" t="s">
        <v>13</v>
      </c>
      <c r="D852">
        <v>9.14</v>
      </c>
      <c r="E852" t="s">
        <v>2632</v>
      </c>
      <c r="F852" t="s">
        <v>2633</v>
      </c>
      <c r="G852" s="1">
        <v>17.4</v>
      </c>
      <c r="H852" s="1"/>
      <c r="I852" t="s">
        <v>2634</v>
      </c>
      <c r="J852" t="s">
        <v>2634</v>
      </c>
      <c r="K852">
        <v>0</v>
      </c>
      <c r="L852">
        <v>0</v>
      </c>
    </row>
    <row r="853" spans="1:12">
      <c r="A853" s="14" t="s">
        <v>1701</v>
      </c>
      <c r="B853" t="s">
        <v>1702</v>
      </c>
      <c r="C853" t="s">
        <v>13</v>
      </c>
      <c r="D853">
        <v>9.58</v>
      </c>
      <c r="E853" t="s">
        <v>2632</v>
      </c>
      <c r="F853" t="s">
        <v>2633</v>
      </c>
      <c r="G853" s="1">
        <v>18.23</v>
      </c>
      <c r="H853" s="1"/>
      <c r="I853" t="s">
        <v>2634</v>
      </c>
      <c r="J853" t="s">
        <v>2634</v>
      </c>
      <c r="K853">
        <v>0</v>
      </c>
      <c r="L853">
        <v>0</v>
      </c>
    </row>
    <row r="854" spans="1:12">
      <c r="A854" s="14" t="s">
        <v>1703</v>
      </c>
      <c r="B854" t="s">
        <v>1704</v>
      </c>
      <c r="C854" t="s">
        <v>13</v>
      </c>
      <c r="D854">
        <v>11.69</v>
      </c>
      <c r="E854" t="s">
        <v>2632</v>
      </c>
      <c r="F854" t="s">
        <v>2633</v>
      </c>
      <c r="G854" s="1">
        <v>22.25</v>
      </c>
      <c r="H854" s="1"/>
      <c r="I854" t="s">
        <v>2634</v>
      </c>
      <c r="J854">
        <v>15</v>
      </c>
      <c r="K854">
        <v>0</v>
      </c>
      <c r="L854">
        <v>0</v>
      </c>
    </row>
    <row r="855" spans="1:12">
      <c r="A855" s="14" t="s">
        <v>1705</v>
      </c>
      <c r="B855" t="s">
        <v>1706</v>
      </c>
      <c r="C855" t="s">
        <v>13</v>
      </c>
      <c r="D855">
        <v>9.58</v>
      </c>
      <c r="E855" t="s">
        <v>2632</v>
      </c>
      <c r="F855" t="s">
        <v>2633</v>
      </c>
      <c r="G855" s="1">
        <v>18.23</v>
      </c>
      <c r="H855" s="1"/>
      <c r="I855" t="s">
        <v>2634</v>
      </c>
      <c r="J855" t="s">
        <v>2634</v>
      </c>
      <c r="K855">
        <v>0</v>
      </c>
      <c r="L855">
        <v>0</v>
      </c>
    </row>
    <row r="856" spans="1:12">
      <c r="A856" s="14" t="s">
        <v>1707</v>
      </c>
      <c r="B856" t="s">
        <v>1708</v>
      </c>
      <c r="C856" t="s">
        <v>13</v>
      </c>
      <c r="D856">
        <v>11.69</v>
      </c>
      <c r="E856" t="s">
        <v>2632</v>
      </c>
      <c r="F856" t="s">
        <v>2633</v>
      </c>
      <c r="G856" s="1">
        <v>22.25</v>
      </c>
      <c r="H856" s="1"/>
      <c r="I856" t="s">
        <v>2634</v>
      </c>
      <c r="J856">
        <v>15</v>
      </c>
      <c r="K856">
        <v>0</v>
      </c>
      <c r="L856">
        <v>0</v>
      </c>
    </row>
    <row r="857" spans="1:12">
      <c r="A857" s="14" t="s">
        <v>1709</v>
      </c>
      <c r="B857" t="s">
        <v>1710</v>
      </c>
      <c r="C857" t="s">
        <v>13</v>
      </c>
      <c r="D857">
        <v>9.14</v>
      </c>
      <c r="E857" t="s">
        <v>2632</v>
      </c>
      <c r="F857" t="s">
        <v>2633</v>
      </c>
      <c r="G857" s="1">
        <v>17.4</v>
      </c>
      <c r="H857" s="1"/>
      <c r="I857" t="s">
        <v>2634</v>
      </c>
      <c r="J857" t="s">
        <v>2634</v>
      </c>
      <c r="K857">
        <v>0</v>
      </c>
      <c r="L857">
        <v>0</v>
      </c>
    </row>
    <row r="858" spans="1:12">
      <c r="A858" s="14" t="s">
        <v>1711</v>
      </c>
      <c r="B858" t="s">
        <v>1712</v>
      </c>
      <c r="C858" t="s">
        <v>13</v>
      </c>
      <c r="D858">
        <v>11.4</v>
      </c>
      <c r="E858" t="s">
        <v>2632</v>
      </c>
      <c r="F858" t="s">
        <v>2633</v>
      </c>
      <c r="G858" s="1">
        <v>21.69</v>
      </c>
      <c r="H858" s="1"/>
      <c r="I858" t="s">
        <v>2634</v>
      </c>
      <c r="J858">
        <v>15</v>
      </c>
      <c r="K858">
        <v>0</v>
      </c>
      <c r="L858">
        <v>0</v>
      </c>
    </row>
    <row r="859" spans="1:12">
      <c r="A859" s="14" t="s">
        <v>1713</v>
      </c>
      <c r="B859" t="s">
        <v>1714</v>
      </c>
      <c r="C859" t="s">
        <v>13</v>
      </c>
      <c r="D859">
        <v>9.28</v>
      </c>
      <c r="E859" t="s">
        <v>2632</v>
      </c>
      <c r="F859" t="s">
        <v>2633</v>
      </c>
      <c r="G859" s="1">
        <v>17.67</v>
      </c>
      <c r="H859" s="1"/>
      <c r="I859" t="s">
        <v>2634</v>
      </c>
      <c r="J859" t="s">
        <v>2634</v>
      </c>
      <c r="K859">
        <v>0</v>
      </c>
      <c r="L859">
        <v>0</v>
      </c>
    </row>
    <row r="860" spans="1:12">
      <c r="A860" s="14" t="s">
        <v>1715</v>
      </c>
      <c r="B860" t="s">
        <v>1716</v>
      </c>
      <c r="C860" t="s">
        <v>13</v>
      </c>
      <c r="D860">
        <v>10.86</v>
      </c>
      <c r="E860" t="s">
        <v>2632</v>
      </c>
      <c r="F860" t="s">
        <v>2633</v>
      </c>
      <c r="G860" s="1">
        <v>20.69</v>
      </c>
      <c r="H860" s="1"/>
      <c r="I860" t="s">
        <v>2634</v>
      </c>
      <c r="J860">
        <v>15</v>
      </c>
      <c r="K860">
        <v>0</v>
      </c>
      <c r="L860">
        <v>0</v>
      </c>
    </row>
    <row r="861" spans="1:12">
      <c r="A861" s="14" t="s">
        <v>1717</v>
      </c>
      <c r="B861" t="s">
        <v>1718</v>
      </c>
      <c r="C861" t="s">
        <v>13</v>
      </c>
      <c r="D861">
        <v>9.58</v>
      </c>
      <c r="E861" t="s">
        <v>2632</v>
      </c>
      <c r="F861" t="s">
        <v>2633</v>
      </c>
      <c r="G861" s="1">
        <v>18.23</v>
      </c>
      <c r="H861" s="1"/>
      <c r="I861" t="s">
        <v>2634</v>
      </c>
      <c r="J861" t="s">
        <v>2634</v>
      </c>
      <c r="K861">
        <v>0</v>
      </c>
      <c r="L861">
        <v>0</v>
      </c>
    </row>
    <row r="862" spans="1:12">
      <c r="A862" s="14" t="s">
        <v>1719</v>
      </c>
      <c r="B862" t="s">
        <v>1720</v>
      </c>
      <c r="C862" t="s">
        <v>13</v>
      </c>
      <c r="D862">
        <v>9.13</v>
      </c>
      <c r="E862" t="s">
        <v>2632</v>
      </c>
      <c r="F862" t="s">
        <v>2633</v>
      </c>
      <c r="G862" s="1">
        <v>17.39</v>
      </c>
      <c r="H862" s="1"/>
      <c r="I862" t="s">
        <v>2634</v>
      </c>
      <c r="J862" t="s">
        <v>2634</v>
      </c>
      <c r="K862">
        <v>0</v>
      </c>
      <c r="L862">
        <v>0</v>
      </c>
    </row>
    <row r="863" spans="1:12">
      <c r="A863" s="14" t="s">
        <v>1721</v>
      </c>
      <c r="B863" t="s">
        <v>1722</v>
      </c>
      <c r="C863" t="s">
        <v>13</v>
      </c>
      <c r="D863">
        <v>11.37</v>
      </c>
      <c r="E863" t="s">
        <v>2632</v>
      </c>
      <c r="F863" t="s">
        <v>2633</v>
      </c>
      <c r="G863" s="1">
        <v>21.65</v>
      </c>
      <c r="H863" s="1"/>
      <c r="I863" t="s">
        <v>2634</v>
      </c>
      <c r="J863">
        <v>15</v>
      </c>
      <c r="K863">
        <v>0</v>
      </c>
      <c r="L863">
        <v>0</v>
      </c>
    </row>
    <row r="864" spans="1:12">
      <c r="A864" s="14" t="s">
        <v>1723</v>
      </c>
      <c r="B864" t="s">
        <v>1724</v>
      </c>
      <c r="C864" t="s">
        <v>13</v>
      </c>
      <c r="D864">
        <v>9.58</v>
      </c>
      <c r="E864" t="s">
        <v>2632</v>
      </c>
      <c r="F864" t="s">
        <v>2633</v>
      </c>
      <c r="G864" s="1">
        <v>18.23</v>
      </c>
      <c r="H864" s="1"/>
      <c r="I864" t="s">
        <v>2634</v>
      </c>
      <c r="J864" t="s">
        <v>2634</v>
      </c>
      <c r="K864">
        <v>0</v>
      </c>
      <c r="L864">
        <v>0</v>
      </c>
    </row>
    <row r="865" spans="1:12">
      <c r="A865" s="14" t="s">
        <v>1725</v>
      </c>
      <c r="B865" t="s">
        <v>1726</v>
      </c>
      <c r="C865" t="s">
        <v>13</v>
      </c>
      <c r="D865">
        <v>9.13</v>
      </c>
      <c r="E865" t="s">
        <v>2632</v>
      </c>
      <c r="F865" t="s">
        <v>2633</v>
      </c>
      <c r="G865" s="1">
        <v>17.39</v>
      </c>
      <c r="H865" s="1"/>
      <c r="I865" t="s">
        <v>2634</v>
      </c>
      <c r="J865" t="s">
        <v>2634</v>
      </c>
      <c r="K865">
        <v>0</v>
      </c>
      <c r="L865">
        <v>0</v>
      </c>
    </row>
    <row r="866" spans="1:12">
      <c r="A866" s="14" t="s">
        <v>1727</v>
      </c>
      <c r="B866" t="s">
        <v>1728</v>
      </c>
      <c r="C866" t="s">
        <v>13</v>
      </c>
      <c r="D866">
        <v>11.39</v>
      </c>
      <c r="E866" t="s">
        <v>2632</v>
      </c>
      <c r="F866" t="s">
        <v>2633</v>
      </c>
      <c r="G866" s="1">
        <v>21.67</v>
      </c>
      <c r="H866" s="1"/>
      <c r="I866" t="s">
        <v>2634</v>
      </c>
      <c r="J866">
        <v>15</v>
      </c>
      <c r="K866">
        <v>0</v>
      </c>
      <c r="L866">
        <v>0</v>
      </c>
    </row>
    <row r="867" spans="1:12">
      <c r="A867" s="14" t="s">
        <v>1729</v>
      </c>
      <c r="B867" t="s">
        <v>1730</v>
      </c>
      <c r="C867" t="s">
        <v>13</v>
      </c>
      <c r="D867">
        <v>11.69</v>
      </c>
      <c r="E867" t="s">
        <v>2632</v>
      </c>
      <c r="F867" t="s">
        <v>2633</v>
      </c>
      <c r="G867" s="1">
        <v>22.25</v>
      </c>
      <c r="H867" s="1"/>
      <c r="I867" t="s">
        <v>2634</v>
      </c>
      <c r="J867">
        <v>15</v>
      </c>
      <c r="K867">
        <v>0</v>
      </c>
      <c r="L867">
        <v>0</v>
      </c>
    </row>
    <row r="868" spans="1:12">
      <c r="A868" s="14" t="s">
        <v>1731</v>
      </c>
      <c r="B868" t="s">
        <v>1732</v>
      </c>
      <c r="C868" t="s">
        <v>13</v>
      </c>
      <c r="D868">
        <v>9.14</v>
      </c>
      <c r="E868" t="s">
        <v>2632</v>
      </c>
      <c r="F868" t="s">
        <v>2633</v>
      </c>
      <c r="G868" s="1">
        <v>17.4</v>
      </c>
      <c r="H868" s="1"/>
      <c r="I868" t="s">
        <v>2634</v>
      </c>
      <c r="J868" t="s">
        <v>2634</v>
      </c>
      <c r="K868">
        <v>0</v>
      </c>
      <c r="L868">
        <v>0</v>
      </c>
    </row>
    <row r="869" spans="1:12">
      <c r="A869" s="14" t="s">
        <v>1733</v>
      </c>
      <c r="B869" t="s">
        <v>1734</v>
      </c>
      <c r="C869" t="s">
        <v>13</v>
      </c>
      <c r="D869">
        <v>11.45</v>
      </c>
      <c r="E869" t="s">
        <v>2632</v>
      </c>
      <c r="F869" t="s">
        <v>2633</v>
      </c>
      <c r="G869" s="1">
        <v>21.8</v>
      </c>
      <c r="H869" s="1"/>
      <c r="I869" t="s">
        <v>2634</v>
      </c>
      <c r="J869">
        <v>15</v>
      </c>
      <c r="K869">
        <v>0</v>
      </c>
      <c r="L869">
        <v>0</v>
      </c>
    </row>
    <row r="870" spans="1:12">
      <c r="A870" s="14" t="s">
        <v>1735</v>
      </c>
      <c r="B870" t="s">
        <v>1736</v>
      </c>
      <c r="C870" t="s">
        <v>13</v>
      </c>
      <c r="D870">
        <v>9.33</v>
      </c>
      <c r="E870" t="s">
        <v>2632</v>
      </c>
      <c r="F870" t="s">
        <v>2633</v>
      </c>
      <c r="G870" s="1">
        <v>17.77</v>
      </c>
      <c r="H870" s="1"/>
      <c r="I870" t="s">
        <v>2634</v>
      </c>
      <c r="J870" t="s">
        <v>2634</v>
      </c>
      <c r="K870">
        <v>0</v>
      </c>
      <c r="L870">
        <v>0</v>
      </c>
    </row>
    <row r="871" spans="1:12">
      <c r="A871" s="14" t="s">
        <v>1737</v>
      </c>
      <c r="B871" t="s">
        <v>1738</v>
      </c>
      <c r="C871" t="s">
        <v>13</v>
      </c>
      <c r="D871">
        <v>11.46</v>
      </c>
      <c r="E871" t="s">
        <v>2632</v>
      </c>
      <c r="F871" t="s">
        <v>2633</v>
      </c>
      <c r="G871" s="1">
        <v>21.82</v>
      </c>
      <c r="H871" s="1"/>
      <c r="I871" t="s">
        <v>2634</v>
      </c>
      <c r="J871">
        <v>15</v>
      </c>
      <c r="K871">
        <v>0</v>
      </c>
      <c r="L871">
        <v>0</v>
      </c>
    </row>
    <row r="872" spans="1:12">
      <c r="A872" s="14" t="s">
        <v>1739</v>
      </c>
      <c r="B872" t="s">
        <v>1740</v>
      </c>
      <c r="C872" t="s">
        <v>13</v>
      </c>
      <c r="D872">
        <v>4.95</v>
      </c>
      <c r="E872" t="s">
        <v>2632</v>
      </c>
      <c r="F872" t="s">
        <v>2633</v>
      </c>
      <c r="G872" s="1">
        <v>11.03</v>
      </c>
      <c r="H872" s="1"/>
      <c r="I872" t="s">
        <v>2634</v>
      </c>
      <c r="J872">
        <v>20</v>
      </c>
      <c r="K872">
        <v>0</v>
      </c>
      <c r="L872">
        <v>0</v>
      </c>
    </row>
    <row r="873" spans="1:12">
      <c r="A873" s="14" t="s">
        <v>1741</v>
      </c>
      <c r="B873" t="s">
        <v>1742</v>
      </c>
      <c r="C873" t="s">
        <v>13</v>
      </c>
      <c r="D873">
        <v>6.4</v>
      </c>
      <c r="E873" t="s">
        <v>2632</v>
      </c>
      <c r="F873" t="s">
        <v>2633</v>
      </c>
      <c r="G873" s="1">
        <v>14.23</v>
      </c>
      <c r="H873" s="1"/>
      <c r="I873" t="s">
        <v>2634</v>
      </c>
      <c r="J873">
        <v>20</v>
      </c>
      <c r="K873">
        <v>0</v>
      </c>
      <c r="L873">
        <v>0</v>
      </c>
    </row>
    <row r="874" spans="1:12">
      <c r="A874" s="14" t="s">
        <v>1743</v>
      </c>
      <c r="B874" t="s">
        <v>1744</v>
      </c>
      <c r="C874" t="s">
        <v>13</v>
      </c>
      <c r="D874">
        <v>4.94</v>
      </c>
      <c r="E874" t="s">
        <v>2632</v>
      </c>
      <c r="F874" t="s">
        <v>2633</v>
      </c>
      <c r="G874" s="1">
        <v>10.99</v>
      </c>
      <c r="H874" s="1"/>
      <c r="I874" t="s">
        <v>2634</v>
      </c>
      <c r="J874">
        <v>20</v>
      </c>
      <c r="K874">
        <v>0</v>
      </c>
      <c r="L874">
        <v>0</v>
      </c>
    </row>
    <row r="875" spans="1:12">
      <c r="A875" s="14" t="s">
        <v>1745</v>
      </c>
      <c r="B875" t="s">
        <v>1746</v>
      </c>
      <c r="C875" t="s">
        <v>13</v>
      </c>
      <c r="D875">
        <v>7.4</v>
      </c>
      <c r="E875" t="s">
        <v>2632</v>
      </c>
      <c r="F875" t="s">
        <v>2633</v>
      </c>
      <c r="G875" s="1">
        <v>16.47</v>
      </c>
      <c r="H875" s="2" t="s">
        <v>2635</v>
      </c>
      <c r="I875" t="s">
        <v>2636</v>
      </c>
      <c r="J875">
        <v>10</v>
      </c>
      <c r="K875">
        <v>0</v>
      </c>
      <c r="L875">
        <v>0</v>
      </c>
    </row>
    <row r="876" spans="1:12">
      <c r="A876" s="14" t="s">
        <v>1747</v>
      </c>
      <c r="B876" t="s">
        <v>1748</v>
      </c>
      <c r="C876" t="s">
        <v>13</v>
      </c>
      <c r="D876">
        <v>10.53</v>
      </c>
      <c r="E876" t="s">
        <v>2632</v>
      </c>
      <c r="F876" t="s">
        <v>2633</v>
      </c>
      <c r="G876" s="1">
        <v>23.41</v>
      </c>
      <c r="H876" s="1"/>
      <c r="I876" t="s">
        <v>2634</v>
      </c>
      <c r="J876">
        <v>36</v>
      </c>
      <c r="K876">
        <v>0</v>
      </c>
      <c r="L876">
        <v>0</v>
      </c>
    </row>
    <row r="877" spans="1:12">
      <c r="A877" s="14" t="s">
        <v>1749</v>
      </c>
      <c r="B877" t="s">
        <v>1750</v>
      </c>
      <c r="C877" t="s">
        <v>13</v>
      </c>
      <c r="D877">
        <v>8.71</v>
      </c>
      <c r="E877" t="s">
        <v>2632</v>
      </c>
      <c r="F877" t="s">
        <v>2633</v>
      </c>
      <c r="G877" s="1">
        <v>19.33</v>
      </c>
      <c r="H877" s="1"/>
      <c r="I877" t="s">
        <v>2634</v>
      </c>
      <c r="J877">
        <v>20</v>
      </c>
      <c r="K877">
        <v>0</v>
      </c>
      <c r="L877">
        <v>0</v>
      </c>
    </row>
    <row r="878" spans="1:12">
      <c r="A878" s="14" t="s">
        <v>1751</v>
      </c>
      <c r="B878" t="s">
        <v>1752</v>
      </c>
      <c r="C878" t="s">
        <v>13</v>
      </c>
      <c r="D878">
        <v>2</v>
      </c>
      <c r="E878" t="s">
        <v>2632</v>
      </c>
      <c r="F878" t="s">
        <v>2633</v>
      </c>
      <c r="G878" s="1">
        <v>4.47</v>
      </c>
      <c r="H878" s="1"/>
      <c r="I878" t="s">
        <v>2634</v>
      </c>
      <c r="J878">
        <v>20</v>
      </c>
      <c r="K878">
        <v>0</v>
      </c>
      <c r="L878">
        <v>0</v>
      </c>
    </row>
    <row r="879" spans="1:12">
      <c r="A879" s="14" t="s">
        <v>1753</v>
      </c>
      <c r="B879" t="s">
        <v>1754</v>
      </c>
      <c r="C879" t="s">
        <v>13</v>
      </c>
      <c r="D879">
        <v>5.86</v>
      </c>
      <c r="E879" t="s">
        <v>2632</v>
      </c>
      <c r="F879" t="s">
        <v>2633</v>
      </c>
      <c r="G879" s="1">
        <v>12.99</v>
      </c>
      <c r="H879" s="1"/>
      <c r="I879" t="s">
        <v>2634</v>
      </c>
      <c r="J879">
        <v>20</v>
      </c>
      <c r="K879">
        <v>0</v>
      </c>
      <c r="L879">
        <v>0</v>
      </c>
    </row>
    <row r="880" spans="1:12">
      <c r="A880" s="14" t="s">
        <v>1755</v>
      </c>
      <c r="B880" t="s">
        <v>1756</v>
      </c>
      <c r="C880" t="s">
        <v>13</v>
      </c>
      <c r="D880">
        <v>2</v>
      </c>
      <c r="E880" t="s">
        <v>2632</v>
      </c>
      <c r="F880" t="s">
        <v>2633</v>
      </c>
      <c r="G880" s="1">
        <v>4.47</v>
      </c>
      <c r="H880" s="1"/>
      <c r="I880" t="s">
        <v>2634</v>
      </c>
      <c r="J880">
        <v>20</v>
      </c>
      <c r="K880">
        <v>0</v>
      </c>
      <c r="L880">
        <v>0</v>
      </c>
    </row>
    <row r="881" spans="1:12">
      <c r="A881" s="14" t="s">
        <v>1757</v>
      </c>
      <c r="B881" t="s">
        <v>1758</v>
      </c>
      <c r="C881" t="s">
        <v>13</v>
      </c>
      <c r="D881">
        <v>5.81</v>
      </c>
      <c r="E881" t="s">
        <v>2632</v>
      </c>
      <c r="F881" t="s">
        <v>2633</v>
      </c>
      <c r="G881" s="1">
        <v>12.9</v>
      </c>
      <c r="H881" s="1"/>
      <c r="I881" t="s">
        <v>2634</v>
      </c>
      <c r="J881">
        <v>20</v>
      </c>
      <c r="K881">
        <v>0</v>
      </c>
      <c r="L881">
        <v>0</v>
      </c>
    </row>
    <row r="882" spans="1:12">
      <c r="A882" s="14" t="s">
        <v>1759</v>
      </c>
      <c r="B882" t="s">
        <v>1760</v>
      </c>
      <c r="C882" t="s">
        <v>13</v>
      </c>
      <c r="D882">
        <v>2.9</v>
      </c>
      <c r="E882" t="s">
        <v>2632</v>
      </c>
      <c r="F882" t="s">
        <v>2633</v>
      </c>
      <c r="G882" s="1">
        <v>6.46</v>
      </c>
      <c r="H882" s="1"/>
      <c r="I882" t="s">
        <v>2634</v>
      </c>
      <c r="J882">
        <v>20</v>
      </c>
      <c r="K882">
        <v>0</v>
      </c>
      <c r="L882">
        <v>0</v>
      </c>
    </row>
    <row r="883" spans="1:12">
      <c r="A883" s="14" t="s">
        <v>1761</v>
      </c>
      <c r="B883" t="s">
        <v>1762</v>
      </c>
      <c r="C883" t="s">
        <v>13</v>
      </c>
      <c r="D883">
        <v>6.93</v>
      </c>
      <c r="E883" t="s">
        <v>2632</v>
      </c>
      <c r="F883" t="s">
        <v>2633</v>
      </c>
      <c r="G883" s="1">
        <v>15.4</v>
      </c>
      <c r="H883" s="1"/>
      <c r="I883" t="s">
        <v>2634</v>
      </c>
      <c r="J883">
        <v>20</v>
      </c>
      <c r="K883">
        <v>0</v>
      </c>
      <c r="L883">
        <v>0</v>
      </c>
    </row>
    <row r="884" spans="1:12">
      <c r="A884" s="14" t="s">
        <v>1763</v>
      </c>
      <c r="B884" t="s">
        <v>1764</v>
      </c>
      <c r="C884" t="s">
        <v>13</v>
      </c>
      <c r="D884">
        <v>5.34</v>
      </c>
      <c r="E884" t="s">
        <v>2632</v>
      </c>
      <c r="F884" t="s">
        <v>2633</v>
      </c>
      <c r="G884" s="1">
        <v>11.84</v>
      </c>
      <c r="H884" s="1"/>
      <c r="I884" t="s">
        <v>2634</v>
      </c>
      <c r="J884">
        <v>20</v>
      </c>
      <c r="K884">
        <v>0</v>
      </c>
      <c r="L884">
        <v>0</v>
      </c>
    </row>
    <row r="885" spans="1:12">
      <c r="A885" s="14" t="s">
        <v>1765</v>
      </c>
      <c r="B885" t="s">
        <v>1766</v>
      </c>
      <c r="C885" t="s">
        <v>13</v>
      </c>
      <c r="D885">
        <v>5.35</v>
      </c>
      <c r="E885" t="s">
        <v>2632</v>
      </c>
      <c r="F885" t="s">
        <v>2633</v>
      </c>
      <c r="G885" s="1">
        <v>11.89</v>
      </c>
      <c r="H885" s="1"/>
      <c r="I885" t="s">
        <v>2634</v>
      </c>
      <c r="J885">
        <v>20</v>
      </c>
      <c r="K885">
        <v>0</v>
      </c>
      <c r="L885">
        <v>0</v>
      </c>
    </row>
    <row r="886" spans="1:12">
      <c r="A886" s="14" t="s">
        <v>1767</v>
      </c>
      <c r="B886" t="s">
        <v>1768</v>
      </c>
      <c r="C886" t="s">
        <v>13</v>
      </c>
      <c r="D886">
        <v>1.86</v>
      </c>
      <c r="E886" t="s">
        <v>2632</v>
      </c>
      <c r="F886" t="s">
        <v>2633</v>
      </c>
      <c r="G886" s="1">
        <v>4.14</v>
      </c>
      <c r="H886" s="1"/>
      <c r="I886" t="s">
        <v>2634</v>
      </c>
      <c r="J886" t="s">
        <v>2634</v>
      </c>
      <c r="K886">
        <v>0</v>
      </c>
      <c r="L886">
        <v>0</v>
      </c>
    </row>
    <row r="887" spans="1:12">
      <c r="A887" s="14" t="s">
        <v>1769</v>
      </c>
      <c r="B887" t="s">
        <v>1770</v>
      </c>
      <c r="C887" t="s">
        <v>13</v>
      </c>
      <c r="D887">
        <v>0.07</v>
      </c>
      <c r="E887" t="s">
        <v>2632</v>
      </c>
      <c r="F887" t="s">
        <v>2633</v>
      </c>
      <c r="G887" s="1">
        <v>0.17</v>
      </c>
      <c r="H887" s="1"/>
      <c r="I887" t="s">
        <v>2634</v>
      </c>
      <c r="J887" t="s">
        <v>2634</v>
      </c>
      <c r="K887">
        <v>0</v>
      </c>
      <c r="L887">
        <v>0</v>
      </c>
    </row>
    <row r="888" spans="1:12">
      <c r="A888" s="14" t="s">
        <v>1771</v>
      </c>
      <c r="B888" t="s">
        <v>1772</v>
      </c>
      <c r="C888" t="s">
        <v>13</v>
      </c>
      <c r="D888">
        <v>1.86</v>
      </c>
      <c r="E888" t="s">
        <v>2632</v>
      </c>
      <c r="F888" t="s">
        <v>2633</v>
      </c>
      <c r="G888" s="1">
        <v>4.14</v>
      </c>
      <c r="H888" s="1"/>
      <c r="I888" t="s">
        <v>2634</v>
      </c>
      <c r="J888" t="s">
        <v>2634</v>
      </c>
      <c r="K888">
        <v>0</v>
      </c>
      <c r="L888">
        <v>0</v>
      </c>
    </row>
    <row r="889" spans="1:12">
      <c r="A889" s="14" t="s">
        <v>1773</v>
      </c>
      <c r="B889" t="s">
        <v>1774</v>
      </c>
      <c r="C889" t="s">
        <v>13</v>
      </c>
      <c r="D889">
        <v>1.86</v>
      </c>
      <c r="E889" t="s">
        <v>2632</v>
      </c>
      <c r="F889" t="s">
        <v>2633</v>
      </c>
      <c r="G889" s="1">
        <v>4.14</v>
      </c>
      <c r="H889" s="1"/>
      <c r="I889" t="s">
        <v>2634</v>
      </c>
      <c r="J889" t="s">
        <v>2634</v>
      </c>
      <c r="K889">
        <v>0</v>
      </c>
      <c r="L889">
        <v>0</v>
      </c>
    </row>
    <row r="890" spans="1:12">
      <c r="A890" s="14" t="s">
        <v>1775</v>
      </c>
      <c r="B890" t="s">
        <v>1776</v>
      </c>
      <c r="C890" t="s">
        <v>13</v>
      </c>
      <c r="D890">
        <v>1.94</v>
      </c>
      <c r="E890" t="s">
        <v>2632</v>
      </c>
      <c r="F890" t="s">
        <v>2633</v>
      </c>
      <c r="G890" s="1">
        <v>4.33</v>
      </c>
      <c r="H890" s="1"/>
      <c r="I890" t="s">
        <v>2634</v>
      </c>
      <c r="J890" t="s">
        <v>2634</v>
      </c>
      <c r="K890">
        <v>0</v>
      </c>
      <c r="L890">
        <v>0</v>
      </c>
    </row>
    <row r="891" spans="1:12">
      <c r="A891" s="14" t="s">
        <v>1777</v>
      </c>
      <c r="B891" t="s">
        <v>1778</v>
      </c>
      <c r="C891" t="s">
        <v>13</v>
      </c>
      <c r="D891">
        <v>8.69</v>
      </c>
      <c r="E891" t="s">
        <v>2632</v>
      </c>
      <c r="F891" t="s">
        <v>2633</v>
      </c>
      <c r="G891" s="1">
        <v>19.33</v>
      </c>
      <c r="H891" s="1"/>
      <c r="I891" t="s">
        <v>2634</v>
      </c>
      <c r="J891">
        <v>5</v>
      </c>
      <c r="K891">
        <v>0</v>
      </c>
      <c r="L891">
        <v>0</v>
      </c>
    </row>
    <row r="892" spans="1:12">
      <c r="A892" s="14" t="s">
        <v>1779</v>
      </c>
      <c r="B892" t="s">
        <v>1780</v>
      </c>
      <c r="C892" t="s">
        <v>13</v>
      </c>
      <c r="D892">
        <v>7.24</v>
      </c>
      <c r="E892" t="s">
        <v>2632</v>
      </c>
      <c r="F892" t="s">
        <v>2633</v>
      </c>
      <c r="G892" s="1">
        <v>16.1</v>
      </c>
      <c r="H892" s="2" t="s">
        <v>2635</v>
      </c>
      <c r="I892" t="s">
        <v>2636</v>
      </c>
      <c r="J892">
        <v>10</v>
      </c>
      <c r="K892">
        <v>0</v>
      </c>
      <c r="L892">
        <v>0</v>
      </c>
    </row>
    <row r="893" spans="1:12">
      <c r="A893" s="14" t="s">
        <v>1781</v>
      </c>
      <c r="B893" t="s">
        <v>1782</v>
      </c>
      <c r="C893" t="s">
        <v>13</v>
      </c>
      <c r="D893">
        <v>14.9</v>
      </c>
      <c r="E893" t="s">
        <v>2632</v>
      </c>
      <c r="F893" t="s">
        <v>2633</v>
      </c>
      <c r="G893" s="1">
        <v>33.11</v>
      </c>
      <c r="H893" s="1"/>
      <c r="I893" t="s">
        <v>2634</v>
      </c>
      <c r="J893">
        <v>5</v>
      </c>
      <c r="K893">
        <v>0</v>
      </c>
      <c r="L893">
        <v>0</v>
      </c>
    </row>
    <row r="894" spans="1:12">
      <c r="A894" s="14" t="s">
        <v>1783</v>
      </c>
      <c r="B894" t="s">
        <v>1784</v>
      </c>
      <c r="C894" t="s">
        <v>13</v>
      </c>
      <c r="D894">
        <v>12.63</v>
      </c>
      <c r="E894" t="s">
        <v>2632</v>
      </c>
      <c r="F894" t="s">
        <v>2633</v>
      </c>
      <c r="G894" s="1">
        <v>28.06</v>
      </c>
      <c r="H894" s="2" t="s">
        <v>2635</v>
      </c>
      <c r="I894" t="s">
        <v>2636</v>
      </c>
      <c r="J894">
        <v>10</v>
      </c>
      <c r="K894">
        <v>0</v>
      </c>
      <c r="L894">
        <v>0</v>
      </c>
    </row>
    <row r="895" spans="1:12">
      <c r="A895" s="14" t="s">
        <v>1785</v>
      </c>
      <c r="B895" t="s">
        <v>1786</v>
      </c>
      <c r="C895" t="s">
        <v>13</v>
      </c>
      <c r="D895">
        <v>14.32</v>
      </c>
      <c r="E895" t="s">
        <v>2632</v>
      </c>
      <c r="F895" t="s">
        <v>2633</v>
      </c>
      <c r="G895" s="1">
        <v>31.81</v>
      </c>
      <c r="H895" s="1"/>
      <c r="I895" t="s">
        <v>2634</v>
      </c>
      <c r="J895">
        <v>5</v>
      </c>
      <c r="K895">
        <v>0</v>
      </c>
      <c r="L895">
        <v>0</v>
      </c>
    </row>
    <row r="896" spans="1:12">
      <c r="A896" s="14" t="s">
        <v>1787</v>
      </c>
      <c r="B896" t="s">
        <v>1788</v>
      </c>
      <c r="C896" t="s">
        <v>13</v>
      </c>
      <c r="D896">
        <v>12.47</v>
      </c>
      <c r="E896" t="s">
        <v>2632</v>
      </c>
      <c r="F896" t="s">
        <v>2633</v>
      </c>
      <c r="G896" s="1">
        <v>27.71</v>
      </c>
      <c r="H896" s="2" t="s">
        <v>2635</v>
      </c>
      <c r="I896" t="s">
        <v>2636</v>
      </c>
      <c r="J896">
        <v>10</v>
      </c>
      <c r="K896">
        <v>0</v>
      </c>
      <c r="L896">
        <v>0</v>
      </c>
    </row>
    <row r="897" spans="1:12">
      <c r="A897" s="14" t="s">
        <v>1789</v>
      </c>
      <c r="B897" t="s">
        <v>1790</v>
      </c>
      <c r="C897" t="s">
        <v>13</v>
      </c>
      <c r="D897">
        <v>13.97</v>
      </c>
      <c r="E897" t="s">
        <v>2632</v>
      </c>
      <c r="F897" t="s">
        <v>2633</v>
      </c>
      <c r="G897" s="1">
        <v>31.03</v>
      </c>
      <c r="H897" s="1"/>
      <c r="I897" t="s">
        <v>2634</v>
      </c>
      <c r="J897">
        <v>5</v>
      </c>
      <c r="K897">
        <v>0</v>
      </c>
      <c r="L897">
        <v>0</v>
      </c>
    </row>
    <row r="898" spans="1:12">
      <c r="A898" s="14" t="s">
        <v>1791</v>
      </c>
      <c r="B898" t="s">
        <v>1792</v>
      </c>
      <c r="C898" t="s">
        <v>13</v>
      </c>
      <c r="D898">
        <v>12.19</v>
      </c>
      <c r="E898" t="s">
        <v>2632</v>
      </c>
      <c r="F898" t="s">
        <v>2633</v>
      </c>
      <c r="G898" s="1">
        <v>27.07</v>
      </c>
      <c r="H898" s="2" t="s">
        <v>2635</v>
      </c>
      <c r="I898" t="s">
        <v>2636</v>
      </c>
      <c r="J898">
        <v>10</v>
      </c>
      <c r="K898">
        <v>0</v>
      </c>
      <c r="L898">
        <v>0</v>
      </c>
    </row>
    <row r="899" spans="1:12">
      <c r="A899" s="14" t="s">
        <v>1793</v>
      </c>
      <c r="B899" t="s">
        <v>1794</v>
      </c>
      <c r="C899" t="s">
        <v>13</v>
      </c>
      <c r="D899">
        <v>8.58</v>
      </c>
      <c r="E899" t="s">
        <v>2632</v>
      </c>
      <c r="F899" t="s">
        <v>2633</v>
      </c>
      <c r="G899" s="1">
        <v>19.07</v>
      </c>
      <c r="H899" s="1"/>
      <c r="I899" t="s">
        <v>2634</v>
      </c>
      <c r="J899">
        <v>5</v>
      </c>
      <c r="K899">
        <v>0</v>
      </c>
      <c r="L899">
        <v>0</v>
      </c>
    </row>
    <row r="900" spans="1:12">
      <c r="A900" s="14" t="s">
        <v>1795</v>
      </c>
      <c r="B900" t="s">
        <v>1796</v>
      </c>
      <c r="C900" t="s">
        <v>13</v>
      </c>
      <c r="D900">
        <v>7.1</v>
      </c>
      <c r="E900" t="s">
        <v>2632</v>
      </c>
      <c r="F900" t="s">
        <v>2633</v>
      </c>
      <c r="G900" s="1">
        <v>15.77</v>
      </c>
      <c r="H900" s="2" t="s">
        <v>2635</v>
      </c>
      <c r="I900" t="s">
        <v>2636</v>
      </c>
      <c r="J900">
        <v>10</v>
      </c>
      <c r="K900">
        <v>0</v>
      </c>
      <c r="L900">
        <v>0</v>
      </c>
    </row>
    <row r="901" spans="1:12">
      <c r="A901" s="14" t="s">
        <v>1797</v>
      </c>
      <c r="B901" t="s">
        <v>1798</v>
      </c>
      <c r="C901" t="s">
        <v>13</v>
      </c>
      <c r="D901">
        <v>14.42</v>
      </c>
      <c r="E901" t="s">
        <v>2632</v>
      </c>
      <c r="F901" t="s">
        <v>2633</v>
      </c>
      <c r="G901" s="1">
        <v>32.01</v>
      </c>
      <c r="H901" s="1"/>
      <c r="I901" t="s">
        <v>2634</v>
      </c>
      <c r="J901">
        <v>5</v>
      </c>
      <c r="K901">
        <v>0</v>
      </c>
      <c r="L901">
        <v>0</v>
      </c>
    </row>
    <row r="902" spans="1:12">
      <c r="A902" s="14" t="s">
        <v>1799</v>
      </c>
      <c r="B902" t="s">
        <v>1800</v>
      </c>
      <c r="C902" t="s">
        <v>13</v>
      </c>
      <c r="D902">
        <v>12.47</v>
      </c>
      <c r="E902" t="s">
        <v>2632</v>
      </c>
      <c r="F902" t="s">
        <v>2633</v>
      </c>
      <c r="G902" s="1">
        <v>27.71</v>
      </c>
      <c r="H902" s="2" t="s">
        <v>2635</v>
      </c>
      <c r="I902" t="s">
        <v>2636</v>
      </c>
      <c r="J902">
        <v>10</v>
      </c>
      <c r="K902">
        <v>0</v>
      </c>
      <c r="L902">
        <v>0</v>
      </c>
    </row>
    <row r="903" spans="1:12">
      <c r="A903" s="14" t="s">
        <v>1801</v>
      </c>
      <c r="B903" t="s">
        <v>1802</v>
      </c>
      <c r="C903" t="s">
        <v>13</v>
      </c>
      <c r="D903">
        <v>13.71</v>
      </c>
      <c r="E903" t="s">
        <v>2632</v>
      </c>
      <c r="F903" t="s">
        <v>2633</v>
      </c>
      <c r="G903" s="1">
        <v>30.45</v>
      </c>
      <c r="H903" s="1"/>
      <c r="I903" t="s">
        <v>2634</v>
      </c>
      <c r="J903">
        <v>5</v>
      </c>
      <c r="K903">
        <v>0</v>
      </c>
      <c r="L903">
        <v>0</v>
      </c>
    </row>
    <row r="904" spans="1:12">
      <c r="A904" s="14" t="s">
        <v>1803</v>
      </c>
      <c r="B904" t="s">
        <v>1804</v>
      </c>
      <c r="C904" t="s">
        <v>13</v>
      </c>
      <c r="D904">
        <v>11.99</v>
      </c>
      <c r="E904" t="s">
        <v>2632</v>
      </c>
      <c r="F904" t="s">
        <v>2633</v>
      </c>
      <c r="G904" s="1">
        <v>26.65</v>
      </c>
      <c r="H904" s="2" t="s">
        <v>2635</v>
      </c>
      <c r="I904" t="s">
        <v>2636</v>
      </c>
      <c r="J904">
        <v>10</v>
      </c>
      <c r="K904">
        <v>0</v>
      </c>
      <c r="L904">
        <v>0</v>
      </c>
    </row>
    <row r="905" spans="1:12">
      <c r="A905" s="14" t="s">
        <v>1805</v>
      </c>
      <c r="B905" t="s">
        <v>1806</v>
      </c>
      <c r="C905" t="s">
        <v>13</v>
      </c>
      <c r="D905">
        <v>0.99</v>
      </c>
      <c r="E905" t="s">
        <v>2632</v>
      </c>
      <c r="F905" t="s">
        <v>2633</v>
      </c>
      <c r="G905" s="1">
        <v>1.89</v>
      </c>
      <c r="H905" s="1"/>
      <c r="I905" t="s">
        <v>2634</v>
      </c>
      <c r="J905" t="s">
        <v>2634</v>
      </c>
      <c r="K905">
        <v>0</v>
      </c>
      <c r="L905">
        <v>0</v>
      </c>
    </row>
    <row r="906" spans="1:12">
      <c r="A906" s="14" t="s">
        <v>1807</v>
      </c>
      <c r="B906" t="s">
        <v>1808</v>
      </c>
      <c r="C906" t="s">
        <v>13</v>
      </c>
      <c r="D906">
        <v>0.2</v>
      </c>
      <c r="E906" t="s">
        <v>2632</v>
      </c>
      <c r="F906" t="s">
        <v>2633</v>
      </c>
      <c r="G906" s="1">
        <v>0.37</v>
      </c>
      <c r="H906" s="1"/>
      <c r="I906" t="s">
        <v>2634</v>
      </c>
      <c r="J906" t="s">
        <v>2634</v>
      </c>
      <c r="K906">
        <v>0</v>
      </c>
      <c r="L906">
        <v>0</v>
      </c>
    </row>
    <row r="907" spans="1:12">
      <c r="A907" s="14" t="s">
        <v>1809</v>
      </c>
      <c r="B907" t="s">
        <v>1810</v>
      </c>
      <c r="C907" t="s">
        <v>13</v>
      </c>
      <c r="D907">
        <v>0.2</v>
      </c>
      <c r="E907" t="s">
        <v>2632</v>
      </c>
      <c r="F907" t="s">
        <v>2633</v>
      </c>
      <c r="G907" s="1">
        <v>0.37</v>
      </c>
      <c r="H907" s="1"/>
      <c r="I907" t="s">
        <v>2634</v>
      </c>
      <c r="J907" t="s">
        <v>2634</v>
      </c>
      <c r="K907">
        <v>0</v>
      </c>
      <c r="L907">
        <v>0</v>
      </c>
    </row>
    <row r="908" spans="1:12">
      <c r="A908" s="14" t="s">
        <v>1811</v>
      </c>
      <c r="B908" t="s">
        <v>1812</v>
      </c>
      <c r="C908" t="s">
        <v>13</v>
      </c>
      <c r="D908">
        <v>0.2</v>
      </c>
      <c r="E908" t="s">
        <v>2632</v>
      </c>
      <c r="F908" t="s">
        <v>2633</v>
      </c>
      <c r="G908" s="1">
        <v>0.38</v>
      </c>
      <c r="H908" s="1"/>
      <c r="I908" t="s">
        <v>2634</v>
      </c>
      <c r="J908" t="s">
        <v>2634</v>
      </c>
      <c r="K908">
        <v>0</v>
      </c>
      <c r="L908">
        <v>0</v>
      </c>
    </row>
    <row r="909" spans="1:12">
      <c r="A909" s="14" t="s">
        <v>1813</v>
      </c>
      <c r="B909" t="s">
        <v>1814</v>
      </c>
      <c r="C909" t="s">
        <v>13</v>
      </c>
      <c r="D909">
        <v>0.2</v>
      </c>
      <c r="E909" t="s">
        <v>2632</v>
      </c>
      <c r="F909" t="s">
        <v>2633</v>
      </c>
      <c r="G909" s="1">
        <v>0.38</v>
      </c>
      <c r="H909" s="1"/>
      <c r="I909" t="s">
        <v>2634</v>
      </c>
      <c r="J909" t="s">
        <v>2634</v>
      </c>
      <c r="K909">
        <v>0</v>
      </c>
      <c r="L909">
        <v>0</v>
      </c>
    </row>
    <row r="910" spans="1:12">
      <c r="A910" s="14" t="s">
        <v>1815</v>
      </c>
      <c r="B910" t="s">
        <v>1816</v>
      </c>
      <c r="C910" t="s">
        <v>13</v>
      </c>
      <c r="D910">
        <v>0.2</v>
      </c>
      <c r="E910" t="s">
        <v>2632</v>
      </c>
      <c r="F910" t="s">
        <v>2633</v>
      </c>
      <c r="G910" s="1">
        <v>0.38</v>
      </c>
      <c r="H910" s="1"/>
      <c r="I910" t="s">
        <v>2634</v>
      </c>
      <c r="J910" t="s">
        <v>2634</v>
      </c>
      <c r="K910">
        <v>0</v>
      </c>
      <c r="L910">
        <v>0</v>
      </c>
    </row>
    <row r="911" spans="1:12">
      <c r="A911" s="14" t="s">
        <v>1817</v>
      </c>
      <c r="B911" t="s">
        <v>1818</v>
      </c>
      <c r="C911" t="s">
        <v>13</v>
      </c>
      <c r="D911">
        <v>0.2</v>
      </c>
      <c r="E911" t="s">
        <v>2632</v>
      </c>
      <c r="F911" t="s">
        <v>2633</v>
      </c>
      <c r="G911" s="1">
        <v>0.38</v>
      </c>
      <c r="H911" s="1"/>
      <c r="I911" t="s">
        <v>2634</v>
      </c>
      <c r="J911" t="s">
        <v>2634</v>
      </c>
      <c r="K911">
        <v>0</v>
      </c>
      <c r="L911">
        <v>0</v>
      </c>
    </row>
    <row r="912" spans="1:12">
      <c r="A912" s="14" t="s">
        <v>1819</v>
      </c>
      <c r="B912" t="s">
        <v>1820</v>
      </c>
      <c r="C912" t="s">
        <v>13</v>
      </c>
      <c r="D912">
        <v>0.2</v>
      </c>
      <c r="E912" t="s">
        <v>2632</v>
      </c>
      <c r="F912" t="s">
        <v>2633</v>
      </c>
      <c r="G912" s="1">
        <v>0.38</v>
      </c>
      <c r="H912" s="1"/>
      <c r="I912" t="s">
        <v>2634</v>
      </c>
      <c r="J912" t="s">
        <v>2634</v>
      </c>
      <c r="K912">
        <v>0</v>
      </c>
      <c r="L912">
        <v>0</v>
      </c>
    </row>
    <row r="913" spans="1:12">
      <c r="A913" s="14" t="s">
        <v>1821</v>
      </c>
      <c r="B913" t="s">
        <v>1822</v>
      </c>
      <c r="C913" t="s">
        <v>13</v>
      </c>
      <c r="D913">
        <v>0.2</v>
      </c>
      <c r="E913" t="s">
        <v>2632</v>
      </c>
      <c r="F913" t="s">
        <v>2633</v>
      </c>
      <c r="G913" s="1">
        <v>0.38</v>
      </c>
      <c r="H913" s="1"/>
      <c r="I913" t="s">
        <v>2634</v>
      </c>
      <c r="J913" t="s">
        <v>2634</v>
      </c>
      <c r="K913">
        <v>0</v>
      </c>
      <c r="L913">
        <v>0</v>
      </c>
    </row>
    <row r="914" spans="1:12">
      <c r="A914" s="14" t="s">
        <v>1823</v>
      </c>
      <c r="B914" t="s">
        <v>1824</v>
      </c>
      <c r="C914" t="s">
        <v>13</v>
      </c>
      <c r="D914">
        <v>0.2</v>
      </c>
      <c r="E914" t="s">
        <v>2632</v>
      </c>
      <c r="F914" t="s">
        <v>2633</v>
      </c>
      <c r="G914" s="1">
        <v>0.38</v>
      </c>
      <c r="H914" s="1"/>
      <c r="I914" t="s">
        <v>2634</v>
      </c>
      <c r="J914" t="s">
        <v>2634</v>
      </c>
      <c r="K914">
        <v>0</v>
      </c>
      <c r="L914">
        <v>0</v>
      </c>
    </row>
    <row r="915" spans="1:12">
      <c r="A915" s="14" t="s">
        <v>1825</v>
      </c>
      <c r="B915" t="s">
        <v>1826</v>
      </c>
      <c r="C915" t="s">
        <v>13</v>
      </c>
      <c r="D915">
        <v>0.2</v>
      </c>
      <c r="E915" t="s">
        <v>2632</v>
      </c>
      <c r="F915" t="s">
        <v>2633</v>
      </c>
      <c r="G915" s="1">
        <v>0.38</v>
      </c>
      <c r="H915" s="1"/>
      <c r="I915" t="s">
        <v>2634</v>
      </c>
      <c r="J915" t="s">
        <v>2634</v>
      </c>
      <c r="K915">
        <v>0</v>
      </c>
      <c r="L915">
        <v>0</v>
      </c>
    </row>
    <row r="916" spans="1:12">
      <c r="A916" s="14" t="s">
        <v>1827</v>
      </c>
      <c r="B916" t="s">
        <v>1828</v>
      </c>
      <c r="C916" t="s">
        <v>13</v>
      </c>
      <c r="D916">
        <v>4.16</v>
      </c>
      <c r="E916" t="s">
        <v>2632</v>
      </c>
      <c r="F916" t="s">
        <v>2633</v>
      </c>
      <c r="G916" s="1">
        <v>9.24</v>
      </c>
      <c r="H916" s="1"/>
      <c r="I916" t="s">
        <v>2634</v>
      </c>
      <c r="J916" t="s">
        <v>2634</v>
      </c>
      <c r="K916">
        <v>0</v>
      </c>
      <c r="L916">
        <v>0</v>
      </c>
    </row>
    <row r="917" spans="1:12">
      <c r="A917" s="14" t="s">
        <v>1829</v>
      </c>
      <c r="B917" t="s">
        <v>1830</v>
      </c>
      <c r="C917" t="s">
        <v>13</v>
      </c>
      <c r="D917">
        <v>0.73</v>
      </c>
      <c r="E917" t="s">
        <v>2632</v>
      </c>
      <c r="F917" t="s">
        <v>2633</v>
      </c>
      <c r="G917" s="1">
        <v>1.8</v>
      </c>
      <c r="H917" s="1"/>
      <c r="I917" t="s">
        <v>2634</v>
      </c>
      <c r="J917" t="s">
        <v>2634</v>
      </c>
      <c r="K917">
        <v>0</v>
      </c>
      <c r="L917">
        <v>0</v>
      </c>
    </row>
    <row r="918" spans="1:12">
      <c r="A918" s="14" t="s">
        <v>1831</v>
      </c>
      <c r="B918" t="s">
        <v>1832</v>
      </c>
      <c r="C918" t="s">
        <v>13</v>
      </c>
      <c r="D918">
        <v>0.74</v>
      </c>
      <c r="E918" t="s">
        <v>2632</v>
      </c>
      <c r="F918" t="s">
        <v>2633</v>
      </c>
      <c r="G918" s="1">
        <v>1.84</v>
      </c>
      <c r="H918" s="1"/>
      <c r="I918" t="s">
        <v>2634</v>
      </c>
      <c r="J918" t="s">
        <v>2634</v>
      </c>
      <c r="K918">
        <v>0</v>
      </c>
      <c r="L918">
        <v>0</v>
      </c>
    </row>
    <row r="919" spans="1:12">
      <c r="A919" s="14" t="s">
        <v>1833</v>
      </c>
      <c r="B919" t="s">
        <v>1834</v>
      </c>
      <c r="C919" t="s">
        <v>13</v>
      </c>
      <c r="D919">
        <v>0.74</v>
      </c>
      <c r="E919" t="s">
        <v>2632</v>
      </c>
      <c r="F919" t="s">
        <v>2633</v>
      </c>
      <c r="G919" s="1">
        <v>1.83</v>
      </c>
      <c r="H919" s="1"/>
      <c r="I919" t="s">
        <v>2634</v>
      </c>
      <c r="J919" t="s">
        <v>2634</v>
      </c>
      <c r="K919">
        <v>0</v>
      </c>
      <c r="L919">
        <v>0</v>
      </c>
    </row>
    <row r="920" spans="1:12">
      <c r="A920" s="14" t="s">
        <v>1835</v>
      </c>
      <c r="B920" t="s">
        <v>1836</v>
      </c>
      <c r="C920" t="s">
        <v>13</v>
      </c>
      <c r="D920">
        <v>0.73</v>
      </c>
      <c r="E920" t="s">
        <v>2632</v>
      </c>
      <c r="F920" t="s">
        <v>2633</v>
      </c>
      <c r="G920" s="1">
        <v>1.8</v>
      </c>
      <c r="H920" s="1"/>
      <c r="I920" t="s">
        <v>2634</v>
      </c>
      <c r="J920" t="s">
        <v>2634</v>
      </c>
      <c r="K920">
        <v>0</v>
      </c>
      <c r="L920">
        <v>0</v>
      </c>
    </row>
    <row r="921" spans="1:12">
      <c r="A921" s="14" t="s">
        <v>1837</v>
      </c>
      <c r="B921" t="s">
        <v>1838</v>
      </c>
      <c r="C921" t="s">
        <v>13</v>
      </c>
      <c r="D921">
        <v>0.73</v>
      </c>
      <c r="E921" t="s">
        <v>2632</v>
      </c>
      <c r="F921" t="s">
        <v>2633</v>
      </c>
      <c r="G921" s="1">
        <v>1.8</v>
      </c>
      <c r="H921" s="1"/>
      <c r="I921" t="s">
        <v>2634</v>
      </c>
      <c r="J921" t="s">
        <v>2634</v>
      </c>
      <c r="K921">
        <v>0</v>
      </c>
      <c r="L921">
        <v>0</v>
      </c>
    </row>
    <row r="922" spans="1:12">
      <c r="A922" s="14" t="s">
        <v>1839</v>
      </c>
      <c r="B922" t="s">
        <v>1840</v>
      </c>
      <c r="C922" t="s">
        <v>13</v>
      </c>
      <c r="D922">
        <v>1.14</v>
      </c>
      <c r="E922" t="s">
        <v>2632</v>
      </c>
      <c r="F922" t="s">
        <v>2633</v>
      </c>
      <c r="G922" s="1">
        <v>2.84</v>
      </c>
      <c r="H922" s="1"/>
      <c r="I922" t="s">
        <v>2634</v>
      </c>
      <c r="J922" t="s">
        <v>2634</v>
      </c>
      <c r="K922">
        <v>0</v>
      </c>
      <c r="L922">
        <v>0</v>
      </c>
    </row>
    <row r="923" spans="1:12">
      <c r="A923" s="14" t="s">
        <v>1841</v>
      </c>
      <c r="B923" t="s">
        <v>1842</v>
      </c>
      <c r="C923" t="s">
        <v>13</v>
      </c>
      <c r="D923">
        <v>1.15</v>
      </c>
      <c r="E923" t="s">
        <v>2632</v>
      </c>
      <c r="F923" t="s">
        <v>2633</v>
      </c>
      <c r="G923" s="1">
        <v>2.86</v>
      </c>
      <c r="H923" s="1"/>
      <c r="I923" t="s">
        <v>2634</v>
      </c>
      <c r="J923" t="s">
        <v>2634</v>
      </c>
      <c r="K923">
        <v>0</v>
      </c>
      <c r="L923">
        <v>0</v>
      </c>
    </row>
    <row r="924" spans="1:12">
      <c r="A924" s="14" t="s">
        <v>1843</v>
      </c>
      <c r="B924" t="s">
        <v>1844</v>
      </c>
      <c r="C924" t="s">
        <v>13</v>
      </c>
      <c r="D924">
        <v>1.14</v>
      </c>
      <c r="E924" t="s">
        <v>2632</v>
      </c>
      <c r="F924" t="s">
        <v>2633</v>
      </c>
      <c r="G924" s="1">
        <v>2.84</v>
      </c>
      <c r="H924" s="1"/>
      <c r="I924" t="s">
        <v>2634</v>
      </c>
      <c r="J924" t="s">
        <v>2634</v>
      </c>
      <c r="K924">
        <v>0</v>
      </c>
      <c r="L924">
        <v>0</v>
      </c>
    </row>
    <row r="925" spans="1:12">
      <c r="A925" s="14" t="s">
        <v>1845</v>
      </c>
      <c r="B925" t="s">
        <v>1846</v>
      </c>
      <c r="C925" t="s">
        <v>13</v>
      </c>
      <c r="D925">
        <v>1.12</v>
      </c>
      <c r="E925" t="s">
        <v>2632</v>
      </c>
      <c r="F925" t="s">
        <v>2633</v>
      </c>
      <c r="G925" s="1">
        <v>2.8</v>
      </c>
      <c r="H925" s="1"/>
      <c r="I925" t="s">
        <v>2634</v>
      </c>
      <c r="J925" t="s">
        <v>2634</v>
      </c>
      <c r="K925">
        <v>0</v>
      </c>
      <c r="L925">
        <v>0</v>
      </c>
    </row>
    <row r="926" spans="1:12">
      <c r="A926" s="14" t="s">
        <v>1847</v>
      </c>
      <c r="B926" t="s">
        <v>1848</v>
      </c>
      <c r="C926" t="s">
        <v>13</v>
      </c>
      <c r="D926">
        <v>1.85</v>
      </c>
      <c r="E926" t="s">
        <v>2632</v>
      </c>
      <c r="F926" t="s">
        <v>2633</v>
      </c>
      <c r="G926" s="1">
        <v>4.63</v>
      </c>
      <c r="H926" s="1"/>
      <c r="I926" t="s">
        <v>2634</v>
      </c>
      <c r="J926" t="s">
        <v>2634</v>
      </c>
      <c r="K926">
        <v>0</v>
      </c>
      <c r="L926">
        <v>0</v>
      </c>
    </row>
    <row r="927" spans="1:12">
      <c r="A927" s="14" t="s">
        <v>1849</v>
      </c>
      <c r="B927" t="s">
        <v>1850</v>
      </c>
      <c r="C927" t="s">
        <v>13</v>
      </c>
      <c r="D927">
        <v>1.82</v>
      </c>
      <c r="E927" t="s">
        <v>2632</v>
      </c>
      <c r="F927" t="s">
        <v>2633</v>
      </c>
      <c r="G927" s="1">
        <v>4.56</v>
      </c>
      <c r="H927" s="1"/>
      <c r="I927" t="s">
        <v>2634</v>
      </c>
      <c r="J927" t="s">
        <v>2634</v>
      </c>
      <c r="K927">
        <v>0</v>
      </c>
      <c r="L927">
        <v>0</v>
      </c>
    </row>
    <row r="928" spans="1:12">
      <c r="A928" s="14" t="s">
        <v>1851</v>
      </c>
      <c r="B928" t="s">
        <v>1852</v>
      </c>
      <c r="C928" t="s">
        <v>13</v>
      </c>
      <c r="D928">
        <v>1.85</v>
      </c>
      <c r="E928" t="s">
        <v>2632</v>
      </c>
      <c r="F928" t="s">
        <v>2633</v>
      </c>
      <c r="G928" s="1">
        <v>4.63</v>
      </c>
      <c r="H928" s="1"/>
      <c r="I928" t="s">
        <v>2634</v>
      </c>
      <c r="J928" t="s">
        <v>2634</v>
      </c>
      <c r="K928">
        <v>0</v>
      </c>
      <c r="L928">
        <v>0</v>
      </c>
    </row>
    <row r="929" spans="1:12">
      <c r="A929" s="14" t="s">
        <v>1853</v>
      </c>
      <c r="B929" t="s">
        <v>1854</v>
      </c>
      <c r="C929" t="s">
        <v>13</v>
      </c>
      <c r="D929">
        <v>1.82</v>
      </c>
      <c r="E929" t="s">
        <v>2632</v>
      </c>
      <c r="F929" t="s">
        <v>2633</v>
      </c>
      <c r="G929" s="1">
        <v>4.56</v>
      </c>
      <c r="H929" s="1"/>
      <c r="I929" t="s">
        <v>2634</v>
      </c>
      <c r="J929" t="s">
        <v>2634</v>
      </c>
      <c r="K929">
        <v>0</v>
      </c>
      <c r="L929">
        <v>0</v>
      </c>
    </row>
    <row r="930" spans="1:12">
      <c r="A930" s="14" t="s">
        <v>1855</v>
      </c>
      <c r="B930" t="s">
        <v>1856</v>
      </c>
      <c r="C930" t="s">
        <v>13</v>
      </c>
      <c r="D930">
        <v>2.28</v>
      </c>
      <c r="E930" t="s">
        <v>2632</v>
      </c>
      <c r="F930" t="s">
        <v>2633</v>
      </c>
      <c r="G930" s="1">
        <v>5.7</v>
      </c>
      <c r="H930" s="1"/>
      <c r="I930" t="s">
        <v>2634</v>
      </c>
      <c r="J930" t="s">
        <v>2634</v>
      </c>
      <c r="K930">
        <v>0</v>
      </c>
      <c r="L930">
        <v>0</v>
      </c>
    </row>
    <row r="931" spans="1:12">
      <c r="A931" s="14" t="s">
        <v>1857</v>
      </c>
      <c r="B931" t="s">
        <v>1858</v>
      </c>
      <c r="C931" t="s">
        <v>13</v>
      </c>
      <c r="D931">
        <v>2.27</v>
      </c>
      <c r="E931" t="s">
        <v>2632</v>
      </c>
      <c r="F931" t="s">
        <v>2633</v>
      </c>
      <c r="G931" s="1">
        <v>5.67</v>
      </c>
      <c r="H931" s="1"/>
      <c r="I931" t="s">
        <v>2634</v>
      </c>
      <c r="J931" t="s">
        <v>2634</v>
      </c>
      <c r="K931">
        <v>0</v>
      </c>
      <c r="L931">
        <v>0</v>
      </c>
    </row>
    <row r="932" spans="1:12">
      <c r="A932" s="14" t="s">
        <v>1859</v>
      </c>
      <c r="B932" t="s">
        <v>1860</v>
      </c>
      <c r="C932" t="s">
        <v>13</v>
      </c>
      <c r="D932">
        <v>0.48</v>
      </c>
      <c r="E932" t="s">
        <v>2632</v>
      </c>
      <c r="F932" t="s">
        <v>2633</v>
      </c>
      <c r="G932" s="1">
        <v>1.18</v>
      </c>
      <c r="H932" s="1"/>
      <c r="I932" t="s">
        <v>2634</v>
      </c>
      <c r="J932" t="s">
        <v>2634</v>
      </c>
      <c r="K932">
        <v>0</v>
      </c>
      <c r="L932">
        <v>0</v>
      </c>
    </row>
    <row r="933" spans="1:12">
      <c r="A933" s="14" t="s">
        <v>1861</v>
      </c>
      <c r="B933" t="s">
        <v>1862</v>
      </c>
      <c r="C933" t="s">
        <v>13</v>
      </c>
      <c r="D933">
        <v>0.46</v>
      </c>
      <c r="E933" t="s">
        <v>2632</v>
      </c>
      <c r="F933" t="s">
        <v>2633</v>
      </c>
      <c r="G933" s="1">
        <v>1.13</v>
      </c>
      <c r="H933" s="1"/>
      <c r="I933" t="s">
        <v>2634</v>
      </c>
      <c r="J933" t="s">
        <v>2634</v>
      </c>
      <c r="K933">
        <v>0</v>
      </c>
      <c r="L933">
        <v>0</v>
      </c>
    </row>
    <row r="934" spans="1:12">
      <c r="A934" s="14" t="s">
        <v>1863</v>
      </c>
      <c r="B934" t="s">
        <v>1864</v>
      </c>
      <c r="C934" t="s">
        <v>13</v>
      </c>
      <c r="D934">
        <v>0.46</v>
      </c>
      <c r="E934" t="s">
        <v>2632</v>
      </c>
      <c r="F934" t="s">
        <v>2633</v>
      </c>
      <c r="G934" s="1">
        <v>1.13</v>
      </c>
      <c r="H934" s="1"/>
      <c r="I934" t="s">
        <v>2634</v>
      </c>
      <c r="J934" t="s">
        <v>2634</v>
      </c>
      <c r="K934">
        <v>0</v>
      </c>
      <c r="L934">
        <v>0</v>
      </c>
    </row>
    <row r="935" spans="1:12">
      <c r="A935" s="14" t="s">
        <v>1865</v>
      </c>
      <c r="B935" t="s">
        <v>1866</v>
      </c>
      <c r="C935" t="s">
        <v>13</v>
      </c>
      <c r="D935">
        <v>0.46</v>
      </c>
      <c r="E935" t="s">
        <v>2632</v>
      </c>
      <c r="F935" t="s">
        <v>2633</v>
      </c>
      <c r="G935" s="1">
        <v>1.13</v>
      </c>
      <c r="H935" s="1"/>
      <c r="I935" t="s">
        <v>2634</v>
      </c>
      <c r="J935" t="s">
        <v>2634</v>
      </c>
      <c r="K935">
        <v>0</v>
      </c>
      <c r="L935">
        <v>0</v>
      </c>
    </row>
    <row r="936" spans="1:12">
      <c r="A936" s="14" t="s">
        <v>1867</v>
      </c>
      <c r="B936" t="s">
        <v>1868</v>
      </c>
      <c r="C936" t="s">
        <v>13</v>
      </c>
      <c r="D936">
        <v>202.81</v>
      </c>
      <c r="E936" t="s">
        <v>2632</v>
      </c>
      <c r="F936" t="s">
        <v>2633</v>
      </c>
      <c r="G936" s="1">
        <v>450.69</v>
      </c>
      <c r="H936" s="1"/>
      <c r="I936" t="s">
        <v>2634</v>
      </c>
      <c r="J936" t="s">
        <v>2634</v>
      </c>
      <c r="K936">
        <v>0</v>
      </c>
      <c r="L936">
        <v>0</v>
      </c>
    </row>
    <row r="937" spans="1:12">
      <c r="A937" s="14" t="s">
        <v>1869</v>
      </c>
      <c r="B937" t="s">
        <v>1870</v>
      </c>
      <c r="C937" t="s">
        <v>13</v>
      </c>
      <c r="D937">
        <v>61.74</v>
      </c>
      <c r="E937" t="s">
        <v>2632</v>
      </c>
      <c r="F937" t="s">
        <v>2633</v>
      </c>
      <c r="G937" s="1">
        <v>137.2</v>
      </c>
      <c r="H937" s="1"/>
      <c r="I937" t="s">
        <v>2634</v>
      </c>
      <c r="J937" t="s">
        <v>2634</v>
      </c>
      <c r="K937">
        <v>0</v>
      </c>
      <c r="L937">
        <v>0</v>
      </c>
    </row>
    <row r="938" spans="1:12">
      <c r="A938" s="14" t="s">
        <v>1871</v>
      </c>
      <c r="B938" t="s">
        <v>1872</v>
      </c>
      <c r="C938" t="s">
        <v>13</v>
      </c>
      <c r="D938">
        <v>0.57</v>
      </c>
      <c r="E938" t="s">
        <v>2632</v>
      </c>
      <c r="F938" t="s">
        <v>2633</v>
      </c>
      <c r="G938" s="1">
        <v>1.11</v>
      </c>
      <c r="H938" s="1"/>
      <c r="I938" t="s">
        <v>2634</v>
      </c>
      <c r="J938" t="s">
        <v>2634</v>
      </c>
      <c r="K938">
        <v>0</v>
      </c>
      <c r="L938">
        <v>0</v>
      </c>
    </row>
    <row r="939" spans="1:12">
      <c r="A939" s="14" t="s">
        <v>1873</v>
      </c>
      <c r="B939" t="s">
        <v>1874</v>
      </c>
      <c r="C939" t="s">
        <v>13</v>
      </c>
      <c r="D939">
        <v>6.89</v>
      </c>
      <c r="E939" t="s">
        <v>2632</v>
      </c>
      <c r="F939" t="s">
        <v>2633</v>
      </c>
      <c r="G939" s="1">
        <v>13.12</v>
      </c>
      <c r="H939" s="1"/>
      <c r="I939" t="s">
        <v>2634</v>
      </c>
      <c r="J939" t="s">
        <v>2634</v>
      </c>
      <c r="K939">
        <v>0</v>
      </c>
      <c r="L939">
        <v>0</v>
      </c>
    </row>
    <row r="940" spans="1:12">
      <c r="A940" s="14" t="s">
        <v>1875</v>
      </c>
      <c r="B940" t="s">
        <v>1876</v>
      </c>
      <c r="C940" t="s">
        <v>13</v>
      </c>
      <c r="D940">
        <v>4.25</v>
      </c>
      <c r="E940" t="s">
        <v>2632</v>
      </c>
      <c r="F940" t="s">
        <v>2633</v>
      </c>
      <c r="G940" s="1">
        <v>8.08</v>
      </c>
      <c r="H940" s="1"/>
      <c r="I940" t="s">
        <v>2634</v>
      </c>
      <c r="J940" t="s">
        <v>2634</v>
      </c>
      <c r="K940">
        <v>0</v>
      </c>
      <c r="L940">
        <v>0</v>
      </c>
    </row>
    <row r="941" spans="1:12">
      <c r="A941" s="14" t="s">
        <v>1877</v>
      </c>
      <c r="B941" t="s">
        <v>1878</v>
      </c>
      <c r="C941" t="s">
        <v>13</v>
      </c>
      <c r="D941">
        <v>5.86</v>
      </c>
      <c r="E941" t="s">
        <v>2632</v>
      </c>
      <c r="F941" t="s">
        <v>2633</v>
      </c>
      <c r="G941" s="1">
        <v>11.16</v>
      </c>
      <c r="H941" s="1"/>
      <c r="I941" t="s">
        <v>2634</v>
      </c>
      <c r="J941" t="s">
        <v>2634</v>
      </c>
      <c r="K941">
        <v>0</v>
      </c>
      <c r="L941">
        <v>0</v>
      </c>
    </row>
    <row r="942" spans="1:12">
      <c r="A942" s="14" t="s">
        <v>1879</v>
      </c>
      <c r="B942" t="s">
        <v>1880</v>
      </c>
      <c r="C942" t="s">
        <v>13</v>
      </c>
      <c r="D942">
        <v>4.68</v>
      </c>
      <c r="E942" t="s">
        <v>2632</v>
      </c>
      <c r="F942" t="s">
        <v>2633</v>
      </c>
      <c r="G942" s="1">
        <v>8.91</v>
      </c>
      <c r="H942" s="1"/>
      <c r="I942" t="s">
        <v>2634</v>
      </c>
      <c r="J942" t="s">
        <v>2634</v>
      </c>
      <c r="K942">
        <v>0</v>
      </c>
      <c r="L942">
        <v>0</v>
      </c>
    </row>
    <row r="943" spans="1:12">
      <c r="A943" s="14" t="s">
        <v>1881</v>
      </c>
      <c r="B943" t="s">
        <v>1882</v>
      </c>
      <c r="C943" t="s">
        <v>13</v>
      </c>
      <c r="D943">
        <v>2.89</v>
      </c>
      <c r="E943" t="s">
        <v>2632</v>
      </c>
      <c r="F943" t="s">
        <v>2633</v>
      </c>
      <c r="G943" s="1">
        <v>5.51</v>
      </c>
      <c r="H943" s="1"/>
      <c r="I943" t="s">
        <v>2634</v>
      </c>
      <c r="J943" t="s">
        <v>2634</v>
      </c>
      <c r="K943">
        <v>0</v>
      </c>
      <c r="L943">
        <v>0</v>
      </c>
    </row>
    <row r="944" spans="1:12">
      <c r="A944" s="14" t="s">
        <v>1883</v>
      </c>
      <c r="B944" t="s">
        <v>1884</v>
      </c>
      <c r="C944" t="s">
        <v>13</v>
      </c>
      <c r="D944">
        <v>4.68</v>
      </c>
      <c r="E944" t="s">
        <v>2632</v>
      </c>
      <c r="F944" t="s">
        <v>2633</v>
      </c>
      <c r="G944" s="1">
        <v>8.91</v>
      </c>
      <c r="H944" s="1"/>
      <c r="I944" t="s">
        <v>2634</v>
      </c>
      <c r="J944" t="s">
        <v>2634</v>
      </c>
      <c r="K944">
        <v>0</v>
      </c>
      <c r="L944">
        <v>0</v>
      </c>
    </row>
    <row r="945" spans="1:12">
      <c r="A945" s="14" t="s">
        <v>1885</v>
      </c>
      <c r="B945" t="s">
        <v>1886</v>
      </c>
      <c r="C945" t="s">
        <v>13</v>
      </c>
      <c r="D945">
        <v>2.77</v>
      </c>
      <c r="E945" t="s">
        <v>2632</v>
      </c>
      <c r="F945" t="s">
        <v>2633</v>
      </c>
      <c r="G945" s="1">
        <v>5.28</v>
      </c>
      <c r="H945" s="1"/>
      <c r="I945" t="s">
        <v>2634</v>
      </c>
      <c r="J945" t="s">
        <v>2634</v>
      </c>
      <c r="K945">
        <v>0</v>
      </c>
      <c r="L945">
        <v>0</v>
      </c>
    </row>
    <row r="946" spans="1:12">
      <c r="A946" s="14" t="s">
        <v>1887</v>
      </c>
      <c r="B946" t="s">
        <v>1888</v>
      </c>
      <c r="C946" t="s">
        <v>13</v>
      </c>
      <c r="D946">
        <v>3.81</v>
      </c>
      <c r="E946" t="s">
        <v>2632</v>
      </c>
      <c r="F946" t="s">
        <v>2633</v>
      </c>
      <c r="G946" s="1">
        <v>7.26</v>
      </c>
      <c r="H946" s="1"/>
      <c r="I946" t="s">
        <v>2634</v>
      </c>
      <c r="J946" t="s">
        <v>2634</v>
      </c>
      <c r="K946" s="18">
        <v>100</v>
      </c>
      <c r="L946" s="18">
        <v>999999</v>
      </c>
    </row>
    <row r="947" spans="1:12">
      <c r="A947" s="14" t="s">
        <v>1887</v>
      </c>
      <c r="B947" t="s">
        <v>1888</v>
      </c>
      <c r="C947" t="s">
        <v>13</v>
      </c>
      <c r="D947">
        <v>4.37</v>
      </c>
      <c r="E947" t="s">
        <v>2632</v>
      </c>
      <c r="F947" t="s">
        <v>2633</v>
      </c>
      <c r="G947" s="1">
        <v>7.26</v>
      </c>
      <c r="H947" s="1"/>
      <c r="I947" t="s">
        <v>2634</v>
      </c>
      <c r="J947" t="s">
        <v>2634</v>
      </c>
      <c r="K947" s="18">
        <v>50</v>
      </c>
      <c r="L947" s="18">
        <v>99</v>
      </c>
    </row>
    <row r="948" spans="1:12">
      <c r="A948" s="14" t="s">
        <v>1887</v>
      </c>
      <c r="B948" t="s">
        <v>1888</v>
      </c>
      <c r="C948" t="s">
        <v>13</v>
      </c>
      <c r="D948">
        <v>5.45</v>
      </c>
      <c r="E948" t="s">
        <v>2632</v>
      </c>
      <c r="F948" t="s">
        <v>2633</v>
      </c>
      <c r="G948" s="1">
        <v>7.26</v>
      </c>
      <c r="H948" s="1"/>
      <c r="I948" t="s">
        <v>2634</v>
      </c>
      <c r="J948" t="s">
        <v>2634</v>
      </c>
      <c r="K948" s="18">
        <v>1</v>
      </c>
      <c r="L948" s="18">
        <v>49</v>
      </c>
    </row>
    <row r="949" spans="1:12">
      <c r="A949" s="14" t="s">
        <v>1889</v>
      </c>
      <c r="B949" t="s">
        <v>1890</v>
      </c>
      <c r="C949" t="s">
        <v>13</v>
      </c>
      <c r="D949">
        <v>1.01</v>
      </c>
      <c r="E949" t="s">
        <v>2632</v>
      </c>
      <c r="F949" t="s">
        <v>2633</v>
      </c>
      <c r="G949" s="1">
        <v>1.91</v>
      </c>
      <c r="H949" s="1"/>
      <c r="I949" t="s">
        <v>2634</v>
      </c>
      <c r="J949" t="s">
        <v>2634</v>
      </c>
      <c r="K949">
        <v>0</v>
      </c>
      <c r="L949">
        <v>0</v>
      </c>
    </row>
    <row r="950" spans="1:12">
      <c r="A950" s="14" t="s">
        <v>1891</v>
      </c>
      <c r="B950" t="s">
        <v>1892</v>
      </c>
      <c r="C950" t="s">
        <v>13</v>
      </c>
      <c r="D950">
        <v>0.27</v>
      </c>
      <c r="E950" t="s">
        <v>2632</v>
      </c>
      <c r="F950" t="s">
        <v>2633</v>
      </c>
      <c r="G950" s="1">
        <v>0.53</v>
      </c>
      <c r="H950" s="1"/>
      <c r="I950" t="s">
        <v>2634</v>
      </c>
      <c r="J950" t="s">
        <v>2634</v>
      </c>
      <c r="K950">
        <v>0</v>
      </c>
      <c r="L950">
        <v>0</v>
      </c>
    </row>
    <row r="951" spans="1:12">
      <c r="A951" s="14" t="s">
        <v>1893</v>
      </c>
      <c r="B951" t="s">
        <v>1894</v>
      </c>
      <c r="C951" t="s">
        <v>13</v>
      </c>
      <c r="D951">
        <v>2.94</v>
      </c>
      <c r="E951" t="s">
        <v>2632</v>
      </c>
      <c r="F951" t="s">
        <v>2633</v>
      </c>
      <c r="G951" s="1">
        <v>5.61</v>
      </c>
      <c r="H951" s="1"/>
      <c r="I951" t="s">
        <v>2634</v>
      </c>
      <c r="J951" t="s">
        <v>2634</v>
      </c>
      <c r="K951">
        <v>0</v>
      </c>
      <c r="L951">
        <v>0</v>
      </c>
    </row>
    <row r="952" spans="1:12">
      <c r="A952" s="14" t="s">
        <v>1895</v>
      </c>
      <c r="B952" t="s">
        <v>1896</v>
      </c>
      <c r="C952" t="s">
        <v>13</v>
      </c>
      <c r="D952">
        <v>2.95</v>
      </c>
      <c r="E952" t="s">
        <v>2632</v>
      </c>
      <c r="F952" t="s">
        <v>2633</v>
      </c>
      <c r="G952" s="1">
        <v>5.63</v>
      </c>
      <c r="H952" s="1"/>
      <c r="I952" t="s">
        <v>2634</v>
      </c>
      <c r="J952" t="s">
        <v>2634</v>
      </c>
      <c r="K952">
        <v>0</v>
      </c>
      <c r="L952">
        <v>0</v>
      </c>
    </row>
    <row r="953" spans="1:12">
      <c r="A953" s="14" t="s">
        <v>1897</v>
      </c>
      <c r="B953" t="s">
        <v>1898</v>
      </c>
      <c r="C953" t="s">
        <v>13</v>
      </c>
      <c r="D953">
        <v>0.64</v>
      </c>
      <c r="E953" t="s">
        <v>2632</v>
      </c>
      <c r="F953" t="s">
        <v>2633</v>
      </c>
      <c r="G953" s="1">
        <v>1.64</v>
      </c>
      <c r="H953" s="1"/>
      <c r="I953" t="s">
        <v>2634</v>
      </c>
      <c r="J953" t="s">
        <v>2634</v>
      </c>
      <c r="K953">
        <v>0</v>
      </c>
      <c r="L953">
        <v>0</v>
      </c>
    </row>
    <row r="954" spans="1:12">
      <c r="A954" s="14" t="s">
        <v>1899</v>
      </c>
      <c r="B954" t="s">
        <v>1900</v>
      </c>
      <c r="C954" t="s">
        <v>13</v>
      </c>
      <c r="D954">
        <v>0.95</v>
      </c>
      <c r="E954" t="s">
        <v>2632</v>
      </c>
      <c r="F954" t="s">
        <v>2633</v>
      </c>
      <c r="G954" s="1">
        <v>2.4</v>
      </c>
      <c r="H954" s="1"/>
      <c r="I954" t="s">
        <v>2634</v>
      </c>
      <c r="J954" t="s">
        <v>2634</v>
      </c>
      <c r="K954">
        <v>0</v>
      </c>
      <c r="L954">
        <v>0</v>
      </c>
    </row>
    <row r="955" spans="1:12">
      <c r="A955" s="14" t="s">
        <v>1901</v>
      </c>
      <c r="B955" t="s">
        <v>1902</v>
      </c>
      <c r="C955" t="s">
        <v>13</v>
      </c>
      <c r="D955">
        <v>1.03</v>
      </c>
      <c r="E955" t="s">
        <v>2632</v>
      </c>
      <c r="F955" t="s">
        <v>2633</v>
      </c>
      <c r="G955" s="1">
        <v>2.56</v>
      </c>
      <c r="H955" s="1"/>
      <c r="I955" t="s">
        <v>2634</v>
      </c>
      <c r="J955" t="s">
        <v>2634</v>
      </c>
      <c r="K955">
        <v>0</v>
      </c>
      <c r="L955">
        <v>0</v>
      </c>
    </row>
    <row r="956" spans="1:12">
      <c r="A956" s="14" t="s">
        <v>1903</v>
      </c>
      <c r="B956" t="s">
        <v>1904</v>
      </c>
      <c r="C956" t="s">
        <v>13</v>
      </c>
      <c r="D956">
        <v>1.1</v>
      </c>
      <c r="E956" t="s">
        <v>2632</v>
      </c>
      <c r="F956" t="s">
        <v>2633</v>
      </c>
      <c r="G956" s="1">
        <v>2.74</v>
      </c>
      <c r="H956" s="1"/>
      <c r="I956" t="s">
        <v>2634</v>
      </c>
      <c r="J956" t="s">
        <v>2634</v>
      </c>
      <c r="K956">
        <v>0</v>
      </c>
      <c r="L956">
        <v>0</v>
      </c>
    </row>
    <row r="957" spans="1:12">
      <c r="A957" s="14" t="s">
        <v>1905</v>
      </c>
      <c r="B957" t="s">
        <v>1906</v>
      </c>
      <c r="C957" t="s">
        <v>13</v>
      </c>
      <c r="D957">
        <v>1.17</v>
      </c>
      <c r="E957" t="s">
        <v>2632</v>
      </c>
      <c r="F957" t="s">
        <v>2633</v>
      </c>
      <c r="G957" s="1">
        <v>2.93</v>
      </c>
      <c r="H957" s="1"/>
      <c r="I957" t="s">
        <v>2634</v>
      </c>
      <c r="J957" t="s">
        <v>2634</v>
      </c>
      <c r="K957">
        <v>0</v>
      </c>
      <c r="L957">
        <v>0</v>
      </c>
    </row>
    <row r="958" spans="1:12">
      <c r="A958" s="14" t="s">
        <v>1907</v>
      </c>
      <c r="B958" t="s">
        <v>1908</v>
      </c>
      <c r="C958" t="s">
        <v>13</v>
      </c>
      <c r="D958">
        <v>1.82</v>
      </c>
      <c r="E958" t="s">
        <v>2632</v>
      </c>
      <c r="F958" t="s">
        <v>2633</v>
      </c>
      <c r="G958" s="1">
        <v>4.55</v>
      </c>
      <c r="H958" s="1"/>
      <c r="I958" t="s">
        <v>2634</v>
      </c>
      <c r="J958" t="s">
        <v>2634</v>
      </c>
      <c r="K958">
        <v>0</v>
      </c>
      <c r="L958">
        <v>0</v>
      </c>
    </row>
    <row r="959" spans="1:12">
      <c r="A959" s="14" t="s">
        <v>1909</v>
      </c>
      <c r="B959" t="s">
        <v>1910</v>
      </c>
      <c r="C959" t="s">
        <v>13</v>
      </c>
      <c r="D959">
        <v>18.24</v>
      </c>
      <c r="E959" t="s">
        <v>2632</v>
      </c>
      <c r="F959" t="s">
        <v>2633</v>
      </c>
      <c r="G959" s="1">
        <v>40.51</v>
      </c>
      <c r="H959" s="1"/>
      <c r="I959" t="s">
        <v>2634</v>
      </c>
      <c r="J959">
        <v>24</v>
      </c>
      <c r="K959">
        <v>0</v>
      </c>
      <c r="L959">
        <v>0</v>
      </c>
    </row>
    <row r="960" spans="1:12">
      <c r="A960" s="14" t="s">
        <v>1911</v>
      </c>
      <c r="B960" t="s">
        <v>1912</v>
      </c>
      <c r="C960" t="s">
        <v>13</v>
      </c>
      <c r="D960">
        <v>829.68</v>
      </c>
      <c r="E960" t="s">
        <v>2632</v>
      </c>
      <c r="F960" t="s">
        <v>2633</v>
      </c>
      <c r="G960" s="1">
        <v>1843.73</v>
      </c>
      <c r="H960" s="1"/>
      <c r="I960" t="s">
        <v>2634</v>
      </c>
      <c r="J960">
        <v>1</v>
      </c>
      <c r="K960">
        <v>0</v>
      </c>
      <c r="L960">
        <v>0</v>
      </c>
    </row>
    <row r="961" spans="1:12">
      <c r="A961" s="14" t="s">
        <v>1913</v>
      </c>
      <c r="B961" t="s">
        <v>1914</v>
      </c>
      <c r="C961" t="s">
        <v>13</v>
      </c>
      <c r="D961">
        <v>1029.72</v>
      </c>
      <c r="E961" t="s">
        <v>2632</v>
      </c>
      <c r="F961" t="s">
        <v>2633</v>
      </c>
      <c r="G961" s="1">
        <v>2288.26</v>
      </c>
      <c r="H961" s="1"/>
      <c r="I961" t="s">
        <v>2634</v>
      </c>
      <c r="J961">
        <v>1</v>
      </c>
      <c r="K961">
        <v>0</v>
      </c>
      <c r="L961">
        <v>0</v>
      </c>
    </row>
    <row r="962" spans="1:12">
      <c r="A962" s="14" t="s">
        <v>1915</v>
      </c>
      <c r="B962" t="s">
        <v>1170</v>
      </c>
      <c r="C962" t="s">
        <v>13</v>
      </c>
      <c r="D962">
        <v>1244.16</v>
      </c>
      <c r="E962" t="s">
        <v>2632</v>
      </c>
      <c r="F962" t="s">
        <v>2633</v>
      </c>
      <c r="G962" s="1">
        <v>2764.78</v>
      </c>
      <c r="H962" s="1"/>
      <c r="I962" t="s">
        <v>2634</v>
      </c>
      <c r="J962">
        <v>1</v>
      </c>
      <c r="K962">
        <v>0</v>
      </c>
      <c r="L962">
        <v>0</v>
      </c>
    </row>
    <row r="963" spans="1:12">
      <c r="A963" s="14" t="s">
        <v>1916</v>
      </c>
      <c r="B963" t="s">
        <v>1917</v>
      </c>
      <c r="C963" t="s">
        <v>13</v>
      </c>
      <c r="D963">
        <v>1483.4</v>
      </c>
      <c r="E963" t="s">
        <v>2632</v>
      </c>
      <c r="F963" t="s">
        <v>2633</v>
      </c>
      <c r="G963" s="1">
        <v>3296.45</v>
      </c>
      <c r="H963" s="1"/>
      <c r="I963" t="s">
        <v>2634</v>
      </c>
      <c r="J963">
        <v>1</v>
      </c>
      <c r="K963">
        <v>0</v>
      </c>
      <c r="L963">
        <v>0</v>
      </c>
    </row>
    <row r="964" spans="1:12">
      <c r="A964" s="14" t="s">
        <v>1918</v>
      </c>
      <c r="B964" t="s">
        <v>1919</v>
      </c>
      <c r="C964" t="s">
        <v>13</v>
      </c>
      <c r="D964">
        <v>1482.63</v>
      </c>
      <c r="E964" t="s">
        <v>2632</v>
      </c>
      <c r="F964" t="s">
        <v>2633</v>
      </c>
      <c r="G964" s="1">
        <v>3294.72</v>
      </c>
      <c r="H964" s="1"/>
      <c r="I964" t="s">
        <v>2634</v>
      </c>
      <c r="J964">
        <v>1</v>
      </c>
      <c r="K964">
        <v>0</v>
      </c>
      <c r="L964">
        <v>0</v>
      </c>
    </row>
    <row r="965" spans="1:12">
      <c r="A965" s="14" t="s">
        <v>1920</v>
      </c>
      <c r="B965" t="s">
        <v>1921</v>
      </c>
      <c r="C965" t="s">
        <v>13</v>
      </c>
      <c r="D965">
        <v>1727.06</v>
      </c>
      <c r="E965" t="s">
        <v>2632</v>
      </c>
      <c r="F965" t="s">
        <v>2633</v>
      </c>
      <c r="G965" s="1">
        <v>3837.89</v>
      </c>
      <c r="H965" s="1"/>
      <c r="I965" t="s">
        <v>2634</v>
      </c>
      <c r="J965">
        <v>1</v>
      </c>
      <c r="K965">
        <v>0</v>
      </c>
      <c r="L965">
        <v>0</v>
      </c>
    </row>
    <row r="966" spans="1:12">
      <c r="A966" s="14" t="s">
        <v>1922</v>
      </c>
      <c r="B966" t="s">
        <v>1923</v>
      </c>
      <c r="C966" t="s">
        <v>13</v>
      </c>
      <c r="D966">
        <v>55.97</v>
      </c>
      <c r="E966" t="s">
        <v>2632</v>
      </c>
      <c r="F966" t="s">
        <v>2633</v>
      </c>
      <c r="G966" s="1">
        <v>106.62</v>
      </c>
      <c r="H966" s="1"/>
      <c r="I966" t="s">
        <v>2634</v>
      </c>
      <c r="J966">
        <v>12</v>
      </c>
      <c r="K966">
        <v>0</v>
      </c>
      <c r="L966">
        <v>0</v>
      </c>
    </row>
    <row r="967" spans="1:12">
      <c r="A967" s="14" t="s">
        <v>1924</v>
      </c>
      <c r="B967" t="s">
        <v>1925</v>
      </c>
      <c r="C967" t="s">
        <v>13</v>
      </c>
      <c r="D967">
        <v>60.39</v>
      </c>
      <c r="E967" t="s">
        <v>2632</v>
      </c>
      <c r="F967" t="s">
        <v>2633</v>
      </c>
      <c r="G967" s="1">
        <v>115</v>
      </c>
      <c r="H967" s="1"/>
      <c r="I967" t="s">
        <v>2634</v>
      </c>
      <c r="J967" t="s">
        <v>2634</v>
      </c>
      <c r="K967">
        <v>0</v>
      </c>
      <c r="L967">
        <v>0</v>
      </c>
    </row>
    <row r="968" spans="1:12">
      <c r="A968" s="14" t="s">
        <v>1926</v>
      </c>
      <c r="B968" t="s">
        <v>1927</v>
      </c>
      <c r="C968" t="s">
        <v>13</v>
      </c>
      <c r="D968">
        <v>35.59</v>
      </c>
      <c r="E968" t="s">
        <v>2632</v>
      </c>
      <c r="F968" t="s">
        <v>2633</v>
      </c>
      <c r="G968" s="1">
        <v>79.12</v>
      </c>
      <c r="H968" s="1"/>
      <c r="I968" t="s">
        <v>2634</v>
      </c>
      <c r="J968" t="s">
        <v>2634</v>
      </c>
      <c r="K968">
        <v>0</v>
      </c>
      <c r="L968">
        <v>0</v>
      </c>
    </row>
    <row r="969" spans="1:12">
      <c r="A969" s="14" t="s">
        <v>1928</v>
      </c>
      <c r="B969" t="s">
        <v>1929</v>
      </c>
      <c r="C969" t="s">
        <v>13</v>
      </c>
      <c r="D969">
        <v>21.85</v>
      </c>
      <c r="E969" t="s">
        <v>2632</v>
      </c>
      <c r="F969" t="s">
        <v>2633</v>
      </c>
      <c r="G969" s="1">
        <v>48.55</v>
      </c>
      <c r="H969" s="1"/>
      <c r="I969" t="s">
        <v>2634</v>
      </c>
      <c r="J969">
        <v>12</v>
      </c>
      <c r="K969">
        <v>0</v>
      </c>
      <c r="L969">
        <v>0</v>
      </c>
    </row>
    <row r="970" spans="1:12">
      <c r="A970" s="14" t="s">
        <v>1930</v>
      </c>
      <c r="B970" t="s">
        <v>1931</v>
      </c>
      <c r="C970" t="s">
        <v>13</v>
      </c>
      <c r="D970">
        <v>12.11</v>
      </c>
      <c r="E970" t="s">
        <v>2632</v>
      </c>
      <c r="F970" t="s">
        <v>2633</v>
      </c>
      <c r="G970" s="1">
        <v>26.89</v>
      </c>
      <c r="H970" s="1"/>
      <c r="I970" t="s">
        <v>2634</v>
      </c>
      <c r="J970">
        <v>5</v>
      </c>
      <c r="K970">
        <v>0</v>
      </c>
      <c r="L970">
        <v>0</v>
      </c>
    </row>
    <row r="971" spans="1:12">
      <c r="A971" s="14" t="s">
        <v>1932</v>
      </c>
      <c r="B971" t="s">
        <v>1933</v>
      </c>
      <c r="C971" t="s">
        <v>13</v>
      </c>
      <c r="D971">
        <v>8.4</v>
      </c>
      <c r="E971" t="s">
        <v>2632</v>
      </c>
      <c r="F971" t="s">
        <v>2633</v>
      </c>
      <c r="G971" s="1">
        <v>18.66</v>
      </c>
      <c r="H971" s="1"/>
      <c r="I971" t="s">
        <v>2634</v>
      </c>
      <c r="J971" t="s">
        <v>2634</v>
      </c>
      <c r="K971">
        <v>0</v>
      </c>
      <c r="L971">
        <v>0</v>
      </c>
    </row>
    <row r="972" spans="1:12">
      <c r="A972" s="14" t="s">
        <v>1934</v>
      </c>
      <c r="B972" t="s">
        <v>1935</v>
      </c>
      <c r="C972" t="s">
        <v>13</v>
      </c>
      <c r="D972">
        <v>11.94</v>
      </c>
      <c r="E972" t="s">
        <v>2632</v>
      </c>
      <c r="F972" t="s">
        <v>2633</v>
      </c>
      <c r="G972" s="1">
        <v>26.54</v>
      </c>
      <c r="H972" s="1"/>
      <c r="I972" t="s">
        <v>2634</v>
      </c>
      <c r="J972">
        <v>5</v>
      </c>
      <c r="K972">
        <v>0</v>
      </c>
      <c r="L972">
        <v>0</v>
      </c>
    </row>
    <row r="973" spans="1:12">
      <c r="A973" s="14" t="s">
        <v>1936</v>
      </c>
      <c r="B973" t="s">
        <v>1937</v>
      </c>
      <c r="C973" t="s">
        <v>13</v>
      </c>
      <c r="D973">
        <v>8.18</v>
      </c>
      <c r="E973" t="s">
        <v>2632</v>
      </c>
      <c r="F973" t="s">
        <v>2633</v>
      </c>
      <c r="G973" s="1">
        <v>18.17</v>
      </c>
      <c r="H973" s="1"/>
      <c r="I973" t="s">
        <v>2634</v>
      </c>
      <c r="J973" t="s">
        <v>2634</v>
      </c>
      <c r="K973">
        <v>0</v>
      </c>
      <c r="L973">
        <v>0</v>
      </c>
    </row>
    <row r="974" spans="1:12">
      <c r="A974" s="14" t="s">
        <v>1938</v>
      </c>
      <c r="B974" t="s">
        <v>1939</v>
      </c>
      <c r="C974" t="s">
        <v>13</v>
      </c>
      <c r="D974">
        <v>11.94</v>
      </c>
      <c r="E974" t="s">
        <v>2632</v>
      </c>
      <c r="F974" t="s">
        <v>2633</v>
      </c>
      <c r="G974" s="1">
        <v>26.54</v>
      </c>
      <c r="H974" s="1"/>
      <c r="I974" t="s">
        <v>2634</v>
      </c>
      <c r="J974">
        <v>20</v>
      </c>
      <c r="K974">
        <v>0</v>
      </c>
      <c r="L974">
        <v>0</v>
      </c>
    </row>
    <row r="975" spans="1:12">
      <c r="A975" s="14" t="s">
        <v>1940</v>
      </c>
      <c r="B975" t="s">
        <v>1941</v>
      </c>
      <c r="C975" t="s">
        <v>13</v>
      </c>
      <c r="D975">
        <v>8.2</v>
      </c>
      <c r="E975" t="s">
        <v>2632</v>
      </c>
      <c r="F975" t="s">
        <v>2633</v>
      </c>
      <c r="G975" s="1">
        <v>18.21</v>
      </c>
      <c r="H975" s="1"/>
      <c r="I975" t="s">
        <v>2634</v>
      </c>
      <c r="J975" t="s">
        <v>2634</v>
      </c>
      <c r="K975">
        <v>0</v>
      </c>
      <c r="L975">
        <v>0</v>
      </c>
    </row>
    <row r="976" spans="1:12">
      <c r="A976" s="14" t="s">
        <v>1942</v>
      </c>
      <c r="B976" t="s">
        <v>1943</v>
      </c>
      <c r="C976" t="s">
        <v>13</v>
      </c>
      <c r="D976">
        <v>12.12</v>
      </c>
      <c r="E976" t="s">
        <v>2632</v>
      </c>
      <c r="F976" t="s">
        <v>2633</v>
      </c>
      <c r="G976" s="1">
        <v>26.91</v>
      </c>
      <c r="H976" s="1"/>
      <c r="I976" t="s">
        <v>2634</v>
      </c>
      <c r="J976" t="s">
        <v>2634</v>
      </c>
      <c r="K976">
        <v>0</v>
      </c>
      <c r="L976">
        <v>0</v>
      </c>
    </row>
    <row r="977" spans="1:12">
      <c r="A977" s="14" t="s">
        <v>1944</v>
      </c>
      <c r="B977" t="s">
        <v>1945</v>
      </c>
      <c r="C977" t="s">
        <v>13</v>
      </c>
      <c r="D977">
        <v>8.42</v>
      </c>
      <c r="E977" t="s">
        <v>2632</v>
      </c>
      <c r="F977" t="s">
        <v>2633</v>
      </c>
      <c r="G977" s="1">
        <v>18.72</v>
      </c>
      <c r="H977" s="1"/>
      <c r="I977" t="s">
        <v>2634</v>
      </c>
      <c r="J977" t="s">
        <v>2634</v>
      </c>
      <c r="K977">
        <v>0</v>
      </c>
      <c r="L977">
        <v>0</v>
      </c>
    </row>
    <row r="978" spans="1:12">
      <c r="A978" s="14" t="s">
        <v>1946</v>
      </c>
      <c r="B978" t="s">
        <v>1947</v>
      </c>
      <c r="C978" t="s">
        <v>13</v>
      </c>
      <c r="D978">
        <v>8.2</v>
      </c>
      <c r="E978" t="s">
        <v>2632</v>
      </c>
      <c r="F978" t="s">
        <v>2633</v>
      </c>
      <c r="G978" s="1">
        <v>18.21</v>
      </c>
      <c r="H978" s="1"/>
      <c r="I978" t="s">
        <v>2634</v>
      </c>
      <c r="J978" t="s">
        <v>2634</v>
      </c>
      <c r="K978">
        <v>0</v>
      </c>
      <c r="L978">
        <v>0</v>
      </c>
    </row>
    <row r="979" spans="1:12">
      <c r="A979" s="14" t="s">
        <v>1948</v>
      </c>
      <c r="B979" t="s">
        <v>1949</v>
      </c>
      <c r="C979" t="s">
        <v>13</v>
      </c>
      <c r="D979">
        <v>12.12</v>
      </c>
      <c r="E979" t="s">
        <v>2632</v>
      </c>
      <c r="F979" t="s">
        <v>2633</v>
      </c>
      <c r="G979" s="1">
        <v>26.91</v>
      </c>
      <c r="H979" s="1"/>
      <c r="I979" t="s">
        <v>2634</v>
      </c>
      <c r="J979" t="s">
        <v>2634</v>
      </c>
      <c r="K979">
        <v>0</v>
      </c>
      <c r="L979">
        <v>0</v>
      </c>
    </row>
    <row r="980" spans="1:12">
      <c r="A980" s="14" t="s">
        <v>1950</v>
      </c>
      <c r="B980" t="s">
        <v>1951</v>
      </c>
      <c r="C980" t="s">
        <v>13</v>
      </c>
      <c r="D980">
        <v>8.42</v>
      </c>
      <c r="E980" t="s">
        <v>2632</v>
      </c>
      <c r="F980" t="s">
        <v>2633</v>
      </c>
      <c r="G980" s="1">
        <v>18.72</v>
      </c>
      <c r="H980" s="1"/>
      <c r="I980" t="s">
        <v>2634</v>
      </c>
      <c r="J980" t="s">
        <v>2634</v>
      </c>
      <c r="K980">
        <v>0</v>
      </c>
      <c r="L980">
        <v>0</v>
      </c>
    </row>
    <row r="981" spans="1:12">
      <c r="A981" s="14" t="s">
        <v>1952</v>
      </c>
      <c r="B981" t="s">
        <v>1953</v>
      </c>
      <c r="C981" t="s">
        <v>13</v>
      </c>
      <c r="D981">
        <v>11.94</v>
      </c>
      <c r="E981" t="s">
        <v>2632</v>
      </c>
      <c r="F981" t="s">
        <v>2633</v>
      </c>
      <c r="G981" s="1">
        <v>26.54</v>
      </c>
      <c r="H981" s="1"/>
      <c r="I981" t="s">
        <v>2634</v>
      </c>
      <c r="J981" t="s">
        <v>2634</v>
      </c>
      <c r="K981">
        <v>0</v>
      </c>
      <c r="L981">
        <v>0</v>
      </c>
    </row>
    <row r="982" spans="1:12">
      <c r="A982" s="14" t="s">
        <v>1954</v>
      </c>
      <c r="B982" t="s">
        <v>1955</v>
      </c>
      <c r="C982" t="s">
        <v>13</v>
      </c>
      <c r="D982">
        <v>8.2</v>
      </c>
      <c r="E982" t="s">
        <v>2632</v>
      </c>
      <c r="F982" t="s">
        <v>2633</v>
      </c>
      <c r="G982" s="1">
        <v>18.21</v>
      </c>
      <c r="H982" s="1"/>
      <c r="I982" t="s">
        <v>2634</v>
      </c>
      <c r="J982" t="s">
        <v>2634</v>
      </c>
      <c r="K982">
        <v>0</v>
      </c>
      <c r="L982">
        <v>0</v>
      </c>
    </row>
    <row r="983" spans="1:12">
      <c r="A983" s="14" t="s">
        <v>1956</v>
      </c>
      <c r="B983" t="s">
        <v>1957</v>
      </c>
      <c r="C983" t="s">
        <v>13</v>
      </c>
      <c r="D983">
        <v>11.94</v>
      </c>
      <c r="E983" t="s">
        <v>2632</v>
      </c>
      <c r="F983" t="s">
        <v>2633</v>
      </c>
      <c r="G983" s="1">
        <v>26.54</v>
      </c>
      <c r="H983" s="1"/>
      <c r="I983" t="s">
        <v>2634</v>
      </c>
      <c r="J983" t="s">
        <v>2634</v>
      </c>
      <c r="K983">
        <v>0</v>
      </c>
      <c r="L983">
        <v>0</v>
      </c>
    </row>
    <row r="984" spans="1:12">
      <c r="A984" s="14" t="s">
        <v>1958</v>
      </c>
      <c r="B984" t="s">
        <v>1959</v>
      </c>
      <c r="C984" t="s">
        <v>13</v>
      </c>
      <c r="D984">
        <v>8.2</v>
      </c>
      <c r="E984" t="s">
        <v>2632</v>
      </c>
      <c r="F984" t="s">
        <v>2633</v>
      </c>
      <c r="G984" s="1">
        <v>18.21</v>
      </c>
      <c r="H984" s="1"/>
      <c r="I984" t="s">
        <v>2634</v>
      </c>
      <c r="J984" t="s">
        <v>2634</v>
      </c>
      <c r="K984">
        <v>0</v>
      </c>
      <c r="L984">
        <v>0</v>
      </c>
    </row>
    <row r="985" spans="1:12">
      <c r="A985" s="14" t="s">
        <v>1960</v>
      </c>
      <c r="B985" t="s">
        <v>1961</v>
      </c>
      <c r="C985" t="s">
        <v>13</v>
      </c>
      <c r="D985">
        <v>16.71</v>
      </c>
      <c r="E985" t="s">
        <v>2632</v>
      </c>
      <c r="F985" t="s">
        <v>2633</v>
      </c>
      <c r="G985" s="1">
        <v>37.13</v>
      </c>
      <c r="H985" s="2" t="s">
        <v>2635</v>
      </c>
      <c r="I985" t="s">
        <v>2636</v>
      </c>
      <c r="J985">
        <v>10</v>
      </c>
      <c r="K985">
        <v>0</v>
      </c>
      <c r="L985">
        <v>0</v>
      </c>
    </row>
    <row r="986" spans="1:12">
      <c r="A986" s="14" t="s">
        <v>1962</v>
      </c>
      <c r="B986" t="s">
        <v>1963</v>
      </c>
      <c r="C986" t="s">
        <v>13</v>
      </c>
      <c r="D986">
        <v>78.71</v>
      </c>
      <c r="E986" t="s">
        <v>2632</v>
      </c>
      <c r="F986" t="s">
        <v>2633</v>
      </c>
      <c r="G986" s="1">
        <v>174.91</v>
      </c>
      <c r="H986" s="1"/>
      <c r="I986" t="s">
        <v>2634</v>
      </c>
      <c r="J986" t="s">
        <v>2634</v>
      </c>
      <c r="K986">
        <v>0</v>
      </c>
      <c r="L986">
        <v>0</v>
      </c>
    </row>
    <row r="987" spans="1:12">
      <c r="A987" s="14" t="s">
        <v>1964</v>
      </c>
      <c r="B987" t="s">
        <v>1965</v>
      </c>
      <c r="C987" t="s">
        <v>13</v>
      </c>
      <c r="D987">
        <v>74.7</v>
      </c>
      <c r="E987" t="s">
        <v>2632</v>
      </c>
      <c r="F987" t="s">
        <v>2633</v>
      </c>
      <c r="G987" s="1">
        <v>166.02</v>
      </c>
      <c r="H987" s="1"/>
      <c r="I987" t="s">
        <v>2634</v>
      </c>
      <c r="J987" t="s">
        <v>2634</v>
      </c>
      <c r="K987">
        <v>0</v>
      </c>
      <c r="L987">
        <v>0</v>
      </c>
    </row>
    <row r="988" spans="1:12">
      <c r="A988" s="14" t="s">
        <v>1966</v>
      </c>
      <c r="B988" t="s">
        <v>1967</v>
      </c>
      <c r="C988" t="s">
        <v>13</v>
      </c>
      <c r="D988">
        <v>77.3</v>
      </c>
      <c r="E988" t="s">
        <v>2632</v>
      </c>
      <c r="F988" t="s">
        <v>2633</v>
      </c>
      <c r="G988" s="1">
        <v>171.77</v>
      </c>
      <c r="H988" s="1"/>
      <c r="I988" t="s">
        <v>2634</v>
      </c>
      <c r="J988" t="s">
        <v>2634</v>
      </c>
      <c r="K988">
        <v>0</v>
      </c>
      <c r="L988">
        <v>0</v>
      </c>
    </row>
    <row r="989" spans="1:12">
      <c r="A989" s="14" t="s">
        <v>1968</v>
      </c>
      <c r="B989" t="s">
        <v>1969</v>
      </c>
      <c r="C989" t="s">
        <v>13</v>
      </c>
      <c r="D989">
        <v>72.76</v>
      </c>
      <c r="E989" t="s">
        <v>2632</v>
      </c>
      <c r="F989" t="s">
        <v>2633</v>
      </c>
      <c r="G989" s="1">
        <v>161.69</v>
      </c>
      <c r="H989" s="1"/>
      <c r="I989" t="s">
        <v>2634</v>
      </c>
      <c r="J989" t="s">
        <v>2634</v>
      </c>
      <c r="K989">
        <v>0</v>
      </c>
      <c r="L989">
        <v>0</v>
      </c>
    </row>
    <row r="990" spans="1:12">
      <c r="A990" s="14" t="s">
        <v>1970</v>
      </c>
      <c r="B990" t="s">
        <v>1971</v>
      </c>
      <c r="C990" t="s">
        <v>13</v>
      </c>
      <c r="D990">
        <v>0.65</v>
      </c>
      <c r="E990" t="s">
        <v>2632</v>
      </c>
      <c r="F990" t="s">
        <v>2633</v>
      </c>
      <c r="G990" s="1">
        <v>1.23</v>
      </c>
      <c r="H990" s="1"/>
      <c r="I990" t="s">
        <v>2634</v>
      </c>
      <c r="J990" t="s">
        <v>2634</v>
      </c>
      <c r="K990">
        <v>0</v>
      </c>
      <c r="L990">
        <v>0</v>
      </c>
    </row>
    <row r="991" spans="1:12">
      <c r="A991" s="14" t="s">
        <v>1972</v>
      </c>
      <c r="B991" t="s">
        <v>1973</v>
      </c>
      <c r="C991" t="s">
        <v>13</v>
      </c>
      <c r="D991">
        <v>5.07</v>
      </c>
      <c r="E991" t="s">
        <v>2632</v>
      </c>
      <c r="F991" t="s">
        <v>2633</v>
      </c>
      <c r="G991" s="1">
        <v>9.69</v>
      </c>
      <c r="H991" s="1"/>
      <c r="I991" t="s">
        <v>2634</v>
      </c>
      <c r="J991" t="s">
        <v>2634</v>
      </c>
      <c r="K991">
        <v>0</v>
      </c>
      <c r="L991">
        <v>0</v>
      </c>
    </row>
    <row r="992" spans="1:12">
      <c r="A992" s="14" t="s">
        <v>1974</v>
      </c>
      <c r="B992" t="s">
        <v>1975</v>
      </c>
      <c r="C992" t="s">
        <v>13</v>
      </c>
      <c r="D992">
        <v>3.44</v>
      </c>
      <c r="E992" t="s">
        <v>2632</v>
      </c>
      <c r="F992" t="s">
        <v>2633</v>
      </c>
      <c r="G992" s="1">
        <v>6.57</v>
      </c>
      <c r="H992" s="1"/>
      <c r="I992" t="s">
        <v>2634</v>
      </c>
      <c r="J992" t="s">
        <v>2634</v>
      </c>
      <c r="K992">
        <v>0</v>
      </c>
      <c r="L992">
        <v>0</v>
      </c>
    </row>
    <row r="993" spans="1:12">
      <c r="A993" s="14" t="s">
        <v>1976</v>
      </c>
      <c r="B993" t="s">
        <v>1977</v>
      </c>
      <c r="C993" t="s">
        <v>13</v>
      </c>
      <c r="D993">
        <v>4.34</v>
      </c>
      <c r="E993" t="s">
        <v>2632</v>
      </c>
      <c r="F993" t="s">
        <v>2633</v>
      </c>
      <c r="G993" s="1">
        <v>8.28</v>
      </c>
      <c r="H993" s="1"/>
      <c r="I993" t="s">
        <v>2634</v>
      </c>
      <c r="J993" t="s">
        <v>2634</v>
      </c>
      <c r="K993">
        <v>0</v>
      </c>
      <c r="L993">
        <v>0</v>
      </c>
    </row>
    <row r="994" spans="1:12">
      <c r="A994" s="14" t="s">
        <v>1978</v>
      </c>
      <c r="B994" t="s">
        <v>1979</v>
      </c>
      <c r="C994" t="s">
        <v>13</v>
      </c>
      <c r="D994">
        <v>0.84</v>
      </c>
      <c r="E994" t="s">
        <v>2632</v>
      </c>
      <c r="F994" t="s">
        <v>2633</v>
      </c>
      <c r="G994" s="1">
        <v>1.59</v>
      </c>
      <c r="H994" s="1"/>
      <c r="I994" t="s">
        <v>2634</v>
      </c>
      <c r="J994" t="s">
        <v>2634</v>
      </c>
      <c r="K994">
        <v>0</v>
      </c>
      <c r="L994">
        <v>0</v>
      </c>
    </row>
    <row r="995" spans="1:12">
      <c r="A995" s="14" t="s">
        <v>1980</v>
      </c>
      <c r="B995" t="s">
        <v>1981</v>
      </c>
      <c r="C995" t="s">
        <v>13</v>
      </c>
      <c r="D995">
        <v>30.91</v>
      </c>
      <c r="E995" t="s">
        <v>2632</v>
      </c>
      <c r="F995" t="s">
        <v>2633</v>
      </c>
      <c r="G995" s="1">
        <v>68.7</v>
      </c>
      <c r="H995" s="1"/>
      <c r="I995" t="s">
        <v>2634</v>
      </c>
      <c r="J995" t="s">
        <v>2634</v>
      </c>
      <c r="K995">
        <v>0</v>
      </c>
      <c r="L995">
        <v>0</v>
      </c>
    </row>
    <row r="996" spans="1:12">
      <c r="A996" s="14" t="s">
        <v>1982</v>
      </c>
      <c r="B996" t="s">
        <v>1983</v>
      </c>
      <c r="C996" t="s">
        <v>13</v>
      </c>
      <c r="D996">
        <v>30.91</v>
      </c>
      <c r="E996" t="s">
        <v>2632</v>
      </c>
      <c r="F996" t="s">
        <v>2633</v>
      </c>
      <c r="G996" s="1">
        <v>68.7</v>
      </c>
      <c r="H996" s="1"/>
      <c r="I996" t="s">
        <v>2634</v>
      </c>
      <c r="J996" t="s">
        <v>2634</v>
      </c>
      <c r="K996">
        <v>0</v>
      </c>
      <c r="L996">
        <v>0</v>
      </c>
    </row>
    <row r="997" spans="1:12">
      <c r="A997" s="14" t="s">
        <v>1984</v>
      </c>
      <c r="B997" t="s">
        <v>1985</v>
      </c>
      <c r="C997" t="s">
        <v>13</v>
      </c>
      <c r="D997">
        <v>34.94</v>
      </c>
      <c r="E997" t="s">
        <v>2632</v>
      </c>
      <c r="F997" t="s">
        <v>2633</v>
      </c>
      <c r="G997" s="1">
        <v>77.66</v>
      </c>
      <c r="H997" s="1"/>
      <c r="I997" t="s">
        <v>2634</v>
      </c>
      <c r="J997" t="s">
        <v>2634</v>
      </c>
      <c r="K997">
        <v>0</v>
      </c>
      <c r="L997">
        <v>0</v>
      </c>
    </row>
    <row r="998" spans="1:12">
      <c r="A998" s="14" t="s">
        <v>1986</v>
      </c>
      <c r="B998" t="s">
        <v>1987</v>
      </c>
      <c r="C998" t="s">
        <v>13</v>
      </c>
      <c r="D998">
        <v>30.91</v>
      </c>
      <c r="E998" t="s">
        <v>2632</v>
      </c>
      <c r="F998" t="s">
        <v>2633</v>
      </c>
      <c r="G998" s="1">
        <v>68.7</v>
      </c>
      <c r="H998" s="1"/>
      <c r="I998" t="s">
        <v>2634</v>
      </c>
      <c r="J998" t="s">
        <v>2634</v>
      </c>
      <c r="K998">
        <v>0</v>
      </c>
      <c r="L998">
        <v>0</v>
      </c>
    </row>
    <row r="999" spans="1:12">
      <c r="A999" s="14" t="s">
        <v>1988</v>
      </c>
      <c r="B999" t="s">
        <v>1989</v>
      </c>
      <c r="C999" t="s">
        <v>13</v>
      </c>
      <c r="D999">
        <v>30.91</v>
      </c>
      <c r="E999" t="s">
        <v>2632</v>
      </c>
      <c r="F999" t="s">
        <v>2633</v>
      </c>
      <c r="G999" s="1">
        <v>68.7</v>
      </c>
      <c r="H999" s="1"/>
      <c r="I999" t="s">
        <v>2634</v>
      </c>
      <c r="J999" t="s">
        <v>2634</v>
      </c>
      <c r="K999">
        <v>0</v>
      </c>
      <c r="L999">
        <v>0</v>
      </c>
    </row>
    <row r="1000" spans="1:12">
      <c r="A1000" s="14" t="s">
        <v>1990</v>
      </c>
      <c r="B1000" t="s">
        <v>1991</v>
      </c>
      <c r="C1000" t="s">
        <v>13</v>
      </c>
      <c r="D1000">
        <v>34.94</v>
      </c>
      <c r="E1000" t="s">
        <v>2632</v>
      </c>
      <c r="F1000" t="s">
        <v>2633</v>
      </c>
      <c r="G1000" s="1">
        <v>77.66</v>
      </c>
      <c r="H1000" s="1"/>
      <c r="I1000" t="s">
        <v>2634</v>
      </c>
      <c r="J1000" t="s">
        <v>2634</v>
      </c>
      <c r="K1000">
        <v>0</v>
      </c>
      <c r="L1000">
        <v>0</v>
      </c>
    </row>
    <row r="1001" spans="1:12">
      <c r="A1001" s="14" t="s">
        <v>1992</v>
      </c>
      <c r="B1001" t="s">
        <v>1993</v>
      </c>
      <c r="C1001" t="s">
        <v>13</v>
      </c>
      <c r="D1001">
        <v>30.91</v>
      </c>
      <c r="E1001" t="s">
        <v>2632</v>
      </c>
      <c r="F1001" t="s">
        <v>2633</v>
      </c>
      <c r="G1001" s="1">
        <v>68.7</v>
      </c>
      <c r="H1001" s="1"/>
      <c r="I1001" t="s">
        <v>2634</v>
      </c>
      <c r="J1001" t="s">
        <v>2634</v>
      </c>
      <c r="K1001">
        <v>0</v>
      </c>
      <c r="L1001">
        <v>0</v>
      </c>
    </row>
    <row r="1002" spans="1:12">
      <c r="A1002" s="14" t="s">
        <v>1994</v>
      </c>
      <c r="B1002" t="s">
        <v>1995</v>
      </c>
      <c r="C1002" t="s">
        <v>13</v>
      </c>
      <c r="D1002">
        <v>27.43</v>
      </c>
      <c r="E1002" t="s">
        <v>2632</v>
      </c>
      <c r="F1002" t="s">
        <v>2633</v>
      </c>
      <c r="G1002" s="1">
        <v>60.95</v>
      </c>
      <c r="H1002" s="1"/>
      <c r="I1002" t="s">
        <v>2634</v>
      </c>
      <c r="J1002" t="s">
        <v>2634</v>
      </c>
      <c r="K1002">
        <v>0</v>
      </c>
      <c r="L1002">
        <v>0</v>
      </c>
    </row>
    <row r="1003" spans="1:12">
      <c r="A1003" s="14" t="s">
        <v>1996</v>
      </c>
      <c r="B1003" t="s">
        <v>1997</v>
      </c>
      <c r="C1003" t="s">
        <v>13</v>
      </c>
      <c r="D1003">
        <v>30.91</v>
      </c>
      <c r="E1003" t="s">
        <v>2632</v>
      </c>
      <c r="F1003" t="s">
        <v>2633</v>
      </c>
      <c r="G1003" s="1">
        <v>68.7</v>
      </c>
      <c r="H1003" s="1"/>
      <c r="I1003" t="s">
        <v>2634</v>
      </c>
      <c r="J1003" t="s">
        <v>2634</v>
      </c>
      <c r="K1003">
        <v>0</v>
      </c>
      <c r="L1003">
        <v>0</v>
      </c>
    </row>
    <row r="1004" spans="1:12">
      <c r="A1004" s="14" t="s">
        <v>1998</v>
      </c>
      <c r="B1004" t="s">
        <v>1999</v>
      </c>
      <c r="C1004" t="s">
        <v>13</v>
      </c>
      <c r="D1004">
        <v>34.18</v>
      </c>
      <c r="E1004" t="s">
        <v>2632</v>
      </c>
      <c r="F1004" t="s">
        <v>2633</v>
      </c>
      <c r="G1004" s="1">
        <v>75.95</v>
      </c>
      <c r="H1004" s="1"/>
      <c r="I1004" t="s">
        <v>2634</v>
      </c>
      <c r="J1004" t="s">
        <v>2634</v>
      </c>
      <c r="K1004">
        <v>0</v>
      </c>
      <c r="L1004">
        <v>0</v>
      </c>
    </row>
    <row r="1005" spans="1:12">
      <c r="A1005" s="14" t="s">
        <v>2000</v>
      </c>
      <c r="B1005" t="s">
        <v>2001</v>
      </c>
      <c r="C1005" t="s">
        <v>13</v>
      </c>
      <c r="D1005">
        <v>35.59</v>
      </c>
      <c r="E1005" t="s">
        <v>2632</v>
      </c>
      <c r="F1005" t="s">
        <v>2633</v>
      </c>
      <c r="G1005" s="1">
        <v>79.12</v>
      </c>
      <c r="H1005" s="1"/>
      <c r="I1005" t="s">
        <v>2634</v>
      </c>
      <c r="J1005" t="s">
        <v>2634</v>
      </c>
      <c r="K1005">
        <v>0</v>
      </c>
      <c r="L1005">
        <v>0</v>
      </c>
    </row>
    <row r="1006" spans="1:12">
      <c r="A1006" s="14" t="s">
        <v>2002</v>
      </c>
      <c r="B1006" t="s">
        <v>2003</v>
      </c>
      <c r="C1006" t="s">
        <v>13</v>
      </c>
      <c r="D1006">
        <v>1133.63</v>
      </c>
      <c r="E1006" t="s">
        <v>2632</v>
      </c>
      <c r="F1006" t="s">
        <v>2633</v>
      </c>
      <c r="G1006" s="1">
        <v>2519.17</v>
      </c>
      <c r="H1006" s="1"/>
      <c r="I1006" t="s">
        <v>2634</v>
      </c>
      <c r="J1006">
        <v>1</v>
      </c>
      <c r="K1006">
        <v>0</v>
      </c>
      <c r="L1006">
        <v>0</v>
      </c>
    </row>
    <row r="1007" spans="1:12">
      <c r="A1007" s="14" t="s">
        <v>2004</v>
      </c>
      <c r="B1007" t="s">
        <v>2005</v>
      </c>
      <c r="C1007" t="s">
        <v>13</v>
      </c>
      <c r="D1007">
        <v>1259.42</v>
      </c>
      <c r="E1007" t="s">
        <v>2632</v>
      </c>
      <c r="F1007" t="s">
        <v>2633</v>
      </c>
      <c r="G1007" s="1">
        <v>2798.71</v>
      </c>
      <c r="H1007" s="1"/>
      <c r="I1007" t="s">
        <v>2634</v>
      </c>
      <c r="J1007">
        <v>1</v>
      </c>
      <c r="K1007">
        <v>0</v>
      </c>
      <c r="L1007">
        <v>0</v>
      </c>
    </row>
    <row r="1008" spans="1:12">
      <c r="A1008" s="14" t="s">
        <v>2006</v>
      </c>
      <c r="B1008" t="s">
        <v>2007</v>
      </c>
      <c r="C1008" t="s">
        <v>13</v>
      </c>
      <c r="D1008">
        <v>956.23</v>
      </c>
      <c r="E1008" t="s">
        <v>2632</v>
      </c>
      <c r="F1008" t="s">
        <v>2633</v>
      </c>
      <c r="G1008" s="1">
        <v>2124.95</v>
      </c>
      <c r="H1008" s="1"/>
      <c r="I1008" t="s">
        <v>2634</v>
      </c>
      <c r="J1008">
        <v>1</v>
      </c>
      <c r="K1008">
        <v>0</v>
      </c>
      <c r="L1008">
        <v>0</v>
      </c>
    </row>
    <row r="1009" spans="1:12">
      <c r="A1009" s="14" t="s">
        <v>2008</v>
      </c>
      <c r="B1009" t="s">
        <v>2009</v>
      </c>
      <c r="C1009" t="s">
        <v>13</v>
      </c>
      <c r="D1009">
        <v>1372.84</v>
      </c>
      <c r="E1009" t="s">
        <v>2632</v>
      </c>
      <c r="F1009" t="s">
        <v>2633</v>
      </c>
      <c r="G1009" s="1">
        <v>3050.73</v>
      </c>
      <c r="H1009" s="1"/>
      <c r="I1009" t="s">
        <v>2634</v>
      </c>
      <c r="J1009">
        <v>1</v>
      </c>
      <c r="K1009">
        <v>0</v>
      </c>
      <c r="L1009">
        <v>0</v>
      </c>
    </row>
    <row r="1010" spans="1:12">
      <c r="A1010" s="14" t="s">
        <v>2010</v>
      </c>
      <c r="B1010" t="s">
        <v>2011</v>
      </c>
      <c r="C1010" t="s">
        <v>13</v>
      </c>
      <c r="D1010">
        <v>876.41</v>
      </c>
      <c r="E1010" t="s">
        <v>2632</v>
      </c>
      <c r="F1010" t="s">
        <v>2633</v>
      </c>
      <c r="G1010" s="1">
        <v>1947.57</v>
      </c>
      <c r="H1010" s="1"/>
      <c r="I1010" t="s">
        <v>2634</v>
      </c>
      <c r="J1010">
        <v>1</v>
      </c>
      <c r="K1010">
        <v>0</v>
      </c>
      <c r="L1010">
        <v>0</v>
      </c>
    </row>
    <row r="1011" spans="1:12">
      <c r="A1011" s="14" t="s">
        <v>2012</v>
      </c>
      <c r="B1011" t="s">
        <v>2013</v>
      </c>
      <c r="C1011" t="s">
        <v>13</v>
      </c>
      <c r="D1011">
        <v>4.83</v>
      </c>
      <c r="E1011" t="s">
        <v>2632</v>
      </c>
      <c r="F1011" t="s">
        <v>2633</v>
      </c>
      <c r="G1011" s="1">
        <v>9.21</v>
      </c>
      <c r="H1011" s="1"/>
      <c r="I1011" t="s">
        <v>2634</v>
      </c>
      <c r="J1011" t="s">
        <v>2634</v>
      </c>
      <c r="K1011">
        <v>0</v>
      </c>
      <c r="L1011">
        <v>0</v>
      </c>
    </row>
    <row r="1012" spans="1:12">
      <c r="A1012" s="14" t="s">
        <v>2014</v>
      </c>
      <c r="B1012" t="s">
        <v>2015</v>
      </c>
      <c r="C1012" t="s">
        <v>13</v>
      </c>
      <c r="D1012">
        <v>1.79</v>
      </c>
      <c r="E1012" t="s">
        <v>2632</v>
      </c>
      <c r="F1012" t="s">
        <v>2633</v>
      </c>
      <c r="G1012" s="1">
        <v>3.43</v>
      </c>
      <c r="H1012" s="1"/>
      <c r="I1012" t="s">
        <v>2634</v>
      </c>
      <c r="J1012" t="s">
        <v>2634</v>
      </c>
      <c r="K1012">
        <v>0</v>
      </c>
      <c r="L1012">
        <v>0</v>
      </c>
    </row>
    <row r="1013" spans="1:12">
      <c r="A1013" s="14" t="s">
        <v>2016</v>
      </c>
      <c r="B1013" t="s">
        <v>2017</v>
      </c>
      <c r="C1013" t="s">
        <v>13</v>
      </c>
      <c r="D1013">
        <v>1.53</v>
      </c>
      <c r="E1013" t="s">
        <v>2632</v>
      </c>
      <c r="F1013" t="s">
        <v>2633</v>
      </c>
      <c r="G1013" s="1">
        <v>2.93</v>
      </c>
      <c r="H1013" s="1"/>
      <c r="I1013" t="s">
        <v>2634</v>
      </c>
      <c r="J1013" t="s">
        <v>2634</v>
      </c>
      <c r="K1013">
        <v>0</v>
      </c>
      <c r="L1013">
        <v>0</v>
      </c>
    </row>
    <row r="1014" spans="1:12">
      <c r="A1014" s="14" t="s">
        <v>2018</v>
      </c>
      <c r="B1014" t="s">
        <v>2019</v>
      </c>
      <c r="C1014" t="s">
        <v>13</v>
      </c>
      <c r="D1014">
        <v>6.03</v>
      </c>
      <c r="E1014" t="s">
        <v>2632</v>
      </c>
      <c r="F1014" t="s">
        <v>2633</v>
      </c>
      <c r="G1014" s="1">
        <v>11.51</v>
      </c>
      <c r="H1014" s="1"/>
      <c r="I1014" t="s">
        <v>2634</v>
      </c>
      <c r="J1014" t="s">
        <v>2634</v>
      </c>
      <c r="K1014">
        <v>0</v>
      </c>
      <c r="L1014">
        <v>0</v>
      </c>
    </row>
    <row r="1015" spans="1:12">
      <c r="A1015" s="14" t="s">
        <v>2020</v>
      </c>
      <c r="B1015" t="s">
        <v>2021</v>
      </c>
      <c r="C1015" t="s">
        <v>13</v>
      </c>
      <c r="D1015">
        <v>33.24</v>
      </c>
      <c r="E1015" t="s">
        <v>2632</v>
      </c>
      <c r="F1015" t="s">
        <v>2633</v>
      </c>
      <c r="G1015" s="1">
        <v>63.29</v>
      </c>
      <c r="H1015" s="1"/>
      <c r="I1015" t="s">
        <v>2634</v>
      </c>
      <c r="J1015" t="s">
        <v>2634</v>
      </c>
      <c r="K1015">
        <v>0</v>
      </c>
      <c r="L1015">
        <v>0</v>
      </c>
    </row>
    <row r="1016" spans="1:12">
      <c r="A1016" s="14" t="s">
        <v>2022</v>
      </c>
      <c r="B1016" t="s">
        <v>2023</v>
      </c>
      <c r="C1016" t="s">
        <v>13</v>
      </c>
      <c r="D1016">
        <v>33.42</v>
      </c>
      <c r="E1016" t="s">
        <v>2632</v>
      </c>
      <c r="F1016" t="s">
        <v>2633</v>
      </c>
      <c r="G1016" s="1">
        <v>63.63</v>
      </c>
      <c r="H1016" s="1"/>
      <c r="I1016" t="s">
        <v>2634</v>
      </c>
      <c r="J1016" t="s">
        <v>2634</v>
      </c>
      <c r="K1016">
        <v>0</v>
      </c>
      <c r="L1016">
        <v>0</v>
      </c>
    </row>
    <row r="1017" spans="1:12">
      <c r="A1017" s="14" t="s">
        <v>2024</v>
      </c>
      <c r="B1017" t="s">
        <v>2025</v>
      </c>
      <c r="C1017" t="s">
        <v>13</v>
      </c>
      <c r="D1017">
        <v>10.57</v>
      </c>
      <c r="E1017" t="s">
        <v>2632</v>
      </c>
      <c r="F1017" t="s">
        <v>2633</v>
      </c>
      <c r="G1017" s="1">
        <v>20.14</v>
      </c>
      <c r="H1017" s="1"/>
      <c r="I1017" t="s">
        <v>2634</v>
      </c>
      <c r="J1017" t="s">
        <v>2634</v>
      </c>
      <c r="K1017">
        <v>0</v>
      </c>
      <c r="L1017">
        <v>0</v>
      </c>
    </row>
    <row r="1018" spans="1:12">
      <c r="A1018" s="14" t="s">
        <v>2026</v>
      </c>
      <c r="B1018" t="s">
        <v>2027</v>
      </c>
      <c r="C1018" t="s">
        <v>13</v>
      </c>
      <c r="D1018">
        <v>22.25</v>
      </c>
      <c r="E1018" t="s">
        <v>2632</v>
      </c>
      <c r="F1018" t="s">
        <v>2633</v>
      </c>
      <c r="G1018" s="1">
        <v>42.41</v>
      </c>
      <c r="H1018" s="1"/>
      <c r="I1018" t="s">
        <v>2634</v>
      </c>
      <c r="J1018" t="s">
        <v>2634</v>
      </c>
      <c r="K1018">
        <v>0</v>
      </c>
      <c r="L1018">
        <v>0</v>
      </c>
    </row>
    <row r="1019" spans="1:12">
      <c r="A1019" s="14" t="s">
        <v>2028</v>
      </c>
      <c r="B1019" t="s">
        <v>2029</v>
      </c>
      <c r="C1019" t="s">
        <v>13</v>
      </c>
      <c r="D1019">
        <v>38.73</v>
      </c>
      <c r="E1019" t="s">
        <v>2632</v>
      </c>
      <c r="F1019" t="s">
        <v>2633</v>
      </c>
      <c r="G1019" s="1">
        <v>73.77</v>
      </c>
      <c r="H1019" s="1"/>
      <c r="I1019" t="s">
        <v>2634</v>
      </c>
      <c r="J1019" t="s">
        <v>2634</v>
      </c>
      <c r="K1019">
        <v>0</v>
      </c>
      <c r="L1019">
        <v>0</v>
      </c>
    </row>
    <row r="1020" spans="1:12">
      <c r="A1020" s="14" t="s">
        <v>2030</v>
      </c>
      <c r="B1020" t="s">
        <v>2031</v>
      </c>
      <c r="C1020" t="s">
        <v>13</v>
      </c>
      <c r="D1020">
        <v>35.47</v>
      </c>
      <c r="E1020" t="s">
        <v>2632</v>
      </c>
      <c r="F1020" t="s">
        <v>2633</v>
      </c>
      <c r="G1020" s="1">
        <v>67.55</v>
      </c>
      <c r="H1020" s="1"/>
      <c r="I1020" t="s">
        <v>2634</v>
      </c>
      <c r="J1020">
        <v>12</v>
      </c>
      <c r="K1020">
        <v>0</v>
      </c>
      <c r="L1020">
        <v>0</v>
      </c>
    </row>
    <row r="1021" spans="1:12">
      <c r="A1021" s="14" t="s">
        <v>2032</v>
      </c>
      <c r="B1021" t="s">
        <v>2033</v>
      </c>
      <c r="C1021" t="s">
        <v>13</v>
      </c>
      <c r="D1021">
        <v>19.63</v>
      </c>
      <c r="E1021" t="s">
        <v>2632</v>
      </c>
      <c r="F1021" t="s">
        <v>2633</v>
      </c>
      <c r="G1021" s="1">
        <v>37.4</v>
      </c>
      <c r="H1021" s="1"/>
      <c r="I1021" t="s">
        <v>2634</v>
      </c>
      <c r="J1021">
        <v>12</v>
      </c>
      <c r="K1021">
        <v>0</v>
      </c>
      <c r="L1021">
        <v>0</v>
      </c>
    </row>
    <row r="1022" spans="1:12">
      <c r="A1022" s="14" t="s">
        <v>2034</v>
      </c>
      <c r="B1022" t="s">
        <v>2035</v>
      </c>
      <c r="C1022" t="s">
        <v>13</v>
      </c>
      <c r="D1022">
        <v>18.81</v>
      </c>
      <c r="E1022" t="s">
        <v>2632</v>
      </c>
      <c r="F1022" t="s">
        <v>2633</v>
      </c>
      <c r="G1022" s="1">
        <v>35.85</v>
      </c>
      <c r="H1022" s="1"/>
      <c r="I1022" t="s">
        <v>2634</v>
      </c>
      <c r="J1022">
        <v>12</v>
      </c>
      <c r="K1022">
        <v>0</v>
      </c>
      <c r="L1022">
        <v>0</v>
      </c>
    </row>
    <row r="1023" spans="1:12">
      <c r="A1023" s="14" t="s">
        <v>2036</v>
      </c>
      <c r="B1023" t="s">
        <v>2037</v>
      </c>
      <c r="C1023" t="s">
        <v>13</v>
      </c>
      <c r="D1023">
        <v>15.28</v>
      </c>
      <c r="E1023" t="s">
        <v>2632</v>
      </c>
      <c r="F1023" t="s">
        <v>2633</v>
      </c>
      <c r="G1023" s="1">
        <v>29.08</v>
      </c>
      <c r="H1023" s="1"/>
      <c r="I1023" t="s">
        <v>2634</v>
      </c>
      <c r="J1023">
        <v>12</v>
      </c>
      <c r="K1023">
        <v>0</v>
      </c>
      <c r="L1023">
        <v>0</v>
      </c>
    </row>
    <row r="1024" spans="1:12">
      <c r="A1024" s="14" t="s">
        <v>2038</v>
      </c>
      <c r="B1024" t="s">
        <v>2039</v>
      </c>
      <c r="C1024" t="s">
        <v>13</v>
      </c>
      <c r="D1024">
        <v>29.96</v>
      </c>
      <c r="E1024" t="s">
        <v>2632</v>
      </c>
      <c r="F1024" t="s">
        <v>2633</v>
      </c>
      <c r="G1024" s="1">
        <v>57.06</v>
      </c>
      <c r="H1024" s="1"/>
      <c r="I1024" t="s">
        <v>2634</v>
      </c>
      <c r="J1024">
        <v>12</v>
      </c>
      <c r="K1024">
        <v>0</v>
      </c>
      <c r="L1024">
        <v>0</v>
      </c>
    </row>
    <row r="1025" spans="1:12">
      <c r="A1025" s="14" t="s">
        <v>2040</v>
      </c>
      <c r="B1025" t="s">
        <v>2041</v>
      </c>
      <c r="C1025" t="s">
        <v>13</v>
      </c>
      <c r="D1025">
        <v>29.05</v>
      </c>
      <c r="E1025" t="s">
        <v>2632</v>
      </c>
      <c r="F1025" t="s">
        <v>2633</v>
      </c>
      <c r="G1025" s="1">
        <v>55.34</v>
      </c>
      <c r="H1025" s="1"/>
      <c r="I1025" t="s">
        <v>2634</v>
      </c>
      <c r="J1025">
        <v>12</v>
      </c>
      <c r="K1025">
        <v>0</v>
      </c>
      <c r="L1025">
        <v>0</v>
      </c>
    </row>
    <row r="1026" spans="1:12">
      <c r="A1026" s="14" t="s">
        <v>2042</v>
      </c>
      <c r="B1026" t="s">
        <v>2043</v>
      </c>
      <c r="C1026" t="s">
        <v>13</v>
      </c>
      <c r="D1026">
        <v>24.13</v>
      </c>
      <c r="E1026" t="s">
        <v>2632</v>
      </c>
      <c r="F1026" t="s">
        <v>2633</v>
      </c>
      <c r="G1026" s="1">
        <v>45.96</v>
      </c>
      <c r="H1026" s="1"/>
      <c r="I1026" t="s">
        <v>2634</v>
      </c>
      <c r="J1026">
        <v>12</v>
      </c>
      <c r="K1026">
        <v>0</v>
      </c>
      <c r="L1026">
        <v>0</v>
      </c>
    </row>
    <row r="1027" spans="1:12">
      <c r="A1027" s="14" t="s">
        <v>2044</v>
      </c>
      <c r="B1027" t="s">
        <v>2045</v>
      </c>
      <c r="C1027" t="s">
        <v>13</v>
      </c>
      <c r="D1027">
        <v>32.84</v>
      </c>
      <c r="E1027" t="s">
        <v>2632</v>
      </c>
      <c r="F1027" t="s">
        <v>2633</v>
      </c>
      <c r="G1027" s="1">
        <v>62.55</v>
      </c>
      <c r="H1027" s="1"/>
      <c r="I1027" t="s">
        <v>2634</v>
      </c>
      <c r="J1027" t="s">
        <v>2634</v>
      </c>
      <c r="K1027">
        <v>0</v>
      </c>
      <c r="L1027">
        <v>0</v>
      </c>
    </row>
    <row r="1028" spans="1:12">
      <c r="A1028" s="14" t="s">
        <v>2046</v>
      </c>
      <c r="B1028" t="s">
        <v>2047</v>
      </c>
      <c r="C1028" t="s">
        <v>13</v>
      </c>
      <c r="D1028">
        <v>32.84</v>
      </c>
      <c r="E1028" t="s">
        <v>2632</v>
      </c>
      <c r="F1028" t="s">
        <v>2633</v>
      </c>
      <c r="G1028" s="1">
        <v>62.55</v>
      </c>
      <c r="H1028" s="1"/>
      <c r="I1028" t="s">
        <v>2634</v>
      </c>
      <c r="J1028" t="s">
        <v>2634</v>
      </c>
      <c r="K1028">
        <v>0</v>
      </c>
      <c r="L1028">
        <v>0</v>
      </c>
    </row>
    <row r="1029" spans="1:12">
      <c r="A1029" s="14" t="s">
        <v>2048</v>
      </c>
      <c r="B1029" t="s">
        <v>2049</v>
      </c>
      <c r="C1029" t="s">
        <v>13</v>
      </c>
      <c r="D1029">
        <v>0.34</v>
      </c>
      <c r="E1029" t="s">
        <v>2632</v>
      </c>
      <c r="F1029" t="s">
        <v>2633</v>
      </c>
      <c r="G1029" s="1">
        <v>0.68</v>
      </c>
      <c r="H1029" s="1"/>
      <c r="I1029" t="s">
        <v>2634</v>
      </c>
      <c r="J1029" t="s">
        <v>2634</v>
      </c>
      <c r="K1029">
        <v>0</v>
      </c>
      <c r="L1029">
        <v>0</v>
      </c>
    </row>
    <row r="1030" spans="1:12">
      <c r="A1030" s="14" t="s">
        <v>2050</v>
      </c>
      <c r="B1030" t="s">
        <v>2051</v>
      </c>
      <c r="C1030" t="s">
        <v>13</v>
      </c>
      <c r="D1030">
        <v>1.74</v>
      </c>
      <c r="E1030" t="s">
        <v>2632</v>
      </c>
      <c r="F1030" t="s">
        <v>2633</v>
      </c>
      <c r="G1030" s="1">
        <v>3.31</v>
      </c>
      <c r="H1030" s="1"/>
      <c r="I1030" t="s">
        <v>2634</v>
      </c>
      <c r="J1030" t="s">
        <v>2634</v>
      </c>
      <c r="K1030">
        <v>0</v>
      </c>
      <c r="L1030">
        <v>0</v>
      </c>
    </row>
    <row r="1031" spans="1:12">
      <c r="A1031" s="14" t="s">
        <v>2052</v>
      </c>
      <c r="B1031" t="s">
        <v>2053</v>
      </c>
      <c r="C1031" t="s">
        <v>13</v>
      </c>
      <c r="D1031">
        <v>0.78</v>
      </c>
      <c r="E1031" t="s">
        <v>2632</v>
      </c>
      <c r="F1031" t="s">
        <v>2633</v>
      </c>
      <c r="G1031" s="1">
        <v>1.49</v>
      </c>
      <c r="H1031" s="1"/>
      <c r="I1031" t="s">
        <v>2634</v>
      </c>
      <c r="J1031" t="s">
        <v>2634</v>
      </c>
      <c r="K1031">
        <v>0</v>
      </c>
      <c r="L1031">
        <v>0</v>
      </c>
    </row>
    <row r="1032" spans="1:12">
      <c r="A1032" s="14" t="s">
        <v>2054</v>
      </c>
      <c r="B1032" t="s">
        <v>2055</v>
      </c>
      <c r="C1032" t="s">
        <v>13</v>
      </c>
      <c r="D1032">
        <v>1.45</v>
      </c>
      <c r="E1032" t="s">
        <v>2632</v>
      </c>
      <c r="F1032" t="s">
        <v>2633</v>
      </c>
      <c r="G1032" s="1">
        <v>2.77</v>
      </c>
      <c r="H1032" s="1"/>
      <c r="I1032" t="s">
        <v>2634</v>
      </c>
      <c r="J1032" t="s">
        <v>2634</v>
      </c>
      <c r="K1032">
        <v>0</v>
      </c>
      <c r="L1032">
        <v>0</v>
      </c>
    </row>
    <row r="1033" spans="1:12">
      <c r="A1033" s="14" t="s">
        <v>2056</v>
      </c>
      <c r="B1033" t="s">
        <v>2057</v>
      </c>
      <c r="C1033" t="s">
        <v>13</v>
      </c>
      <c r="D1033">
        <v>0.63</v>
      </c>
      <c r="E1033" t="s">
        <v>2632</v>
      </c>
      <c r="F1033" t="s">
        <v>2633</v>
      </c>
      <c r="G1033" s="1">
        <v>1.2</v>
      </c>
      <c r="H1033" s="1"/>
      <c r="I1033" t="s">
        <v>2634</v>
      </c>
      <c r="J1033" t="s">
        <v>2634</v>
      </c>
      <c r="K1033">
        <v>0</v>
      </c>
      <c r="L1033">
        <v>0</v>
      </c>
    </row>
    <row r="1034" spans="1:12">
      <c r="A1034" s="14" t="s">
        <v>2058</v>
      </c>
      <c r="B1034" t="s">
        <v>2059</v>
      </c>
      <c r="C1034" t="s">
        <v>13</v>
      </c>
      <c r="D1034">
        <v>1.15</v>
      </c>
      <c r="E1034" t="s">
        <v>2632</v>
      </c>
      <c r="F1034" t="s">
        <v>2633</v>
      </c>
      <c r="G1034" s="1">
        <v>2.19</v>
      </c>
      <c r="H1034" s="1"/>
      <c r="I1034" t="s">
        <v>2634</v>
      </c>
      <c r="J1034" t="s">
        <v>2634</v>
      </c>
      <c r="K1034">
        <v>0</v>
      </c>
      <c r="L1034">
        <v>0</v>
      </c>
    </row>
    <row r="1035" spans="1:12">
      <c r="A1035" s="14" t="s">
        <v>2060</v>
      </c>
      <c r="B1035" t="s">
        <v>2061</v>
      </c>
      <c r="C1035" t="s">
        <v>13</v>
      </c>
      <c r="D1035">
        <v>1.42</v>
      </c>
      <c r="E1035" t="s">
        <v>2632</v>
      </c>
      <c r="F1035" t="s">
        <v>2633</v>
      </c>
      <c r="G1035" s="1">
        <v>2.69</v>
      </c>
      <c r="H1035" s="1"/>
      <c r="I1035" t="s">
        <v>2634</v>
      </c>
      <c r="J1035" t="s">
        <v>2634</v>
      </c>
      <c r="K1035">
        <v>0</v>
      </c>
      <c r="L1035">
        <v>0</v>
      </c>
    </row>
    <row r="1036" spans="1:12">
      <c r="A1036" s="14" t="s">
        <v>2062</v>
      </c>
      <c r="B1036" t="s">
        <v>2063</v>
      </c>
      <c r="C1036" t="s">
        <v>13</v>
      </c>
      <c r="D1036">
        <v>1.39</v>
      </c>
      <c r="E1036" t="s">
        <v>2632</v>
      </c>
      <c r="F1036" t="s">
        <v>2633</v>
      </c>
      <c r="G1036" s="1">
        <v>2.65</v>
      </c>
      <c r="H1036" s="1"/>
      <c r="I1036" t="s">
        <v>2634</v>
      </c>
      <c r="J1036" t="s">
        <v>2634</v>
      </c>
      <c r="K1036">
        <v>0</v>
      </c>
      <c r="L1036">
        <v>0</v>
      </c>
    </row>
    <row r="1037" spans="1:12">
      <c r="A1037" s="14" t="s">
        <v>2064</v>
      </c>
      <c r="B1037" t="s">
        <v>2065</v>
      </c>
      <c r="C1037" t="s">
        <v>13</v>
      </c>
      <c r="D1037">
        <v>3.6</v>
      </c>
      <c r="E1037" t="s">
        <v>2632</v>
      </c>
      <c r="F1037" t="s">
        <v>2633</v>
      </c>
      <c r="G1037" s="1">
        <v>6.86</v>
      </c>
      <c r="H1037" s="1"/>
      <c r="I1037" t="s">
        <v>2634</v>
      </c>
      <c r="J1037" t="s">
        <v>2634</v>
      </c>
      <c r="K1037">
        <v>0</v>
      </c>
      <c r="L1037">
        <v>0</v>
      </c>
    </row>
    <row r="1038" spans="1:12">
      <c r="A1038" s="14" t="s">
        <v>2066</v>
      </c>
      <c r="B1038" t="s">
        <v>2067</v>
      </c>
      <c r="C1038" t="s">
        <v>13</v>
      </c>
      <c r="D1038">
        <v>4.06</v>
      </c>
      <c r="E1038" t="s">
        <v>2632</v>
      </c>
      <c r="F1038" t="s">
        <v>2633</v>
      </c>
      <c r="G1038" s="1">
        <v>7.75</v>
      </c>
      <c r="H1038" s="1"/>
      <c r="I1038" t="s">
        <v>2634</v>
      </c>
      <c r="J1038" t="s">
        <v>2634</v>
      </c>
      <c r="K1038">
        <v>0</v>
      </c>
      <c r="L1038">
        <v>0</v>
      </c>
    </row>
    <row r="1039" spans="1:12">
      <c r="A1039" s="14" t="s">
        <v>2068</v>
      </c>
      <c r="B1039" t="s">
        <v>2069</v>
      </c>
      <c r="C1039" t="s">
        <v>13</v>
      </c>
      <c r="D1039">
        <v>2.1</v>
      </c>
      <c r="E1039" t="s">
        <v>2632</v>
      </c>
      <c r="F1039" t="s">
        <v>2633</v>
      </c>
      <c r="G1039" s="1">
        <v>5.27</v>
      </c>
      <c r="H1039" s="1"/>
      <c r="I1039" t="s">
        <v>2634</v>
      </c>
      <c r="J1039" t="s">
        <v>2634</v>
      </c>
      <c r="K1039">
        <v>0</v>
      </c>
      <c r="L1039">
        <v>0</v>
      </c>
    </row>
    <row r="1040" spans="1:12">
      <c r="A1040" s="14" t="s">
        <v>2070</v>
      </c>
      <c r="B1040" t="s">
        <v>2071</v>
      </c>
      <c r="C1040" t="s">
        <v>13</v>
      </c>
      <c r="D1040">
        <v>3.8</v>
      </c>
      <c r="E1040" t="s">
        <v>2644</v>
      </c>
      <c r="F1040" t="s">
        <v>2633</v>
      </c>
      <c r="G1040" s="1">
        <v>9.53</v>
      </c>
      <c r="H1040" s="1"/>
      <c r="I1040" t="s">
        <v>2634</v>
      </c>
      <c r="J1040" t="s">
        <v>2634</v>
      </c>
      <c r="K1040">
        <v>0</v>
      </c>
      <c r="L1040">
        <v>0</v>
      </c>
    </row>
    <row r="1041" spans="1:12">
      <c r="A1041" s="14" t="s">
        <v>2072</v>
      </c>
      <c r="B1041" t="s">
        <v>2073</v>
      </c>
      <c r="C1041" t="s">
        <v>13</v>
      </c>
      <c r="D1041">
        <v>4.59</v>
      </c>
      <c r="E1041" t="s">
        <v>2644</v>
      </c>
      <c r="F1041" t="s">
        <v>2633</v>
      </c>
      <c r="G1041" s="1">
        <v>11.48</v>
      </c>
      <c r="H1041" s="1"/>
      <c r="I1041" t="s">
        <v>2634</v>
      </c>
      <c r="J1041" t="s">
        <v>2634</v>
      </c>
      <c r="K1041">
        <v>0</v>
      </c>
      <c r="L1041">
        <v>0</v>
      </c>
    </row>
    <row r="1042" spans="1:12">
      <c r="A1042" s="14" t="s">
        <v>2074</v>
      </c>
      <c r="B1042" t="s">
        <v>2075</v>
      </c>
      <c r="C1042" t="s">
        <v>13</v>
      </c>
      <c r="D1042">
        <v>4.63</v>
      </c>
      <c r="E1042" t="s">
        <v>2644</v>
      </c>
      <c r="F1042" t="s">
        <v>2633</v>
      </c>
      <c r="G1042" s="1">
        <v>11.61</v>
      </c>
      <c r="H1042" s="1"/>
      <c r="I1042" t="s">
        <v>2634</v>
      </c>
      <c r="J1042" t="s">
        <v>2634</v>
      </c>
      <c r="K1042">
        <v>0</v>
      </c>
      <c r="L1042">
        <v>0</v>
      </c>
    </row>
    <row r="1043" spans="1:12">
      <c r="A1043" s="14" t="s">
        <v>2076</v>
      </c>
      <c r="B1043" t="s">
        <v>2077</v>
      </c>
      <c r="C1043" t="s">
        <v>13</v>
      </c>
      <c r="D1043">
        <v>4.3</v>
      </c>
      <c r="E1043" t="s">
        <v>2644</v>
      </c>
      <c r="F1043" t="s">
        <v>2633</v>
      </c>
      <c r="G1043" s="1">
        <v>10.76</v>
      </c>
      <c r="H1043" s="1"/>
      <c r="I1043" t="s">
        <v>2634</v>
      </c>
      <c r="J1043" t="s">
        <v>2634</v>
      </c>
      <c r="K1043">
        <v>0</v>
      </c>
      <c r="L1043">
        <v>0</v>
      </c>
    </row>
    <row r="1044" spans="1:12">
      <c r="A1044" s="14" t="s">
        <v>2078</v>
      </c>
      <c r="B1044" t="s">
        <v>2079</v>
      </c>
      <c r="C1044" t="s">
        <v>13</v>
      </c>
      <c r="D1044">
        <v>4.22</v>
      </c>
      <c r="E1044" t="s">
        <v>2644</v>
      </c>
      <c r="F1044" t="s">
        <v>2633</v>
      </c>
      <c r="G1044" s="1">
        <v>10.54</v>
      </c>
      <c r="H1044" s="1"/>
      <c r="I1044" t="s">
        <v>2634</v>
      </c>
      <c r="J1044" t="s">
        <v>2634</v>
      </c>
      <c r="K1044">
        <v>0</v>
      </c>
      <c r="L1044">
        <v>0</v>
      </c>
    </row>
    <row r="1045" spans="1:12">
      <c r="A1045" s="14" t="s">
        <v>2080</v>
      </c>
      <c r="B1045" t="s">
        <v>2081</v>
      </c>
      <c r="C1045" t="s">
        <v>13</v>
      </c>
      <c r="D1045">
        <v>4.42</v>
      </c>
      <c r="E1045" t="s">
        <v>2644</v>
      </c>
      <c r="F1045" t="s">
        <v>2633</v>
      </c>
      <c r="G1045" s="1">
        <v>11.03</v>
      </c>
      <c r="H1045" s="1"/>
      <c r="I1045" t="s">
        <v>2634</v>
      </c>
      <c r="J1045" t="s">
        <v>2634</v>
      </c>
      <c r="K1045">
        <v>0</v>
      </c>
      <c r="L1045">
        <v>0</v>
      </c>
    </row>
    <row r="1046" spans="1:12">
      <c r="A1046" s="14" t="s">
        <v>2082</v>
      </c>
      <c r="B1046" t="s">
        <v>2083</v>
      </c>
      <c r="C1046" t="s">
        <v>13</v>
      </c>
      <c r="D1046">
        <v>5.63</v>
      </c>
      <c r="E1046" t="s">
        <v>2644</v>
      </c>
      <c r="F1046" t="s">
        <v>2633</v>
      </c>
      <c r="G1046" s="1">
        <v>14.04</v>
      </c>
      <c r="H1046" s="1"/>
      <c r="I1046" t="s">
        <v>2634</v>
      </c>
      <c r="J1046" t="s">
        <v>2634</v>
      </c>
      <c r="K1046">
        <v>0</v>
      </c>
      <c r="L1046">
        <v>0</v>
      </c>
    </row>
    <row r="1047" spans="1:12">
      <c r="A1047" s="14" t="s">
        <v>2084</v>
      </c>
      <c r="B1047" t="s">
        <v>2085</v>
      </c>
      <c r="C1047" t="s">
        <v>13</v>
      </c>
      <c r="D1047">
        <v>6.28</v>
      </c>
      <c r="E1047" t="s">
        <v>2644</v>
      </c>
      <c r="F1047" t="s">
        <v>2633</v>
      </c>
      <c r="G1047" s="1">
        <v>15.7</v>
      </c>
      <c r="H1047" s="1"/>
      <c r="I1047" t="s">
        <v>2634</v>
      </c>
      <c r="J1047" t="s">
        <v>2634</v>
      </c>
      <c r="K1047">
        <v>0</v>
      </c>
      <c r="L1047">
        <v>0</v>
      </c>
    </row>
    <row r="1048" spans="1:12">
      <c r="A1048" s="14" t="s">
        <v>2086</v>
      </c>
      <c r="B1048" t="s">
        <v>2087</v>
      </c>
      <c r="C1048" t="s">
        <v>13</v>
      </c>
      <c r="D1048">
        <v>6.3</v>
      </c>
      <c r="E1048" t="s">
        <v>2644</v>
      </c>
      <c r="F1048" t="s">
        <v>2633</v>
      </c>
      <c r="G1048" s="1">
        <v>15.77</v>
      </c>
      <c r="H1048" s="1"/>
      <c r="I1048" t="s">
        <v>2634</v>
      </c>
      <c r="J1048" t="s">
        <v>2634</v>
      </c>
      <c r="K1048">
        <v>0</v>
      </c>
      <c r="L1048">
        <v>0</v>
      </c>
    </row>
    <row r="1049" spans="1:12">
      <c r="A1049" s="14" t="s">
        <v>2088</v>
      </c>
      <c r="B1049" t="s">
        <v>2089</v>
      </c>
      <c r="C1049" t="s">
        <v>13</v>
      </c>
      <c r="D1049">
        <v>8.22</v>
      </c>
      <c r="E1049" t="s">
        <v>2644</v>
      </c>
      <c r="F1049" t="s">
        <v>2633</v>
      </c>
      <c r="G1049" s="1">
        <v>20.53</v>
      </c>
      <c r="H1049" s="1"/>
      <c r="I1049" t="s">
        <v>2634</v>
      </c>
      <c r="J1049" t="s">
        <v>2634</v>
      </c>
      <c r="K1049">
        <v>0</v>
      </c>
      <c r="L1049">
        <v>0</v>
      </c>
    </row>
    <row r="1050" spans="1:12">
      <c r="A1050" s="14" t="s">
        <v>2090</v>
      </c>
      <c r="B1050" t="s">
        <v>2091</v>
      </c>
      <c r="C1050" t="s">
        <v>13</v>
      </c>
      <c r="D1050">
        <v>10.04</v>
      </c>
      <c r="E1050" t="s">
        <v>2644</v>
      </c>
      <c r="F1050" t="s">
        <v>2633</v>
      </c>
      <c r="G1050" s="1">
        <v>25.1</v>
      </c>
      <c r="H1050" s="1"/>
      <c r="I1050" t="s">
        <v>2634</v>
      </c>
      <c r="J1050" t="s">
        <v>2634</v>
      </c>
      <c r="K1050">
        <v>0</v>
      </c>
      <c r="L1050">
        <v>0</v>
      </c>
    </row>
    <row r="1051" spans="1:12">
      <c r="A1051" s="14" t="s">
        <v>2092</v>
      </c>
      <c r="B1051" t="s">
        <v>2093</v>
      </c>
      <c r="C1051" t="s">
        <v>13</v>
      </c>
      <c r="D1051">
        <v>7.75</v>
      </c>
      <c r="E1051" t="s">
        <v>2644</v>
      </c>
      <c r="F1051" t="s">
        <v>2633</v>
      </c>
      <c r="G1051" s="1">
        <v>19.37</v>
      </c>
      <c r="H1051" s="1"/>
      <c r="I1051" t="s">
        <v>2634</v>
      </c>
      <c r="J1051" t="s">
        <v>2634</v>
      </c>
      <c r="K1051">
        <v>0</v>
      </c>
      <c r="L1051">
        <v>0</v>
      </c>
    </row>
    <row r="1052" spans="1:12">
      <c r="A1052" s="14" t="s">
        <v>2094</v>
      </c>
      <c r="B1052" t="s">
        <v>2095</v>
      </c>
      <c r="C1052" t="s">
        <v>13</v>
      </c>
      <c r="D1052">
        <v>7.57</v>
      </c>
      <c r="E1052" t="s">
        <v>2644</v>
      </c>
      <c r="F1052" t="s">
        <v>2633</v>
      </c>
      <c r="G1052" s="1">
        <v>18.91</v>
      </c>
      <c r="H1052" s="1"/>
      <c r="I1052" t="s">
        <v>2634</v>
      </c>
      <c r="J1052" t="s">
        <v>2634</v>
      </c>
      <c r="K1052">
        <v>0</v>
      </c>
      <c r="L1052">
        <v>0</v>
      </c>
    </row>
    <row r="1053" spans="1:12">
      <c r="A1053" s="14" t="s">
        <v>2096</v>
      </c>
      <c r="B1053" t="s">
        <v>2097</v>
      </c>
      <c r="C1053" t="s">
        <v>13</v>
      </c>
      <c r="D1053">
        <v>8.11</v>
      </c>
      <c r="E1053" t="s">
        <v>2644</v>
      </c>
      <c r="F1053" t="s">
        <v>2633</v>
      </c>
      <c r="G1053" s="1">
        <v>20.26</v>
      </c>
      <c r="H1053" s="1"/>
      <c r="I1053" t="s">
        <v>2634</v>
      </c>
      <c r="J1053" t="s">
        <v>2634</v>
      </c>
      <c r="K1053">
        <v>0</v>
      </c>
      <c r="L1053">
        <v>0</v>
      </c>
    </row>
    <row r="1054" spans="1:12">
      <c r="A1054" s="14" t="s">
        <v>2098</v>
      </c>
      <c r="B1054" t="s">
        <v>2099</v>
      </c>
      <c r="C1054" t="s">
        <v>13</v>
      </c>
      <c r="D1054">
        <v>12.82</v>
      </c>
      <c r="E1054" t="s">
        <v>2644</v>
      </c>
      <c r="F1054" t="s">
        <v>2633</v>
      </c>
      <c r="G1054" s="1">
        <v>32.03</v>
      </c>
      <c r="H1054" s="1"/>
      <c r="I1054" t="s">
        <v>2634</v>
      </c>
      <c r="J1054" t="s">
        <v>2634</v>
      </c>
      <c r="K1054">
        <v>0</v>
      </c>
      <c r="L1054">
        <v>0</v>
      </c>
    </row>
    <row r="1055" spans="1:12">
      <c r="A1055" s="14" t="s">
        <v>2100</v>
      </c>
      <c r="B1055" t="s">
        <v>2101</v>
      </c>
      <c r="C1055" t="s">
        <v>13</v>
      </c>
      <c r="D1055">
        <v>13.43</v>
      </c>
      <c r="E1055" t="s">
        <v>2644</v>
      </c>
      <c r="F1055" t="s">
        <v>2633</v>
      </c>
      <c r="G1055" s="1">
        <v>33.6</v>
      </c>
      <c r="H1055" s="1"/>
      <c r="I1055" t="s">
        <v>2634</v>
      </c>
      <c r="J1055" t="s">
        <v>2634</v>
      </c>
      <c r="K1055">
        <v>0</v>
      </c>
      <c r="L1055">
        <v>0</v>
      </c>
    </row>
    <row r="1056" spans="1:12">
      <c r="A1056" s="14" t="s">
        <v>2102</v>
      </c>
      <c r="B1056" t="s">
        <v>2103</v>
      </c>
      <c r="C1056" t="s">
        <v>13</v>
      </c>
      <c r="D1056">
        <v>9.02</v>
      </c>
      <c r="E1056" t="s">
        <v>2644</v>
      </c>
      <c r="F1056" t="s">
        <v>2633</v>
      </c>
      <c r="G1056" s="1">
        <v>22.53</v>
      </c>
      <c r="H1056" s="1"/>
      <c r="I1056" t="s">
        <v>2634</v>
      </c>
      <c r="J1056" t="s">
        <v>2634</v>
      </c>
      <c r="K1056">
        <v>0</v>
      </c>
      <c r="L1056">
        <v>0</v>
      </c>
    </row>
    <row r="1057" spans="1:12">
      <c r="A1057" s="14" t="s">
        <v>2104</v>
      </c>
      <c r="B1057" t="s">
        <v>2105</v>
      </c>
      <c r="C1057" t="s">
        <v>13</v>
      </c>
      <c r="D1057">
        <v>16.66</v>
      </c>
      <c r="E1057" t="s">
        <v>2644</v>
      </c>
      <c r="F1057" t="s">
        <v>2633</v>
      </c>
      <c r="G1057" s="1">
        <v>41.64</v>
      </c>
      <c r="H1057" s="1"/>
      <c r="I1057" t="s">
        <v>2634</v>
      </c>
      <c r="J1057" t="s">
        <v>2634</v>
      </c>
      <c r="K1057">
        <v>0</v>
      </c>
      <c r="L1057">
        <v>0</v>
      </c>
    </row>
    <row r="1058" spans="1:12">
      <c r="A1058" s="14" t="s">
        <v>2106</v>
      </c>
      <c r="B1058" t="s">
        <v>2107</v>
      </c>
      <c r="C1058" t="s">
        <v>13</v>
      </c>
      <c r="D1058">
        <v>10.78</v>
      </c>
      <c r="E1058" t="s">
        <v>2644</v>
      </c>
      <c r="F1058" t="s">
        <v>2633</v>
      </c>
      <c r="G1058" s="1">
        <v>26.95</v>
      </c>
      <c r="H1058" s="1"/>
      <c r="I1058" t="s">
        <v>2634</v>
      </c>
      <c r="J1058" t="s">
        <v>2634</v>
      </c>
      <c r="K1058">
        <v>0</v>
      </c>
      <c r="L1058">
        <v>0</v>
      </c>
    </row>
    <row r="1059" spans="1:12">
      <c r="A1059" s="14" t="s">
        <v>2108</v>
      </c>
      <c r="B1059" t="s">
        <v>2109</v>
      </c>
      <c r="C1059" t="s">
        <v>13</v>
      </c>
      <c r="D1059">
        <v>11.78</v>
      </c>
      <c r="E1059" t="s">
        <v>2644</v>
      </c>
      <c r="F1059" t="s">
        <v>2633</v>
      </c>
      <c r="G1059" s="1">
        <v>29.48</v>
      </c>
      <c r="H1059" s="1"/>
      <c r="I1059" t="s">
        <v>2634</v>
      </c>
      <c r="J1059" t="s">
        <v>2634</v>
      </c>
      <c r="K1059">
        <v>0</v>
      </c>
      <c r="L1059">
        <v>0</v>
      </c>
    </row>
    <row r="1060" spans="1:12">
      <c r="A1060" s="14" t="s">
        <v>2110</v>
      </c>
      <c r="B1060" t="s">
        <v>2111</v>
      </c>
      <c r="C1060" t="s">
        <v>13</v>
      </c>
      <c r="D1060">
        <v>10.17</v>
      </c>
      <c r="E1060" t="s">
        <v>2644</v>
      </c>
      <c r="F1060" t="s">
        <v>2633</v>
      </c>
      <c r="G1060" s="1">
        <v>25.42</v>
      </c>
      <c r="H1060" s="1"/>
      <c r="I1060" t="s">
        <v>2634</v>
      </c>
      <c r="J1060" t="s">
        <v>2634</v>
      </c>
      <c r="K1060">
        <v>0</v>
      </c>
      <c r="L1060">
        <v>0</v>
      </c>
    </row>
    <row r="1061" spans="1:12">
      <c r="A1061" s="14" t="s">
        <v>2112</v>
      </c>
      <c r="B1061" t="s">
        <v>2113</v>
      </c>
      <c r="C1061" t="s">
        <v>13</v>
      </c>
      <c r="D1061">
        <v>15.15</v>
      </c>
      <c r="E1061" t="s">
        <v>2644</v>
      </c>
      <c r="F1061" t="s">
        <v>2633</v>
      </c>
      <c r="G1061" s="1">
        <v>37.88</v>
      </c>
      <c r="H1061" s="1"/>
      <c r="I1061" t="s">
        <v>2634</v>
      </c>
      <c r="J1061" t="s">
        <v>2634</v>
      </c>
      <c r="K1061">
        <v>0</v>
      </c>
      <c r="L1061">
        <v>0</v>
      </c>
    </row>
    <row r="1062" spans="1:12">
      <c r="A1062" s="14" t="s">
        <v>2114</v>
      </c>
      <c r="B1062" t="s">
        <v>2115</v>
      </c>
      <c r="C1062" t="s">
        <v>13</v>
      </c>
      <c r="D1062">
        <v>17.71</v>
      </c>
      <c r="E1062" t="s">
        <v>2644</v>
      </c>
      <c r="F1062" t="s">
        <v>2633</v>
      </c>
      <c r="G1062" s="1">
        <v>44.25</v>
      </c>
      <c r="H1062" s="1"/>
      <c r="I1062" t="s">
        <v>2634</v>
      </c>
      <c r="J1062" t="s">
        <v>2634</v>
      </c>
      <c r="K1062">
        <v>0</v>
      </c>
      <c r="L1062">
        <v>0</v>
      </c>
    </row>
    <row r="1063" spans="1:12">
      <c r="A1063" s="14" t="s">
        <v>2116</v>
      </c>
      <c r="B1063" t="s">
        <v>2117</v>
      </c>
      <c r="C1063" t="s">
        <v>13</v>
      </c>
      <c r="D1063">
        <v>10.53</v>
      </c>
      <c r="E1063" t="s">
        <v>2644</v>
      </c>
      <c r="F1063" t="s">
        <v>2633</v>
      </c>
      <c r="G1063" s="1">
        <v>26.34</v>
      </c>
      <c r="H1063" s="1"/>
      <c r="I1063" t="s">
        <v>2634</v>
      </c>
      <c r="J1063" t="s">
        <v>2634</v>
      </c>
      <c r="K1063">
        <v>0</v>
      </c>
      <c r="L1063">
        <v>0</v>
      </c>
    </row>
    <row r="1064" spans="1:12">
      <c r="A1064" s="14" t="s">
        <v>2118</v>
      </c>
      <c r="B1064" t="s">
        <v>2119</v>
      </c>
      <c r="C1064" t="s">
        <v>13</v>
      </c>
      <c r="D1064">
        <v>13.23</v>
      </c>
      <c r="E1064" t="s">
        <v>2644</v>
      </c>
      <c r="F1064" t="s">
        <v>2633</v>
      </c>
      <c r="G1064" s="1">
        <v>33.1</v>
      </c>
      <c r="H1064" s="1"/>
      <c r="I1064" t="s">
        <v>2634</v>
      </c>
      <c r="J1064" t="s">
        <v>2634</v>
      </c>
      <c r="K1064">
        <v>0</v>
      </c>
      <c r="L1064">
        <v>0</v>
      </c>
    </row>
    <row r="1065" spans="1:12">
      <c r="A1065" s="14" t="s">
        <v>2120</v>
      </c>
      <c r="B1065" t="s">
        <v>2121</v>
      </c>
      <c r="C1065" t="s">
        <v>13</v>
      </c>
      <c r="D1065">
        <v>8.09</v>
      </c>
      <c r="E1065" t="s">
        <v>2644</v>
      </c>
      <c r="F1065" t="s">
        <v>2633</v>
      </c>
      <c r="G1065" s="1">
        <v>20.2</v>
      </c>
      <c r="H1065" s="1"/>
      <c r="I1065" t="s">
        <v>2634</v>
      </c>
      <c r="J1065" t="s">
        <v>2634</v>
      </c>
      <c r="K1065">
        <v>0</v>
      </c>
      <c r="L1065">
        <v>0</v>
      </c>
    </row>
    <row r="1066" spans="1:12">
      <c r="A1066" s="14" t="s">
        <v>2122</v>
      </c>
      <c r="B1066" t="s">
        <v>2123</v>
      </c>
      <c r="C1066" t="s">
        <v>13</v>
      </c>
      <c r="D1066">
        <v>8.06</v>
      </c>
      <c r="E1066" t="s">
        <v>2644</v>
      </c>
      <c r="F1066" t="s">
        <v>2633</v>
      </c>
      <c r="G1066" s="1">
        <v>20.13</v>
      </c>
      <c r="H1066" s="1"/>
      <c r="I1066" t="s">
        <v>2634</v>
      </c>
      <c r="J1066" t="s">
        <v>2634</v>
      </c>
      <c r="K1066">
        <v>0</v>
      </c>
      <c r="L1066">
        <v>0</v>
      </c>
    </row>
    <row r="1067" spans="1:12">
      <c r="A1067" s="14" t="s">
        <v>2124</v>
      </c>
      <c r="B1067" t="s">
        <v>2125</v>
      </c>
      <c r="C1067" t="s">
        <v>13</v>
      </c>
      <c r="D1067">
        <v>10.44</v>
      </c>
      <c r="E1067" t="s">
        <v>2644</v>
      </c>
      <c r="F1067" t="s">
        <v>2633</v>
      </c>
      <c r="G1067" s="1">
        <v>26.1</v>
      </c>
      <c r="H1067" s="1"/>
      <c r="I1067" t="s">
        <v>2634</v>
      </c>
      <c r="J1067" t="s">
        <v>2634</v>
      </c>
      <c r="K1067">
        <v>0</v>
      </c>
      <c r="L1067">
        <v>0</v>
      </c>
    </row>
    <row r="1068" spans="1:12">
      <c r="A1068" s="14" t="s">
        <v>2126</v>
      </c>
      <c r="B1068" t="s">
        <v>2127</v>
      </c>
      <c r="C1068" t="s">
        <v>13</v>
      </c>
      <c r="D1068">
        <v>11.14</v>
      </c>
      <c r="E1068" t="s">
        <v>2644</v>
      </c>
      <c r="F1068" t="s">
        <v>2633</v>
      </c>
      <c r="G1068" s="1">
        <v>27.86</v>
      </c>
      <c r="H1068" s="1"/>
      <c r="I1068" t="s">
        <v>2634</v>
      </c>
      <c r="J1068" t="s">
        <v>2634</v>
      </c>
      <c r="K1068">
        <v>0</v>
      </c>
      <c r="L1068">
        <v>0</v>
      </c>
    </row>
    <row r="1069" spans="1:12">
      <c r="A1069" s="14" t="s">
        <v>2128</v>
      </c>
      <c r="B1069" t="s">
        <v>2129</v>
      </c>
      <c r="C1069" t="s">
        <v>13</v>
      </c>
      <c r="D1069">
        <v>12.52</v>
      </c>
      <c r="E1069" t="s">
        <v>2644</v>
      </c>
      <c r="F1069" t="s">
        <v>2633</v>
      </c>
      <c r="G1069" s="1">
        <v>31.3</v>
      </c>
      <c r="H1069" s="1"/>
      <c r="I1069" t="s">
        <v>2634</v>
      </c>
      <c r="J1069" t="s">
        <v>2634</v>
      </c>
      <c r="K1069">
        <v>0</v>
      </c>
      <c r="L1069">
        <v>0</v>
      </c>
    </row>
    <row r="1070" spans="1:12">
      <c r="A1070" s="14" t="s">
        <v>2130</v>
      </c>
      <c r="B1070" t="s">
        <v>2131</v>
      </c>
      <c r="C1070" t="s">
        <v>13</v>
      </c>
      <c r="D1070">
        <v>15.47</v>
      </c>
      <c r="E1070" t="s">
        <v>2644</v>
      </c>
      <c r="F1070" t="s">
        <v>2633</v>
      </c>
      <c r="G1070" s="1">
        <v>38.66</v>
      </c>
      <c r="H1070" s="1"/>
      <c r="I1070" t="s">
        <v>2634</v>
      </c>
      <c r="J1070" t="s">
        <v>2634</v>
      </c>
      <c r="K1070">
        <v>0</v>
      </c>
      <c r="L1070">
        <v>0</v>
      </c>
    </row>
    <row r="1071" spans="1:12">
      <c r="A1071" s="14" t="s">
        <v>2132</v>
      </c>
      <c r="B1071" t="s">
        <v>2133</v>
      </c>
      <c r="C1071" t="s">
        <v>13</v>
      </c>
      <c r="D1071">
        <v>7.89</v>
      </c>
      <c r="E1071" t="s">
        <v>2644</v>
      </c>
      <c r="F1071" t="s">
        <v>2633</v>
      </c>
      <c r="G1071" s="1">
        <v>19.7</v>
      </c>
      <c r="H1071" s="1"/>
      <c r="I1071" t="s">
        <v>2634</v>
      </c>
      <c r="J1071" t="s">
        <v>2634</v>
      </c>
      <c r="K1071">
        <v>0</v>
      </c>
      <c r="L1071">
        <v>0</v>
      </c>
    </row>
    <row r="1072" spans="1:12">
      <c r="A1072" s="14" t="s">
        <v>2134</v>
      </c>
      <c r="B1072" t="s">
        <v>2135</v>
      </c>
      <c r="C1072" t="s">
        <v>13</v>
      </c>
      <c r="D1072">
        <v>8.91</v>
      </c>
      <c r="E1072" t="s">
        <v>2644</v>
      </c>
      <c r="F1072" t="s">
        <v>2633</v>
      </c>
      <c r="G1072" s="1">
        <v>22.31</v>
      </c>
      <c r="H1072" s="1"/>
      <c r="I1072" t="s">
        <v>2634</v>
      </c>
      <c r="J1072" t="s">
        <v>2634</v>
      </c>
      <c r="K1072">
        <v>0</v>
      </c>
      <c r="L1072">
        <v>0</v>
      </c>
    </row>
    <row r="1073" spans="1:12">
      <c r="A1073" s="14" t="s">
        <v>2136</v>
      </c>
      <c r="B1073" t="s">
        <v>2137</v>
      </c>
      <c r="C1073" t="s">
        <v>13</v>
      </c>
      <c r="D1073">
        <v>16.25</v>
      </c>
      <c r="E1073" t="s">
        <v>2644</v>
      </c>
      <c r="F1073" t="s">
        <v>2633</v>
      </c>
      <c r="G1073" s="1">
        <v>40.61</v>
      </c>
      <c r="H1073" s="1"/>
      <c r="I1073" t="s">
        <v>2634</v>
      </c>
      <c r="J1073" t="s">
        <v>2634</v>
      </c>
      <c r="K1073">
        <v>0</v>
      </c>
      <c r="L1073">
        <v>0</v>
      </c>
    </row>
    <row r="1074" spans="1:12">
      <c r="A1074" s="14" t="s">
        <v>2138</v>
      </c>
      <c r="B1074" t="s">
        <v>2139</v>
      </c>
      <c r="C1074" t="s">
        <v>13</v>
      </c>
      <c r="D1074">
        <v>10</v>
      </c>
      <c r="E1074" t="s">
        <v>2644</v>
      </c>
      <c r="F1074" t="s">
        <v>2633</v>
      </c>
      <c r="G1074" s="1">
        <v>25</v>
      </c>
      <c r="H1074" s="1"/>
      <c r="I1074" t="s">
        <v>2634</v>
      </c>
      <c r="J1074" t="s">
        <v>2634</v>
      </c>
      <c r="K1074">
        <v>0</v>
      </c>
      <c r="L1074">
        <v>0</v>
      </c>
    </row>
    <row r="1075" spans="1:12">
      <c r="A1075" s="14" t="s">
        <v>2140</v>
      </c>
      <c r="B1075" t="s">
        <v>2141</v>
      </c>
      <c r="C1075" t="s">
        <v>13</v>
      </c>
      <c r="D1075">
        <v>19.15</v>
      </c>
      <c r="E1075" t="s">
        <v>2644</v>
      </c>
      <c r="F1075" t="s">
        <v>2633</v>
      </c>
      <c r="G1075" s="1">
        <v>47.88</v>
      </c>
      <c r="H1075" s="1"/>
      <c r="I1075" t="s">
        <v>2634</v>
      </c>
      <c r="J1075" t="s">
        <v>2634</v>
      </c>
      <c r="K1075">
        <v>0</v>
      </c>
      <c r="L1075">
        <v>0</v>
      </c>
    </row>
    <row r="1076" spans="1:12">
      <c r="A1076" s="14" t="s">
        <v>2142</v>
      </c>
      <c r="B1076" t="s">
        <v>2143</v>
      </c>
      <c r="C1076" t="s">
        <v>13</v>
      </c>
      <c r="D1076">
        <v>14.6</v>
      </c>
      <c r="E1076" t="s">
        <v>2644</v>
      </c>
      <c r="F1076" t="s">
        <v>2633</v>
      </c>
      <c r="G1076" s="1">
        <v>36.48</v>
      </c>
      <c r="H1076" s="1"/>
      <c r="I1076" t="s">
        <v>2634</v>
      </c>
      <c r="J1076" t="s">
        <v>2634</v>
      </c>
      <c r="K1076">
        <v>0</v>
      </c>
      <c r="L1076">
        <v>0</v>
      </c>
    </row>
    <row r="1077" spans="1:12">
      <c r="A1077" s="14" t="s">
        <v>2144</v>
      </c>
      <c r="B1077" t="s">
        <v>2145</v>
      </c>
      <c r="C1077" t="s">
        <v>13</v>
      </c>
      <c r="D1077">
        <v>8.72</v>
      </c>
      <c r="E1077" t="s">
        <v>2644</v>
      </c>
      <c r="F1077" t="s">
        <v>2633</v>
      </c>
      <c r="G1077" s="1">
        <v>21.81</v>
      </c>
      <c r="H1077" s="1"/>
      <c r="I1077" t="s">
        <v>2634</v>
      </c>
      <c r="J1077" t="s">
        <v>2634</v>
      </c>
      <c r="K1077">
        <v>0</v>
      </c>
      <c r="L1077">
        <v>0</v>
      </c>
    </row>
    <row r="1078" spans="1:12">
      <c r="A1078" s="14" t="s">
        <v>2146</v>
      </c>
      <c r="B1078" t="s">
        <v>2147</v>
      </c>
      <c r="C1078" t="s">
        <v>13</v>
      </c>
      <c r="D1078">
        <v>13.1</v>
      </c>
      <c r="E1078" t="s">
        <v>2644</v>
      </c>
      <c r="F1078" t="s">
        <v>2633</v>
      </c>
      <c r="G1078" s="1">
        <v>32.77</v>
      </c>
      <c r="H1078" s="1"/>
      <c r="I1078" t="s">
        <v>2634</v>
      </c>
      <c r="J1078" t="s">
        <v>2634</v>
      </c>
      <c r="K1078">
        <v>0</v>
      </c>
      <c r="L1078">
        <v>0</v>
      </c>
    </row>
    <row r="1079" spans="1:12">
      <c r="A1079" s="14" t="s">
        <v>2148</v>
      </c>
      <c r="B1079" t="s">
        <v>2149</v>
      </c>
      <c r="C1079" t="s">
        <v>13</v>
      </c>
      <c r="D1079">
        <v>15.92</v>
      </c>
      <c r="E1079" t="s">
        <v>2644</v>
      </c>
      <c r="F1079" t="s">
        <v>2633</v>
      </c>
      <c r="G1079" s="1">
        <v>39.83</v>
      </c>
      <c r="H1079" s="1"/>
      <c r="I1079" t="s">
        <v>2634</v>
      </c>
      <c r="J1079" t="s">
        <v>2634</v>
      </c>
      <c r="K1079">
        <v>0</v>
      </c>
      <c r="L1079">
        <v>0</v>
      </c>
    </row>
    <row r="1080" spans="1:12">
      <c r="A1080" s="14" t="s">
        <v>2150</v>
      </c>
      <c r="B1080" t="s">
        <v>2151</v>
      </c>
      <c r="C1080" t="s">
        <v>13</v>
      </c>
      <c r="D1080">
        <v>12.16</v>
      </c>
      <c r="E1080" t="s">
        <v>2644</v>
      </c>
      <c r="F1080" t="s">
        <v>2633</v>
      </c>
      <c r="G1080" s="1">
        <v>30.4</v>
      </c>
      <c r="H1080" s="1"/>
      <c r="I1080" t="s">
        <v>2634</v>
      </c>
      <c r="J1080" t="s">
        <v>2634</v>
      </c>
      <c r="K1080">
        <v>0</v>
      </c>
      <c r="L1080">
        <v>0</v>
      </c>
    </row>
    <row r="1081" spans="1:12">
      <c r="A1081" s="14" t="s">
        <v>2152</v>
      </c>
      <c r="B1081" t="s">
        <v>2153</v>
      </c>
      <c r="C1081" t="s">
        <v>13</v>
      </c>
      <c r="D1081">
        <v>14.62</v>
      </c>
      <c r="E1081" t="s">
        <v>2644</v>
      </c>
      <c r="F1081" t="s">
        <v>2633</v>
      </c>
      <c r="G1081" s="1">
        <v>36.56</v>
      </c>
      <c r="H1081" s="1"/>
      <c r="I1081" t="s">
        <v>2634</v>
      </c>
      <c r="J1081" t="s">
        <v>2634</v>
      </c>
      <c r="K1081">
        <v>0</v>
      </c>
      <c r="L1081">
        <v>0</v>
      </c>
    </row>
    <row r="1082" spans="1:12">
      <c r="A1082" s="14" t="s">
        <v>2154</v>
      </c>
      <c r="B1082" t="s">
        <v>2155</v>
      </c>
      <c r="C1082" t="s">
        <v>13</v>
      </c>
      <c r="D1082">
        <v>18.08</v>
      </c>
      <c r="E1082" t="s">
        <v>2644</v>
      </c>
      <c r="F1082" t="s">
        <v>2633</v>
      </c>
      <c r="G1082" s="1">
        <v>45.18</v>
      </c>
      <c r="H1082" s="1"/>
      <c r="I1082" t="s">
        <v>2634</v>
      </c>
      <c r="J1082" t="s">
        <v>2634</v>
      </c>
      <c r="K1082">
        <v>0</v>
      </c>
      <c r="L1082">
        <v>0</v>
      </c>
    </row>
    <row r="1083" spans="1:12">
      <c r="A1083" s="14" t="s">
        <v>2156</v>
      </c>
      <c r="B1083" t="s">
        <v>2157</v>
      </c>
      <c r="C1083" t="s">
        <v>13</v>
      </c>
      <c r="D1083">
        <v>20.8</v>
      </c>
      <c r="E1083" t="s">
        <v>2644</v>
      </c>
      <c r="F1083" t="s">
        <v>2633</v>
      </c>
      <c r="G1083" s="1">
        <v>51.98</v>
      </c>
      <c r="H1083" s="1"/>
      <c r="I1083" t="s">
        <v>2634</v>
      </c>
      <c r="J1083" t="s">
        <v>2634</v>
      </c>
      <c r="K1083">
        <v>0</v>
      </c>
      <c r="L1083">
        <v>0</v>
      </c>
    </row>
    <row r="1084" spans="1:12">
      <c r="A1084" s="14" t="s">
        <v>2158</v>
      </c>
      <c r="B1084" t="s">
        <v>2159</v>
      </c>
      <c r="C1084" t="s">
        <v>13</v>
      </c>
      <c r="D1084">
        <v>36.77</v>
      </c>
      <c r="E1084" t="s">
        <v>2644</v>
      </c>
      <c r="F1084" t="s">
        <v>2633</v>
      </c>
      <c r="G1084" s="1">
        <v>91.91</v>
      </c>
      <c r="H1084" s="1"/>
      <c r="I1084" t="s">
        <v>2634</v>
      </c>
      <c r="J1084" t="s">
        <v>2634</v>
      </c>
      <c r="K1084">
        <v>0</v>
      </c>
      <c r="L1084">
        <v>0</v>
      </c>
    </row>
    <row r="1085" spans="1:12">
      <c r="A1085" s="14" t="s">
        <v>2160</v>
      </c>
      <c r="B1085" t="s">
        <v>2161</v>
      </c>
      <c r="C1085" t="s">
        <v>13</v>
      </c>
      <c r="D1085">
        <v>21.06</v>
      </c>
      <c r="E1085" t="s">
        <v>2644</v>
      </c>
      <c r="F1085" t="s">
        <v>2633</v>
      </c>
      <c r="G1085" s="1">
        <v>52.68</v>
      </c>
      <c r="H1085" s="1"/>
      <c r="I1085" t="s">
        <v>2634</v>
      </c>
      <c r="J1085" t="s">
        <v>2634</v>
      </c>
      <c r="K1085">
        <v>0</v>
      </c>
      <c r="L1085">
        <v>0</v>
      </c>
    </row>
    <row r="1086" spans="1:12">
      <c r="A1086" s="14" t="s">
        <v>2162</v>
      </c>
      <c r="B1086" t="s">
        <v>2163</v>
      </c>
      <c r="C1086" t="s">
        <v>13</v>
      </c>
      <c r="D1086">
        <v>26.3</v>
      </c>
      <c r="E1086" t="s">
        <v>2644</v>
      </c>
      <c r="F1086" t="s">
        <v>2633</v>
      </c>
      <c r="G1086" s="1">
        <v>65.75</v>
      </c>
      <c r="H1086" s="1"/>
      <c r="I1086" t="s">
        <v>2634</v>
      </c>
      <c r="J1086" t="s">
        <v>2634</v>
      </c>
      <c r="K1086">
        <v>0</v>
      </c>
      <c r="L1086">
        <v>0</v>
      </c>
    </row>
    <row r="1087" spans="1:12">
      <c r="A1087" s="14" t="s">
        <v>2164</v>
      </c>
      <c r="B1087" t="s">
        <v>2165</v>
      </c>
      <c r="C1087" t="s">
        <v>13</v>
      </c>
      <c r="D1087">
        <v>12.95</v>
      </c>
      <c r="E1087" t="s">
        <v>2644</v>
      </c>
      <c r="F1087" t="s">
        <v>2633</v>
      </c>
      <c r="G1087" s="1">
        <v>32.37</v>
      </c>
      <c r="H1087" s="1"/>
      <c r="I1087" t="s">
        <v>2634</v>
      </c>
      <c r="J1087" t="s">
        <v>2634</v>
      </c>
      <c r="K1087">
        <v>0</v>
      </c>
      <c r="L1087">
        <v>0</v>
      </c>
    </row>
    <row r="1088" spans="1:12">
      <c r="A1088" s="14" t="s">
        <v>2166</v>
      </c>
      <c r="B1088" t="s">
        <v>2167</v>
      </c>
      <c r="C1088" t="s">
        <v>13</v>
      </c>
      <c r="D1088">
        <v>12.05</v>
      </c>
      <c r="E1088" t="s">
        <v>2644</v>
      </c>
      <c r="F1088" t="s">
        <v>2633</v>
      </c>
      <c r="G1088" s="1">
        <v>30.13</v>
      </c>
      <c r="H1088" s="1"/>
      <c r="I1088" t="s">
        <v>2634</v>
      </c>
      <c r="J1088" t="s">
        <v>2634</v>
      </c>
      <c r="K1088">
        <v>0</v>
      </c>
      <c r="L1088">
        <v>0</v>
      </c>
    </row>
    <row r="1089" spans="1:12">
      <c r="A1089" s="14" t="s">
        <v>2168</v>
      </c>
      <c r="B1089" t="s">
        <v>2169</v>
      </c>
      <c r="C1089" t="s">
        <v>13</v>
      </c>
      <c r="D1089">
        <v>19.53</v>
      </c>
      <c r="E1089" t="s">
        <v>2644</v>
      </c>
      <c r="F1089" t="s">
        <v>2633</v>
      </c>
      <c r="G1089" s="1">
        <v>48.82</v>
      </c>
      <c r="H1089" s="1"/>
      <c r="I1089" t="s">
        <v>2634</v>
      </c>
      <c r="J1089" t="s">
        <v>2634</v>
      </c>
      <c r="K1089">
        <v>0</v>
      </c>
      <c r="L1089">
        <v>0</v>
      </c>
    </row>
    <row r="1090" spans="1:12">
      <c r="A1090" s="14" t="s">
        <v>2170</v>
      </c>
      <c r="B1090" t="s">
        <v>2171</v>
      </c>
      <c r="C1090" t="s">
        <v>13</v>
      </c>
      <c r="D1090">
        <v>13</v>
      </c>
      <c r="E1090" t="s">
        <v>2644</v>
      </c>
      <c r="F1090" t="s">
        <v>2633</v>
      </c>
      <c r="G1090" s="1">
        <v>32.5</v>
      </c>
      <c r="H1090" s="1"/>
      <c r="I1090" t="s">
        <v>2634</v>
      </c>
      <c r="J1090" t="s">
        <v>2634</v>
      </c>
      <c r="K1090">
        <v>0</v>
      </c>
      <c r="L1090">
        <v>0</v>
      </c>
    </row>
    <row r="1091" spans="1:12">
      <c r="A1091" s="14" t="s">
        <v>2172</v>
      </c>
      <c r="B1091" t="s">
        <v>2173</v>
      </c>
      <c r="C1091" t="s">
        <v>13</v>
      </c>
      <c r="D1091">
        <v>20.93</v>
      </c>
      <c r="E1091" t="s">
        <v>2632</v>
      </c>
      <c r="F1091" t="s">
        <v>2633</v>
      </c>
      <c r="G1091" s="1">
        <v>39.87</v>
      </c>
      <c r="H1091" s="1"/>
      <c r="I1091" t="s">
        <v>2634</v>
      </c>
      <c r="J1091" t="s">
        <v>2634</v>
      </c>
      <c r="K1091">
        <v>0</v>
      </c>
      <c r="L1091">
        <v>0</v>
      </c>
    </row>
    <row r="1092" spans="1:12">
      <c r="A1092" s="14" t="s">
        <v>2174</v>
      </c>
      <c r="B1092" t="s">
        <v>2175</v>
      </c>
      <c r="C1092" t="s">
        <v>13</v>
      </c>
      <c r="D1092">
        <v>26.25</v>
      </c>
      <c r="E1092" t="s">
        <v>2632</v>
      </c>
      <c r="F1092" t="s">
        <v>2633</v>
      </c>
      <c r="G1092" s="1">
        <v>50</v>
      </c>
      <c r="H1092" s="1"/>
      <c r="I1092" t="s">
        <v>2634</v>
      </c>
      <c r="J1092" t="s">
        <v>2634</v>
      </c>
      <c r="K1092">
        <v>0</v>
      </c>
      <c r="L1092">
        <v>0</v>
      </c>
    </row>
    <row r="1093" spans="1:12">
      <c r="A1093" s="14" t="s">
        <v>2176</v>
      </c>
      <c r="B1093" t="s">
        <v>2177</v>
      </c>
      <c r="C1093" t="s">
        <v>13</v>
      </c>
      <c r="D1093">
        <v>26.24</v>
      </c>
      <c r="E1093" t="s">
        <v>2632</v>
      </c>
      <c r="F1093" t="s">
        <v>2633</v>
      </c>
      <c r="G1093" s="1">
        <v>49.97</v>
      </c>
      <c r="H1093" s="1"/>
      <c r="I1093" t="s">
        <v>2634</v>
      </c>
      <c r="J1093" t="s">
        <v>2634</v>
      </c>
      <c r="K1093">
        <v>0</v>
      </c>
      <c r="L1093">
        <v>0</v>
      </c>
    </row>
    <row r="1094" spans="1:12">
      <c r="A1094" s="14" t="s">
        <v>2178</v>
      </c>
      <c r="B1094" t="s">
        <v>2179</v>
      </c>
      <c r="C1094" t="s">
        <v>13</v>
      </c>
      <c r="D1094">
        <v>23.75</v>
      </c>
      <c r="E1094" t="s">
        <v>2632</v>
      </c>
      <c r="F1094" t="s">
        <v>2633</v>
      </c>
      <c r="G1094" s="1">
        <v>45.25</v>
      </c>
      <c r="H1094" s="1"/>
      <c r="I1094" t="s">
        <v>2634</v>
      </c>
      <c r="J1094" t="s">
        <v>2634</v>
      </c>
      <c r="K1094">
        <v>0</v>
      </c>
      <c r="L1094">
        <v>0</v>
      </c>
    </row>
    <row r="1095" spans="1:12">
      <c r="A1095" s="14" t="s">
        <v>2180</v>
      </c>
      <c r="B1095" t="s">
        <v>2181</v>
      </c>
      <c r="C1095" t="s">
        <v>13</v>
      </c>
      <c r="D1095">
        <v>40.47</v>
      </c>
      <c r="E1095" t="s">
        <v>2632</v>
      </c>
      <c r="F1095" t="s">
        <v>2633</v>
      </c>
      <c r="G1095" s="1">
        <v>77.08</v>
      </c>
      <c r="H1095" s="1"/>
      <c r="I1095" t="s">
        <v>2634</v>
      </c>
      <c r="J1095" t="s">
        <v>2634</v>
      </c>
      <c r="K1095">
        <v>0</v>
      </c>
      <c r="L1095">
        <v>0</v>
      </c>
    </row>
    <row r="1096" spans="1:12">
      <c r="A1096" s="14" t="s">
        <v>2182</v>
      </c>
      <c r="B1096" t="s">
        <v>2183</v>
      </c>
      <c r="C1096" t="s">
        <v>13</v>
      </c>
      <c r="D1096">
        <v>38.52</v>
      </c>
      <c r="E1096" t="s">
        <v>2632</v>
      </c>
      <c r="F1096" t="s">
        <v>2633</v>
      </c>
      <c r="G1096" s="1">
        <v>73.35</v>
      </c>
      <c r="H1096" s="1"/>
      <c r="I1096" t="s">
        <v>2634</v>
      </c>
      <c r="J1096" t="s">
        <v>2634</v>
      </c>
      <c r="K1096">
        <v>0</v>
      </c>
      <c r="L1096">
        <v>0</v>
      </c>
    </row>
    <row r="1097" spans="1:12">
      <c r="A1097" s="14" t="s">
        <v>2184</v>
      </c>
      <c r="B1097" t="s">
        <v>2185</v>
      </c>
      <c r="C1097" t="s">
        <v>13</v>
      </c>
      <c r="D1097">
        <v>36.3</v>
      </c>
      <c r="E1097" t="s">
        <v>2632</v>
      </c>
      <c r="F1097" t="s">
        <v>2633</v>
      </c>
      <c r="G1097" s="1">
        <v>69.15</v>
      </c>
      <c r="H1097" s="1"/>
      <c r="I1097" t="s">
        <v>2634</v>
      </c>
      <c r="J1097" t="s">
        <v>2634</v>
      </c>
      <c r="K1097">
        <v>0</v>
      </c>
      <c r="L1097">
        <v>0</v>
      </c>
    </row>
    <row r="1098" spans="1:12">
      <c r="A1098" s="14" t="s">
        <v>2186</v>
      </c>
      <c r="B1098" t="s">
        <v>2187</v>
      </c>
      <c r="C1098" t="s">
        <v>13</v>
      </c>
      <c r="D1098">
        <v>49.56</v>
      </c>
      <c r="E1098" t="s">
        <v>2632</v>
      </c>
      <c r="F1098" t="s">
        <v>2633</v>
      </c>
      <c r="G1098" s="1">
        <v>123.92</v>
      </c>
      <c r="H1098" s="1"/>
      <c r="I1098" t="s">
        <v>2634</v>
      </c>
      <c r="J1098" t="s">
        <v>2634</v>
      </c>
      <c r="K1098">
        <v>0</v>
      </c>
      <c r="L1098">
        <v>0</v>
      </c>
    </row>
    <row r="1099" spans="1:12">
      <c r="A1099" s="14" t="s">
        <v>2188</v>
      </c>
      <c r="B1099" t="s">
        <v>2189</v>
      </c>
      <c r="C1099" t="s">
        <v>13</v>
      </c>
      <c r="D1099">
        <v>17.85</v>
      </c>
      <c r="E1099" t="s">
        <v>2632</v>
      </c>
      <c r="F1099" t="s">
        <v>2633</v>
      </c>
      <c r="G1099" s="1">
        <v>33.99</v>
      </c>
      <c r="H1099" s="1"/>
      <c r="I1099" t="s">
        <v>2634</v>
      </c>
      <c r="J1099" t="s">
        <v>2634</v>
      </c>
      <c r="K1099">
        <v>0</v>
      </c>
      <c r="L1099">
        <v>0</v>
      </c>
    </row>
    <row r="1100" spans="1:12">
      <c r="A1100" s="14" t="s">
        <v>2190</v>
      </c>
      <c r="B1100" t="s">
        <v>2191</v>
      </c>
      <c r="C1100" t="s">
        <v>13</v>
      </c>
      <c r="D1100">
        <v>21.25</v>
      </c>
      <c r="E1100" t="s">
        <v>2632</v>
      </c>
      <c r="F1100" t="s">
        <v>2633</v>
      </c>
      <c r="G1100" s="1">
        <v>40.48</v>
      </c>
      <c r="H1100" s="1"/>
      <c r="I1100" t="s">
        <v>2634</v>
      </c>
      <c r="J1100" t="s">
        <v>2634</v>
      </c>
      <c r="K1100">
        <v>0</v>
      </c>
      <c r="L1100">
        <v>0</v>
      </c>
    </row>
    <row r="1101" spans="1:12">
      <c r="A1101" s="14" t="s">
        <v>2192</v>
      </c>
      <c r="B1101" t="s">
        <v>2193</v>
      </c>
      <c r="C1101" t="s">
        <v>13</v>
      </c>
      <c r="D1101">
        <v>3.32</v>
      </c>
      <c r="E1101" t="s">
        <v>2632</v>
      </c>
      <c r="F1101" t="s">
        <v>2633</v>
      </c>
      <c r="G1101" s="1">
        <v>8.28</v>
      </c>
      <c r="H1101" s="1"/>
      <c r="I1101" t="s">
        <v>2634</v>
      </c>
      <c r="J1101" t="s">
        <v>2634</v>
      </c>
      <c r="K1101">
        <v>0</v>
      </c>
      <c r="L1101">
        <v>0</v>
      </c>
    </row>
    <row r="1102" spans="1:12">
      <c r="A1102" s="14" t="s">
        <v>2194</v>
      </c>
      <c r="B1102" t="s">
        <v>2195</v>
      </c>
      <c r="C1102" t="s">
        <v>13</v>
      </c>
      <c r="D1102">
        <v>165.57</v>
      </c>
      <c r="E1102" t="s">
        <v>2632</v>
      </c>
      <c r="F1102" t="s">
        <v>2633</v>
      </c>
      <c r="G1102" s="1">
        <v>367.95</v>
      </c>
      <c r="H1102" s="1"/>
      <c r="I1102" t="s">
        <v>2634</v>
      </c>
      <c r="J1102" t="s">
        <v>2634</v>
      </c>
      <c r="K1102">
        <v>0</v>
      </c>
      <c r="L1102">
        <v>0</v>
      </c>
    </row>
    <row r="1103" spans="1:12">
      <c r="A1103" s="14" t="s">
        <v>2196</v>
      </c>
      <c r="B1103" t="s">
        <v>2197</v>
      </c>
      <c r="C1103" t="s">
        <v>13</v>
      </c>
      <c r="D1103">
        <v>256.54</v>
      </c>
      <c r="E1103" t="s">
        <v>2632</v>
      </c>
      <c r="F1103" t="s">
        <v>2633</v>
      </c>
      <c r="G1103" s="1">
        <v>570.12</v>
      </c>
      <c r="H1103" s="1"/>
      <c r="I1103" t="s">
        <v>2634</v>
      </c>
      <c r="J1103" t="s">
        <v>2634</v>
      </c>
      <c r="K1103">
        <v>0</v>
      </c>
      <c r="L1103">
        <v>0</v>
      </c>
    </row>
    <row r="1104" spans="1:12">
      <c r="A1104" s="14" t="s">
        <v>2198</v>
      </c>
      <c r="B1104" t="s">
        <v>2199</v>
      </c>
      <c r="C1104" t="s">
        <v>13</v>
      </c>
      <c r="D1104">
        <v>33.5</v>
      </c>
      <c r="E1104" t="s">
        <v>2632</v>
      </c>
      <c r="F1104" t="s">
        <v>2633</v>
      </c>
      <c r="G1104" s="1">
        <v>83.75</v>
      </c>
      <c r="H1104" s="1"/>
      <c r="I1104" t="s">
        <v>2634</v>
      </c>
      <c r="J1104" t="s">
        <v>2634</v>
      </c>
      <c r="K1104">
        <v>0</v>
      </c>
      <c r="L1104">
        <v>0</v>
      </c>
    </row>
    <row r="1105" spans="1:12">
      <c r="A1105" s="14" t="s">
        <v>2200</v>
      </c>
      <c r="B1105" t="s">
        <v>2201</v>
      </c>
      <c r="C1105" t="s">
        <v>13</v>
      </c>
      <c r="D1105">
        <v>21.34</v>
      </c>
      <c r="E1105" t="s">
        <v>2632</v>
      </c>
      <c r="F1105" t="s">
        <v>2633</v>
      </c>
      <c r="G1105" s="1">
        <v>53.36</v>
      </c>
      <c r="H1105" s="1"/>
      <c r="I1105" t="s">
        <v>2634</v>
      </c>
      <c r="J1105" t="s">
        <v>2634</v>
      </c>
      <c r="K1105">
        <v>0</v>
      </c>
      <c r="L1105">
        <v>0</v>
      </c>
    </row>
    <row r="1106" spans="1:12">
      <c r="A1106" s="14" t="s">
        <v>2202</v>
      </c>
      <c r="B1106" t="s">
        <v>2203</v>
      </c>
      <c r="C1106" t="s">
        <v>13</v>
      </c>
      <c r="D1106">
        <v>48.05</v>
      </c>
      <c r="E1106" t="s">
        <v>2632</v>
      </c>
      <c r="F1106" t="s">
        <v>2633</v>
      </c>
      <c r="G1106" s="1">
        <v>106.78</v>
      </c>
      <c r="H1106" s="1"/>
      <c r="I1106" t="s">
        <v>2634</v>
      </c>
      <c r="J1106">
        <v>6</v>
      </c>
      <c r="K1106">
        <v>0</v>
      </c>
      <c r="L1106">
        <v>0</v>
      </c>
    </row>
    <row r="1107" spans="1:12">
      <c r="A1107" s="14" t="s">
        <v>2204</v>
      </c>
      <c r="B1107" t="s">
        <v>2205</v>
      </c>
      <c r="C1107" t="s">
        <v>13</v>
      </c>
      <c r="D1107">
        <v>45.47</v>
      </c>
      <c r="E1107" t="s">
        <v>2632</v>
      </c>
      <c r="F1107" t="s">
        <v>2633</v>
      </c>
      <c r="G1107" s="1">
        <v>101.02</v>
      </c>
      <c r="H1107" s="2" t="s">
        <v>2635</v>
      </c>
      <c r="I1107" t="s">
        <v>2642</v>
      </c>
      <c r="J1107">
        <v>12</v>
      </c>
      <c r="K1107">
        <v>0</v>
      </c>
      <c r="L1107">
        <v>0</v>
      </c>
    </row>
    <row r="1108" spans="1:12">
      <c r="A1108" s="14" t="s">
        <v>2206</v>
      </c>
      <c r="B1108" t="s">
        <v>2207</v>
      </c>
      <c r="C1108" t="s">
        <v>13</v>
      </c>
      <c r="D1108">
        <v>42.78</v>
      </c>
      <c r="E1108" t="s">
        <v>2632</v>
      </c>
      <c r="F1108" t="s">
        <v>2633</v>
      </c>
      <c r="G1108" s="1">
        <v>95.07</v>
      </c>
      <c r="H1108" s="1"/>
      <c r="I1108" t="s">
        <v>2634</v>
      </c>
      <c r="J1108">
        <v>4</v>
      </c>
      <c r="K1108">
        <v>0</v>
      </c>
      <c r="L1108">
        <v>0</v>
      </c>
    </row>
    <row r="1109" spans="1:12">
      <c r="A1109" s="14" t="s">
        <v>2208</v>
      </c>
      <c r="B1109" t="s">
        <v>2209</v>
      </c>
      <c r="C1109" t="s">
        <v>13</v>
      </c>
      <c r="D1109">
        <v>42.97</v>
      </c>
      <c r="E1109" t="s">
        <v>2632</v>
      </c>
      <c r="F1109" t="s">
        <v>2633</v>
      </c>
      <c r="G1109" s="1">
        <v>95.48</v>
      </c>
      <c r="H1109" s="1"/>
      <c r="I1109" t="s">
        <v>2634</v>
      </c>
      <c r="J1109">
        <v>4</v>
      </c>
      <c r="K1109">
        <v>0</v>
      </c>
      <c r="L1109">
        <v>0</v>
      </c>
    </row>
    <row r="1110" spans="1:12">
      <c r="A1110" s="14" t="s">
        <v>2210</v>
      </c>
      <c r="B1110" t="s">
        <v>2211</v>
      </c>
      <c r="C1110" t="s">
        <v>13</v>
      </c>
      <c r="D1110">
        <v>48.99</v>
      </c>
      <c r="E1110" t="s">
        <v>2632</v>
      </c>
      <c r="F1110" t="s">
        <v>2633</v>
      </c>
      <c r="G1110" s="1">
        <v>108.86</v>
      </c>
      <c r="H1110" s="1"/>
      <c r="I1110" t="s">
        <v>2634</v>
      </c>
      <c r="J1110" t="s">
        <v>2634</v>
      </c>
      <c r="K1110">
        <v>0</v>
      </c>
      <c r="L1110">
        <v>0</v>
      </c>
    </row>
    <row r="1111" spans="1:12">
      <c r="A1111" s="14" t="s">
        <v>2212</v>
      </c>
      <c r="B1111" t="s">
        <v>2213</v>
      </c>
      <c r="C1111" t="s">
        <v>13</v>
      </c>
      <c r="D1111">
        <v>44.52</v>
      </c>
      <c r="E1111" t="s">
        <v>2632</v>
      </c>
      <c r="F1111" t="s">
        <v>2633</v>
      </c>
      <c r="G1111" s="1">
        <v>98.95</v>
      </c>
      <c r="H1111" s="1"/>
      <c r="I1111" t="s">
        <v>2634</v>
      </c>
      <c r="J1111" t="s">
        <v>2634</v>
      </c>
      <c r="K1111">
        <v>0</v>
      </c>
      <c r="L1111">
        <v>0</v>
      </c>
    </row>
    <row r="1112" spans="1:12">
      <c r="A1112" s="14" t="s">
        <v>2214</v>
      </c>
      <c r="B1112" t="s">
        <v>2215</v>
      </c>
      <c r="C1112" t="s">
        <v>13</v>
      </c>
      <c r="D1112">
        <v>44.42</v>
      </c>
      <c r="E1112" t="s">
        <v>2632</v>
      </c>
      <c r="F1112" t="s">
        <v>2633</v>
      </c>
      <c r="G1112" s="1">
        <v>98.71</v>
      </c>
      <c r="H1112" s="1"/>
      <c r="I1112" t="s">
        <v>2634</v>
      </c>
      <c r="J1112">
        <v>10</v>
      </c>
      <c r="K1112">
        <v>0</v>
      </c>
      <c r="L1112">
        <v>0</v>
      </c>
    </row>
    <row r="1113" spans="1:12">
      <c r="A1113" s="14" t="s">
        <v>2216</v>
      </c>
      <c r="B1113" t="s">
        <v>2217</v>
      </c>
      <c r="C1113" t="s">
        <v>13</v>
      </c>
      <c r="D1113">
        <v>32.73</v>
      </c>
      <c r="E1113" t="s">
        <v>2632</v>
      </c>
      <c r="F1113" t="s">
        <v>2633</v>
      </c>
      <c r="G1113" s="1">
        <v>72.76</v>
      </c>
      <c r="H1113" s="1"/>
      <c r="I1113" t="s">
        <v>2634</v>
      </c>
      <c r="J1113">
        <v>5</v>
      </c>
      <c r="K1113">
        <v>0</v>
      </c>
      <c r="L1113">
        <v>0</v>
      </c>
    </row>
    <row r="1114" spans="1:12">
      <c r="A1114" s="14" t="s">
        <v>2218</v>
      </c>
      <c r="B1114" t="s">
        <v>2219</v>
      </c>
      <c r="C1114" t="s">
        <v>13</v>
      </c>
      <c r="D1114">
        <v>32.34</v>
      </c>
      <c r="E1114" t="s">
        <v>2632</v>
      </c>
      <c r="F1114" t="s">
        <v>2633</v>
      </c>
      <c r="G1114" s="1">
        <v>71.87</v>
      </c>
      <c r="H1114" s="2" t="s">
        <v>2635</v>
      </c>
      <c r="I1114" t="s">
        <v>2637</v>
      </c>
      <c r="J1114">
        <v>6</v>
      </c>
      <c r="K1114">
        <v>0</v>
      </c>
      <c r="L1114">
        <v>0</v>
      </c>
    </row>
    <row r="1115" spans="1:12">
      <c r="A1115" s="14" t="s">
        <v>2220</v>
      </c>
      <c r="B1115" t="s">
        <v>2221</v>
      </c>
      <c r="C1115" t="s">
        <v>13</v>
      </c>
      <c r="D1115">
        <v>32.77</v>
      </c>
      <c r="E1115" t="s">
        <v>2632</v>
      </c>
      <c r="F1115" t="s">
        <v>2633</v>
      </c>
      <c r="G1115" s="1">
        <v>72.84</v>
      </c>
      <c r="H1115" s="1"/>
      <c r="I1115" t="s">
        <v>2634</v>
      </c>
      <c r="J1115" t="s">
        <v>2634</v>
      </c>
      <c r="K1115">
        <v>0</v>
      </c>
      <c r="L1115">
        <v>0</v>
      </c>
    </row>
    <row r="1116" spans="1:12">
      <c r="A1116" s="14" t="s">
        <v>2222</v>
      </c>
      <c r="B1116" t="s">
        <v>2223</v>
      </c>
      <c r="C1116" t="s">
        <v>13</v>
      </c>
      <c r="D1116">
        <v>0.16</v>
      </c>
      <c r="E1116" t="s">
        <v>2632</v>
      </c>
      <c r="F1116" t="s">
        <v>2633</v>
      </c>
      <c r="G1116" s="1">
        <v>0.31</v>
      </c>
      <c r="H1116" s="1"/>
      <c r="I1116" t="s">
        <v>2634</v>
      </c>
      <c r="J1116" t="s">
        <v>2634</v>
      </c>
      <c r="K1116">
        <v>0</v>
      </c>
      <c r="L1116">
        <v>0</v>
      </c>
    </row>
    <row r="1117" spans="1:12">
      <c r="A1117" s="14" t="s">
        <v>2224</v>
      </c>
      <c r="B1117" t="s">
        <v>2225</v>
      </c>
      <c r="C1117" t="s">
        <v>13</v>
      </c>
      <c r="D1117">
        <v>0.17</v>
      </c>
      <c r="E1117" t="s">
        <v>2632</v>
      </c>
      <c r="F1117" t="s">
        <v>2633</v>
      </c>
      <c r="G1117" s="1">
        <v>0.38</v>
      </c>
      <c r="H1117" s="1"/>
      <c r="I1117" t="s">
        <v>2634</v>
      </c>
      <c r="J1117" t="s">
        <v>2634</v>
      </c>
      <c r="K1117">
        <v>0</v>
      </c>
      <c r="L1117">
        <v>0</v>
      </c>
    </row>
    <row r="1118" spans="1:12">
      <c r="A1118" s="14" t="s">
        <v>2226</v>
      </c>
      <c r="B1118" t="s">
        <v>2227</v>
      </c>
      <c r="C1118" t="s">
        <v>13</v>
      </c>
      <c r="D1118">
        <v>0.55</v>
      </c>
      <c r="E1118" t="s">
        <v>2632</v>
      </c>
      <c r="F1118" t="s">
        <v>2633</v>
      </c>
      <c r="G1118" s="1">
        <v>1.38</v>
      </c>
      <c r="H1118" s="1"/>
      <c r="I1118" t="s">
        <v>2634</v>
      </c>
      <c r="J1118" t="s">
        <v>2634</v>
      </c>
      <c r="K1118">
        <v>0</v>
      </c>
      <c r="L1118">
        <v>0</v>
      </c>
    </row>
    <row r="1119" spans="1:12">
      <c r="A1119" s="14" t="s">
        <v>2228</v>
      </c>
      <c r="B1119" t="s">
        <v>2229</v>
      </c>
      <c r="C1119" t="s">
        <v>13</v>
      </c>
      <c r="D1119">
        <v>0.55</v>
      </c>
      <c r="E1119" t="s">
        <v>2632</v>
      </c>
      <c r="F1119" t="s">
        <v>2633</v>
      </c>
      <c r="G1119" s="1">
        <v>1.38</v>
      </c>
      <c r="H1119" s="1"/>
      <c r="I1119" t="s">
        <v>2634</v>
      </c>
      <c r="J1119" t="s">
        <v>2634</v>
      </c>
      <c r="K1119">
        <v>0</v>
      </c>
      <c r="L1119">
        <v>0</v>
      </c>
    </row>
    <row r="1120" spans="1:12">
      <c r="A1120" s="14" t="s">
        <v>2230</v>
      </c>
      <c r="B1120" t="s">
        <v>2231</v>
      </c>
      <c r="C1120" t="s">
        <v>13</v>
      </c>
      <c r="D1120">
        <v>0.55</v>
      </c>
      <c r="E1120" t="s">
        <v>2632</v>
      </c>
      <c r="F1120" t="s">
        <v>2633</v>
      </c>
      <c r="G1120" s="1">
        <v>1.38</v>
      </c>
      <c r="H1120" s="1"/>
      <c r="I1120" t="s">
        <v>2634</v>
      </c>
      <c r="J1120" t="s">
        <v>2634</v>
      </c>
      <c r="K1120">
        <v>0</v>
      </c>
      <c r="L1120">
        <v>0</v>
      </c>
    </row>
    <row r="1121" spans="1:12">
      <c r="A1121" s="14" t="s">
        <v>2232</v>
      </c>
      <c r="B1121" t="s">
        <v>2233</v>
      </c>
      <c r="C1121" t="s">
        <v>13</v>
      </c>
      <c r="D1121">
        <v>5.73</v>
      </c>
      <c r="E1121" t="s">
        <v>2632</v>
      </c>
      <c r="F1121" t="s">
        <v>2633</v>
      </c>
      <c r="G1121" s="1">
        <v>14.34</v>
      </c>
      <c r="H1121" s="1"/>
      <c r="I1121" t="s">
        <v>2634</v>
      </c>
      <c r="J1121" t="s">
        <v>2634</v>
      </c>
      <c r="K1121">
        <v>0</v>
      </c>
      <c r="L1121">
        <v>0</v>
      </c>
    </row>
    <row r="1122" spans="1:12">
      <c r="A1122" s="14" t="s">
        <v>2234</v>
      </c>
      <c r="B1122" t="s">
        <v>2235</v>
      </c>
      <c r="C1122" t="s">
        <v>13</v>
      </c>
      <c r="D1122">
        <v>0.73</v>
      </c>
      <c r="E1122" t="s">
        <v>2632</v>
      </c>
      <c r="F1122" t="s">
        <v>2633</v>
      </c>
      <c r="G1122" s="1">
        <v>1.8</v>
      </c>
      <c r="H1122" s="1"/>
      <c r="I1122" t="s">
        <v>2634</v>
      </c>
      <c r="J1122" t="s">
        <v>2634</v>
      </c>
      <c r="K1122">
        <v>0</v>
      </c>
      <c r="L1122">
        <v>0</v>
      </c>
    </row>
    <row r="1123" spans="1:12">
      <c r="A1123" s="14" t="s">
        <v>2236</v>
      </c>
      <c r="B1123" t="s">
        <v>2237</v>
      </c>
      <c r="C1123" t="s">
        <v>13</v>
      </c>
      <c r="D1123">
        <v>0.71</v>
      </c>
      <c r="E1123" t="s">
        <v>2632</v>
      </c>
      <c r="F1123" t="s">
        <v>2633</v>
      </c>
      <c r="G1123" s="1">
        <v>1.75</v>
      </c>
      <c r="H1123" s="1"/>
      <c r="I1123" t="s">
        <v>2634</v>
      </c>
      <c r="J1123" t="s">
        <v>2634</v>
      </c>
      <c r="K1123">
        <v>0</v>
      </c>
      <c r="L1123">
        <v>0</v>
      </c>
    </row>
    <row r="1124" spans="1:12">
      <c r="A1124" s="14" t="s">
        <v>2238</v>
      </c>
      <c r="B1124" t="s">
        <v>2239</v>
      </c>
      <c r="C1124" t="s">
        <v>13</v>
      </c>
      <c r="D1124">
        <v>0.73</v>
      </c>
      <c r="E1124" t="s">
        <v>2632</v>
      </c>
      <c r="F1124" t="s">
        <v>2633</v>
      </c>
      <c r="G1124" s="1">
        <v>1.8</v>
      </c>
      <c r="H1124" s="1"/>
      <c r="I1124" t="s">
        <v>2634</v>
      </c>
      <c r="J1124" t="s">
        <v>2634</v>
      </c>
      <c r="K1124">
        <v>0</v>
      </c>
      <c r="L1124">
        <v>0</v>
      </c>
    </row>
    <row r="1125" spans="1:12">
      <c r="A1125" s="14" t="s">
        <v>2240</v>
      </c>
      <c r="B1125" t="s">
        <v>2241</v>
      </c>
      <c r="C1125" t="s">
        <v>13</v>
      </c>
      <c r="D1125">
        <v>0.73</v>
      </c>
      <c r="E1125" t="s">
        <v>2632</v>
      </c>
      <c r="F1125" t="s">
        <v>2633</v>
      </c>
      <c r="G1125" s="1">
        <v>1.8</v>
      </c>
      <c r="H1125" s="1"/>
      <c r="I1125" t="s">
        <v>2634</v>
      </c>
      <c r="J1125" t="s">
        <v>2634</v>
      </c>
      <c r="K1125">
        <v>0</v>
      </c>
      <c r="L1125">
        <v>0</v>
      </c>
    </row>
    <row r="1126" spans="1:12">
      <c r="A1126" s="14" t="s">
        <v>2242</v>
      </c>
      <c r="B1126" t="s">
        <v>2243</v>
      </c>
      <c r="C1126" t="s">
        <v>13</v>
      </c>
      <c r="D1126">
        <v>1.19</v>
      </c>
      <c r="E1126" t="s">
        <v>2632</v>
      </c>
      <c r="F1126" t="s">
        <v>2633</v>
      </c>
      <c r="G1126" s="1">
        <v>2.98</v>
      </c>
      <c r="H1126" s="1"/>
      <c r="I1126" t="s">
        <v>2634</v>
      </c>
      <c r="J1126" t="s">
        <v>2634</v>
      </c>
      <c r="K1126">
        <v>0</v>
      </c>
      <c r="L1126">
        <v>0</v>
      </c>
    </row>
    <row r="1127" spans="1:12">
      <c r="A1127" s="14" t="s">
        <v>2244</v>
      </c>
      <c r="B1127" t="s">
        <v>2245</v>
      </c>
      <c r="C1127" t="s">
        <v>13</v>
      </c>
      <c r="D1127">
        <v>1.16</v>
      </c>
      <c r="E1127" t="s">
        <v>2632</v>
      </c>
      <c r="F1127" t="s">
        <v>2633</v>
      </c>
      <c r="G1127" s="1">
        <v>2.9</v>
      </c>
      <c r="H1127" s="1"/>
      <c r="I1127" t="s">
        <v>2634</v>
      </c>
      <c r="J1127" t="s">
        <v>2634</v>
      </c>
      <c r="K1127">
        <v>0</v>
      </c>
      <c r="L1127">
        <v>0</v>
      </c>
    </row>
    <row r="1128" spans="1:12">
      <c r="A1128" s="14" t="s">
        <v>2246</v>
      </c>
      <c r="B1128" t="s">
        <v>2247</v>
      </c>
      <c r="C1128" t="s">
        <v>13</v>
      </c>
      <c r="D1128">
        <v>1.19</v>
      </c>
      <c r="E1128" t="s">
        <v>2632</v>
      </c>
      <c r="F1128" t="s">
        <v>2633</v>
      </c>
      <c r="G1128" s="1">
        <v>3.01</v>
      </c>
      <c r="H1128" s="1"/>
      <c r="I1128" t="s">
        <v>2634</v>
      </c>
      <c r="J1128" t="s">
        <v>2634</v>
      </c>
      <c r="K1128">
        <v>0</v>
      </c>
      <c r="L1128">
        <v>0</v>
      </c>
    </row>
    <row r="1129" spans="1:12">
      <c r="A1129" s="14" t="s">
        <v>2248</v>
      </c>
      <c r="B1129" t="s">
        <v>2249</v>
      </c>
      <c r="C1129" t="s">
        <v>13</v>
      </c>
      <c r="D1129">
        <v>1.17</v>
      </c>
      <c r="E1129" t="s">
        <v>2632</v>
      </c>
      <c r="F1129" t="s">
        <v>2633</v>
      </c>
      <c r="G1129" s="1">
        <v>2.93</v>
      </c>
      <c r="H1129" s="1"/>
      <c r="I1129" t="s">
        <v>2634</v>
      </c>
      <c r="J1129" t="s">
        <v>2634</v>
      </c>
      <c r="K1129">
        <v>0</v>
      </c>
      <c r="L1129">
        <v>0</v>
      </c>
    </row>
    <row r="1130" spans="1:12">
      <c r="A1130" s="14" t="s">
        <v>2250</v>
      </c>
      <c r="B1130" t="s">
        <v>2251</v>
      </c>
      <c r="C1130" t="s">
        <v>13</v>
      </c>
      <c r="D1130">
        <v>1.35</v>
      </c>
      <c r="E1130" t="s">
        <v>2632</v>
      </c>
      <c r="F1130" t="s">
        <v>2633</v>
      </c>
      <c r="G1130" s="1">
        <v>3.36</v>
      </c>
      <c r="H1130" s="1"/>
      <c r="I1130" t="s">
        <v>2634</v>
      </c>
      <c r="J1130" t="s">
        <v>2634</v>
      </c>
      <c r="K1130">
        <v>0</v>
      </c>
      <c r="L1130">
        <v>0</v>
      </c>
    </row>
    <row r="1131" spans="1:12">
      <c r="A1131" s="14" t="s">
        <v>2252</v>
      </c>
      <c r="B1131" t="s">
        <v>2253</v>
      </c>
      <c r="C1131" t="s">
        <v>13</v>
      </c>
      <c r="D1131">
        <v>1.35</v>
      </c>
      <c r="E1131" t="s">
        <v>2632</v>
      </c>
      <c r="F1131" t="s">
        <v>2633</v>
      </c>
      <c r="G1131" s="1">
        <v>3.36</v>
      </c>
      <c r="H1131" s="1"/>
      <c r="I1131" t="s">
        <v>2634</v>
      </c>
      <c r="J1131" t="s">
        <v>2634</v>
      </c>
      <c r="K1131">
        <v>0</v>
      </c>
      <c r="L1131">
        <v>0</v>
      </c>
    </row>
    <row r="1132" spans="1:12">
      <c r="A1132" s="14" t="s">
        <v>2254</v>
      </c>
      <c r="B1132" t="s">
        <v>2255</v>
      </c>
      <c r="C1132" t="s">
        <v>13</v>
      </c>
      <c r="D1132">
        <v>1.35</v>
      </c>
      <c r="E1132" t="s">
        <v>2632</v>
      </c>
      <c r="F1132" t="s">
        <v>2633</v>
      </c>
      <c r="G1132" s="1">
        <v>3.36</v>
      </c>
      <c r="H1132" s="1"/>
      <c r="I1132" t="s">
        <v>2634</v>
      </c>
      <c r="J1132" t="s">
        <v>2634</v>
      </c>
      <c r="K1132">
        <v>0</v>
      </c>
      <c r="L1132">
        <v>0</v>
      </c>
    </row>
    <row r="1133" spans="1:12">
      <c r="A1133" s="14" t="s">
        <v>2256</v>
      </c>
      <c r="B1133" t="s">
        <v>2257</v>
      </c>
      <c r="C1133" t="s">
        <v>13</v>
      </c>
      <c r="D1133">
        <v>1.26</v>
      </c>
      <c r="E1133" t="s">
        <v>2632</v>
      </c>
      <c r="F1133" t="s">
        <v>2633</v>
      </c>
      <c r="G1133" s="1">
        <v>3.17</v>
      </c>
      <c r="H1133" s="1"/>
      <c r="I1133" t="s">
        <v>2634</v>
      </c>
      <c r="J1133" t="s">
        <v>2634</v>
      </c>
      <c r="K1133">
        <v>0</v>
      </c>
      <c r="L1133">
        <v>0</v>
      </c>
    </row>
    <row r="1134" spans="1:12">
      <c r="A1134" s="14" t="s">
        <v>2258</v>
      </c>
      <c r="B1134" t="s">
        <v>2259</v>
      </c>
      <c r="C1134" t="s">
        <v>13</v>
      </c>
      <c r="D1134">
        <v>2.22</v>
      </c>
      <c r="E1134" t="s">
        <v>2632</v>
      </c>
      <c r="F1134" t="s">
        <v>2633</v>
      </c>
      <c r="G1134" s="1">
        <v>5.56</v>
      </c>
      <c r="H1134" s="1"/>
      <c r="I1134" t="s">
        <v>2634</v>
      </c>
      <c r="J1134" t="s">
        <v>2634</v>
      </c>
      <c r="K1134">
        <v>0</v>
      </c>
      <c r="L1134">
        <v>0</v>
      </c>
    </row>
    <row r="1135" spans="1:12">
      <c r="A1135" s="14" t="s">
        <v>2260</v>
      </c>
      <c r="B1135" t="s">
        <v>2261</v>
      </c>
      <c r="C1135" t="s">
        <v>13</v>
      </c>
      <c r="D1135">
        <v>2.18</v>
      </c>
      <c r="E1135" t="s">
        <v>2632</v>
      </c>
      <c r="F1135" t="s">
        <v>2633</v>
      </c>
      <c r="G1135" s="1">
        <v>5.43</v>
      </c>
      <c r="H1135" s="1"/>
      <c r="I1135" t="s">
        <v>2634</v>
      </c>
      <c r="J1135" t="s">
        <v>2634</v>
      </c>
      <c r="K1135">
        <v>0</v>
      </c>
      <c r="L1135">
        <v>0</v>
      </c>
    </row>
    <row r="1136" spans="1:12">
      <c r="A1136" s="14" t="s">
        <v>2262</v>
      </c>
      <c r="B1136" t="s">
        <v>2263</v>
      </c>
      <c r="C1136" t="s">
        <v>13</v>
      </c>
      <c r="D1136">
        <v>2.22</v>
      </c>
      <c r="E1136" t="s">
        <v>2632</v>
      </c>
      <c r="F1136" t="s">
        <v>2633</v>
      </c>
      <c r="G1136" s="1">
        <v>5.56</v>
      </c>
      <c r="H1136" s="1"/>
      <c r="I1136" t="s">
        <v>2634</v>
      </c>
      <c r="J1136" t="s">
        <v>2634</v>
      </c>
      <c r="K1136">
        <v>0</v>
      </c>
      <c r="L1136">
        <v>0</v>
      </c>
    </row>
    <row r="1137" spans="1:12">
      <c r="A1137" s="14" t="s">
        <v>2264</v>
      </c>
      <c r="B1137" t="s">
        <v>2265</v>
      </c>
      <c r="C1137" t="s">
        <v>13</v>
      </c>
      <c r="D1137">
        <v>2.22</v>
      </c>
      <c r="E1137" t="s">
        <v>2632</v>
      </c>
      <c r="F1137" t="s">
        <v>2633</v>
      </c>
      <c r="G1137" s="1">
        <v>5.56</v>
      </c>
      <c r="H1137" s="1"/>
      <c r="I1137" t="s">
        <v>2634</v>
      </c>
      <c r="J1137" t="s">
        <v>2634</v>
      </c>
      <c r="K1137">
        <v>0</v>
      </c>
      <c r="L1137">
        <v>0</v>
      </c>
    </row>
    <row r="1138" spans="1:12">
      <c r="A1138" s="14" t="s">
        <v>2266</v>
      </c>
      <c r="B1138" t="s">
        <v>2267</v>
      </c>
      <c r="C1138" t="s">
        <v>13</v>
      </c>
      <c r="D1138">
        <v>2.49</v>
      </c>
      <c r="E1138" t="s">
        <v>2632</v>
      </c>
      <c r="F1138" t="s">
        <v>2633</v>
      </c>
      <c r="G1138" s="1">
        <v>6.21</v>
      </c>
      <c r="H1138" s="1"/>
      <c r="I1138" t="s">
        <v>2634</v>
      </c>
      <c r="J1138" t="s">
        <v>2634</v>
      </c>
      <c r="K1138">
        <v>0</v>
      </c>
      <c r="L1138">
        <v>0</v>
      </c>
    </row>
    <row r="1139" spans="1:12">
      <c r="A1139" s="14" t="s">
        <v>2268</v>
      </c>
      <c r="B1139" t="s">
        <v>2269</v>
      </c>
      <c r="C1139" t="s">
        <v>13</v>
      </c>
      <c r="D1139">
        <v>2.44</v>
      </c>
      <c r="E1139" t="s">
        <v>2632</v>
      </c>
      <c r="F1139" t="s">
        <v>2633</v>
      </c>
      <c r="G1139" s="1">
        <v>6.09</v>
      </c>
      <c r="H1139" s="1"/>
      <c r="I1139" t="s">
        <v>2634</v>
      </c>
      <c r="J1139" t="s">
        <v>2634</v>
      </c>
      <c r="K1139">
        <v>0</v>
      </c>
      <c r="L1139">
        <v>0</v>
      </c>
    </row>
    <row r="1140" spans="1:12">
      <c r="A1140" s="14" t="s">
        <v>2270</v>
      </c>
      <c r="B1140" t="s">
        <v>2271</v>
      </c>
      <c r="C1140" t="s">
        <v>13</v>
      </c>
      <c r="D1140">
        <v>2.44</v>
      </c>
      <c r="E1140" t="s">
        <v>2632</v>
      </c>
      <c r="F1140" t="s">
        <v>2633</v>
      </c>
      <c r="G1140" s="1">
        <v>6.09</v>
      </c>
      <c r="H1140" s="1"/>
      <c r="I1140" t="s">
        <v>2634</v>
      </c>
      <c r="J1140" t="s">
        <v>2634</v>
      </c>
      <c r="K1140">
        <v>0</v>
      </c>
      <c r="L1140">
        <v>0</v>
      </c>
    </row>
    <row r="1141" spans="1:12">
      <c r="A1141" s="14" t="s">
        <v>2272</v>
      </c>
      <c r="B1141" t="s">
        <v>2273</v>
      </c>
      <c r="C1141" t="s">
        <v>13</v>
      </c>
      <c r="D1141">
        <v>4.37</v>
      </c>
      <c r="E1141" t="s">
        <v>2632</v>
      </c>
      <c r="F1141" t="s">
        <v>2633</v>
      </c>
      <c r="G1141" s="1">
        <v>10.96</v>
      </c>
      <c r="H1141" s="1"/>
      <c r="I1141" t="s">
        <v>2634</v>
      </c>
      <c r="J1141" t="s">
        <v>2634</v>
      </c>
      <c r="K1141">
        <v>0</v>
      </c>
      <c r="L1141">
        <v>0</v>
      </c>
    </row>
    <row r="1142" spans="1:12">
      <c r="A1142" s="14" t="s">
        <v>2274</v>
      </c>
      <c r="B1142" t="s">
        <v>2275</v>
      </c>
      <c r="C1142" t="s">
        <v>13</v>
      </c>
      <c r="D1142">
        <v>4.37</v>
      </c>
      <c r="E1142" t="s">
        <v>2632</v>
      </c>
      <c r="F1142" t="s">
        <v>2633</v>
      </c>
      <c r="G1142" s="1">
        <v>10.96</v>
      </c>
      <c r="H1142" s="1"/>
      <c r="I1142" t="s">
        <v>2634</v>
      </c>
      <c r="J1142" t="s">
        <v>2634</v>
      </c>
      <c r="K1142">
        <v>0</v>
      </c>
      <c r="L1142">
        <v>0</v>
      </c>
    </row>
    <row r="1143" spans="1:12">
      <c r="A1143" s="14" t="s">
        <v>2276</v>
      </c>
      <c r="B1143" t="s">
        <v>2277</v>
      </c>
      <c r="C1143" t="s">
        <v>13</v>
      </c>
      <c r="D1143">
        <v>4.37</v>
      </c>
      <c r="E1143" t="s">
        <v>2632</v>
      </c>
      <c r="F1143" t="s">
        <v>2633</v>
      </c>
      <c r="G1143" s="1">
        <v>10.96</v>
      </c>
      <c r="H1143" s="1"/>
      <c r="I1143" t="s">
        <v>2634</v>
      </c>
      <c r="J1143" t="s">
        <v>2634</v>
      </c>
      <c r="K1143">
        <v>0</v>
      </c>
      <c r="L1143">
        <v>0</v>
      </c>
    </row>
    <row r="1144" spans="1:12">
      <c r="A1144" s="14" t="s">
        <v>2278</v>
      </c>
      <c r="B1144" t="s">
        <v>2279</v>
      </c>
      <c r="C1144" t="s">
        <v>13</v>
      </c>
      <c r="D1144">
        <v>81.9</v>
      </c>
      <c r="E1144" t="s">
        <v>2632</v>
      </c>
      <c r="F1144" t="s">
        <v>2633</v>
      </c>
      <c r="G1144" s="1">
        <v>156.01</v>
      </c>
      <c r="H1144" s="1"/>
      <c r="I1144" t="s">
        <v>2634</v>
      </c>
      <c r="J1144">
        <v>20</v>
      </c>
      <c r="K1144">
        <v>0</v>
      </c>
      <c r="L1144">
        <v>0</v>
      </c>
    </row>
    <row r="1145" spans="1:12">
      <c r="A1145" s="14" t="s">
        <v>2280</v>
      </c>
      <c r="B1145" t="s">
        <v>2281</v>
      </c>
      <c r="C1145" t="s">
        <v>13</v>
      </c>
      <c r="D1145">
        <v>82.29</v>
      </c>
      <c r="E1145" t="s">
        <v>2632</v>
      </c>
      <c r="F1145" t="s">
        <v>2633</v>
      </c>
      <c r="G1145" s="1">
        <v>156.75</v>
      </c>
      <c r="H1145" s="1"/>
      <c r="I1145" t="s">
        <v>2634</v>
      </c>
      <c r="J1145">
        <v>20</v>
      </c>
      <c r="K1145">
        <v>0</v>
      </c>
      <c r="L1145">
        <v>0</v>
      </c>
    </row>
    <row r="1146" spans="1:12">
      <c r="A1146" s="14" t="s">
        <v>2282</v>
      </c>
      <c r="B1146" t="s">
        <v>2283</v>
      </c>
      <c r="C1146" t="s">
        <v>13</v>
      </c>
      <c r="D1146">
        <v>1.46</v>
      </c>
      <c r="E1146" t="s">
        <v>2632</v>
      </c>
      <c r="F1146" t="s">
        <v>2633</v>
      </c>
      <c r="G1146" s="1">
        <v>2.79</v>
      </c>
      <c r="H1146" s="1"/>
      <c r="I1146" t="s">
        <v>2634</v>
      </c>
      <c r="J1146" t="s">
        <v>2634</v>
      </c>
      <c r="K1146">
        <v>0</v>
      </c>
      <c r="L1146">
        <v>0</v>
      </c>
    </row>
    <row r="1147" spans="1:12">
      <c r="A1147" s="14" t="s">
        <v>2284</v>
      </c>
      <c r="B1147" t="s">
        <v>2285</v>
      </c>
      <c r="C1147" t="s">
        <v>13</v>
      </c>
      <c r="D1147">
        <v>3.19</v>
      </c>
      <c r="E1147" t="s">
        <v>2632</v>
      </c>
      <c r="F1147" t="s">
        <v>2633</v>
      </c>
      <c r="G1147" s="1">
        <v>6.09</v>
      </c>
      <c r="H1147" s="1"/>
      <c r="I1147" t="s">
        <v>2634</v>
      </c>
      <c r="J1147" t="s">
        <v>2634</v>
      </c>
      <c r="K1147">
        <v>0</v>
      </c>
      <c r="L1147">
        <v>0</v>
      </c>
    </row>
    <row r="1148" spans="1:12">
      <c r="A1148" s="14" t="s">
        <v>2286</v>
      </c>
      <c r="B1148" t="s">
        <v>2287</v>
      </c>
      <c r="C1148" t="s">
        <v>13</v>
      </c>
      <c r="D1148">
        <v>8.26</v>
      </c>
      <c r="E1148" t="s">
        <v>2632</v>
      </c>
      <c r="F1148" t="s">
        <v>2633</v>
      </c>
      <c r="G1148" s="1">
        <v>15.73</v>
      </c>
      <c r="H1148" s="1"/>
      <c r="I1148" t="s">
        <v>2634</v>
      </c>
      <c r="J1148" t="s">
        <v>2634</v>
      </c>
      <c r="K1148">
        <v>0</v>
      </c>
      <c r="L1148">
        <v>0</v>
      </c>
    </row>
    <row r="1149" spans="1:12">
      <c r="A1149" s="14" t="s">
        <v>2288</v>
      </c>
      <c r="B1149" t="s">
        <v>2289</v>
      </c>
      <c r="C1149" t="s">
        <v>13</v>
      </c>
      <c r="D1149">
        <v>8.89</v>
      </c>
      <c r="E1149" t="s">
        <v>2632</v>
      </c>
      <c r="F1149" t="s">
        <v>2633</v>
      </c>
      <c r="G1149" s="1">
        <v>16.95</v>
      </c>
      <c r="H1149" s="1"/>
      <c r="I1149" t="s">
        <v>2634</v>
      </c>
      <c r="J1149" t="s">
        <v>2634</v>
      </c>
      <c r="K1149">
        <v>0</v>
      </c>
      <c r="L1149">
        <v>0</v>
      </c>
    </row>
    <row r="1150" spans="1:12">
      <c r="A1150" s="14" t="s">
        <v>2290</v>
      </c>
      <c r="B1150" t="s">
        <v>2291</v>
      </c>
      <c r="C1150" t="s">
        <v>13</v>
      </c>
      <c r="D1150">
        <v>11.98</v>
      </c>
      <c r="E1150" t="s">
        <v>2632</v>
      </c>
      <c r="F1150" t="s">
        <v>2633</v>
      </c>
      <c r="G1150" s="1">
        <v>22.83</v>
      </c>
      <c r="H1150" s="1"/>
      <c r="I1150" t="s">
        <v>2634</v>
      </c>
      <c r="J1150" t="s">
        <v>2634</v>
      </c>
      <c r="K1150">
        <v>0</v>
      </c>
      <c r="L1150">
        <v>0</v>
      </c>
    </row>
    <row r="1151" spans="1:12">
      <c r="A1151" s="14" t="s">
        <v>2292</v>
      </c>
      <c r="B1151" t="s">
        <v>2293</v>
      </c>
      <c r="C1151" t="s">
        <v>13</v>
      </c>
      <c r="D1151">
        <v>11.98</v>
      </c>
      <c r="E1151" t="s">
        <v>2632</v>
      </c>
      <c r="F1151" t="s">
        <v>2633</v>
      </c>
      <c r="G1151" s="1">
        <v>22.83</v>
      </c>
      <c r="H1151" s="1"/>
      <c r="I1151" t="s">
        <v>2634</v>
      </c>
      <c r="J1151" t="s">
        <v>2634</v>
      </c>
      <c r="K1151">
        <v>0</v>
      </c>
      <c r="L1151">
        <v>0</v>
      </c>
    </row>
    <row r="1152" spans="1:12">
      <c r="A1152" s="14" t="s">
        <v>2294</v>
      </c>
      <c r="B1152" t="s">
        <v>2295</v>
      </c>
      <c r="C1152" t="s">
        <v>13</v>
      </c>
      <c r="D1152">
        <v>11.98</v>
      </c>
      <c r="E1152" t="s">
        <v>2632</v>
      </c>
      <c r="F1152" t="s">
        <v>2633</v>
      </c>
      <c r="G1152" s="1">
        <v>22.83</v>
      </c>
      <c r="H1152" s="1"/>
      <c r="I1152" t="s">
        <v>2634</v>
      </c>
      <c r="J1152" t="s">
        <v>2634</v>
      </c>
      <c r="K1152">
        <v>0</v>
      </c>
      <c r="L1152">
        <v>0</v>
      </c>
    </row>
    <row r="1153" spans="1:12">
      <c r="A1153" s="14" t="s">
        <v>2296</v>
      </c>
      <c r="B1153" t="s">
        <v>2297</v>
      </c>
      <c r="C1153" t="s">
        <v>13</v>
      </c>
      <c r="D1153">
        <v>8.26</v>
      </c>
      <c r="E1153" t="s">
        <v>2632</v>
      </c>
      <c r="F1153" t="s">
        <v>2633</v>
      </c>
      <c r="G1153" s="1">
        <v>15.73</v>
      </c>
      <c r="H1153" s="1"/>
      <c r="I1153" t="s">
        <v>2634</v>
      </c>
      <c r="J1153" t="s">
        <v>2634</v>
      </c>
      <c r="K1153">
        <v>0</v>
      </c>
      <c r="L1153">
        <v>0</v>
      </c>
    </row>
    <row r="1154" spans="1:12">
      <c r="A1154" s="14" t="s">
        <v>2298</v>
      </c>
      <c r="B1154" t="s">
        <v>2299</v>
      </c>
      <c r="C1154" t="s">
        <v>13</v>
      </c>
      <c r="D1154">
        <v>11.98</v>
      </c>
      <c r="E1154" t="s">
        <v>2632</v>
      </c>
      <c r="F1154" t="s">
        <v>2633</v>
      </c>
      <c r="G1154" s="1">
        <v>22.83</v>
      </c>
      <c r="H1154" s="1"/>
      <c r="I1154" t="s">
        <v>2634</v>
      </c>
      <c r="J1154" t="s">
        <v>2634</v>
      </c>
      <c r="K1154">
        <v>0</v>
      </c>
      <c r="L1154">
        <v>0</v>
      </c>
    </row>
    <row r="1155" spans="1:12">
      <c r="A1155" s="14" t="s">
        <v>2300</v>
      </c>
      <c r="B1155" t="s">
        <v>2301</v>
      </c>
      <c r="C1155" t="s">
        <v>13</v>
      </c>
      <c r="D1155">
        <v>8.26</v>
      </c>
      <c r="E1155" t="s">
        <v>2632</v>
      </c>
      <c r="F1155" t="s">
        <v>2633</v>
      </c>
      <c r="G1155" s="1">
        <v>15.73</v>
      </c>
      <c r="H1155" s="1"/>
      <c r="I1155" t="s">
        <v>2634</v>
      </c>
      <c r="J1155" t="s">
        <v>2634</v>
      </c>
      <c r="K1155">
        <v>0</v>
      </c>
      <c r="L1155">
        <v>0</v>
      </c>
    </row>
    <row r="1156" spans="1:12">
      <c r="A1156" s="14" t="s">
        <v>2302</v>
      </c>
      <c r="B1156" t="s">
        <v>2303</v>
      </c>
      <c r="C1156" t="s">
        <v>13</v>
      </c>
      <c r="D1156">
        <v>8.89</v>
      </c>
      <c r="E1156" t="s">
        <v>2632</v>
      </c>
      <c r="F1156" t="s">
        <v>2633</v>
      </c>
      <c r="G1156" s="1">
        <v>16.95</v>
      </c>
      <c r="H1156" s="1"/>
      <c r="I1156" t="s">
        <v>2634</v>
      </c>
      <c r="J1156" t="s">
        <v>2634</v>
      </c>
      <c r="K1156">
        <v>0</v>
      </c>
      <c r="L1156">
        <v>0</v>
      </c>
    </row>
    <row r="1157" spans="1:12">
      <c r="A1157" s="14" t="s">
        <v>2304</v>
      </c>
      <c r="B1157" t="s">
        <v>2305</v>
      </c>
      <c r="C1157" t="s">
        <v>13</v>
      </c>
      <c r="D1157">
        <v>6.23</v>
      </c>
      <c r="E1157" t="s">
        <v>2632</v>
      </c>
      <c r="F1157" t="s">
        <v>2633</v>
      </c>
      <c r="G1157" s="1">
        <v>11.86</v>
      </c>
      <c r="H1157" s="1"/>
      <c r="I1157" t="s">
        <v>2634</v>
      </c>
      <c r="J1157" t="s">
        <v>2634</v>
      </c>
      <c r="K1157">
        <v>0</v>
      </c>
      <c r="L1157">
        <v>0</v>
      </c>
    </row>
    <row r="1158" spans="1:12">
      <c r="A1158" s="14" t="s">
        <v>2306</v>
      </c>
      <c r="B1158" t="s">
        <v>2307</v>
      </c>
      <c r="C1158" t="s">
        <v>13</v>
      </c>
      <c r="D1158">
        <v>2.81</v>
      </c>
      <c r="E1158" t="s">
        <v>2632</v>
      </c>
      <c r="F1158" t="s">
        <v>2633</v>
      </c>
      <c r="G1158" s="1">
        <v>5.35</v>
      </c>
      <c r="H1158" s="1"/>
      <c r="I1158" t="s">
        <v>2634</v>
      </c>
      <c r="J1158" t="s">
        <v>2634</v>
      </c>
      <c r="K1158">
        <v>0</v>
      </c>
      <c r="L1158">
        <v>0</v>
      </c>
    </row>
    <row r="1159" spans="1:12">
      <c r="A1159" s="14" t="s">
        <v>2308</v>
      </c>
      <c r="B1159" t="s">
        <v>2309</v>
      </c>
      <c r="C1159" t="s">
        <v>13</v>
      </c>
      <c r="D1159">
        <v>11.97</v>
      </c>
      <c r="E1159" t="s">
        <v>2632</v>
      </c>
      <c r="F1159" t="s">
        <v>2633</v>
      </c>
      <c r="G1159" s="1">
        <v>22.81</v>
      </c>
      <c r="H1159" s="1"/>
      <c r="I1159" t="s">
        <v>2634</v>
      </c>
      <c r="J1159" t="s">
        <v>2634</v>
      </c>
      <c r="K1159">
        <v>0</v>
      </c>
      <c r="L1159">
        <v>0</v>
      </c>
    </row>
    <row r="1160" spans="1:12">
      <c r="A1160" s="14" t="s">
        <v>2310</v>
      </c>
      <c r="B1160" t="s">
        <v>2311</v>
      </c>
      <c r="C1160" t="s">
        <v>13</v>
      </c>
      <c r="D1160">
        <v>12.58</v>
      </c>
      <c r="E1160" t="s">
        <v>2632</v>
      </c>
      <c r="F1160" t="s">
        <v>2633</v>
      </c>
      <c r="G1160" s="1">
        <v>23.97</v>
      </c>
      <c r="H1160" s="1"/>
      <c r="I1160" t="s">
        <v>2634</v>
      </c>
      <c r="J1160" t="s">
        <v>2634</v>
      </c>
      <c r="K1160">
        <v>0</v>
      </c>
      <c r="L1160">
        <v>0</v>
      </c>
    </row>
    <row r="1161" spans="1:12">
      <c r="A1161" s="14" t="s">
        <v>2312</v>
      </c>
      <c r="B1161" t="s">
        <v>2313</v>
      </c>
      <c r="C1161" t="s">
        <v>13</v>
      </c>
      <c r="D1161">
        <v>11.98</v>
      </c>
      <c r="E1161" t="s">
        <v>2632</v>
      </c>
      <c r="F1161" t="s">
        <v>2633</v>
      </c>
      <c r="G1161" s="1">
        <v>22.83</v>
      </c>
      <c r="H1161" s="1"/>
      <c r="I1161" t="s">
        <v>2634</v>
      </c>
      <c r="J1161" t="s">
        <v>2634</v>
      </c>
      <c r="K1161">
        <v>0</v>
      </c>
      <c r="L1161">
        <v>0</v>
      </c>
    </row>
    <row r="1162" spans="1:12">
      <c r="A1162" s="14" t="s">
        <v>2314</v>
      </c>
      <c r="B1162" t="s">
        <v>2315</v>
      </c>
      <c r="C1162" t="s">
        <v>13</v>
      </c>
      <c r="D1162">
        <v>11.97</v>
      </c>
      <c r="E1162" t="s">
        <v>2632</v>
      </c>
      <c r="F1162" t="s">
        <v>2633</v>
      </c>
      <c r="G1162" s="1">
        <v>22.81</v>
      </c>
      <c r="H1162" s="1"/>
      <c r="I1162" t="s">
        <v>2634</v>
      </c>
      <c r="J1162" t="s">
        <v>2634</v>
      </c>
      <c r="K1162">
        <v>0</v>
      </c>
      <c r="L1162">
        <v>0</v>
      </c>
    </row>
    <row r="1163" spans="1:12">
      <c r="A1163" s="14" t="s">
        <v>2316</v>
      </c>
      <c r="B1163" t="s">
        <v>2317</v>
      </c>
      <c r="C1163" t="s">
        <v>13</v>
      </c>
      <c r="D1163">
        <v>11.98</v>
      </c>
      <c r="E1163" t="s">
        <v>2632</v>
      </c>
      <c r="F1163" t="s">
        <v>2633</v>
      </c>
      <c r="G1163" s="1">
        <v>22.83</v>
      </c>
      <c r="H1163" s="1"/>
      <c r="I1163" t="s">
        <v>2634</v>
      </c>
      <c r="J1163" t="s">
        <v>2634</v>
      </c>
      <c r="K1163">
        <v>0</v>
      </c>
      <c r="L1163">
        <v>0</v>
      </c>
    </row>
    <row r="1164" spans="1:12">
      <c r="A1164" s="14" t="s">
        <v>2318</v>
      </c>
      <c r="B1164" t="s">
        <v>2319</v>
      </c>
      <c r="C1164" t="s">
        <v>13</v>
      </c>
      <c r="D1164">
        <v>11.97</v>
      </c>
      <c r="E1164" t="s">
        <v>2632</v>
      </c>
      <c r="F1164" t="s">
        <v>2633</v>
      </c>
      <c r="G1164" s="1">
        <v>22.81</v>
      </c>
      <c r="H1164" s="1"/>
      <c r="I1164" t="s">
        <v>2634</v>
      </c>
      <c r="J1164" t="s">
        <v>2634</v>
      </c>
      <c r="K1164">
        <v>0</v>
      </c>
      <c r="L1164">
        <v>0</v>
      </c>
    </row>
    <row r="1165" spans="1:12">
      <c r="A1165" s="14" t="s">
        <v>2320</v>
      </c>
      <c r="B1165" t="s">
        <v>2321</v>
      </c>
      <c r="C1165" t="s">
        <v>13</v>
      </c>
      <c r="D1165">
        <v>6.22</v>
      </c>
      <c r="E1165" t="s">
        <v>2632</v>
      </c>
      <c r="F1165" t="s">
        <v>2633</v>
      </c>
      <c r="G1165" s="1">
        <v>11.85</v>
      </c>
      <c r="H1165" s="1"/>
      <c r="I1165" t="s">
        <v>2634</v>
      </c>
      <c r="J1165" t="s">
        <v>2634</v>
      </c>
      <c r="K1165">
        <v>0</v>
      </c>
      <c r="L1165">
        <v>0</v>
      </c>
    </row>
    <row r="1166" spans="1:12">
      <c r="A1166" s="14" t="s">
        <v>2322</v>
      </c>
      <c r="B1166" t="s">
        <v>2323</v>
      </c>
      <c r="C1166" t="s">
        <v>13</v>
      </c>
      <c r="D1166">
        <v>8.91</v>
      </c>
      <c r="E1166" t="s">
        <v>2632</v>
      </c>
      <c r="F1166" t="s">
        <v>2633</v>
      </c>
      <c r="G1166" s="1">
        <v>16.97</v>
      </c>
      <c r="H1166" s="1"/>
      <c r="I1166" t="s">
        <v>2634</v>
      </c>
      <c r="J1166" t="s">
        <v>2634</v>
      </c>
      <c r="K1166">
        <v>0</v>
      </c>
      <c r="L1166">
        <v>0</v>
      </c>
    </row>
    <row r="1167" spans="1:12">
      <c r="A1167" s="14" t="s">
        <v>2324</v>
      </c>
      <c r="B1167" t="s">
        <v>2325</v>
      </c>
      <c r="C1167" t="s">
        <v>13</v>
      </c>
      <c r="D1167">
        <v>6.22</v>
      </c>
      <c r="E1167" t="s">
        <v>2632</v>
      </c>
      <c r="F1167" t="s">
        <v>2633</v>
      </c>
      <c r="G1167" s="1">
        <v>11.85</v>
      </c>
      <c r="H1167" s="1"/>
      <c r="I1167" t="s">
        <v>2634</v>
      </c>
      <c r="J1167" t="s">
        <v>2634</v>
      </c>
      <c r="K1167">
        <v>0</v>
      </c>
      <c r="L1167">
        <v>0</v>
      </c>
    </row>
    <row r="1168" spans="1:12">
      <c r="A1168" s="14" t="s">
        <v>2326</v>
      </c>
      <c r="B1168" t="s">
        <v>2327</v>
      </c>
      <c r="C1168" t="s">
        <v>13</v>
      </c>
      <c r="D1168">
        <v>6.22</v>
      </c>
      <c r="E1168" t="s">
        <v>2632</v>
      </c>
      <c r="F1168" t="s">
        <v>2633</v>
      </c>
      <c r="G1168" s="1">
        <v>11.85</v>
      </c>
      <c r="H1168" s="1"/>
      <c r="I1168" t="s">
        <v>2634</v>
      </c>
      <c r="J1168" t="s">
        <v>2634</v>
      </c>
      <c r="K1168">
        <v>0</v>
      </c>
      <c r="L1168">
        <v>0</v>
      </c>
    </row>
    <row r="1169" spans="1:12">
      <c r="A1169" s="14" t="s">
        <v>2328</v>
      </c>
      <c r="B1169" t="s">
        <v>2329</v>
      </c>
      <c r="C1169" t="s">
        <v>13</v>
      </c>
      <c r="D1169">
        <v>6.22</v>
      </c>
      <c r="E1169" t="s">
        <v>2632</v>
      </c>
      <c r="F1169" t="s">
        <v>2633</v>
      </c>
      <c r="G1169" s="1">
        <v>11.85</v>
      </c>
      <c r="H1169" s="1"/>
      <c r="I1169" t="s">
        <v>2634</v>
      </c>
      <c r="J1169" t="s">
        <v>2634</v>
      </c>
      <c r="K1169">
        <v>0</v>
      </c>
      <c r="L1169">
        <v>0</v>
      </c>
    </row>
    <row r="1170" spans="1:12">
      <c r="A1170" s="14" t="s">
        <v>2330</v>
      </c>
      <c r="B1170" t="s">
        <v>2331</v>
      </c>
      <c r="C1170" t="s">
        <v>13</v>
      </c>
      <c r="D1170">
        <v>8.26</v>
      </c>
      <c r="E1170" t="s">
        <v>2632</v>
      </c>
      <c r="F1170" t="s">
        <v>2633</v>
      </c>
      <c r="G1170" s="1">
        <v>15.73</v>
      </c>
      <c r="H1170" s="1"/>
      <c r="I1170" t="s">
        <v>2634</v>
      </c>
      <c r="J1170" t="s">
        <v>2634</v>
      </c>
      <c r="K1170">
        <v>0</v>
      </c>
      <c r="L1170">
        <v>0</v>
      </c>
    </row>
    <row r="1171" spans="1:12">
      <c r="A1171" s="14" t="s">
        <v>2332</v>
      </c>
      <c r="B1171" t="s">
        <v>2333</v>
      </c>
      <c r="C1171" t="s">
        <v>13</v>
      </c>
      <c r="D1171">
        <v>4.77</v>
      </c>
      <c r="E1171" t="s">
        <v>2632</v>
      </c>
      <c r="F1171" t="s">
        <v>2633</v>
      </c>
      <c r="G1171" s="1">
        <v>9.08</v>
      </c>
      <c r="H1171" s="1"/>
      <c r="I1171" t="s">
        <v>2634</v>
      </c>
      <c r="J1171" t="s">
        <v>2634</v>
      </c>
      <c r="K1171">
        <v>0</v>
      </c>
      <c r="L1171">
        <v>0</v>
      </c>
    </row>
    <row r="1172" spans="1:12">
      <c r="A1172" s="14" t="s">
        <v>2334</v>
      </c>
      <c r="B1172" t="s">
        <v>2335</v>
      </c>
      <c r="C1172" t="s">
        <v>13</v>
      </c>
      <c r="D1172">
        <v>9.11</v>
      </c>
      <c r="E1172" t="s">
        <v>2632</v>
      </c>
      <c r="F1172" t="s">
        <v>2633</v>
      </c>
      <c r="G1172" s="1">
        <v>17.34</v>
      </c>
      <c r="H1172" s="1"/>
      <c r="I1172" t="s">
        <v>2634</v>
      </c>
      <c r="J1172" t="s">
        <v>2634</v>
      </c>
      <c r="K1172">
        <v>0</v>
      </c>
      <c r="L1172">
        <v>0</v>
      </c>
    </row>
    <row r="1173" spans="1:12">
      <c r="A1173" s="14" t="s">
        <v>2336</v>
      </c>
      <c r="B1173" t="s">
        <v>2337</v>
      </c>
      <c r="C1173" t="s">
        <v>13</v>
      </c>
      <c r="D1173">
        <v>7.5</v>
      </c>
      <c r="E1173" t="s">
        <v>2632</v>
      </c>
      <c r="F1173" t="s">
        <v>2633</v>
      </c>
      <c r="G1173" s="1">
        <v>14.29</v>
      </c>
      <c r="H1173" s="1"/>
      <c r="I1173" t="s">
        <v>2634</v>
      </c>
      <c r="J1173" t="s">
        <v>2634</v>
      </c>
      <c r="K1173">
        <v>0</v>
      </c>
      <c r="L1173">
        <v>0</v>
      </c>
    </row>
    <row r="1174" spans="1:12">
      <c r="A1174" s="14" t="s">
        <v>2338</v>
      </c>
      <c r="B1174" t="s">
        <v>2339</v>
      </c>
      <c r="C1174" t="s">
        <v>13</v>
      </c>
      <c r="D1174">
        <v>41.09</v>
      </c>
      <c r="E1174" t="s">
        <v>2632</v>
      </c>
      <c r="F1174" t="s">
        <v>2633</v>
      </c>
      <c r="G1174" s="1">
        <v>78.34</v>
      </c>
      <c r="H1174" s="1"/>
      <c r="I1174" t="s">
        <v>2634</v>
      </c>
      <c r="J1174" t="s">
        <v>2634</v>
      </c>
      <c r="K1174">
        <v>0</v>
      </c>
      <c r="L1174">
        <v>0</v>
      </c>
    </row>
    <row r="1175" spans="1:12">
      <c r="A1175" s="14" t="s">
        <v>2340</v>
      </c>
      <c r="B1175" t="s">
        <v>2341</v>
      </c>
      <c r="C1175" t="s">
        <v>13</v>
      </c>
      <c r="D1175">
        <v>11.98</v>
      </c>
      <c r="E1175" t="s">
        <v>2632</v>
      </c>
      <c r="F1175" t="s">
        <v>2633</v>
      </c>
      <c r="G1175" s="1">
        <v>22.83</v>
      </c>
      <c r="H1175" s="1"/>
      <c r="I1175" t="s">
        <v>2634</v>
      </c>
      <c r="J1175" t="s">
        <v>2634</v>
      </c>
      <c r="K1175">
        <v>0</v>
      </c>
      <c r="L1175">
        <v>0</v>
      </c>
    </row>
    <row r="1176" spans="1:12">
      <c r="A1176" s="14" t="s">
        <v>2342</v>
      </c>
      <c r="B1176" t="s">
        <v>2343</v>
      </c>
      <c r="C1176" t="s">
        <v>13</v>
      </c>
      <c r="D1176">
        <v>11.98</v>
      </c>
      <c r="E1176" t="s">
        <v>2632</v>
      </c>
      <c r="F1176" t="s">
        <v>2633</v>
      </c>
      <c r="G1176" s="1">
        <v>22.83</v>
      </c>
      <c r="H1176" s="1"/>
      <c r="I1176" t="s">
        <v>2634</v>
      </c>
      <c r="J1176" t="s">
        <v>2634</v>
      </c>
      <c r="K1176">
        <v>0</v>
      </c>
      <c r="L1176">
        <v>0</v>
      </c>
    </row>
    <row r="1177" spans="1:12">
      <c r="A1177" s="14" t="s">
        <v>2344</v>
      </c>
      <c r="B1177" t="s">
        <v>2345</v>
      </c>
      <c r="C1177" t="s">
        <v>13</v>
      </c>
      <c r="D1177">
        <v>11.97</v>
      </c>
      <c r="E1177" t="s">
        <v>2632</v>
      </c>
      <c r="F1177" t="s">
        <v>2633</v>
      </c>
      <c r="G1177" s="1">
        <v>22.81</v>
      </c>
      <c r="H1177" s="1"/>
      <c r="I1177" t="s">
        <v>2634</v>
      </c>
      <c r="J1177" t="s">
        <v>2634</v>
      </c>
      <c r="K1177">
        <v>0</v>
      </c>
      <c r="L1177">
        <v>0</v>
      </c>
    </row>
    <row r="1178" spans="1:12">
      <c r="A1178" s="14" t="s">
        <v>2346</v>
      </c>
      <c r="B1178" t="s">
        <v>2347</v>
      </c>
      <c r="C1178" t="s">
        <v>13</v>
      </c>
      <c r="D1178">
        <v>8.19</v>
      </c>
      <c r="E1178" t="s">
        <v>2632</v>
      </c>
      <c r="F1178" t="s">
        <v>2633</v>
      </c>
      <c r="G1178" s="1">
        <v>15.59</v>
      </c>
      <c r="H1178" s="1"/>
      <c r="I1178" t="s">
        <v>2634</v>
      </c>
      <c r="J1178" t="s">
        <v>2634</v>
      </c>
      <c r="K1178">
        <v>0</v>
      </c>
      <c r="L1178">
        <v>0</v>
      </c>
    </row>
    <row r="1179" spans="1:12">
      <c r="A1179" s="14" t="s">
        <v>2348</v>
      </c>
      <c r="B1179" t="s">
        <v>2349</v>
      </c>
      <c r="C1179" t="s">
        <v>13</v>
      </c>
      <c r="D1179">
        <v>11.87</v>
      </c>
      <c r="E1179" t="s">
        <v>2632</v>
      </c>
      <c r="F1179" t="s">
        <v>2633</v>
      </c>
      <c r="G1179" s="1">
        <v>22.6</v>
      </c>
      <c r="H1179" s="1"/>
      <c r="I1179" t="s">
        <v>2634</v>
      </c>
      <c r="J1179" t="s">
        <v>2634</v>
      </c>
      <c r="K1179">
        <v>0</v>
      </c>
      <c r="L1179">
        <v>0</v>
      </c>
    </row>
    <row r="1180" spans="1:12">
      <c r="A1180" s="14" t="s">
        <v>2350</v>
      </c>
      <c r="B1180" t="s">
        <v>2351</v>
      </c>
      <c r="C1180" t="s">
        <v>13</v>
      </c>
      <c r="D1180">
        <v>11.98</v>
      </c>
      <c r="E1180" t="s">
        <v>2632</v>
      </c>
      <c r="F1180" t="s">
        <v>2633</v>
      </c>
      <c r="G1180" s="1">
        <v>22.83</v>
      </c>
      <c r="H1180" s="1"/>
      <c r="I1180" t="s">
        <v>2634</v>
      </c>
      <c r="J1180" t="s">
        <v>2634</v>
      </c>
      <c r="K1180">
        <v>0</v>
      </c>
      <c r="L1180">
        <v>0</v>
      </c>
    </row>
    <row r="1181" spans="1:12">
      <c r="A1181" s="14" t="s">
        <v>2352</v>
      </c>
      <c r="B1181" t="s">
        <v>2353</v>
      </c>
      <c r="C1181" t="s">
        <v>13</v>
      </c>
      <c r="D1181">
        <v>11.97</v>
      </c>
      <c r="E1181" t="s">
        <v>2632</v>
      </c>
      <c r="F1181" t="s">
        <v>2633</v>
      </c>
      <c r="G1181" s="1">
        <v>22.81</v>
      </c>
      <c r="H1181" s="1"/>
      <c r="I1181" t="s">
        <v>2634</v>
      </c>
      <c r="J1181" t="s">
        <v>2634</v>
      </c>
      <c r="K1181">
        <v>0</v>
      </c>
      <c r="L1181">
        <v>0</v>
      </c>
    </row>
    <row r="1182" spans="1:12">
      <c r="A1182" s="14" t="s">
        <v>2354</v>
      </c>
      <c r="B1182" t="s">
        <v>2355</v>
      </c>
      <c r="C1182" t="s">
        <v>13</v>
      </c>
      <c r="D1182">
        <v>11.98</v>
      </c>
      <c r="E1182" t="s">
        <v>2632</v>
      </c>
      <c r="F1182" t="s">
        <v>2633</v>
      </c>
      <c r="G1182" s="1">
        <v>22.81</v>
      </c>
      <c r="H1182" s="1"/>
      <c r="I1182" t="s">
        <v>2634</v>
      </c>
      <c r="J1182" t="s">
        <v>2634</v>
      </c>
      <c r="K1182">
        <v>0</v>
      </c>
      <c r="L1182">
        <v>0</v>
      </c>
    </row>
    <row r="1183" spans="1:12">
      <c r="A1183" s="14" t="s">
        <v>2356</v>
      </c>
      <c r="B1183" t="s">
        <v>2357</v>
      </c>
      <c r="C1183" t="s">
        <v>13</v>
      </c>
      <c r="D1183">
        <v>12.48</v>
      </c>
      <c r="E1183" t="s">
        <v>2632</v>
      </c>
      <c r="F1183" t="s">
        <v>2633</v>
      </c>
      <c r="G1183" s="1">
        <v>23.77</v>
      </c>
      <c r="H1183" s="1"/>
      <c r="I1183" t="s">
        <v>2634</v>
      </c>
      <c r="J1183" t="s">
        <v>2634</v>
      </c>
      <c r="K1183">
        <v>0</v>
      </c>
      <c r="L1183">
        <v>0</v>
      </c>
    </row>
    <row r="1184" spans="1:12">
      <c r="A1184" s="14" t="s">
        <v>2358</v>
      </c>
      <c r="B1184" t="s">
        <v>2359</v>
      </c>
      <c r="C1184" t="s">
        <v>13</v>
      </c>
      <c r="D1184">
        <v>8.26</v>
      </c>
      <c r="E1184" t="s">
        <v>2632</v>
      </c>
      <c r="F1184" t="s">
        <v>2633</v>
      </c>
      <c r="G1184" s="1">
        <v>15.73</v>
      </c>
      <c r="H1184" s="1"/>
      <c r="I1184" t="s">
        <v>2634</v>
      </c>
      <c r="J1184" t="s">
        <v>2634</v>
      </c>
      <c r="K1184">
        <v>0</v>
      </c>
      <c r="L1184">
        <v>0</v>
      </c>
    </row>
    <row r="1185" spans="1:12">
      <c r="A1185" s="14" t="s">
        <v>2360</v>
      </c>
      <c r="B1185" t="s">
        <v>2361</v>
      </c>
      <c r="C1185" t="s">
        <v>13</v>
      </c>
      <c r="D1185">
        <v>11.97</v>
      </c>
      <c r="E1185" t="s">
        <v>2632</v>
      </c>
      <c r="F1185" t="s">
        <v>2633</v>
      </c>
      <c r="G1185" s="1">
        <v>22.81</v>
      </c>
      <c r="H1185" s="1"/>
      <c r="I1185" t="s">
        <v>2634</v>
      </c>
      <c r="J1185">
        <v>12</v>
      </c>
      <c r="K1185">
        <v>0</v>
      </c>
      <c r="L1185">
        <v>0</v>
      </c>
    </row>
    <row r="1186" spans="1:12">
      <c r="A1186" s="14" t="s">
        <v>2362</v>
      </c>
      <c r="B1186" t="s">
        <v>2363</v>
      </c>
      <c r="C1186" t="s">
        <v>13</v>
      </c>
      <c r="D1186">
        <v>3.61</v>
      </c>
      <c r="E1186" t="s">
        <v>2632</v>
      </c>
      <c r="F1186" t="s">
        <v>2633</v>
      </c>
      <c r="G1186" s="1">
        <v>6.88</v>
      </c>
      <c r="H1186" s="1"/>
      <c r="I1186" t="s">
        <v>2634</v>
      </c>
      <c r="J1186" t="s">
        <v>2634</v>
      </c>
      <c r="K1186">
        <v>0</v>
      </c>
      <c r="L1186">
        <v>0</v>
      </c>
    </row>
    <row r="1187" spans="1:12">
      <c r="A1187" s="14" t="s">
        <v>2364</v>
      </c>
      <c r="B1187" t="s">
        <v>2365</v>
      </c>
      <c r="C1187" t="s">
        <v>13</v>
      </c>
      <c r="D1187">
        <v>3.62</v>
      </c>
      <c r="E1187" t="s">
        <v>2632</v>
      </c>
      <c r="F1187" t="s">
        <v>2633</v>
      </c>
      <c r="G1187" s="1">
        <v>6.91</v>
      </c>
      <c r="H1187" s="1"/>
      <c r="I1187" t="s">
        <v>2634</v>
      </c>
      <c r="J1187" t="s">
        <v>2634</v>
      </c>
      <c r="K1187">
        <v>0</v>
      </c>
      <c r="L1187">
        <v>0</v>
      </c>
    </row>
    <row r="1188" spans="1:12">
      <c r="A1188" s="14" t="s">
        <v>2366</v>
      </c>
      <c r="B1188" t="s">
        <v>2367</v>
      </c>
      <c r="C1188" t="s">
        <v>13</v>
      </c>
      <c r="D1188">
        <v>13.92</v>
      </c>
      <c r="E1188" t="s">
        <v>2632</v>
      </c>
      <c r="F1188" t="s">
        <v>2633</v>
      </c>
      <c r="G1188" s="1">
        <v>26.51</v>
      </c>
      <c r="H1188" s="1"/>
      <c r="I1188" t="s">
        <v>2634</v>
      </c>
      <c r="J1188" t="s">
        <v>2634</v>
      </c>
      <c r="K1188">
        <v>0</v>
      </c>
      <c r="L1188">
        <v>0</v>
      </c>
    </row>
    <row r="1189" spans="1:12">
      <c r="A1189" s="14" t="s">
        <v>2368</v>
      </c>
      <c r="B1189" t="s">
        <v>2369</v>
      </c>
      <c r="C1189" t="s">
        <v>13</v>
      </c>
      <c r="D1189">
        <v>3.18</v>
      </c>
      <c r="E1189" t="s">
        <v>2632</v>
      </c>
      <c r="F1189" t="s">
        <v>2633</v>
      </c>
      <c r="G1189" s="1">
        <v>6.05</v>
      </c>
      <c r="H1189" s="1"/>
      <c r="I1189" t="s">
        <v>2634</v>
      </c>
      <c r="J1189" t="s">
        <v>2634</v>
      </c>
      <c r="K1189">
        <v>0</v>
      </c>
      <c r="L1189">
        <v>0</v>
      </c>
    </row>
    <row r="1190" spans="1:12">
      <c r="A1190" s="14" t="s">
        <v>2370</v>
      </c>
      <c r="B1190" t="s">
        <v>2371</v>
      </c>
      <c r="C1190" t="s">
        <v>13</v>
      </c>
      <c r="D1190">
        <v>3.19</v>
      </c>
      <c r="E1190" t="s">
        <v>2632</v>
      </c>
      <c r="F1190" t="s">
        <v>2633</v>
      </c>
      <c r="G1190" s="1">
        <v>6.09</v>
      </c>
      <c r="H1190" s="1"/>
      <c r="I1190" t="s">
        <v>2634</v>
      </c>
      <c r="J1190" t="s">
        <v>2634</v>
      </c>
      <c r="K1190">
        <v>0</v>
      </c>
      <c r="L1190">
        <v>0</v>
      </c>
    </row>
    <row r="1191" spans="1:12">
      <c r="A1191" s="14" t="s">
        <v>2372</v>
      </c>
      <c r="B1191" t="s">
        <v>2373</v>
      </c>
      <c r="C1191" t="s">
        <v>13</v>
      </c>
      <c r="D1191">
        <v>8.26</v>
      </c>
      <c r="E1191" t="s">
        <v>2632</v>
      </c>
      <c r="F1191" t="s">
        <v>2633</v>
      </c>
      <c r="G1191" s="1">
        <v>15.73</v>
      </c>
      <c r="H1191" s="1"/>
      <c r="I1191" t="s">
        <v>2634</v>
      </c>
      <c r="J1191" t="s">
        <v>2634</v>
      </c>
      <c r="K1191">
        <v>0</v>
      </c>
      <c r="L1191">
        <v>0</v>
      </c>
    </row>
    <row r="1192" spans="1:12">
      <c r="A1192" s="14" t="s">
        <v>2374</v>
      </c>
      <c r="B1192" t="s">
        <v>2375</v>
      </c>
      <c r="C1192" t="s">
        <v>13</v>
      </c>
      <c r="D1192">
        <v>11.97</v>
      </c>
      <c r="E1192" t="s">
        <v>2632</v>
      </c>
      <c r="F1192" t="s">
        <v>2633</v>
      </c>
      <c r="G1192" s="1">
        <v>22.81</v>
      </c>
      <c r="H1192" s="1"/>
      <c r="I1192" t="s">
        <v>2634</v>
      </c>
      <c r="J1192" t="s">
        <v>2634</v>
      </c>
      <c r="K1192">
        <v>0</v>
      </c>
      <c r="L1192">
        <v>0</v>
      </c>
    </row>
    <row r="1193" spans="1:12">
      <c r="A1193" s="14" t="s">
        <v>2376</v>
      </c>
      <c r="B1193" t="s">
        <v>2377</v>
      </c>
      <c r="C1193" t="s">
        <v>13</v>
      </c>
      <c r="D1193">
        <v>1.7</v>
      </c>
      <c r="E1193" t="s">
        <v>2632</v>
      </c>
      <c r="F1193" t="s">
        <v>2633</v>
      </c>
      <c r="G1193" s="1">
        <v>3.25</v>
      </c>
      <c r="H1193" s="1"/>
      <c r="I1193" t="s">
        <v>2634</v>
      </c>
      <c r="J1193" t="s">
        <v>2634</v>
      </c>
      <c r="K1193">
        <v>0</v>
      </c>
      <c r="L1193">
        <v>0</v>
      </c>
    </row>
    <row r="1194" spans="1:12">
      <c r="A1194" s="14" t="s">
        <v>2378</v>
      </c>
      <c r="B1194" t="s">
        <v>2379</v>
      </c>
      <c r="C1194" t="s">
        <v>13</v>
      </c>
      <c r="D1194">
        <v>6.57</v>
      </c>
      <c r="E1194" t="s">
        <v>2632</v>
      </c>
      <c r="F1194" t="s">
        <v>2633</v>
      </c>
      <c r="G1194" s="1">
        <v>12.48</v>
      </c>
      <c r="H1194" s="1"/>
      <c r="I1194" t="s">
        <v>2634</v>
      </c>
      <c r="J1194" t="s">
        <v>2634</v>
      </c>
      <c r="K1194">
        <v>0</v>
      </c>
      <c r="L1194">
        <v>0</v>
      </c>
    </row>
    <row r="1195" spans="1:12">
      <c r="A1195" s="14" t="s">
        <v>2380</v>
      </c>
      <c r="B1195" t="s">
        <v>2381</v>
      </c>
      <c r="C1195" t="s">
        <v>13</v>
      </c>
      <c r="D1195">
        <v>8.26</v>
      </c>
      <c r="E1195" t="s">
        <v>2632</v>
      </c>
      <c r="F1195" t="s">
        <v>2633</v>
      </c>
      <c r="G1195" s="1">
        <v>15.73</v>
      </c>
      <c r="H1195" s="1"/>
      <c r="I1195" t="s">
        <v>2634</v>
      </c>
      <c r="J1195" t="s">
        <v>2634</v>
      </c>
      <c r="K1195">
        <v>0</v>
      </c>
      <c r="L1195">
        <v>0</v>
      </c>
    </row>
    <row r="1196" spans="1:12">
      <c r="A1196" s="14" t="s">
        <v>2382</v>
      </c>
      <c r="B1196" t="s">
        <v>2383</v>
      </c>
      <c r="C1196" t="s">
        <v>13</v>
      </c>
      <c r="D1196">
        <v>7.7</v>
      </c>
      <c r="E1196" t="s">
        <v>2632</v>
      </c>
      <c r="F1196" t="s">
        <v>2633</v>
      </c>
      <c r="G1196" s="1">
        <v>14.68</v>
      </c>
      <c r="H1196" s="1"/>
      <c r="I1196" t="s">
        <v>2634</v>
      </c>
      <c r="J1196" t="s">
        <v>2634</v>
      </c>
      <c r="K1196">
        <v>0</v>
      </c>
      <c r="L1196">
        <v>0</v>
      </c>
    </row>
    <row r="1197" spans="1:12">
      <c r="A1197" s="14" t="s">
        <v>2384</v>
      </c>
      <c r="B1197" t="s">
        <v>2385</v>
      </c>
      <c r="C1197" t="s">
        <v>13</v>
      </c>
      <c r="D1197">
        <v>2.99</v>
      </c>
      <c r="E1197" t="s">
        <v>2632</v>
      </c>
      <c r="F1197" t="s">
        <v>2633</v>
      </c>
      <c r="G1197" s="1">
        <v>5.69</v>
      </c>
      <c r="H1197" s="1"/>
      <c r="I1197" t="s">
        <v>2634</v>
      </c>
      <c r="J1197" t="s">
        <v>2634</v>
      </c>
      <c r="K1197">
        <v>0</v>
      </c>
      <c r="L1197">
        <v>0</v>
      </c>
    </row>
    <row r="1198" spans="1:12">
      <c r="A1198" s="14" t="s">
        <v>2386</v>
      </c>
      <c r="B1198" t="s">
        <v>2387</v>
      </c>
      <c r="C1198" t="s">
        <v>13</v>
      </c>
      <c r="D1198">
        <v>0.52</v>
      </c>
      <c r="E1198" t="s">
        <v>2632</v>
      </c>
      <c r="F1198" t="s">
        <v>2633</v>
      </c>
      <c r="G1198" s="1">
        <v>0.97</v>
      </c>
      <c r="H1198" s="1"/>
      <c r="I1198" t="s">
        <v>2634</v>
      </c>
      <c r="J1198" t="s">
        <v>2634</v>
      </c>
      <c r="K1198">
        <v>0</v>
      </c>
      <c r="L1198">
        <v>0</v>
      </c>
    </row>
    <row r="1199" spans="1:12">
      <c r="A1199" s="14" t="s">
        <v>2388</v>
      </c>
      <c r="B1199" t="s">
        <v>2389</v>
      </c>
      <c r="C1199" t="s">
        <v>13</v>
      </c>
      <c r="D1199">
        <v>152.67</v>
      </c>
      <c r="E1199" t="s">
        <v>2632</v>
      </c>
      <c r="F1199" t="s">
        <v>2633</v>
      </c>
      <c r="G1199" s="1">
        <v>339.29</v>
      </c>
      <c r="H1199" s="1"/>
      <c r="I1199" t="s">
        <v>2634</v>
      </c>
      <c r="J1199">
        <v>1</v>
      </c>
      <c r="K1199">
        <v>0</v>
      </c>
      <c r="L1199">
        <v>0</v>
      </c>
    </row>
    <row r="1200" spans="1:12">
      <c r="A1200" s="14" t="s">
        <v>2390</v>
      </c>
      <c r="B1200" t="s">
        <v>2391</v>
      </c>
      <c r="C1200" t="s">
        <v>13</v>
      </c>
      <c r="D1200">
        <v>236.56</v>
      </c>
      <c r="E1200" t="s">
        <v>2632</v>
      </c>
      <c r="F1200" t="s">
        <v>2633</v>
      </c>
      <c r="G1200" s="1">
        <v>525.71</v>
      </c>
      <c r="H1200" s="1"/>
      <c r="I1200" t="s">
        <v>2634</v>
      </c>
      <c r="J1200">
        <v>1</v>
      </c>
      <c r="K1200">
        <v>0</v>
      </c>
      <c r="L1200">
        <v>0</v>
      </c>
    </row>
    <row r="1201" spans="1:12">
      <c r="A1201" s="14" t="s">
        <v>2392</v>
      </c>
      <c r="B1201" t="s">
        <v>2393</v>
      </c>
      <c r="C1201" t="s">
        <v>13</v>
      </c>
      <c r="D1201">
        <v>187.24</v>
      </c>
      <c r="E1201" t="s">
        <v>2632</v>
      </c>
      <c r="F1201" t="s">
        <v>2633</v>
      </c>
      <c r="G1201" s="1">
        <v>416.06</v>
      </c>
      <c r="H1201" s="1"/>
      <c r="I1201" t="s">
        <v>2634</v>
      </c>
      <c r="J1201">
        <v>1</v>
      </c>
      <c r="K1201">
        <v>0</v>
      </c>
      <c r="L1201">
        <v>0</v>
      </c>
    </row>
    <row r="1202" spans="1:12">
      <c r="A1202" s="14" t="s">
        <v>2394</v>
      </c>
      <c r="B1202" t="s">
        <v>2395</v>
      </c>
      <c r="C1202" t="s">
        <v>13</v>
      </c>
      <c r="D1202">
        <v>2.7</v>
      </c>
      <c r="E1202" t="s">
        <v>2632</v>
      </c>
      <c r="F1202" t="s">
        <v>2633</v>
      </c>
      <c r="G1202" s="1">
        <v>5.14</v>
      </c>
      <c r="H1202" s="1"/>
      <c r="I1202" t="s">
        <v>2634</v>
      </c>
      <c r="J1202" t="s">
        <v>2634</v>
      </c>
      <c r="K1202">
        <v>0</v>
      </c>
      <c r="L1202">
        <v>0</v>
      </c>
    </row>
    <row r="1203" spans="1:12">
      <c r="A1203" s="14" t="s">
        <v>2396</v>
      </c>
      <c r="B1203" t="s">
        <v>2397</v>
      </c>
      <c r="C1203" t="s">
        <v>13</v>
      </c>
      <c r="D1203">
        <v>3.28</v>
      </c>
      <c r="E1203" t="s">
        <v>2632</v>
      </c>
      <c r="F1203" t="s">
        <v>2633</v>
      </c>
      <c r="G1203" s="1">
        <v>6.23</v>
      </c>
      <c r="H1203" s="1"/>
      <c r="I1203" t="s">
        <v>2634</v>
      </c>
      <c r="J1203" t="s">
        <v>2634</v>
      </c>
      <c r="K1203">
        <v>0</v>
      </c>
      <c r="L1203">
        <v>0</v>
      </c>
    </row>
    <row r="1204" spans="1:12">
      <c r="A1204" s="14" t="s">
        <v>2398</v>
      </c>
      <c r="B1204" t="s">
        <v>2399</v>
      </c>
      <c r="C1204" t="s">
        <v>13</v>
      </c>
      <c r="D1204">
        <v>2.8</v>
      </c>
      <c r="E1204" t="s">
        <v>2632</v>
      </c>
      <c r="F1204" t="s">
        <v>2633</v>
      </c>
      <c r="G1204" s="1">
        <v>5.33</v>
      </c>
      <c r="H1204" s="1"/>
      <c r="I1204" t="s">
        <v>2634</v>
      </c>
      <c r="J1204" t="s">
        <v>2634</v>
      </c>
      <c r="K1204">
        <v>0</v>
      </c>
      <c r="L1204">
        <v>0</v>
      </c>
    </row>
    <row r="1205" spans="1:12">
      <c r="A1205" s="14" t="s">
        <v>2400</v>
      </c>
      <c r="B1205" t="s">
        <v>2401</v>
      </c>
      <c r="C1205" t="s">
        <v>13</v>
      </c>
      <c r="D1205">
        <v>3.26</v>
      </c>
      <c r="E1205" t="s">
        <v>2632</v>
      </c>
      <c r="F1205" t="s">
        <v>2633</v>
      </c>
      <c r="G1205" s="1">
        <v>6.21</v>
      </c>
      <c r="H1205" s="1"/>
      <c r="I1205" t="s">
        <v>2634</v>
      </c>
      <c r="J1205" t="s">
        <v>2634</v>
      </c>
      <c r="K1205">
        <v>0</v>
      </c>
      <c r="L1205">
        <v>0</v>
      </c>
    </row>
    <row r="1206" spans="1:12">
      <c r="A1206" s="14" t="s">
        <v>2402</v>
      </c>
      <c r="B1206" t="s">
        <v>2403</v>
      </c>
      <c r="C1206" t="s">
        <v>13</v>
      </c>
      <c r="D1206">
        <v>3.18</v>
      </c>
      <c r="E1206" t="s">
        <v>2632</v>
      </c>
      <c r="F1206" t="s">
        <v>2633</v>
      </c>
      <c r="G1206" s="1">
        <v>6.05</v>
      </c>
      <c r="H1206" s="1"/>
      <c r="I1206" t="s">
        <v>2634</v>
      </c>
      <c r="J1206" t="s">
        <v>2634</v>
      </c>
      <c r="K1206">
        <v>0</v>
      </c>
      <c r="L1206">
        <v>0</v>
      </c>
    </row>
    <row r="1207" spans="1:12">
      <c r="A1207" s="14" t="s">
        <v>2404</v>
      </c>
      <c r="B1207" t="s">
        <v>2405</v>
      </c>
      <c r="C1207" t="s">
        <v>13</v>
      </c>
      <c r="D1207">
        <v>3.26</v>
      </c>
      <c r="E1207" t="s">
        <v>2632</v>
      </c>
      <c r="F1207" t="s">
        <v>2633</v>
      </c>
      <c r="G1207" s="1">
        <v>6.21</v>
      </c>
      <c r="H1207" s="1"/>
      <c r="I1207" t="s">
        <v>2634</v>
      </c>
      <c r="J1207" t="s">
        <v>2634</v>
      </c>
      <c r="K1207">
        <v>0</v>
      </c>
      <c r="L1207">
        <v>0</v>
      </c>
    </row>
    <row r="1208" spans="1:12">
      <c r="A1208" s="14" t="s">
        <v>2406</v>
      </c>
      <c r="B1208" t="s">
        <v>2407</v>
      </c>
      <c r="C1208" t="s">
        <v>13</v>
      </c>
      <c r="D1208">
        <v>3.28</v>
      </c>
      <c r="E1208" t="s">
        <v>2632</v>
      </c>
      <c r="F1208" t="s">
        <v>2633</v>
      </c>
      <c r="G1208" s="1">
        <v>6.23</v>
      </c>
      <c r="H1208" s="1"/>
      <c r="I1208" t="s">
        <v>2634</v>
      </c>
      <c r="J1208" t="s">
        <v>2634</v>
      </c>
      <c r="K1208">
        <v>0</v>
      </c>
      <c r="L1208">
        <v>0</v>
      </c>
    </row>
    <row r="1209" spans="1:12">
      <c r="A1209" s="14" t="s">
        <v>2408</v>
      </c>
      <c r="B1209" t="s">
        <v>2409</v>
      </c>
      <c r="C1209" t="s">
        <v>13</v>
      </c>
      <c r="D1209">
        <v>1.96</v>
      </c>
      <c r="E1209" t="s">
        <v>2632</v>
      </c>
      <c r="F1209" t="s">
        <v>2633</v>
      </c>
      <c r="G1209" s="1">
        <v>3.73</v>
      </c>
      <c r="H1209" s="1"/>
      <c r="I1209" t="s">
        <v>2634</v>
      </c>
      <c r="J1209" t="s">
        <v>2634</v>
      </c>
      <c r="K1209">
        <v>0</v>
      </c>
      <c r="L1209">
        <v>0</v>
      </c>
    </row>
    <row r="1210" spans="1:12">
      <c r="A1210" s="14" t="s">
        <v>2410</v>
      </c>
      <c r="B1210" t="s">
        <v>2411</v>
      </c>
      <c r="C1210" t="s">
        <v>13</v>
      </c>
      <c r="D1210">
        <v>2.38</v>
      </c>
      <c r="E1210" t="s">
        <v>2632</v>
      </c>
      <c r="F1210" t="s">
        <v>2633</v>
      </c>
      <c r="G1210" s="1">
        <v>4.54</v>
      </c>
      <c r="H1210" s="1"/>
      <c r="I1210" t="s">
        <v>2634</v>
      </c>
      <c r="J1210" t="s">
        <v>2634</v>
      </c>
      <c r="K1210">
        <v>0</v>
      </c>
      <c r="L1210">
        <v>0</v>
      </c>
    </row>
    <row r="1211" spans="1:12">
      <c r="A1211" s="14" t="s">
        <v>2412</v>
      </c>
      <c r="B1211" t="s">
        <v>2413</v>
      </c>
      <c r="C1211" t="s">
        <v>13</v>
      </c>
      <c r="D1211">
        <v>2.59</v>
      </c>
      <c r="E1211" t="s">
        <v>2632</v>
      </c>
      <c r="F1211" t="s">
        <v>2633</v>
      </c>
      <c r="G1211" s="1">
        <v>4.94</v>
      </c>
      <c r="H1211" s="1"/>
      <c r="I1211" t="s">
        <v>2634</v>
      </c>
      <c r="J1211" t="s">
        <v>2634</v>
      </c>
      <c r="K1211">
        <v>0</v>
      </c>
      <c r="L1211">
        <v>0</v>
      </c>
    </row>
    <row r="1212" spans="1:12">
      <c r="A1212" s="14" t="s">
        <v>2414</v>
      </c>
      <c r="B1212" t="s">
        <v>2415</v>
      </c>
      <c r="C1212" t="s">
        <v>13</v>
      </c>
      <c r="D1212">
        <v>1.54</v>
      </c>
      <c r="E1212" t="s">
        <v>2632</v>
      </c>
      <c r="F1212" t="s">
        <v>2633</v>
      </c>
      <c r="G1212" s="1">
        <v>2.94</v>
      </c>
      <c r="H1212" s="1"/>
      <c r="I1212" t="s">
        <v>2634</v>
      </c>
      <c r="J1212" t="s">
        <v>2634</v>
      </c>
      <c r="K1212">
        <v>0</v>
      </c>
      <c r="L1212">
        <v>0</v>
      </c>
    </row>
    <row r="1213" spans="1:12">
      <c r="A1213" s="14" t="s">
        <v>2416</v>
      </c>
      <c r="B1213" t="s">
        <v>2417</v>
      </c>
      <c r="C1213" t="s">
        <v>13</v>
      </c>
      <c r="D1213">
        <v>7.35</v>
      </c>
      <c r="E1213" t="s">
        <v>2632</v>
      </c>
      <c r="F1213" t="s">
        <v>2633</v>
      </c>
      <c r="G1213" s="1">
        <v>13.98</v>
      </c>
      <c r="H1213" s="1"/>
      <c r="I1213" t="s">
        <v>2634</v>
      </c>
      <c r="J1213" t="s">
        <v>2634</v>
      </c>
      <c r="K1213">
        <v>0</v>
      </c>
      <c r="L1213">
        <v>0</v>
      </c>
    </row>
    <row r="1214" spans="1:12">
      <c r="A1214" s="14" t="s">
        <v>2418</v>
      </c>
      <c r="B1214" t="s">
        <v>2419</v>
      </c>
      <c r="C1214" t="s">
        <v>13</v>
      </c>
      <c r="D1214">
        <v>1.69</v>
      </c>
      <c r="E1214" t="s">
        <v>2632</v>
      </c>
      <c r="F1214" t="s">
        <v>2633</v>
      </c>
      <c r="G1214" s="1">
        <v>3.23</v>
      </c>
      <c r="H1214" s="1"/>
      <c r="I1214" t="s">
        <v>2634</v>
      </c>
      <c r="J1214" t="s">
        <v>2634</v>
      </c>
      <c r="K1214">
        <v>0</v>
      </c>
      <c r="L1214">
        <v>0</v>
      </c>
    </row>
    <row r="1215" spans="1:12">
      <c r="A1215" s="14" t="s">
        <v>2420</v>
      </c>
      <c r="B1215" t="s">
        <v>2421</v>
      </c>
      <c r="C1215" t="s">
        <v>13</v>
      </c>
      <c r="D1215">
        <v>7.35</v>
      </c>
      <c r="E1215" t="s">
        <v>2632</v>
      </c>
      <c r="F1215" t="s">
        <v>2633</v>
      </c>
      <c r="G1215" s="1">
        <v>13.98</v>
      </c>
      <c r="H1215" s="1"/>
      <c r="I1215" t="s">
        <v>2634</v>
      </c>
      <c r="J1215" t="s">
        <v>2634</v>
      </c>
      <c r="K1215">
        <v>0</v>
      </c>
      <c r="L1215">
        <v>0</v>
      </c>
    </row>
    <row r="1216" spans="1:12">
      <c r="A1216" s="14" t="s">
        <v>2422</v>
      </c>
      <c r="B1216" t="s">
        <v>2423</v>
      </c>
      <c r="C1216" t="s">
        <v>13</v>
      </c>
      <c r="D1216">
        <v>1.01</v>
      </c>
      <c r="E1216" t="s">
        <v>2632</v>
      </c>
      <c r="F1216" t="s">
        <v>2633</v>
      </c>
      <c r="G1216" s="1">
        <v>1.91</v>
      </c>
      <c r="H1216" s="1"/>
      <c r="I1216" t="s">
        <v>2634</v>
      </c>
      <c r="J1216" t="s">
        <v>2634</v>
      </c>
      <c r="K1216">
        <v>0</v>
      </c>
      <c r="L1216">
        <v>0</v>
      </c>
    </row>
    <row r="1217" spans="1:12">
      <c r="A1217" s="14" t="s">
        <v>2424</v>
      </c>
      <c r="B1217" t="s">
        <v>2425</v>
      </c>
      <c r="C1217" t="s">
        <v>13</v>
      </c>
      <c r="D1217">
        <v>3.6</v>
      </c>
      <c r="E1217" t="s">
        <v>2632</v>
      </c>
      <c r="F1217" t="s">
        <v>2633</v>
      </c>
      <c r="G1217" s="1">
        <v>6.86</v>
      </c>
      <c r="H1217" s="1"/>
      <c r="I1217" t="s">
        <v>2634</v>
      </c>
      <c r="J1217" t="s">
        <v>2634</v>
      </c>
      <c r="K1217">
        <v>0</v>
      </c>
      <c r="L1217">
        <v>0</v>
      </c>
    </row>
    <row r="1218" spans="1:12">
      <c r="A1218" s="14" t="s">
        <v>2426</v>
      </c>
      <c r="B1218" t="s">
        <v>2427</v>
      </c>
      <c r="C1218" t="s">
        <v>13</v>
      </c>
      <c r="D1218">
        <v>62.68</v>
      </c>
      <c r="E1218" t="s">
        <v>2649</v>
      </c>
      <c r="F1218" t="s">
        <v>2633</v>
      </c>
      <c r="G1218" s="1">
        <v>156.69</v>
      </c>
      <c r="H1218" s="1"/>
      <c r="I1218" t="s">
        <v>2634</v>
      </c>
      <c r="J1218">
        <v>1</v>
      </c>
      <c r="K1218">
        <v>0</v>
      </c>
      <c r="L1218">
        <v>0</v>
      </c>
    </row>
    <row r="1219" spans="1:12">
      <c r="A1219" s="14" t="s">
        <v>2428</v>
      </c>
      <c r="B1219" t="s">
        <v>2429</v>
      </c>
      <c r="C1219" t="s">
        <v>13</v>
      </c>
      <c r="D1219">
        <v>0.62</v>
      </c>
      <c r="E1219" t="s">
        <v>2648</v>
      </c>
      <c r="F1219" t="s">
        <v>2633</v>
      </c>
      <c r="G1219" s="1">
        <v>1.54</v>
      </c>
      <c r="H1219" s="1"/>
      <c r="I1219" t="s">
        <v>2634</v>
      </c>
      <c r="J1219">
        <v>200</v>
      </c>
      <c r="K1219">
        <v>0</v>
      </c>
      <c r="L1219">
        <v>0</v>
      </c>
    </row>
    <row r="1220" spans="1:12">
      <c r="A1220" s="14" t="s">
        <v>2430</v>
      </c>
      <c r="B1220" t="s">
        <v>2431</v>
      </c>
      <c r="C1220" t="s">
        <v>13</v>
      </c>
      <c r="D1220">
        <v>0.56</v>
      </c>
      <c r="E1220" t="s">
        <v>2648</v>
      </c>
      <c r="F1220" t="s">
        <v>2633</v>
      </c>
      <c r="G1220" s="1">
        <v>1.4</v>
      </c>
      <c r="H1220" s="1"/>
      <c r="I1220" t="s">
        <v>2634</v>
      </c>
      <c r="J1220">
        <v>200</v>
      </c>
      <c r="K1220">
        <v>0</v>
      </c>
      <c r="L1220">
        <v>0</v>
      </c>
    </row>
    <row r="1221" spans="1:12">
      <c r="A1221" s="14" t="s">
        <v>2432</v>
      </c>
      <c r="B1221" t="s">
        <v>2433</v>
      </c>
      <c r="C1221" t="s">
        <v>13</v>
      </c>
      <c r="D1221">
        <v>0.71</v>
      </c>
      <c r="E1221" t="s">
        <v>2648</v>
      </c>
      <c r="F1221" t="s">
        <v>2633</v>
      </c>
      <c r="G1221" s="1">
        <v>1.79</v>
      </c>
      <c r="H1221" s="1"/>
      <c r="I1221" t="s">
        <v>2634</v>
      </c>
      <c r="J1221">
        <v>200</v>
      </c>
      <c r="K1221">
        <v>0</v>
      </c>
      <c r="L1221">
        <v>0</v>
      </c>
    </row>
    <row r="1222" spans="1:12">
      <c r="A1222" s="14" t="s">
        <v>2434</v>
      </c>
      <c r="B1222" t="s">
        <v>2435</v>
      </c>
      <c r="C1222" t="s">
        <v>13</v>
      </c>
      <c r="D1222">
        <v>0.56</v>
      </c>
      <c r="E1222" t="s">
        <v>2648</v>
      </c>
      <c r="F1222" t="s">
        <v>2633</v>
      </c>
      <c r="G1222" s="1">
        <v>1.4</v>
      </c>
      <c r="H1222" s="1"/>
      <c r="I1222" t="s">
        <v>2634</v>
      </c>
      <c r="J1222">
        <v>200</v>
      </c>
      <c r="K1222">
        <v>0</v>
      </c>
      <c r="L1222">
        <v>0</v>
      </c>
    </row>
    <row r="1223" spans="1:12">
      <c r="A1223" s="14" t="s">
        <v>2436</v>
      </c>
      <c r="B1223" t="s">
        <v>2437</v>
      </c>
      <c r="C1223" t="s">
        <v>13</v>
      </c>
      <c r="D1223">
        <v>0.76</v>
      </c>
      <c r="E1223" t="s">
        <v>2648</v>
      </c>
      <c r="F1223" t="s">
        <v>2633</v>
      </c>
      <c r="G1223" s="1">
        <v>1.9</v>
      </c>
      <c r="H1223" s="1"/>
      <c r="I1223" t="s">
        <v>2634</v>
      </c>
      <c r="J1223">
        <v>200</v>
      </c>
      <c r="K1223">
        <v>0</v>
      </c>
      <c r="L1223">
        <v>0</v>
      </c>
    </row>
    <row r="1224" spans="1:12">
      <c r="A1224" s="14" t="s">
        <v>2438</v>
      </c>
      <c r="B1224" t="s">
        <v>2439</v>
      </c>
      <c r="C1224" t="s">
        <v>13</v>
      </c>
      <c r="D1224">
        <v>0.56</v>
      </c>
      <c r="E1224" t="s">
        <v>2648</v>
      </c>
      <c r="F1224" t="s">
        <v>2633</v>
      </c>
      <c r="G1224" s="1">
        <v>1.4</v>
      </c>
      <c r="H1224" s="1"/>
      <c r="I1224" t="s">
        <v>2634</v>
      </c>
      <c r="J1224">
        <v>200</v>
      </c>
      <c r="K1224">
        <v>0</v>
      </c>
      <c r="L1224">
        <v>0</v>
      </c>
    </row>
    <row r="1225" spans="1:12">
      <c r="A1225" s="14" t="s">
        <v>2440</v>
      </c>
      <c r="B1225" t="s">
        <v>2441</v>
      </c>
      <c r="C1225" t="s">
        <v>13</v>
      </c>
      <c r="D1225">
        <v>0.56</v>
      </c>
      <c r="E1225" t="s">
        <v>2648</v>
      </c>
      <c r="F1225" t="s">
        <v>2633</v>
      </c>
      <c r="G1225" s="1">
        <v>1.4</v>
      </c>
      <c r="H1225" s="1"/>
      <c r="I1225" t="s">
        <v>2634</v>
      </c>
      <c r="J1225">
        <v>200</v>
      </c>
      <c r="K1225">
        <v>0</v>
      </c>
      <c r="L1225">
        <v>0</v>
      </c>
    </row>
    <row r="1226" spans="1:12">
      <c r="A1226" s="14" t="s">
        <v>2442</v>
      </c>
      <c r="B1226" t="s">
        <v>2443</v>
      </c>
      <c r="C1226" t="s">
        <v>13</v>
      </c>
      <c r="D1226">
        <v>0.64</v>
      </c>
      <c r="E1226" t="s">
        <v>2648</v>
      </c>
      <c r="F1226" t="s">
        <v>2633</v>
      </c>
      <c r="G1226" s="1">
        <v>1.58</v>
      </c>
      <c r="H1226" s="1"/>
      <c r="I1226" t="s">
        <v>2634</v>
      </c>
      <c r="J1226">
        <v>200</v>
      </c>
      <c r="K1226">
        <v>0</v>
      </c>
      <c r="L1226">
        <v>0</v>
      </c>
    </row>
    <row r="1227" spans="1:12">
      <c r="A1227" s="14" t="s">
        <v>2444</v>
      </c>
      <c r="B1227" t="s">
        <v>2445</v>
      </c>
      <c r="C1227" t="s">
        <v>13</v>
      </c>
      <c r="D1227">
        <v>0.49</v>
      </c>
      <c r="E1227" t="s">
        <v>2648</v>
      </c>
      <c r="F1227" t="s">
        <v>2633</v>
      </c>
      <c r="G1227" s="1">
        <v>1.22</v>
      </c>
      <c r="H1227" s="1"/>
      <c r="I1227" t="s">
        <v>2634</v>
      </c>
      <c r="J1227">
        <v>200</v>
      </c>
      <c r="K1227">
        <v>0</v>
      </c>
      <c r="L1227">
        <v>0</v>
      </c>
    </row>
    <row r="1228" spans="1:12">
      <c r="A1228" s="14" t="s">
        <v>2446</v>
      </c>
      <c r="B1228" t="s">
        <v>2447</v>
      </c>
      <c r="C1228" t="s">
        <v>13</v>
      </c>
      <c r="D1228">
        <v>0.49</v>
      </c>
      <c r="E1228" t="s">
        <v>2648</v>
      </c>
      <c r="F1228" t="s">
        <v>2633</v>
      </c>
      <c r="G1228" s="1">
        <v>1.22</v>
      </c>
      <c r="H1228" s="1"/>
      <c r="I1228" t="s">
        <v>2634</v>
      </c>
      <c r="J1228">
        <v>200</v>
      </c>
      <c r="K1228">
        <v>0</v>
      </c>
      <c r="L1228">
        <v>0</v>
      </c>
    </row>
    <row r="1229" spans="1:12">
      <c r="A1229" s="14" t="s">
        <v>2448</v>
      </c>
      <c r="B1229" t="s">
        <v>2449</v>
      </c>
      <c r="C1229" t="s">
        <v>13</v>
      </c>
      <c r="D1229">
        <v>0.97</v>
      </c>
      <c r="E1229" t="s">
        <v>2648</v>
      </c>
      <c r="F1229" t="s">
        <v>2633</v>
      </c>
      <c r="G1229" s="1">
        <v>2.44</v>
      </c>
      <c r="H1229" s="1"/>
      <c r="I1229" t="s">
        <v>2634</v>
      </c>
      <c r="J1229">
        <v>200</v>
      </c>
      <c r="K1229">
        <v>0</v>
      </c>
      <c r="L1229">
        <v>0</v>
      </c>
    </row>
    <row r="1230" spans="1:12">
      <c r="A1230" s="14" t="s">
        <v>2450</v>
      </c>
      <c r="B1230" t="s">
        <v>2451</v>
      </c>
      <c r="C1230" t="s">
        <v>13</v>
      </c>
      <c r="D1230">
        <v>0.54</v>
      </c>
      <c r="E1230" t="s">
        <v>2648</v>
      </c>
      <c r="F1230" t="s">
        <v>2633</v>
      </c>
      <c r="G1230" s="1">
        <v>1.34</v>
      </c>
      <c r="H1230" s="2" t="s">
        <v>2635</v>
      </c>
      <c r="I1230" t="s">
        <v>2650</v>
      </c>
      <c r="J1230">
        <v>200</v>
      </c>
      <c r="K1230">
        <v>0</v>
      </c>
      <c r="L1230">
        <v>0</v>
      </c>
    </row>
    <row r="1231" spans="1:12">
      <c r="A1231" s="14" t="s">
        <v>2452</v>
      </c>
      <c r="B1231" t="s">
        <v>2453</v>
      </c>
      <c r="C1231" t="s">
        <v>13</v>
      </c>
      <c r="D1231">
        <v>0.55</v>
      </c>
      <c r="E1231" t="s">
        <v>2648</v>
      </c>
      <c r="F1231" t="s">
        <v>2633</v>
      </c>
      <c r="G1231" s="1">
        <v>1.37</v>
      </c>
      <c r="H1231" s="1"/>
      <c r="I1231" t="s">
        <v>2634</v>
      </c>
      <c r="J1231">
        <v>200</v>
      </c>
      <c r="K1231">
        <v>0</v>
      </c>
      <c r="L1231">
        <v>0</v>
      </c>
    </row>
    <row r="1232" spans="1:12">
      <c r="A1232" s="14" t="s">
        <v>2454</v>
      </c>
      <c r="B1232" t="s">
        <v>2455</v>
      </c>
      <c r="C1232" t="s">
        <v>13</v>
      </c>
      <c r="D1232">
        <v>0.61</v>
      </c>
      <c r="E1232" t="s">
        <v>2648</v>
      </c>
      <c r="F1232" t="s">
        <v>2633</v>
      </c>
      <c r="G1232" s="1">
        <v>1.49</v>
      </c>
      <c r="H1232" s="1"/>
      <c r="I1232" t="s">
        <v>2634</v>
      </c>
      <c r="J1232">
        <v>200</v>
      </c>
      <c r="K1232">
        <v>0</v>
      </c>
      <c r="L1232">
        <v>0</v>
      </c>
    </row>
    <row r="1233" spans="1:12">
      <c r="A1233" s="14" t="s">
        <v>2456</v>
      </c>
      <c r="B1233" t="s">
        <v>2457</v>
      </c>
      <c r="C1233" t="s">
        <v>13</v>
      </c>
      <c r="D1233">
        <v>0.72</v>
      </c>
      <c r="E1233" t="s">
        <v>2648</v>
      </c>
      <c r="F1233" t="s">
        <v>2633</v>
      </c>
      <c r="G1233" s="1">
        <v>1.77</v>
      </c>
      <c r="H1233" s="1"/>
      <c r="I1233" t="s">
        <v>2634</v>
      </c>
      <c r="J1233">
        <v>200</v>
      </c>
      <c r="K1233">
        <v>0</v>
      </c>
      <c r="L1233">
        <v>0</v>
      </c>
    </row>
    <row r="1234" spans="1:12">
      <c r="A1234" s="14" t="s">
        <v>2458</v>
      </c>
      <c r="B1234" t="s">
        <v>2459</v>
      </c>
      <c r="C1234" t="s">
        <v>13</v>
      </c>
      <c r="D1234">
        <v>0.7</v>
      </c>
      <c r="E1234" t="s">
        <v>2648</v>
      </c>
      <c r="F1234" t="s">
        <v>2633</v>
      </c>
      <c r="G1234" s="1">
        <v>1.75</v>
      </c>
      <c r="H1234" s="1"/>
      <c r="I1234" t="s">
        <v>2634</v>
      </c>
      <c r="J1234">
        <v>200</v>
      </c>
      <c r="K1234">
        <v>0</v>
      </c>
      <c r="L1234">
        <v>0</v>
      </c>
    </row>
    <row r="1235" spans="1:12">
      <c r="A1235" s="14" t="s">
        <v>2460</v>
      </c>
      <c r="B1235" t="s">
        <v>2461</v>
      </c>
      <c r="C1235" t="s">
        <v>13</v>
      </c>
      <c r="D1235">
        <v>1.37</v>
      </c>
      <c r="E1235" t="s">
        <v>2648</v>
      </c>
      <c r="F1235" t="s">
        <v>2633</v>
      </c>
      <c r="G1235" s="1">
        <v>3.41</v>
      </c>
      <c r="H1235" s="1"/>
      <c r="I1235" t="s">
        <v>2634</v>
      </c>
      <c r="J1235">
        <v>200</v>
      </c>
      <c r="K1235">
        <v>0</v>
      </c>
      <c r="L1235">
        <v>0</v>
      </c>
    </row>
    <row r="1236" spans="1:12">
      <c r="A1236" s="14" t="s">
        <v>2462</v>
      </c>
      <c r="B1236" t="s">
        <v>2463</v>
      </c>
      <c r="C1236" t="s">
        <v>13</v>
      </c>
      <c r="D1236">
        <v>1.22</v>
      </c>
      <c r="E1236" t="s">
        <v>2648</v>
      </c>
      <c r="F1236" t="s">
        <v>2633</v>
      </c>
      <c r="G1236" s="1">
        <v>3.06</v>
      </c>
      <c r="H1236" s="1"/>
      <c r="I1236" t="s">
        <v>2634</v>
      </c>
      <c r="J1236">
        <v>200</v>
      </c>
      <c r="K1236">
        <v>0</v>
      </c>
      <c r="L1236">
        <v>0</v>
      </c>
    </row>
    <row r="1237" spans="1:12">
      <c r="A1237" s="14" t="s">
        <v>2464</v>
      </c>
      <c r="B1237" t="s">
        <v>2465</v>
      </c>
      <c r="C1237" t="s">
        <v>13</v>
      </c>
      <c r="D1237">
        <v>1.13</v>
      </c>
      <c r="E1237" t="s">
        <v>2648</v>
      </c>
      <c r="F1237" t="s">
        <v>2633</v>
      </c>
      <c r="G1237" s="1">
        <v>2.81</v>
      </c>
      <c r="H1237" s="1"/>
      <c r="I1237" t="s">
        <v>2634</v>
      </c>
      <c r="J1237">
        <v>200</v>
      </c>
      <c r="K1237">
        <v>0</v>
      </c>
      <c r="L1237">
        <v>0</v>
      </c>
    </row>
    <row r="1238" spans="1:12">
      <c r="A1238" s="14" t="s">
        <v>2466</v>
      </c>
      <c r="B1238" t="s">
        <v>2467</v>
      </c>
      <c r="C1238" t="s">
        <v>13</v>
      </c>
      <c r="D1238">
        <v>1.22</v>
      </c>
      <c r="E1238" t="s">
        <v>2648</v>
      </c>
      <c r="F1238" t="s">
        <v>2633</v>
      </c>
      <c r="G1238" s="1">
        <v>3.06</v>
      </c>
      <c r="H1238" s="1"/>
      <c r="I1238" t="s">
        <v>2634</v>
      </c>
      <c r="J1238">
        <v>200</v>
      </c>
      <c r="K1238">
        <v>0</v>
      </c>
      <c r="L1238">
        <v>0</v>
      </c>
    </row>
    <row r="1239" spans="1:12">
      <c r="A1239" s="14" t="s">
        <v>2468</v>
      </c>
      <c r="B1239" t="s">
        <v>2469</v>
      </c>
      <c r="C1239" t="s">
        <v>13</v>
      </c>
      <c r="D1239">
        <v>1.37</v>
      </c>
      <c r="E1239" t="s">
        <v>2648</v>
      </c>
      <c r="F1239" t="s">
        <v>2633</v>
      </c>
      <c r="G1239" s="1">
        <v>3.41</v>
      </c>
      <c r="H1239" s="1"/>
      <c r="I1239" t="s">
        <v>2634</v>
      </c>
      <c r="J1239">
        <v>200</v>
      </c>
      <c r="K1239">
        <v>0</v>
      </c>
      <c r="L1239">
        <v>0</v>
      </c>
    </row>
    <row r="1240" spans="1:12">
      <c r="A1240" s="14" t="s">
        <v>2470</v>
      </c>
      <c r="B1240" t="s">
        <v>2471</v>
      </c>
      <c r="C1240" t="s">
        <v>13</v>
      </c>
      <c r="D1240">
        <v>1.22</v>
      </c>
      <c r="E1240" t="s">
        <v>2648</v>
      </c>
      <c r="F1240" t="s">
        <v>2633</v>
      </c>
      <c r="G1240" s="1">
        <v>3.06</v>
      </c>
      <c r="H1240" s="1"/>
      <c r="I1240" t="s">
        <v>2634</v>
      </c>
      <c r="J1240">
        <v>200</v>
      </c>
      <c r="K1240">
        <v>0</v>
      </c>
      <c r="L1240">
        <v>0</v>
      </c>
    </row>
    <row r="1241" spans="1:12">
      <c r="A1241" s="14" t="s">
        <v>2472</v>
      </c>
      <c r="B1241" t="s">
        <v>2473</v>
      </c>
      <c r="C1241" t="s">
        <v>13</v>
      </c>
      <c r="D1241">
        <v>1.22</v>
      </c>
      <c r="E1241" t="s">
        <v>2648</v>
      </c>
      <c r="F1241" t="s">
        <v>2633</v>
      </c>
      <c r="G1241" s="1">
        <v>3.06</v>
      </c>
      <c r="H1241" s="1"/>
      <c r="I1241" t="s">
        <v>2634</v>
      </c>
      <c r="J1241">
        <v>200</v>
      </c>
      <c r="K1241">
        <v>0</v>
      </c>
      <c r="L1241">
        <v>0</v>
      </c>
    </row>
    <row r="1242" spans="1:12">
      <c r="A1242" s="14" t="s">
        <v>2474</v>
      </c>
      <c r="B1242" t="s">
        <v>2475</v>
      </c>
      <c r="C1242" t="s">
        <v>13</v>
      </c>
      <c r="D1242">
        <v>1.22</v>
      </c>
      <c r="E1242" t="s">
        <v>2648</v>
      </c>
      <c r="F1242" t="s">
        <v>2633</v>
      </c>
      <c r="G1242" s="1">
        <v>3.06</v>
      </c>
      <c r="H1242" s="2" t="s">
        <v>2635</v>
      </c>
      <c r="I1242" t="s">
        <v>2650</v>
      </c>
      <c r="J1242">
        <v>200</v>
      </c>
      <c r="K1242">
        <v>0</v>
      </c>
      <c r="L1242">
        <v>0</v>
      </c>
    </row>
    <row r="1243" spans="1:12">
      <c r="A1243" s="14" t="s">
        <v>2476</v>
      </c>
      <c r="B1243" t="s">
        <v>2477</v>
      </c>
      <c r="C1243" t="s">
        <v>13</v>
      </c>
      <c r="D1243">
        <v>2.01</v>
      </c>
      <c r="E1243" t="s">
        <v>2648</v>
      </c>
      <c r="F1243" t="s">
        <v>2633</v>
      </c>
      <c r="G1243" s="1">
        <v>5</v>
      </c>
      <c r="H1243" s="1"/>
      <c r="I1243" t="s">
        <v>2634</v>
      </c>
      <c r="J1243">
        <v>100</v>
      </c>
      <c r="K1243">
        <v>0</v>
      </c>
      <c r="L1243">
        <v>0</v>
      </c>
    </row>
    <row r="1244" spans="1:12">
      <c r="A1244" s="14" t="s">
        <v>2478</v>
      </c>
      <c r="B1244" t="s">
        <v>2479</v>
      </c>
      <c r="C1244" t="s">
        <v>13</v>
      </c>
      <c r="D1244">
        <v>1.63</v>
      </c>
      <c r="E1244" t="s">
        <v>2648</v>
      </c>
      <c r="F1244" t="s">
        <v>2633</v>
      </c>
      <c r="G1244" s="1">
        <v>4.06</v>
      </c>
      <c r="H1244" s="1"/>
      <c r="I1244" t="s">
        <v>2634</v>
      </c>
      <c r="J1244">
        <v>100</v>
      </c>
      <c r="K1244">
        <v>0</v>
      </c>
      <c r="L1244">
        <v>0</v>
      </c>
    </row>
    <row r="1245" spans="1:12">
      <c r="A1245" s="14" t="s">
        <v>2480</v>
      </c>
      <c r="B1245" t="s">
        <v>2481</v>
      </c>
      <c r="C1245" t="s">
        <v>13</v>
      </c>
      <c r="D1245">
        <v>2.43</v>
      </c>
      <c r="E1245" t="s">
        <v>2648</v>
      </c>
      <c r="F1245" t="s">
        <v>2633</v>
      </c>
      <c r="G1245" s="1">
        <v>6.05</v>
      </c>
      <c r="H1245" s="1"/>
      <c r="I1245" t="s">
        <v>2634</v>
      </c>
      <c r="J1245">
        <v>100</v>
      </c>
      <c r="K1245">
        <v>0</v>
      </c>
      <c r="L1245">
        <v>0</v>
      </c>
    </row>
    <row r="1246" spans="1:12">
      <c r="A1246" s="14" t="s">
        <v>2482</v>
      </c>
      <c r="B1246" t="s">
        <v>2483</v>
      </c>
      <c r="C1246" t="s">
        <v>13</v>
      </c>
      <c r="D1246">
        <v>1.78</v>
      </c>
      <c r="E1246" t="s">
        <v>2648</v>
      </c>
      <c r="F1246" t="s">
        <v>2633</v>
      </c>
      <c r="G1246" s="1">
        <v>4.44</v>
      </c>
      <c r="H1246" s="1"/>
      <c r="I1246" t="s">
        <v>2634</v>
      </c>
      <c r="J1246">
        <v>100</v>
      </c>
      <c r="K1246">
        <v>0</v>
      </c>
      <c r="L1246">
        <v>0</v>
      </c>
    </row>
    <row r="1247" spans="1:12">
      <c r="A1247" s="14" t="s">
        <v>2484</v>
      </c>
      <c r="B1247" t="s">
        <v>2485</v>
      </c>
      <c r="C1247" t="s">
        <v>13</v>
      </c>
      <c r="D1247">
        <v>2</v>
      </c>
      <c r="E1247" t="s">
        <v>2648</v>
      </c>
      <c r="F1247" t="s">
        <v>2633</v>
      </c>
      <c r="G1247" s="1">
        <v>4.98</v>
      </c>
      <c r="H1247" s="1"/>
      <c r="I1247" t="s">
        <v>2634</v>
      </c>
      <c r="J1247">
        <v>100</v>
      </c>
      <c r="K1247">
        <v>0</v>
      </c>
      <c r="L1247">
        <v>0</v>
      </c>
    </row>
    <row r="1248" spans="1:12">
      <c r="A1248" s="14" t="s">
        <v>2486</v>
      </c>
      <c r="B1248" t="s">
        <v>2487</v>
      </c>
      <c r="C1248" t="s">
        <v>13</v>
      </c>
      <c r="D1248">
        <v>1.63</v>
      </c>
      <c r="E1248" t="s">
        <v>2648</v>
      </c>
      <c r="F1248" t="s">
        <v>2633</v>
      </c>
      <c r="G1248" s="1">
        <v>4.06</v>
      </c>
      <c r="H1248" s="1"/>
      <c r="I1248" t="s">
        <v>2634</v>
      </c>
      <c r="J1248">
        <v>100</v>
      </c>
      <c r="K1248">
        <v>0</v>
      </c>
      <c r="L1248">
        <v>0</v>
      </c>
    </row>
    <row r="1249" spans="1:12">
      <c r="A1249" s="14" t="s">
        <v>2488</v>
      </c>
      <c r="B1249" t="s">
        <v>2489</v>
      </c>
      <c r="C1249" t="s">
        <v>13</v>
      </c>
      <c r="D1249">
        <v>3.11</v>
      </c>
      <c r="E1249" t="s">
        <v>2648</v>
      </c>
      <c r="F1249" t="s">
        <v>2633</v>
      </c>
      <c r="G1249" s="1">
        <v>7.83</v>
      </c>
      <c r="H1249" s="1"/>
      <c r="I1249" t="s">
        <v>2634</v>
      </c>
      <c r="J1249">
        <v>100</v>
      </c>
      <c r="K1249">
        <v>0</v>
      </c>
      <c r="L1249">
        <v>0</v>
      </c>
    </row>
    <row r="1250" spans="1:12">
      <c r="A1250" s="14" t="s">
        <v>2490</v>
      </c>
      <c r="B1250" t="s">
        <v>2491</v>
      </c>
      <c r="C1250" t="s">
        <v>13</v>
      </c>
      <c r="D1250">
        <v>3.29</v>
      </c>
      <c r="E1250" t="s">
        <v>2632</v>
      </c>
      <c r="F1250" t="s">
        <v>2633</v>
      </c>
      <c r="G1250" s="1">
        <v>8.27</v>
      </c>
      <c r="H1250" s="1"/>
      <c r="I1250" t="s">
        <v>2634</v>
      </c>
      <c r="J1250">
        <v>100</v>
      </c>
      <c r="K1250">
        <v>0</v>
      </c>
      <c r="L1250">
        <v>0</v>
      </c>
    </row>
    <row r="1251" spans="1:12">
      <c r="A1251" s="14" t="s">
        <v>2492</v>
      </c>
      <c r="B1251" t="s">
        <v>2493</v>
      </c>
      <c r="C1251" t="s">
        <v>13</v>
      </c>
      <c r="D1251">
        <v>3.26</v>
      </c>
      <c r="E1251" t="s">
        <v>2648</v>
      </c>
      <c r="F1251" t="s">
        <v>2633</v>
      </c>
      <c r="G1251" s="1">
        <v>8.2</v>
      </c>
      <c r="H1251" s="1"/>
      <c r="I1251" t="s">
        <v>2634</v>
      </c>
      <c r="J1251">
        <v>100</v>
      </c>
      <c r="K1251">
        <v>0</v>
      </c>
      <c r="L1251">
        <v>0</v>
      </c>
    </row>
    <row r="1252" spans="1:12">
      <c r="A1252" s="14" t="s">
        <v>2494</v>
      </c>
      <c r="B1252" t="s">
        <v>2495</v>
      </c>
      <c r="C1252" t="s">
        <v>13</v>
      </c>
      <c r="D1252">
        <v>2.66</v>
      </c>
      <c r="E1252" t="s">
        <v>2648</v>
      </c>
      <c r="F1252" t="s">
        <v>2633</v>
      </c>
      <c r="G1252" s="1">
        <v>6.69</v>
      </c>
      <c r="H1252" s="1"/>
      <c r="I1252" t="s">
        <v>2634</v>
      </c>
      <c r="J1252">
        <v>100</v>
      </c>
      <c r="K1252">
        <v>0</v>
      </c>
      <c r="L1252">
        <v>0</v>
      </c>
    </row>
    <row r="1253" spans="1:12">
      <c r="A1253" s="14" t="s">
        <v>2496</v>
      </c>
      <c r="B1253" t="s">
        <v>2497</v>
      </c>
      <c r="C1253" t="s">
        <v>13</v>
      </c>
      <c r="D1253">
        <v>4.28</v>
      </c>
      <c r="E1253" t="s">
        <v>2648</v>
      </c>
      <c r="F1253" t="s">
        <v>2633</v>
      </c>
      <c r="G1253" s="1">
        <v>10.7</v>
      </c>
      <c r="H1253" s="1"/>
      <c r="I1253" t="s">
        <v>2634</v>
      </c>
      <c r="J1253" t="s">
        <v>2634</v>
      </c>
      <c r="K1253">
        <v>0</v>
      </c>
      <c r="L1253">
        <v>0</v>
      </c>
    </row>
    <row r="1254" spans="1:12">
      <c r="A1254" s="14" t="s">
        <v>2498</v>
      </c>
      <c r="B1254" t="s">
        <v>2499</v>
      </c>
      <c r="C1254" t="s">
        <v>13</v>
      </c>
      <c r="D1254">
        <v>4.28</v>
      </c>
      <c r="E1254" t="s">
        <v>2648</v>
      </c>
      <c r="F1254" t="s">
        <v>2633</v>
      </c>
      <c r="G1254" s="1">
        <v>10.7</v>
      </c>
      <c r="H1254" s="1"/>
      <c r="I1254" t="s">
        <v>2634</v>
      </c>
      <c r="J1254" t="s">
        <v>2634</v>
      </c>
      <c r="K1254">
        <v>0</v>
      </c>
      <c r="L1254">
        <v>0</v>
      </c>
    </row>
    <row r="1255" spans="1:12">
      <c r="A1255" s="14" t="s">
        <v>2500</v>
      </c>
      <c r="B1255" t="s">
        <v>2501</v>
      </c>
      <c r="C1255" t="s">
        <v>13</v>
      </c>
      <c r="D1255">
        <v>3.86</v>
      </c>
      <c r="E1255" t="s">
        <v>2648</v>
      </c>
      <c r="F1255" t="s">
        <v>2633</v>
      </c>
      <c r="G1255" s="1">
        <v>9.62</v>
      </c>
      <c r="H1255" s="1"/>
      <c r="I1255" t="s">
        <v>2634</v>
      </c>
      <c r="J1255" t="s">
        <v>2634</v>
      </c>
      <c r="K1255">
        <v>0</v>
      </c>
      <c r="L1255">
        <v>0</v>
      </c>
    </row>
    <row r="1256" spans="1:12">
      <c r="A1256" s="14" t="s">
        <v>2502</v>
      </c>
      <c r="B1256" t="s">
        <v>2503</v>
      </c>
      <c r="C1256" t="s">
        <v>13</v>
      </c>
      <c r="D1256">
        <v>5.44</v>
      </c>
      <c r="E1256" t="s">
        <v>2632</v>
      </c>
      <c r="F1256" t="s">
        <v>2633</v>
      </c>
      <c r="G1256" s="1">
        <v>12.09</v>
      </c>
      <c r="H1256" s="1"/>
      <c r="I1256" t="s">
        <v>2634</v>
      </c>
      <c r="J1256" t="s">
        <v>2634</v>
      </c>
      <c r="K1256">
        <v>0</v>
      </c>
      <c r="L1256">
        <v>0</v>
      </c>
    </row>
    <row r="1257" spans="1:12">
      <c r="A1257" s="14" t="s">
        <v>2504</v>
      </c>
      <c r="B1257" t="s">
        <v>2505</v>
      </c>
      <c r="C1257" t="s">
        <v>13</v>
      </c>
      <c r="D1257">
        <v>3.87</v>
      </c>
      <c r="E1257" t="s">
        <v>2632</v>
      </c>
      <c r="F1257" t="s">
        <v>2633</v>
      </c>
      <c r="G1257" s="1">
        <v>8.61</v>
      </c>
      <c r="H1257" s="1"/>
      <c r="I1257" t="s">
        <v>2634</v>
      </c>
      <c r="J1257" t="s">
        <v>2634</v>
      </c>
      <c r="K1257">
        <v>0</v>
      </c>
      <c r="L1257">
        <v>0</v>
      </c>
    </row>
    <row r="1258" spans="1:12">
      <c r="A1258" s="14" t="s">
        <v>2506</v>
      </c>
      <c r="B1258" t="s">
        <v>2507</v>
      </c>
      <c r="C1258" t="s">
        <v>13</v>
      </c>
      <c r="D1258">
        <v>6.64</v>
      </c>
      <c r="E1258" t="s">
        <v>2632</v>
      </c>
      <c r="F1258" t="s">
        <v>2633</v>
      </c>
      <c r="G1258" s="1">
        <v>14.74</v>
      </c>
      <c r="H1258" s="1"/>
      <c r="I1258" t="s">
        <v>2634</v>
      </c>
      <c r="J1258">
        <v>15</v>
      </c>
      <c r="K1258">
        <v>0</v>
      </c>
      <c r="L1258">
        <v>0</v>
      </c>
    </row>
    <row r="1259" spans="1:12">
      <c r="A1259" s="14" t="s">
        <v>2508</v>
      </c>
      <c r="B1259" t="s">
        <v>2509</v>
      </c>
      <c r="C1259" t="s">
        <v>13</v>
      </c>
      <c r="D1259">
        <v>3.72</v>
      </c>
      <c r="E1259" t="s">
        <v>2648</v>
      </c>
      <c r="F1259" t="s">
        <v>2633</v>
      </c>
      <c r="G1259" s="1">
        <v>9.3</v>
      </c>
      <c r="H1259" s="1"/>
      <c r="I1259" t="s">
        <v>2634</v>
      </c>
      <c r="J1259" t="s">
        <v>2634</v>
      </c>
      <c r="K1259">
        <v>0</v>
      </c>
      <c r="L1259">
        <v>0</v>
      </c>
    </row>
    <row r="1260" spans="1:12">
      <c r="A1260" s="14" t="s">
        <v>2510</v>
      </c>
      <c r="B1260" t="s">
        <v>2511</v>
      </c>
      <c r="C1260" t="s">
        <v>13</v>
      </c>
      <c r="D1260">
        <v>3.38</v>
      </c>
      <c r="E1260" t="s">
        <v>2648</v>
      </c>
      <c r="F1260" t="s">
        <v>2633</v>
      </c>
      <c r="G1260" s="1">
        <v>8.46</v>
      </c>
      <c r="H1260" s="1"/>
      <c r="I1260" t="s">
        <v>2634</v>
      </c>
      <c r="J1260" t="s">
        <v>2634</v>
      </c>
      <c r="K1260">
        <v>0</v>
      </c>
      <c r="L1260">
        <v>0</v>
      </c>
    </row>
    <row r="1261" spans="1:12">
      <c r="A1261" s="14" t="s">
        <v>2512</v>
      </c>
      <c r="B1261" t="s">
        <v>2513</v>
      </c>
      <c r="C1261" t="s">
        <v>13</v>
      </c>
      <c r="D1261">
        <v>33.04</v>
      </c>
      <c r="E1261" t="s">
        <v>2648</v>
      </c>
      <c r="F1261" t="s">
        <v>2633</v>
      </c>
      <c r="G1261" s="1">
        <v>82.58</v>
      </c>
      <c r="H1261" s="1"/>
      <c r="I1261" t="s">
        <v>2634</v>
      </c>
      <c r="J1261" t="s">
        <v>2634</v>
      </c>
      <c r="K1261">
        <v>0</v>
      </c>
      <c r="L1261">
        <v>0</v>
      </c>
    </row>
    <row r="1262" spans="1:12">
      <c r="A1262" s="14" t="s">
        <v>2514</v>
      </c>
      <c r="B1262" t="s">
        <v>2515</v>
      </c>
      <c r="C1262" t="s">
        <v>13</v>
      </c>
      <c r="D1262">
        <v>4.3</v>
      </c>
      <c r="E1262" t="s">
        <v>2648</v>
      </c>
      <c r="F1262" t="s">
        <v>2633</v>
      </c>
      <c r="G1262" s="1">
        <v>10.75</v>
      </c>
      <c r="H1262" s="1"/>
      <c r="I1262" t="s">
        <v>2634</v>
      </c>
      <c r="J1262" t="s">
        <v>2634</v>
      </c>
      <c r="K1262">
        <v>0</v>
      </c>
      <c r="L1262">
        <v>0</v>
      </c>
    </row>
    <row r="1263" spans="1:12">
      <c r="A1263" s="14" t="s">
        <v>2516</v>
      </c>
      <c r="B1263" t="s">
        <v>2517</v>
      </c>
      <c r="C1263" t="s">
        <v>13</v>
      </c>
      <c r="D1263">
        <v>5.6</v>
      </c>
      <c r="E1263" t="s">
        <v>2648</v>
      </c>
      <c r="F1263" t="s">
        <v>2633</v>
      </c>
      <c r="G1263" s="1">
        <v>13.96</v>
      </c>
      <c r="H1263" s="1"/>
      <c r="I1263" t="s">
        <v>2634</v>
      </c>
      <c r="J1263" t="s">
        <v>2634</v>
      </c>
      <c r="K1263">
        <v>0</v>
      </c>
      <c r="L1263">
        <v>0</v>
      </c>
    </row>
    <row r="1264" spans="1:12">
      <c r="A1264" s="14" t="s">
        <v>2518</v>
      </c>
      <c r="B1264" t="s">
        <v>2519</v>
      </c>
      <c r="C1264" t="s">
        <v>13</v>
      </c>
      <c r="D1264">
        <v>8.61</v>
      </c>
      <c r="E1264" t="s">
        <v>2648</v>
      </c>
      <c r="F1264" t="s">
        <v>2633</v>
      </c>
      <c r="G1264" s="1">
        <v>21.53</v>
      </c>
      <c r="H1264" s="1"/>
      <c r="I1264" t="s">
        <v>2634</v>
      </c>
      <c r="J1264" t="s">
        <v>2634</v>
      </c>
      <c r="K1264">
        <v>0</v>
      </c>
      <c r="L1264">
        <v>0</v>
      </c>
    </row>
    <row r="1265" spans="1:12">
      <c r="A1265" s="14" t="s">
        <v>2520</v>
      </c>
      <c r="B1265" t="s">
        <v>2521</v>
      </c>
      <c r="C1265" t="s">
        <v>13</v>
      </c>
      <c r="D1265">
        <v>8.8</v>
      </c>
      <c r="E1265" t="s">
        <v>2648</v>
      </c>
      <c r="F1265" t="s">
        <v>2633</v>
      </c>
      <c r="G1265" s="1">
        <v>22.05</v>
      </c>
      <c r="H1265" s="1"/>
      <c r="I1265" t="s">
        <v>2634</v>
      </c>
      <c r="J1265" t="s">
        <v>2634</v>
      </c>
      <c r="K1265">
        <v>0</v>
      </c>
      <c r="L1265">
        <v>0</v>
      </c>
    </row>
    <row r="1266" spans="1:12">
      <c r="A1266" s="14" t="s">
        <v>2522</v>
      </c>
      <c r="B1266" t="s">
        <v>2523</v>
      </c>
      <c r="C1266" t="s">
        <v>13</v>
      </c>
      <c r="D1266">
        <v>11.68</v>
      </c>
      <c r="E1266" t="s">
        <v>2648</v>
      </c>
      <c r="F1266" t="s">
        <v>2633</v>
      </c>
      <c r="G1266" s="1">
        <v>29.23</v>
      </c>
      <c r="H1266" s="1"/>
      <c r="I1266" t="s">
        <v>2634</v>
      </c>
      <c r="J1266" t="s">
        <v>2634</v>
      </c>
      <c r="K1266">
        <v>0</v>
      </c>
      <c r="L1266">
        <v>0</v>
      </c>
    </row>
    <row r="1267" spans="1:12">
      <c r="A1267" s="14" t="s">
        <v>2524</v>
      </c>
      <c r="B1267" t="s">
        <v>2525</v>
      </c>
      <c r="C1267" t="s">
        <v>13</v>
      </c>
      <c r="D1267">
        <v>12.11</v>
      </c>
      <c r="E1267" t="s">
        <v>2648</v>
      </c>
      <c r="F1267" t="s">
        <v>2633</v>
      </c>
      <c r="G1267" s="1">
        <v>30.25</v>
      </c>
      <c r="H1267" s="1"/>
      <c r="I1267" t="s">
        <v>2634</v>
      </c>
      <c r="J1267" t="s">
        <v>2634</v>
      </c>
      <c r="K1267">
        <v>0</v>
      </c>
      <c r="L1267">
        <v>0</v>
      </c>
    </row>
    <row r="1268" spans="1:12">
      <c r="A1268" s="14" t="s">
        <v>2526</v>
      </c>
      <c r="B1268" t="s">
        <v>2527</v>
      </c>
      <c r="C1268" t="s">
        <v>13</v>
      </c>
      <c r="D1268">
        <v>16.97</v>
      </c>
      <c r="E1268" t="s">
        <v>2648</v>
      </c>
      <c r="F1268" t="s">
        <v>2633</v>
      </c>
      <c r="G1268" s="1">
        <v>42.42</v>
      </c>
      <c r="H1268" s="1"/>
      <c r="I1268" t="s">
        <v>2634</v>
      </c>
      <c r="J1268" t="s">
        <v>2634</v>
      </c>
      <c r="K1268">
        <v>0</v>
      </c>
      <c r="L1268">
        <v>0</v>
      </c>
    </row>
    <row r="1269" spans="1:12">
      <c r="A1269" s="14" t="s">
        <v>2528</v>
      </c>
      <c r="B1269" t="s">
        <v>2529</v>
      </c>
      <c r="C1269" t="s">
        <v>13</v>
      </c>
      <c r="D1269">
        <v>14.5</v>
      </c>
      <c r="E1269" t="s">
        <v>2648</v>
      </c>
      <c r="F1269" t="s">
        <v>2633</v>
      </c>
      <c r="G1269" s="1">
        <v>36.23</v>
      </c>
      <c r="H1269" s="1"/>
      <c r="I1269" t="s">
        <v>2634</v>
      </c>
      <c r="J1269" t="s">
        <v>2634</v>
      </c>
      <c r="K1269">
        <v>0</v>
      </c>
      <c r="L1269">
        <v>0</v>
      </c>
    </row>
    <row r="1270" spans="1:12">
      <c r="A1270" s="14" t="s">
        <v>2530</v>
      </c>
      <c r="B1270" t="s">
        <v>2531</v>
      </c>
      <c r="C1270" t="s">
        <v>13</v>
      </c>
      <c r="D1270">
        <v>23.7</v>
      </c>
      <c r="E1270" t="s">
        <v>2648</v>
      </c>
      <c r="F1270" t="s">
        <v>2633</v>
      </c>
      <c r="G1270" s="1">
        <v>59.23</v>
      </c>
      <c r="H1270" s="1"/>
      <c r="I1270" t="s">
        <v>2634</v>
      </c>
      <c r="J1270" t="s">
        <v>2634</v>
      </c>
      <c r="K1270">
        <v>0</v>
      </c>
      <c r="L1270">
        <v>0</v>
      </c>
    </row>
    <row r="1271" spans="1:12">
      <c r="A1271" s="14" t="s">
        <v>2532</v>
      </c>
      <c r="B1271" t="s">
        <v>2533</v>
      </c>
      <c r="C1271" t="s">
        <v>13</v>
      </c>
      <c r="D1271">
        <v>18.91</v>
      </c>
      <c r="E1271" t="s">
        <v>2648</v>
      </c>
      <c r="F1271" t="s">
        <v>2633</v>
      </c>
      <c r="G1271" s="1">
        <v>47.3</v>
      </c>
      <c r="H1271" s="1"/>
      <c r="I1271" t="s">
        <v>2634</v>
      </c>
      <c r="J1271" t="s">
        <v>2634</v>
      </c>
      <c r="K1271">
        <v>0</v>
      </c>
      <c r="L1271">
        <v>0</v>
      </c>
    </row>
    <row r="1272" spans="1:12">
      <c r="A1272" s="14" t="s">
        <v>2534</v>
      </c>
      <c r="B1272" t="s">
        <v>2535</v>
      </c>
      <c r="C1272" t="s">
        <v>13</v>
      </c>
      <c r="D1272">
        <v>32.05</v>
      </c>
      <c r="E1272" t="s">
        <v>2648</v>
      </c>
      <c r="F1272" t="s">
        <v>2633</v>
      </c>
      <c r="G1272" s="1">
        <v>80.15</v>
      </c>
      <c r="H1272" s="1"/>
      <c r="I1272" t="s">
        <v>2634</v>
      </c>
      <c r="J1272" t="s">
        <v>2634</v>
      </c>
      <c r="K1272">
        <v>0</v>
      </c>
      <c r="L1272">
        <v>0</v>
      </c>
    </row>
    <row r="1273" spans="1:12">
      <c r="A1273" s="14" t="s">
        <v>2536</v>
      </c>
      <c r="B1273" t="s">
        <v>2537</v>
      </c>
      <c r="C1273" t="s">
        <v>13</v>
      </c>
      <c r="D1273">
        <v>84.87</v>
      </c>
      <c r="E1273" t="s">
        <v>2632</v>
      </c>
      <c r="F1273" t="s">
        <v>2633</v>
      </c>
      <c r="G1273" s="1">
        <v>188.59</v>
      </c>
      <c r="H1273" s="1"/>
      <c r="I1273" t="s">
        <v>2634</v>
      </c>
      <c r="J1273">
        <v>6</v>
      </c>
      <c r="K1273">
        <v>0</v>
      </c>
      <c r="L1273">
        <v>0</v>
      </c>
    </row>
    <row r="1274" spans="1:12">
      <c r="A1274" s="14" t="s">
        <v>2538</v>
      </c>
      <c r="B1274" t="s">
        <v>2539</v>
      </c>
      <c r="C1274" t="s">
        <v>13</v>
      </c>
      <c r="D1274">
        <v>84.01</v>
      </c>
      <c r="E1274" t="s">
        <v>2632</v>
      </c>
      <c r="F1274" t="s">
        <v>2633</v>
      </c>
      <c r="G1274" s="1">
        <v>186.69</v>
      </c>
      <c r="H1274" s="2" t="s">
        <v>2635</v>
      </c>
      <c r="I1274" t="s">
        <v>2636</v>
      </c>
      <c r="J1274">
        <v>10</v>
      </c>
      <c r="K1274">
        <v>0</v>
      </c>
      <c r="L1274">
        <v>0</v>
      </c>
    </row>
    <row r="1275" spans="1:12">
      <c r="A1275" s="14" t="s">
        <v>2540</v>
      </c>
      <c r="B1275" t="s">
        <v>2541</v>
      </c>
      <c r="C1275" t="s">
        <v>13</v>
      </c>
      <c r="D1275">
        <v>76.1</v>
      </c>
      <c r="E1275" t="s">
        <v>2632</v>
      </c>
      <c r="F1275" t="s">
        <v>2633</v>
      </c>
      <c r="G1275" s="1">
        <v>190.26</v>
      </c>
      <c r="H1275" s="1"/>
      <c r="I1275" t="s">
        <v>2634</v>
      </c>
      <c r="J1275">
        <v>20</v>
      </c>
      <c r="K1275">
        <v>0</v>
      </c>
      <c r="L1275">
        <v>0</v>
      </c>
    </row>
    <row r="1276" spans="1:12">
      <c r="A1276" s="14" t="s">
        <v>2542</v>
      </c>
      <c r="B1276" t="s">
        <v>2543</v>
      </c>
      <c r="C1276" t="s">
        <v>13</v>
      </c>
      <c r="D1276">
        <v>17.57</v>
      </c>
      <c r="E1276" t="s">
        <v>2632</v>
      </c>
      <c r="F1276" t="s">
        <v>2633</v>
      </c>
      <c r="G1276" s="1">
        <v>43.9</v>
      </c>
      <c r="H1276" s="1"/>
      <c r="I1276" t="s">
        <v>2634</v>
      </c>
      <c r="J1276" t="s">
        <v>2634</v>
      </c>
      <c r="K1276">
        <v>0</v>
      </c>
      <c r="L1276">
        <v>0</v>
      </c>
    </row>
    <row r="1277" spans="1:12">
      <c r="A1277" s="14" t="s">
        <v>2544</v>
      </c>
      <c r="B1277" t="s">
        <v>2545</v>
      </c>
      <c r="C1277" t="s">
        <v>13</v>
      </c>
      <c r="D1277">
        <v>1012.35</v>
      </c>
      <c r="E1277" t="s">
        <v>2632</v>
      </c>
      <c r="F1277" t="s">
        <v>2633</v>
      </c>
      <c r="G1277" s="1">
        <v>2249.65</v>
      </c>
      <c r="H1277" s="1"/>
      <c r="I1277" t="s">
        <v>2634</v>
      </c>
      <c r="J1277" t="s">
        <v>2634</v>
      </c>
      <c r="K1277">
        <v>0</v>
      </c>
      <c r="L1277">
        <v>0</v>
      </c>
    </row>
    <row r="1278" spans="1:12">
      <c r="A1278" s="14" t="s">
        <v>2546</v>
      </c>
      <c r="B1278" t="s">
        <v>2547</v>
      </c>
      <c r="C1278" t="s">
        <v>13</v>
      </c>
      <c r="D1278">
        <v>181</v>
      </c>
      <c r="E1278" t="s">
        <v>2632</v>
      </c>
      <c r="F1278" t="s">
        <v>2633</v>
      </c>
      <c r="G1278" s="1">
        <v>402.23</v>
      </c>
      <c r="H1278" s="1"/>
      <c r="I1278" t="s">
        <v>2634</v>
      </c>
      <c r="J1278" t="s">
        <v>2634</v>
      </c>
      <c r="K1278">
        <v>0</v>
      </c>
      <c r="L1278">
        <v>0</v>
      </c>
    </row>
    <row r="1279" spans="1:12">
      <c r="A1279" s="14" t="s">
        <v>2548</v>
      </c>
      <c r="B1279" t="s">
        <v>2549</v>
      </c>
      <c r="C1279" t="s">
        <v>13</v>
      </c>
      <c r="D1279">
        <v>181.01</v>
      </c>
      <c r="E1279" t="s">
        <v>2632</v>
      </c>
      <c r="F1279" t="s">
        <v>2633</v>
      </c>
      <c r="G1279" s="1">
        <v>402.27</v>
      </c>
      <c r="H1279" s="1"/>
      <c r="I1279" t="s">
        <v>2634</v>
      </c>
      <c r="J1279" t="s">
        <v>2634</v>
      </c>
      <c r="K1279">
        <v>0</v>
      </c>
      <c r="L1279">
        <v>0</v>
      </c>
    </row>
    <row r="1280" spans="1:12">
      <c r="A1280" s="14" t="s">
        <v>2550</v>
      </c>
      <c r="B1280" t="s">
        <v>2551</v>
      </c>
      <c r="C1280" t="s">
        <v>13</v>
      </c>
      <c r="D1280">
        <v>166.29</v>
      </c>
      <c r="E1280" t="s">
        <v>2632</v>
      </c>
      <c r="F1280" t="s">
        <v>2633</v>
      </c>
      <c r="G1280" s="1">
        <v>369.53</v>
      </c>
      <c r="H1280" s="1"/>
      <c r="I1280" t="s">
        <v>2634</v>
      </c>
      <c r="J1280" t="s">
        <v>2634</v>
      </c>
      <c r="K1280">
        <v>0</v>
      </c>
      <c r="L1280">
        <v>0</v>
      </c>
    </row>
    <row r="1281" spans="1:12">
      <c r="A1281" s="14" t="s">
        <v>2552</v>
      </c>
      <c r="B1281" t="s">
        <v>2553</v>
      </c>
      <c r="C1281" t="s">
        <v>13</v>
      </c>
      <c r="D1281">
        <v>166.29</v>
      </c>
      <c r="E1281" t="s">
        <v>2632</v>
      </c>
      <c r="F1281" t="s">
        <v>2633</v>
      </c>
      <c r="G1281" s="1">
        <v>369.53</v>
      </c>
      <c r="H1281" s="1"/>
      <c r="I1281" t="s">
        <v>2634</v>
      </c>
      <c r="J1281" t="s">
        <v>2634</v>
      </c>
      <c r="K1281">
        <v>0</v>
      </c>
      <c r="L1281">
        <v>0</v>
      </c>
    </row>
    <row r="1282" spans="1:12">
      <c r="A1282" s="14" t="s">
        <v>2554</v>
      </c>
      <c r="B1282" t="s">
        <v>2555</v>
      </c>
      <c r="C1282" t="s">
        <v>13</v>
      </c>
      <c r="D1282">
        <v>168.8</v>
      </c>
      <c r="E1282" t="s">
        <v>2632</v>
      </c>
      <c r="F1282" t="s">
        <v>2633</v>
      </c>
      <c r="G1282" s="1">
        <v>375.11</v>
      </c>
      <c r="H1282" s="1"/>
      <c r="I1282" t="s">
        <v>2634</v>
      </c>
      <c r="J1282" t="s">
        <v>2634</v>
      </c>
      <c r="K1282">
        <v>0</v>
      </c>
      <c r="L1282">
        <v>0</v>
      </c>
    </row>
    <row r="1283" spans="1:12">
      <c r="A1283" s="14" t="s">
        <v>2556</v>
      </c>
      <c r="B1283" t="s">
        <v>2557</v>
      </c>
      <c r="C1283" t="s">
        <v>13</v>
      </c>
      <c r="D1283">
        <v>168.81</v>
      </c>
      <c r="E1283" t="s">
        <v>2632</v>
      </c>
      <c r="F1283" t="s">
        <v>2633</v>
      </c>
      <c r="G1283" s="1">
        <v>375.15</v>
      </c>
      <c r="H1283" s="1"/>
      <c r="I1283" t="s">
        <v>2634</v>
      </c>
      <c r="J1283" t="s">
        <v>2634</v>
      </c>
      <c r="K1283">
        <v>0</v>
      </c>
      <c r="L1283">
        <v>0</v>
      </c>
    </row>
    <row r="1284" spans="1:12">
      <c r="A1284" s="14" t="s">
        <v>2558</v>
      </c>
      <c r="B1284" t="s">
        <v>2559</v>
      </c>
      <c r="C1284" t="s">
        <v>13</v>
      </c>
      <c r="D1284">
        <v>163.05</v>
      </c>
      <c r="E1284" t="s">
        <v>2632</v>
      </c>
      <c r="F1284" t="s">
        <v>2633</v>
      </c>
      <c r="G1284" s="1">
        <v>362.37</v>
      </c>
      <c r="H1284" s="1"/>
      <c r="I1284" t="s">
        <v>2634</v>
      </c>
      <c r="J1284" t="s">
        <v>2634</v>
      </c>
      <c r="K1284">
        <v>0</v>
      </c>
      <c r="L1284">
        <v>0</v>
      </c>
    </row>
    <row r="1285" spans="1:12">
      <c r="A1285" s="14" t="s">
        <v>2560</v>
      </c>
      <c r="B1285" t="s">
        <v>2561</v>
      </c>
      <c r="C1285" t="s">
        <v>13</v>
      </c>
      <c r="D1285">
        <v>163.05</v>
      </c>
      <c r="E1285" t="s">
        <v>2632</v>
      </c>
      <c r="F1285" t="s">
        <v>2633</v>
      </c>
      <c r="G1285" s="1">
        <v>362.37</v>
      </c>
      <c r="H1285" s="1"/>
      <c r="I1285" t="s">
        <v>2634</v>
      </c>
      <c r="J1285" t="s">
        <v>2634</v>
      </c>
      <c r="K1285">
        <v>0</v>
      </c>
      <c r="L1285">
        <v>0</v>
      </c>
    </row>
    <row r="1286" spans="1:12">
      <c r="A1286" s="14" t="s">
        <v>2562</v>
      </c>
      <c r="B1286" t="s">
        <v>2563</v>
      </c>
      <c r="C1286" t="s">
        <v>13</v>
      </c>
      <c r="D1286">
        <v>1.18</v>
      </c>
      <c r="E1286" t="s">
        <v>2648</v>
      </c>
      <c r="F1286" t="s">
        <v>2633</v>
      </c>
      <c r="G1286" s="1">
        <v>2.92</v>
      </c>
      <c r="H1286" s="1"/>
      <c r="I1286" t="s">
        <v>2634</v>
      </c>
      <c r="J1286" t="s">
        <v>2634</v>
      </c>
      <c r="K1286">
        <v>0</v>
      </c>
      <c r="L1286">
        <v>0</v>
      </c>
    </row>
    <row r="1287" spans="1:12">
      <c r="A1287" s="14" t="s">
        <v>2564</v>
      </c>
      <c r="B1287" t="s">
        <v>2565</v>
      </c>
      <c r="C1287" t="s">
        <v>13</v>
      </c>
      <c r="D1287">
        <v>2</v>
      </c>
      <c r="E1287" t="s">
        <v>2648</v>
      </c>
      <c r="F1287" t="s">
        <v>2633</v>
      </c>
      <c r="G1287" s="1">
        <v>5.02</v>
      </c>
      <c r="H1287" s="1"/>
      <c r="I1287" t="s">
        <v>2634</v>
      </c>
      <c r="J1287" t="s">
        <v>2634</v>
      </c>
      <c r="K1287">
        <v>0</v>
      </c>
      <c r="L1287">
        <v>0</v>
      </c>
    </row>
    <row r="1288" spans="1:12">
      <c r="A1288" s="14" t="s">
        <v>2566</v>
      </c>
      <c r="B1288" t="s">
        <v>2567</v>
      </c>
      <c r="C1288" t="s">
        <v>13</v>
      </c>
      <c r="D1288">
        <v>1.54</v>
      </c>
      <c r="E1288" t="s">
        <v>2648</v>
      </c>
      <c r="F1288" t="s">
        <v>2633</v>
      </c>
      <c r="G1288" s="1">
        <v>3.85</v>
      </c>
      <c r="H1288" s="1"/>
      <c r="I1288" t="s">
        <v>2634</v>
      </c>
      <c r="J1288" t="s">
        <v>2634</v>
      </c>
      <c r="K1288">
        <v>0</v>
      </c>
      <c r="L1288">
        <v>0</v>
      </c>
    </row>
    <row r="1289" spans="1:12">
      <c r="A1289" s="14" t="s">
        <v>2568</v>
      </c>
      <c r="B1289" t="s">
        <v>2569</v>
      </c>
      <c r="C1289" t="s">
        <v>13</v>
      </c>
      <c r="D1289">
        <v>1.21</v>
      </c>
      <c r="E1289" t="s">
        <v>2648</v>
      </c>
      <c r="F1289" t="s">
        <v>2633</v>
      </c>
      <c r="G1289" s="1">
        <v>3.03</v>
      </c>
      <c r="H1289" s="1"/>
      <c r="I1289" t="s">
        <v>2634</v>
      </c>
      <c r="J1289" t="s">
        <v>2634</v>
      </c>
      <c r="K1289">
        <v>0</v>
      </c>
      <c r="L1289">
        <v>0</v>
      </c>
    </row>
    <row r="1290" spans="1:12">
      <c r="A1290" s="14" t="s">
        <v>2570</v>
      </c>
      <c r="B1290" t="s">
        <v>2571</v>
      </c>
      <c r="C1290" t="s">
        <v>13</v>
      </c>
      <c r="D1290">
        <v>2.43</v>
      </c>
      <c r="E1290" t="s">
        <v>2648</v>
      </c>
      <c r="F1290" t="s">
        <v>2633</v>
      </c>
      <c r="G1290" s="1">
        <v>6.09</v>
      </c>
      <c r="H1290" s="1"/>
      <c r="I1290" t="s">
        <v>2634</v>
      </c>
      <c r="J1290" t="s">
        <v>2634</v>
      </c>
      <c r="K1290">
        <v>0</v>
      </c>
      <c r="L1290">
        <v>0</v>
      </c>
    </row>
    <row r="1291" spans="1:12">
      <c r="A1291" s="14" t="s">
        <v>2572</v>
      </c>
      <c r="B1291" t="s">
        <v>2573</v>
      </c>
      <c r="C1291" t="s">
        <v>13</v>
      </c>
      <c r="D1291">
        <v>3.09</v>
      </c>
      <c r="E1291" t="s">
        <v>2648</v>
      </c>
      <c r="F1291" t="s">
        <v>2633</v>
      </c>
      <c r="G1291" s="1">
        <v>7.71</v>
      </c>
      <c r="H1291" s="1"/>
      <c r="I1291" t="s">
        <v>2634</v>
      </c>
      <c r="J1291" t="s">
        <v>2634</v>
      </c>
      <c r="K1291">
        <v>0</v>
      </c>
      <c r="L1291">
        <v>0</v>
      </c>
    </row>
    <row r="1292" spans="1:12">
      <c r="A1292" s="14" t="s">
        <v>2574</v>
      </c>
      <c r="B1292" t="s">
        <v>2575</v>
      </c>
      <c r="C1292" t="s">
        <v>13</v>
      </c>
      <c r="D1292">
        <v>5.33</v>
      </c>
      <c r="E1292" t="s">
        <v>2648</v>
      </c>
      <c r="F1292" t="s">
        <v>2633</v>
      </c>
      <c r="G1292" s="1">
        <v>13.35</v>
      </c>
      <c r="H1292" s="1"/>
      <c r="I1292" t="s">
        <v>2634</v>
      </c>
      <c r="J1292" t="s">
        <v>2634</v>
      </c>
      <c r="K1292">
        <v>0</v>
      </c>
      <c r="L1292">
        <v>0</v>
      </c>
    </row>
    <row r="1293" spans="1:12">
      <c r="A1293" s="14" t="s">
        <v>2576</v>
      </c>
      <c r="B1293" t="s">
        <v>2577</v>
      </c>
      <c r="C1293" t="s">
        <v>13</v>
      </c>
      <c r="D1293">
        <v>0.98</v>
      </c>
      <c r="E1293" t="s">
        <v>2648</v>
      </c>
      <c r="F1293" t="s">
        <v>2633</v>
      </c>
      <c r="G1293" s="1">
        <v>2.43</v>
      </c>
      <c r="H1293" s="1"/>
      <c r="I1293" t="s">
        <v>2634</v>
      </c>
      <c r="J1293" t="s">
        <v>2634</v>
      </c>
      <c r="K1293">
        <v>0</v>
      </c>
      <c r="L1293">
        <v>0</v>
      </c>
    </row>
    <row r="1294" spans="1:12">
      <c r="A1294" s="14" t="s">
        <v>2578</v>
      </c>
      <c r="B1294" t="s">
        <v>2579</v>
      </c>
      <c r="C1294" t="s">
        <v>13</v>
      </c>
      <c r="D1294">
        <v>2.05</v>
      </c>
      <c r="E1294" t="s">
        <v>2648</v>
      </c>
      <c r="F1294" t="s">
        <v>2633</v>
      </c>
      <c r="G1294" s="1">
        <v>5.08</v>
      </c>
      <c r="H1294" s="1"/>
      <c r="I1294" t="s">
        <v>2634</v>
      </c>
      <c r="J1294" t="s">
        <v>2634</v>
      </c>
      <c r="K1294">
        <v>0</v>
      </c>
      <c r="L1294">
        <v>0</v>
      </c>
    </row>
    <row r="1295" spans="1:12">
      <c r="A1295" s="14" t="s">
        <v>2580</v>
      </c>
      <c r="B1295" t="s">
        <v>2581</v>
      </c>
      <c r="C1295" t="s">
        <v>13</v>
      </c>
      <c r="D1295">
        <v>1.21</v>
      </c>
      <c r="E1295" t="s">
        <v>2648</v>
      </c>
      <c r="F1295" t="s">
        <v>2633</v>
      </c>
      <c r="G1295" s="1">
        <v>3.02</v>
      </c>
      <c r="H1295" s="1"/>
      <c r="I1295" t="s">
        <v>2634</v>
      </c>
      <c r="J1295" t="s">
        <v>2634</v>
      </c>
      <c r="K1295">
        <v>0</v>
      </c>
      <c r="L1295">
        <v>0</v>
      </c>
    </row>
    <row r="1296" spans="1:12">
      <c r="A1296" s="14" t="s">
        <v>2582</v>
      </c>
      <c r="B1296" t="s">
        <v>2583</v>
      </c>
      <c r="C1296" t="s">
        <v>13</v>
      </c>
      <c r="D1296">
        <v>3.18</v>
      </c>
      <c r="E1296" t="s">
        <v>2648</v>
      </c>
      <c r="F1296" t="s">
        <v>2633</v>
      </c>
      <c r="G1296" s="1">
        <v>7.96</v>
      </c>
      <c r="H1296" s="1"/>
      <c r="I1296" t="s">
        <v>2634</v>
      </c>
      <c r="J1296" t="s">
        <v>2634</v>
      </c>
      <c r="K1296">
        <v>0</v>
      </c>
      <c r="L1296">
        <v>0</v>
      </c>
    </row>
    <row r="1297" spans="1:12">
      <c r="A1297" s="14" t="s">
        <v>2584</v>
      </c>
      <c r="B1297" t="s">
        <v>2585</v>
      </c>
      <c r="C1297" t="s">
        <v>13</v>
      </c>
      <c r="D1297">
        <v>0.94</v>
      </c>
      <c r="E1297" t="s">
        <v>2632</v>
      </c>
      <c r="F1297" t="s">
        <v>2633</v>
      </c>
      <c r="G1297" s="1">
        <v>1.81</v>
      </c>
      <c r="H1297" s="1"/>
      <c r="I1297" t="s">
        <v>2634</v>
      </c>
      <c r="J1297" t="s">
        <v>2634</v>
      </c>
      <c r="K1297">
        <v>0</v>
      </c>
      <c r="L1297">
        <v>0</v>
      </c>
    </row>
    <row r="1298" spans="1:12">
      <c r="A1298" s="14" t="s">
        <v>2586</v>
      </c>
      <c r="B1298" t="s">
        <v>2587</v>
      </c>
      <c r="C1298" t="s">
        <v>13</v>
      </c>
      <c r="D1298">
        <v>7.79</v>
      </c>
      <c r="E1298" t="s">
        <v>2632</v>
      </c>
      <c r="F1298" t="s">
        <v>2633</v>
      </c>
      <c r="G1298" s="1">
        <v>19.5</v>
      </c>
      <c r="H1298" s="1"/>
      <c r="I1298" t="s">
        <v>2634</v>
      </c>
      <c r="J1298" t="s">
        <v>2634</v>
      </c>
      <c r="K1298">
        <v>0</v>
      </c>
      <c r="L1298">
        <v>0</v>
      </c>
    </row>
    <row r="1299" spans="1:12">
      <c r="A1299" s="14" t="s">
        <v>2588</v>
      </c>
      <c r="B1299" t="s">
        <v>2589</v>
      </c>
      <c r="C1299" t="s">
        <v>13</v>
      </c>
      <c r="D1299">
        <v>8.38</v>
      </c>
      <c r="E1299" t="s">
        <v>2632</v>
      </c>
      <c r="F1299" t="s">
        <v>2633</v>
      </c>
      <c r="G1299" s="1">
        <v>20.94</v>
      </c>
      <c r="H1299" s="1"/>
      <c r="I1299" t="s">
        <v>2634</v>
      </c>
      <c r="J1299" t="s">
        <v>2634</v>
      </c>
      <c r="K1299">
        <v>0</v>
      </c>
      <c r="L1299">
        <v>0</v>
      </c>
    </row>
    <row r="1300" spans="1:12">
      <c r="A1300" s="14" t="s">
        <v>2590</v>
      </c>
      <c r="B1300" t="s">
        <v>2591</v>
      </c>
      <c r="C1300" t="s">
        <v>13</v>
      </c>
      <c r="D1300">
        <v>9.13</v>
      </c>
      <c r="E1300" t="s">
        <v>2632</v>
      </c>
      <c r="F1300" t="s">
        <v>2633</v>
      </c>
      <c r="G1300" s="1">
        <v>22.83</v>
      </c>
      <c r="H1300" s="1"/>
      <c r="I1300" t="s">
        <v>2634</v>
      </c>
      <c r="J1300" t="s">
        <v>2634</v>
      </c>
      <c r="K1300">
        <v>0</v>
      </c>
      <c r="L1300">
        <v>0</v>
      </c>
    </row>
    <row r="1301" spans="1:12">
      <c r="A1301" s="14" t="s">
        <v>2592</v>
      </c>
      <c r="B1301" t="s">
        <v>2593</v>
      </c>
      <c r="C1301" t="s">
        <v>13</v>
      </c>
      <c r="D1301">
        <v>10.28</v>
      </c>
      <c r="E1301" t="s">
        <v>2632</v>
      </c>
      <c r="F1301" t="s">
        <v>2633</v>
      </c>
      <c r="G1301" s="1">
        <v>25.71</v>
      </c>
      <c r="H1301" s="1"/>
      <c r="I1301" t="s">
        <v>2634</v>
      </c>
      <c r="J1301" t="s">
        <v>2634</v>
      </c>
      <c r="K1301">
        <v>0</v>
      </c>
      <c r="L1301">
        <v>0</v>
      </c>
    </row>
    <row r="1302" spans="1:12">
      <c r="A1302" s="14" t="s">
        <v>2594</v>
      </c>
      <c r="B1302" t="s">
        <v>2595</v>
      </c>
      <c r="C1302" t="s">
        <v>13</v>
      </c>
      <c r="D1302">
        <v>9.99</v>
      </c>
      <c r="E1302" t="s">
        <v>2632</v>
      </c>
      <c r="F1302" t="s">
        <v>2633</v>
      </c>
      <c r="G1302" s="1">
        <v>25</v>
      </c>
      <c r="H1302" s="1"/>
      <c r="I1302" t="s">
        <v>2634</v>
      </c>
      <c r="J1302" t="s">
        <v>2634</v>
      </c>
      <c r="K1302">
        <v>0</v>
      </c>
      <c r="L1302">
        <v>0</v>
      </c>
    </row>
    <row r="1303" spans="1:12">
      <c r="A1303" s="14" t="s">
        <v>2596</v>
      </c>
      <c r="B1303" t="s">
        <v>2597</v>
      </c>
      <c r="C1303" t="s">
        <v>13</v>
      </c>
      <c r="D1303">
        <v>10.35</v>
      </c>
      <c r="E1303" t="s">
        <v>2632</v>
      </c>
      <c r="F1303" t="s">
        <v>2633</v>
      </c>
      <c r="G1303" s="1">
        <v>25.91</v>
      </c>
      <c r="H1303" s="1"/>
      <c r="I1303" t="s">
        <v>2634</v>
      </c>
      <c r="J1303" t="s">
        <v>2634</v>
      </c>
      <c r="K1303">
        <v>0</v>
      </c>
      <c r="L1303">
        <v>0</v>
      </c>
    </row>
    <row r="1304" spans="1:12">
      <c r="A1304" s="14" t="s">
        <v>2598</v>
      </c>
      <c r="B1304" t="s">
        <v>2599</v>
      </c>
      <c r="C1304" t="s">
        <v>13</v>
      </c>
      <c r="D1304">
        <v>16.47</v>
      </c>
      <c r="E1304" t="s">
        <v>2632</v>
      </c>
      <c r="F1304" t="s">
        <v>2633</v>
      </c>
      <c r="G1304" s="1">
        <v>41.21</v>
      </c>
      <c r="H1304" s="1"/>
      <c r="I1304" t="s">
        <v>2634</v>
      </c>
      <c r="J1304" t="s">
        <v>2634</v>
      </c>
      <c r="K1304">
        <v>0</v>
      </c>
      <c r="L1304">
        <v>0</v>
      </c>
    </row>
    <row r="1305" spans="1:12">
      <c r="A1305" s="14" t="s">
        <v>2600</v>
      </c>
      <c r="B1305" t="s">
        <v>2601</v>
      </c>
      <c r="C1305" t="s">
        <v>13</v>
      </c>
      <c r="D1305">
        <v>18.61</v>
      </c>
      <c r="E1305" t="s">
        <v>2632</v>
      </c>
      <c r="F1305" t="s">
        <v>2633</v>
      </c>
      <c r="G1305" s="1">
        <v>46.51</v>
      </c>
      <c r="H1305" s="1"/>
      <c r="I1305" t="s">
        <v>2634</v>
      </c>
      <c r="J1305" t="s">
        <v>2634</v>
      </c>
      <c r="K1305">
        <v>0</v>
      </c>
      <c r="L1305">
        <v>0</v>
      </c>
    </row>
    <row r="1306" spans="1:12">
      <c r="A1306" s="14" t="s">
        <v>2602</v>
      </c>
      <c r="B1306" t="s">
        <v>2603</v>
      </c>
      <c r="C1306" t="s">
        <v>13</v>
      </c>
      <c r="D1306">
        <v>23.5</v>
      </c>
      <c r="E1306" t="s">
        <v>2632</v>
      </c>
      <c r="F1306" t="s">
        <v>2633</v>
      </c>
      <c r="G1306" s="1">
        <v>58.74</v>
      </c>
      <c r="H1306" s="1"/>
      <c r="I1306" t="s">
        <v>2634</v>
      </c>
      <c r="J1306" t="s">
        <v>2634</v>
      </c>
      <c r="K1306">
        <v>0</v>
      </c>
      <c r="L1306">
        <v>0</v>
      </c>
    </row>
    <row r="1307" spans="1:12">
      <c r="A1307" s="14" t="s">
        <v>2604</v>
      </c>
      <c r="B1307" t="s">
        <v>2605</v>
      </c>
      <c r="C1307" t="s">
        <v>13</v>
      </c>
      <c r="D1307">
        <v>4.52</v>
      </c>
      <c r="E1307" t="s">
        <v>2632</v>
      </c>
      <c r="F1307" t="s">
        <v>2633</v>
      </c>
      <c r="G1307" s="1">
        <v>10.04</v>
      </c>
      <c r="H1307" s="1"/>
      <c r="I1307" t="s">
        <v>2634</v>
      </c>
      <c r="J1307" t="s">
        <v>2634</v>
      </c>
      <c r="K1307">
        <v>0</v>
      </c>
      <c r="L1307">
        <v>0</v>
      </c>
    </row>
    <row r="1308" spans="1:12">
      <c r="A1308" s="14" t="s">
        <v>2606</v>
      </c>
      <c r="B1308" t="s">
        <v>2607</v>
      </c>
      <c r="C1308" t="s">
        <v>13</v>
      </c>
      <c r="D1308">
        <v>2.52</v>
      </c>
      <c r="E1308" t="s">
        <v>2632</v>
      </c>
      <c r="F1308" t="s">
        <v>2633</v>
      </c>
      <c r="G1308" s="1">
        <v>4.79</v>
      </c>
      <c r="H1308" s="1"/>
      <c r="I1308" t="s">
        <v>2634</v>
      </c>
      <c r="J1308" t="s">
        <v>2634</v>
      </c>
      <c r="K1308">
        <v>0</v>
      </c>
      <c r="L1308">
        <v>0</v>
      </c>
    </row>
    <row r="1309" spans="1:12">
      <c r="A1309" s="14" t="s">
        <v>2608</v>
      </c>
      <c r="B1309" t="s">
        <v>2609</v>
      </c>
      <c r="C1309" t="s">
        <v>13</v>
      </c>
      <c r="D1309">
        <v>2.52</v>
      </c>
      <c r="E1309" t="s">
        <v>2632</v>
      </c>
      <c r="F1309" t="s">
        <v>2633</v>
      </c>
      <c r="G1309" s="1">
        <v>4.79</v>
      </c>
      <c r="H1309" s="1"/>
      <c r="I1309" t="s">
        <v>2634</v>
      </c>
      <c r="J1309" t="s">
        <v>2634</v>
      </c>
      <c r="K1309">
        <v>0</v>
      </c>
      <c r="L1309">
        <v>0</v>
      </c>
    </row>
    <row r="1310" spans="1:12">
      <c r="A1310" s="14" t="s">
        <v>2610</v>
      </c>
      <c r="B1310" t="s">
        <v>2611</v>
      </c>
      <c r="C1310" t="s">
        <v>13</v>
      </c>
      <c r="D1310">
        <v>2.52</v>
      </c>
      <c r="E1310" t="s">
        <v>2632</v>
      </c>
      <c r="F1310" t="s">
        <v>2633</v>
      </c>
      <c r="G1310" s="1">
        <v>4.79</v>
      </c>
      <c r="H1310" s="1"/>
      <c r="I1310" t="s">
        <v>2634</v>
      </c>
      <c r="J1310" t="s">
        <v>2634</v>
      </c>
      <c r="K1310">
        <v>0</v>
      </c>
      <c r="L1310">
        <v>0</v>
      </c>
    </row>
    <row r="1311" spans="1:12">
      <c r="A1311" s="14" t="s">
        <v>2612</v>
      </c>
      <c r="B1311" t="s">
        <v>2613</v>
      </c>
      <c r="C1311" t="s">
        <v>13</v>
      </c>
      <c r="D1311">
        <v>103.75</v>
      </c>
      <c r="E1311" t="s">
        <v>2632</v>
      </c>
      <c r="F1311" t="s">
        <v>2633</v>
      </c>
      <c r="G1311" s="1">
        <v>197.61</v>
      </c>
      <c r="H1311" s="1"/>
      <c r="I1311" t="s">
        <v>2634</v>
      </c>
      <c r="J1311" t="s">
        <v>2634</v>
      </c>
      <c r="K1311">
        <v>0</v>
      </c>
      <c r="L1311">
        <v>0</v>
      </c>
    </row>
    <row r="1312" spans="1:12">
      <c r="A1312" s="14" t="s">
        <v>2614</v>
      </c>
      <c r="B1312" t="s">
        <v>2615</v>
      </c>
      <c r="C1312" t="s">
        <v>13</v>
      </c>
      <c r="D1312">
        <v>3.12</v>
      </c>
      <c r="E1312" t="s">
        <v>2632</v>
      </c>
      <c r="F1312" t="s">
        <v>2633</v>
      </c>
      <c r="G1312" s="1">
        <v>5.93</v>
      </c>
      <c r="H1312" s="1"/>
      <c r="I1312" t="s">
        <v>2634</v>
      </c>
      <c r="J1312" t="s">
        <v>2634</v>
      </c>
      <c r="K1312">
        <v>0</v>
      </c>
      <c r="L1312">
        <v>0</v>
      </c>
    </row>
    <row r="1313" spans="1:12">
      <c r="A1313" s="14" t="s">
        <v>2616</v>
      </c>
      <c r="B1313" t="s">
        <v>2617</v>
      </c>
      <c r="C1313" t="s">
        <v>13</v>
      </c>
      <c r="D1313">
        <v>23.96</v>
      </c>
      <c r="E1313" t="s">
        <v>2632</v>
      </c>
      <c r="F1313" t="s">
        <v>2633</v>
      </c>
      <c r="G1313" s="1">
        <v>45.65</v>
      </c>
      <c r="H1313" s="2" t="s">
        <v>2635</v>
      </c>
      <c r="I1313" t="s">
        <v>2643</v>
      </c>
      <c r="J1313">
        <v>5</v>
      </c>
      <c r="K1313">
        <v>0</v>
      </c>
      <c r="L1313">
        <v>0</v>
      </c>
    </row>
    <row r="1314" spans="1:12">
      <c r="A1314" s="14" t="s">
        <v>2618</v>
      </c>
      <c r="B1314" t="s">
        <v>2619</v>
      </c>
      <c r="C1314" t="s">
        <v>13</v>
      </c>
      <c r="D1314">
        <v>2.9</v>
      </c>
      <c r="E1314" t="s">
        <v>2632</v>
      </c>
      <c r="F1314" t="s">
        <v>2633</v>
      </c>
      <c r="G1314" s="1">
        <v>5.53</v>
      </c>
      <c r="H1314" s="1"/>
      <c r="I1314" t="s">
        <v>2634</v>
      </c>
      <c r="J1314" t="s">
        <v>2634</v>
      </c>
      <c r="K1314">
        <v>0</v>
      </c>
      <c r="L1314">
        <v>0</v>
      </c>
    </row>
  </sheetData>
  <autoFilter xmlns:etc="http://www.wps.cn/officeDocument/2017/etCustomData" ref="A3:L1314" etc:filterBottomFollowUsedRange="0">
    <extLst/>
  </autoFilter>
  <pageMargins left="0.7" right="0.7" top="0.75" bottom="0.75" header="0.3" footer="0.3"/>
  <headerFooter>
    <oddFooter>&amp;C
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6839521-3605-4A01-8694-A2A4EF5AFBF6}">
  <ds:schemaRefs/>
</ds:datastoreItem>
</file>

<file path=customXml/itemProps2.xml><?xml version="1.0" encoding="utf-8"?>
<ds:datastoreItem xmlns:ds="http://schemas.openxmlformats.org/officeDocument/2006/customXml" ds:itemID="{4A1F860E-61B2-4F98-8C88-962BC6AA4AEB}">
  <ds:schemaRefs/>
</ds:datastoreItem>
</file>

<file path=customXml/itemProps3.xml><?xml version="1.0" encoding="utf-8"?>
<ds:datastoreItem xmlns:ds="http://schemas.openxmlformats.org/officeDocument/2006/customXml" ds:itemID="{7A68BD03-9E6D-4DFB-A61A-672428A384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BEP USD Ver 5.5 - March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Christison</dc:creator>
  <cp:lastModifiedBy>WPS_1735901862</cp:lastModifiedBy>
  <dcterms:created xsi:type="dcterms:W3CDTF">2025-02-17T19:01:00Z</dcterms:created>
  <dcterms:modified xsi:type="dcterms:W3CDTF">2025-09-29T02:39:54Z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  <property fmtid="{D5CDD505-2E9C-101B-9397-08002B2CF9AE}" pid="10" name="ICV">
    <vt:lpwstr>3F660999F25C482ABD0A3D75089F7991_12</vt:lpwstr>
  </property>
  <property fmtid="{D5CDD505-2E9C-101B-9397-08002B2CF9AE}" pid="11" name="KSOProductBuildVer">
    <vt:lpwstr>2052-12.1.0.22529</vt:lpwstr>
  </property>
</Properties>
</file>