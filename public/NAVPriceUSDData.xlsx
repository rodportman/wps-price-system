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<sst xmlns="http://schemas.openxmlformats.org/spreadsheetml/2006/main" count="5634" uniqueCount="3866">
  <si>
    <t>Brand</t>
  </si>
  <si>
    <t>Part Number</t>
  </si>
  <si>
    <t>ShortDescription</t>
  </si>
  <si>
    <t>chinese_short_descript</t>
  </si>
  <si>
    <t>Description</t>
  </si>
  <si>
    <t>chinese_long_descript</t>
  </si>
  <si>
    <t>RRP</t>
  </si>
  <si>
    <t>RRP113</t>
  </si>
  <si>
    <t>Wholesaler</t>
  </si>
  <si>
    <t>Distributor</t>
  </si>
  <si>
    <t>OEM</t>
  </si>
  <si>
    <t>Dealer</t>
  </si>
  <si>
    <t>Retail</t>
  </si>
  <si>
    <t>Barcode</t>
  </si>
  <si>
    <t>Portables / ICE</t>
  </si>
  <si>
    <t>000-16146-001</t>
  </si>
  <si>
    <t>0.3m (1 ft) Extension pole for Explorer Series Ice Pole (not Included)</t>
  </si>
  <si>
    <t>0.3m (1 ft) Extension pole for Explorer Series Ice Pole (not Included), ideal for thicker ice areas and more depth</t>
  </si>
  <si>
    <t>Service Parts</t>
  </si>
  <si>
    <t>AA000352</t>
  </si>
  <si>
    <t>1.1m Stainless Masthead VHF Whip Antenna</t>
  </si>
  <si>
    <t>Navico 1720 VHF antenna, 1.1 m (3 ft) stainless masthead whip with bracket @ 3dB</t>
  </si>
  <si>
    <t>IMO Radar</t>
  </si>
  <si>
    <t>000-12427-001</t>
  </si>
  <si>
    <t>1.5m HDMI-DVI Cable</t>
  </si>
  <si>
    <t>ACCESSORIES</t>
  </si>
  <si>
    <t>000-10882-001</t>
  </si>
  <si>
    <t>1/M OPEN SIDED 12+2 CORE CABLE (15 MM)</t>
  </si>
  <si>
    <t>000-16460-001</t>
  </si>
  <si>
    <t>10 Inch Gimbal Bracket - NSS 4, Zeus SR</t>
  </si>
  <si>
    <t>10 Inch Gimbal Bracket - NSS 4,ZEUS SR</t>
  </si>
  <si>
    <t>000-16457-001</t>
  </si>
  <si>
    <t>10 Inch Rear Mount Kit - NSS 4, Zeus SR</t>
  </si>
  <si>
    <t>10 Inch Rear Mount Kit - NSS 4,ZEUS SR</t>
  </si>
  <si>
    <t>BGH321011</t>
  </si>
  <si>
    <t>10/10HV Bezel (black)</t>
  </si>
  <si>
    <t>BGH320001</t>
  </si>
  <si>
    <t>10/10HV Display Pack</t>
  </si>
  <si>
    <t>10/10HV Display Pack for H3000 and WTP3 systems.</t>
  </si>
  <si>
    <t>Instrument Systems</t>
  </si>
  <si>
    <t>000-11087-001</t>
  </si>
  <si>
    <t>10/10HV DISPLAY PACK, TRITON/H5000</t>
  </si>
  <si>
    <t>10/10HV display for H5000 or Triton systems.</t>
  </si>
  <si>
    <t>BGH324014</t>
  </si>
  <si>
    <t>10/10HV Sun Cover</t>
  </si>
  <si>
    <t>Radar</t>
  </si>
  <si>
    <t>000-14548-001</t>
  </si>
  <si>
    <t>10m Cable for HALO Dome Radar / Nemesis™ (33 ft)</t>
  </si>
  <si>
    <t>Power / Ethernet cable, 10 m (33 ft) for HALO dome radars and B&amp;G Nemesis displays</t>
  </si>
  <si>
    <t>000-14608-001</t>
  </si>
  <si>
    <t>10m Ethernet cable RJ45 to RJ45 - CAT 5E</t>
  </si>
  <si>
    <t>10m Ethernet cable RJ45 connector at both ends, CAT 5E. Interconnection cable in multi-radar R5000 systems.</t>
  </si>
  <si>
    <t>000-10559-001</t>
  </si>
  <si>
    <t>11 m Interswitch Cable</t>
  </si>
  <si>
    <t>ARGUS 11 m Prewired coaxial Interswitch Cable</t>
  </si>
  <si>
    <t>000-16459-001</t>
  </si>
  <si>
    <t>12 Inch Gimbal Bracket - NSS 4, Zeus SR</t>
  </si>
  <si>
    <t>12 Inch Gimbal Bracket - NSS 4,ZEUS SR</t>
  </si>
  <si>
    <t>000-16456-001</t>
  </si>
  <si>
    <t>12 Inch Rear Mount Kit - NSS 4, Zeus SR</t>
  </si>
  <si>
    <t>12 Inch Rear Mount Kit - NSS 4,ZEUS SR</t>
  </si>
  <si>
    <t>000-10328-001</t>
  </si>
  <si>
    <t>12 KW X-BAND SRT UP-MAST HSC W/DOC</t>
  </si>
  <si>
    <t>12kW X-band up mast transceiver without antenna for HSC</t>
  </si>
  <si>
    <t>000-10326-001</t>
  </si>
  <si>
    <t>12 KW X-BAND SRT UP-MAST W/DOC</t>
  </si>
  <si>
    <t>12kW X-band up mast transceiver without antenna.</t>
  </si>
  <si>
    <t>000-11250-001</t>
  </si>
  <si>
    <t>12ft S-Band Radar Antenna</t>
  </si>
  <si>
    <t>12ft S-band Antenna for 30kW R5000 Radar System.</t>
  </si>
  <si>
    <t>000-10875-001</t>
  </si>
  <si>
    <t>12ft X-Band Radar Antenna</t>
  </si>
  <si>
    <t>12ft X-band Antenna for 12kW/25kW R5000 Radar System. Note - Requires the upgraded 12ft X-Band pedestals.</t>
  </si>
  <si>
    <t>000-10678-001</t>
  </si>
  <si>
    <t>12kW &amp; 25kW - Duplexer Circulator</t>
  </si>
  <si>
    <t>12kW &amp; 25kW - Duplexer Circulator 9375 MHZ (R5000, R3016, ARGUS)</t>
  </si>
  <si>
    <t>000-10679-001</t>
  </si>
  <si>
    <t>12kW &amp; 25kW - LIMITER</t>
  </si>
  <si>
    <t>12kW &amp; 25kW - LIMITER (R5000, R3016, ARGUS)</t>
  </si>
  <si>
    <t>000-10680-001</t>
  </si>
  <si>
    <t>12kW &amp; 25kW - Noise Diode</t>
  </si>
  <si>
    <t>12kW &amp; 25kW - Noise Diode (R5000, R3016, ARGUS)</t>
  </si>
  <si>
    <t>000-10675-001</t>
  </si>
  <si>
    <t>12kW &amp; 25kW - Spare RF Detector Assembly w/ LNFE</t>
  </si>
  <si>
    <t>12kW &amp; 25kW - Spare RF Detector Assembly w/ LNFE (R5000, R3016, ARGUS)</t>
  </si>
  <si>
    <t>000-10684-001</t>
  </si>
  <si>
    <t>12kW &amp; 25kW Brushless Crontroller Assembly</t>
  </si>
  <si>
    <t>000-15590-001</t>
  </si>
  <si>
    <t>12kW &amp; 25kW Motor (Argus) Up-Mast 12ft</t>
  </si>
  <si>
    <t>000-10683-001</t>
  </si>
  <si>
    <t>12kW &amp; 25kW Motor (Argus) Up-Mast 6/9ft</t>
  </si>
  <si>
    <t>12kW &amp; 25kW Motor (Argus) 6/9ft Antenna</t>
  </si>
  <si>
    <t>000-15592-001</t>
  </si>
  <si>
    <t>12kW &amp; 25kW Motor (R5000) Down-Mast 12ft</t>
  </si>
  <si>
    <t>000-14831-001</t>
  </si>
  <si>
    <t>12kW &amp; 25kW Motor (R5000) Down-Mast 6/9ft</t>
  </si>
  <si>
    <t>000-15591-001</t>
  </si>
  <si>
    <t>12kW &amp; 25kW Motor (R5000) Up-Mast 12ft</t>
  </si>
  <si>
    <t>000-15007-001</t>
  </si>
  <si>
    <t>12kW &amp; 25kW Motor (R5000) Up-Mast 6/9ft</t>
  </si>
  <si>
    <t>000-10668-001</t>
  </si>
  <si>
    <t>12kW &amp; 25kW Performance Monitor Arm</t>
  </si>
  <si>
    <t>12&amp;25kW Performance Monitor Arm</t>
  </si>
  <si>
    <t>000-10682-001</t>
  </si>
  <si>
    <t>12kW &amp; 25kW SRT Gear Reducer</t>
  </si>
  <si>
    <t>12kW &amp; 25kW SRT Gear Reducer - 6/9ft Antenna</t>
  </si>
  <si>
    <t>SP-305287A1-001</t>
  </si>
  <si>
    <t>12kW &amp; 25kW SRT Gear Reducer (12ft Antenna)</t>
  </si>
  <si>
    <t>000-10676-001</t>
  </si>
  <si>
    <t>12kW Magnetron - JRC MSF1425A</t>
  </si>
  <si>
    <t>12kW Magnetron - JRC MSF1425A (ARGUS)</t>
  </si>
  <si>
    <t>000-13253-001</t>
  </si>
  <si>
    <t>12kW Magnetron - JRC MSF1425B</t>
  </si>
  <si>
    <t>12kW Magnetron - JRC MSF1425B 9410MHZ - (R5000 &amp; R3016)</t>
  </si>
  <si>
    <t>000-10672-001</t>
  </si>
  <si>
    <t>12kW SRT - Spare MOS PCB</t>
  </si>
  <si>
    <t>12kW SRT - Spare MOS PCB (R5000, R3016, ARGUS)</t>
  </si>
  <si>
    <t>000-10669-001</t>
  </si>
  <si>
    <t>12kW SRT Electronics Assembly (Argus)</t>
  </si>
  <si>
    <t>12kW SRT LAN Electronics Assembly (Argus)</t>
  </si>
  <si>
    <t>000-13252-001</t>
  </si>
  <si>
    <t>12kW SRT LAN Electronics Assembly (R3016)</t>
  </si>
  <si>
    <t>000-15008-001</t>
  </si>
  <si>
    <t>12kW SRT LAN Electronics Assembly (R5000)</t>
  </si>
  <si>
    <t>12KW SRT LAN ELECTRONIC ASSY (R5000)</t>
  </si>
  <si>
    <t>000-12383-001</t>
  </si>
  <si>
    <t>12kW X-Band SRT LAN Pedestal  (R3000)</t>
  </si>
  <si>
    <t>000-14939-001</t>
  </si>
  <si>
    <t>12kW X-Band SRT LAN Pedestal (R5000)</t>
  </si>
  <si>
    <t>000-13218-001</t>
  </si>
  <si>
    <t>12kW X-Band SRT LAN Pedestal for 12ft Antenna (R5000)</t>
  </si>
  <si>
    <t>000-13217-001</t>
  </si>
  <si>
    <t>12kW X-Band SRT LAN Pedestal for HSC (R5000)</t>
  </si>
  <si>
    <t>000-10681-001</t>
  </si>
  <si>
    <t>12kW, 25kW &amp; 30kW - Bearing Reader PCB</t>
  </si>
  <si>
    <t>12kW, 25kW &amp; 30kW - Bearing and Heading Line reader PCB (R5000, R3016, ARGUS)</t>
  </si>
  <si>
    <t>000-10674-001</t>
  </si>
  <si>
    <t>12kW, 25kW &amp; 30kW - SRT Control PCB</t>
  </si>
  <si>
    <t>12kW, 25kW &amp; 30kW - SRT Control PCB (R5000, R3016, ARGUS)</t>
  </si>
  <si>
    <t>000-10671-001</t>
  </si>
  <si>
    <t>12kW, 25kW &amp; 30kW SRT - Spare POWER PCB</t>
  </si>
  <si>
    <t>12kW, 25kW &amp; 30kW SRT - Spare POWER PCB (R5000, R3016, ARGUS)</t>
  </si>
  <si>
    <t>000-10879-001</t>
  </si>
  <si>
    <t>15M 1-SIDE PREWIRED SRT U.M. CABLE KIT</t>
  </si>
  <si>
    <t>000-12390-001</t>
  </si>
  <si>
    <t>15m Ethernet cable for (50 ft) for R3000</t>
  </si>
  <si>
    <t>15m (50 ft) Ethernet cable for R3016 12/6X with Navico 5-Pin Yellow Ethernet connector for the R3016 Display.</t>
  </si>
  <si>
    <t>000-14626-001</t>
  </si>
  <si>
    <t>15m Ethernet cable for (50 ft) for R5000</t>
  </si>
  <si>
    <t>15m (50 ft) Ethernet cable for R5000 Systems with RJ45 Ethernet connector for connection to the R5000 Processor Unit</t>
  </si>
  <si>
    <t>000-12387-001</t>
  </si>
  <si>
    <t>15m Power Cable for SRT LAN Kit (50 ft) R3000 &amp; R5000</t>
  </si>
  <si>
    <t>Power cable for SRT LAN kit. 15 m (50 ft)</t>
  </si>
  <si>
    <t>000-16458-001</t>
  </si>
  <si>
    <t>16 Inch Gimbal Bracket - NSS 4, Zeus SR</t>
  </si>
  <si>
    <t>16 Inch Gimbal Bracket - NSS 4,ZEUS SR</t>
  </si>
  <si>
    <t>000-16455-001</t>
  </si>
  <si>
    <t>16 Inch Rear Mount Kit - NSS 4, Zeus SR</t>
  </si>
  <si>
    <t>16 Inch Rear Mount Kit - NSS 4,ZEUS SR</t>
  </si>
  <si>
    <t>000-10560-001</t>
  </si>
  <si>
    <t>16 m coaxial Interswitch Cable</t>
  </si>
  <si>
    <t>ARGUS 16 m Prewired coaxial Interswitch Cable</t>
  </si>
  <si>
    <t>000-11620-001</t>
  </si>
  <si>
    <t>16'' Monitor Edge Bezels</t>
  </si>
  <si>
    <t>16'' Edge Bezels for Monitors and MFDs. Check compatability in description.</t>
  </si>
  <si>
    <t>000-11621-001</t>
  </si>
  <si>
    <t>19'' Monitor Edge Bezels</t>
  </si>
  <si>
    <t>19'' Edge Bezels for Monitors and MFDs. Check compatability in description.</t>
  </si>
  <si>
    <t>000-15859-001</t>
  </si>
  <si>
    <t>1m (3.3-ft) Black Fiberglass Quick-Fit VHF Antenna</t>
  </si>
  <si>
    <t>VHF ANTENNA,1Meter Back Fiberglass Stainless Steel, Quick fit fitting.</t>
  </si>
  <si>
    <t>AA000358</t>
  </si>
  <si>
    <t>1m (3.3-ft) White Fiberglass Quick-Fit VHF Antenna</t>
  </si>
  <si>
    <t>Navico 1770 VHF antenna, 1 m (3 ft) Ultraglass, quickfit @ 3dB</t>
  </si>
  <si>
    <t>AA000355</t>
  </si>
  <si>
    <t>2.5 m (8-ft) White Fiberglass Quick-Fit VHF Antenna</t>
  </si>
  <si>
    <t>Navico 1710 VHF antenna, 2.5 m (8 ft) ultraglass, quickfit @ 6dB</t>
  </si>
  <si>
    <t>000-14968-001</t>
  </si>
  <si>
    <t>2.5m (8-ft) Black Fiberglass Quick-Fit VHF Antenna</t>
  </si>
  <si>
    <t>Navico 1710 VHF antenna, 2.5 m (8 ft) ultraglass, quickfit @ 6dB BLACK</t>
  </si>
  <si>
    <t>000-11230-001</t>
  </si>
  <si>
    <t>20/20 HV MB</t>
  </si>
  <si>
    <t>2-way 20/20 HV mast bracket</t>
  </si>
  <si>
    <t>BGH291011</t>
  </si>
  <si>
    <t>20/20HV Bezel (black)</t>
  </si>
  <si>
    <t>BGH290001</t>
  </si>
  <si>
    <t>20/20HV Display Pack</t>
  </si>
  <si>
    <t>20/20HV Display Pack for H3000 and WTP3 systems</t>
  </si>
  <si>
    <t>000-11088-001</t>
  </si>
  <si>
    <t>20/20HV DISPLAY PACK, TRITON/H5000</t>
  </si>
  <si>
    <t>20/20HV display for H5000 or Triton systems.</t>
  </si>
  <si>
    <t>BGH220013</t>
  </si>
  <si>
    <t>20/20HV Mast Bracket - 3 way</t>
  </si>
  <si>
    <t>BGH220014</t>
  </si>
  <si>
    <t>20/20HV Mast Bracket - 4 way</t>
  </si>
  <si>
    <t>500-100-1006</t>
  </si>
  <si>
    <t>20m 10pin Double Ended Cable</t>
  </si>
  <si>
    <t>20m 10pin Double Ended Cable for MX521 GPS antennas.</t>
  </si>
  <si>
    <t>3508-102-70170</t>
  </si>
  <si>
    <t>20m 10pin Single Ended Cable</t>
  </si>
  <si>
    <t>20m 10pin Single Ended Cable for MX521 GPS antennas.</t>
  </si>
  <si>
    <t>000-14549-001</t>
  </si>
  <si>
    <t>20m Cable for HALO Dome Radar / Nemesis™ (65.5 ft)</t>
  </si>
  <si>
    <t>Power / Ethernet cable, 20 m (65.5 ft) for HALO dome radars and B&amp;G Nemesis displays</t>
  </si>
  <si>
    <t>000-12505-001</t>
  </si>
  <si>
    <t>20m Down-Mast Power Cable</t>
  </si>
  <si>
    <t>Down-Mast Power cable - 20m</t>
  </si>
  <si>
    <t>178-30-023</t>
  </si>
  <si>
    <t>213 Cable Nut</t>
  </si>
  <si>
    <t>178-0B-001</t>
  </si>
  <si>
    <t>213 Mast Cable, 24 m</t>
  </si>
  <si>
    <t>178-0D-001</t>
  </si>
  <si>
    <t>213 Mast Cable, 36 m</t>
  </si>
  <si>
    <t>178-0X-001</t>
  </si>
  <si>
    <t>213 Mast Cable, 50 m</t>
  </si>
  <si>
    <t>000-12266-001</t>
  </si>
  <si>
    <t>213 MAST CABLE,80M</t>
  </si>
  <si>
    <t>Passive Sensors</t>
  </si>
  <si>
    <t>213-00-002</t>
  </si>
  <si>
    <t>213 Masthead Unit Only</t>
  </si>
  <si>
    <t>The 213 Masthead unit is an ocean-proven high performance wind sensor, providing raw wind speed and angle data to the instrument system. For H5000 and H3000.</t>
  </si>
  <si>
    <t>213-10-101</t>
  </si>
  <si>
    <t>213 Masthead Unit PCB</t>
  </si>
  <si>
    <t>213-10-003</t>
  </si>
  <si>
    <t>213 Spar (Standard)</t>
  </si>
  <si>
    <t>000-11622-001</t>
  </si>
  <si>
    <t>24'' Monitor Edge Bezels</t>
  </si>
  <si>
    <t>24'' Edge Bezels for Monitors and MFDs. Check compatability in description.</t>
  </si>
  <si>
    <t>ECDIS</t>
  </si>
  <si>
    <t>000-13254-001</t>
  </si>
  <si>
    <t>24VDC/24VDC UPS – IEC60945</t>
  </si>
  <si>
    <t>24VDC/24VDC UPS for use with Simrad Maris ECDIS900 and Simrad ECDIS E5000</t>
  </si>
  <si>
    <t>000-10877-001</t>
  </si>
  <si>
    <t>25 KW X-BAND SRT UP-MAST FOR 12 FT ANTENNA W/DOC</t>
  </si>
  <si>
    <t>25 KW X-band Pedestal for 12ft. Antenna - Special Gearbox fitted</t>
  </si>
  <si>
    <t>000-10329-001</t>
  </si>
  <si>
    <t>25 KW X-BAND SRT UP-MAST HSC W/DOC</t>
  </si>
  <si>
    <t>25kW X-band up mast transceiver without antenna for HSC</t>
  </si>
  <si>
    <t>000-10327-001</t>
  </si>
  <si>
    <t>25 KW X-BAND SRT UP-MAST W/DOC</t>
  </si>
  <si>
    <t>25kW X-band up mast transceiver without antenna</t>
  </si>
  <si>
    <t>000-10673-001</t>
  </si>
  <si>
    <t>25kW &amp; 30kW SRT - MOS PCB</t>
  </si>
  <si>
    <t>25kW &amp; 30kW SRT - MOS PCB (R5000, ARGUS)</t>
  </si>
  <si>
    <t>SP-305078A1-001</t>
  </si>
  <si>
    <t>25kW Magnetron - JRC M1458A</t>
  </si>
  <si>
    <t>25kW Magnetron - JRC M1458A 9.410 MHZ - (R5000)</t>
  </si>
  <si>
    <t>000-10677-001</t>
  </si>
  <si>
    <t>25kW Magnetron - JRC M1475A</t>
  </si>
  <si>
    <t>25kW Magnetron - JRC M1475A (ARGUS)</t>
  </si>
  <si>
    <t>000-10670-001</t>
  </si>
  <si>
    <t>25kW SRT Electronics Assembly (ARGUS)</t>
  </si>
  <si>
    <t>25 KW SRT ELECTRONIC ASSY</t>
  </si>
  <si>
    <t>000-13219-001</t>
  </si>
  <si>
    <t>25kW X-Band SRT LAN Pedestal (R5000)</t>
  </si>
  <si>
    <t>000-13221-001</t>
  </si>
  <si>
    <t>25kW X-Band SRT LAN Pedestal for 12ft Antenna (R5000)</t>
  </si>
  <si>
    <t>000-13220-001</t>
  </si>
  <si>
    <t>25kW X-Band SRT LAN Pedestal for HSC (R5000)</t>
  </si>
  <si>
    <t>000-11251-001</t>
  </si>
  <si>
    <t>30 KW S-BAND SRT UP-MAST W/DOC</t>
  </si>
  <si>
    <t>S-BAND SRT 30 KW UP-MAST</t>
  </si>
  <si>
    <t>BGH241011</t>
  </si>
  <si>
    <t>30/30HV Bezel (black)</t>
  </si>
  <si>
    <t>BGH240001</t>
  </si>
  <si>
    <t>30/30HV Display Pack</t>
  </si>
  <si>
    <t>30/30HV Display Pack for H3000 and WTP3 systems.</t>
  </si>
  <si>
    <t>000-11089-001</t>
  </si>
  <si>
    <t>30/30HV DISPLAY PACK, TRITON/H5000</t>
  </si>
  <si>
    <t>30/30HV display for H5000 or Triton systems.</t>
  </si>
  <si>
    <t>BGH244014</t>
  </si>
  <si>
    <t>30/30HV Sun Cover</t>
  </si>
  <si>
    <t>SP-47V201P001-001</t>
  </si>
  <si>
    <t>30kW Brushless Controller Assembly</t>
  </si>
  <si>
    <t>SP-89A505P003-001</t>
  </si>
  <si>
    <t>30kW Duplexer Circulator 3050MHz</t>
  </si>
  <si>
    <t>SP-89A505P040-001</t>
  </si>
  <si>
    <t>30kW LIMITER</t>
  </si>
  <si>
    <t>SP-305356A1-001</t>
  </si>
  <si>
    <t>30kW Magnetron - JRC M1302L</t>
  </si>
  <si>
    <t>30kW Magnetron - JRC M1302L (R5000 &amp; ARGUS)</t>
  </si>
  <si>
    <t>SP-305279A1-001</t>
  </si>
  <si>
    <t>30kW Motor (R5000 &amp; ARGUS)</t>
  </si>
  <si>
    <t>30kW Motor (R5000 &amp; ARGUS, Up- &amp; Down-Mast) 660W 48VDC</t>
  </si>
  <si>
    <t>SP-302237A2-001</t>
  </si>
  <si>
    <t>30kW Noise Source</t>
  </si>
  <si>
    <t>SP-304958A1-001</t>
  </si>
  <si>
    <t>30kW Performance Monitor Arm</t>
  </si>
  <si>
    <t>000-14830-001</t>
  </si>
  <si>
    <t>30KW RF COAXIAL CABLE (DOWN-MAST)</t>
  </si>
  <si>
    <t>SP-304823A1-001</t>
  </si>
  <si>
    <t>30kW RF Detector Assembly w/ LNFE</t>
  </si>
  <si>
    <t>SP-305358A1-001</t>
  </si>
  <si>
    <t>30kW Rotary Joint</t>
  </si>
  <si>
    <t>000-14331-001</t>
  </si>
  <si>
    <t>30kW S-Band Gearbox</t>
  </si>
  <si>
    <t>30kW S-Band Gearbox w/ Driver Steel Gear</t>
  </si>
  <si>
    <t>000-13222-001</t>
  </si>
  <si>
    <t>30kW S-Band SRT LAN Pedestal (R5000)</t>
  </si>
  <si>
    <t>000-13223-001</t>
  </si>
  <si>
    <t>30kW S-Band SRT LAN Pedestal for HSC (R5000)</t>
  </si>
  <si>
    <t>SP-305357A1-001</t>
  </si>
  <si>
    <t>30kW SRT Gear Reducer</t>
  </si>
  <si>
    <t>000-10880-001</t>
  </si>
  <si>
    <t>30M 1-SIDE PREWIRED SRT U.M. CABLE KIT</t>
  </si>
  <si>
    <t>000-14550-001</t>
  </si>
  <si>
    <t>30m Cable for HALO Dome Radar / Nemesis™ (98.5 ft)</t>
  </si>
  <si>
    <t>Power / Ethernet cable, 30 m (98.5 ft) for HALO dome radars and B&amp;G Nemesis displays</t>
  </si>
  <si>
    <t>000-12504-001</t>
  </si>
  <si>
    <t>30m Down-Mast Power Cable</t>
  </si>
  <si>
    <t>Down-Mast Power cable - 30m</t>
  </si>
  <si>
    <t>000-14627-001</t>
  </si>
  <si>
    <t>30m Ethernet cable for (98 ft) for R5000</t>
  </si>
  <si>
    <t>30m (98 ft) Ethernet cable for R5000 Systems with RJ45 Ethernet connector for connection to the R5000 Processor Unit</t>
  </si>
  <si>
    <t>000-12388-001</t>
  </si>
  <si>
    <t>30m Power Cable for SRT LAN Kit (98 ft) R3000 &amp; R5000</t>
  </si>
  <si>
    <t>Power cable for SRT LAN kit.  30m (99 ft)</t>
  </si>
  <si>
    <t>000-14607-001</t>
  </si>
  <si>
    <t>35 M DOWN-MAST POWER CABLE</t>
  </si>
  <si>
    <t>500-100-1008</t>
  </si>
  <si>
    <t>3m 10pin Double Ended Cable</t>
  </si>
  <si>
    <t>3m 10pin Double Ended Cable for MX521 GPS antennas.</t>
  </si>
  <si>
    <t>3508-102-70150</t>
  </si>
  <si>
    <t>3m 10pin Single Ended Cable</t>
  </si>
  <si>
    <t>3m 10pin Single Ended Cable for MX521 GPS antennas.</t>
  </si>
  <si>
    <t>BGH281011</t>
  </si>
  <si>
    <t>40/40HV Bezel (black)</t>
  </si>
  <si>
    <t>BGH280001</t>
  </si>
  <si>
    <t>40/40HV Display Pack</t>
  </si>
  <si>
    <t>40/40HV Display Pack for H3000 and WTP3 systems</t>
  </si>
  <si>
    <t>000-11090-001</t>
  </si>
  <si>
    <t>40/40HV DISPLAY PACK, TRITON/H5000</t>
  </si>
  <si>
    <t>40/40HV display for H5000 or Triton systems.</t>
  </si>
  <si>
    <t>BGH284014</t>
  </si>
  <si>
    <t>40/40HV Sun Cover</t>
  </si>
  <si>
    <t>500-100-1007</t>
  </si>
  <si>
    <t>40m 10pin Double Ended Cable</t>
  </si>
  <si>
    <t>40m 10pin Double Ended Cable for MX521 GPS antennas.</t>
  </si>
  <si>
    <t>3508-102-70180</t>
  </si>
  <si>
    <t>40m 10pin Single Ended Cable</t>
  </si>
  <si>
    <t>40m 10pin Single Ended Cable for MX521 GPS antennas.</t>
  </si>
  <si>
    <t>000-00128-001</t>
  </si>
  <si>
    <t>4-Pin Power Cable</t>
  </si>
  <si>
    <t>4-pin Power Cable for modules and MFDs.</t>
  </si>
  <si>
    <t>000-10392-001</t>
  </si>
  <si>
    <t>50/200 SKIMMER MOUNT</t>
  </si>
  <si>
    <t>50/200kHz Skimmer™ transducer mounting kit</t>
  </si>
  <si>
    <t>000-14547-001</t>
  </si>
  <si>
    <t>5m Cable for HALO Dome Radar / Nemesis™ (16.5 ft)</t>
  </si>
  <si>
    <t>Power / Ethernet cable, 5 m (16.5 ft) for HALO dome radars and B&amp;G Nemesis displays</t>
  </si>
  <si>
    <t>000-13714-001</t>
  </si>
  <si>
    <t>608 Wind Sensor</t>
  </si>
  <si>
    <t>Networked wind sensor for Triton2, Triton, IS42, IS40 and IS20 systems. Sensor only, does not include cable.</t>
  </si>
  <si>
    <t>500-100-1009</t>
  </si>
  <si>
    <t>60m 10pin Double Ended Cable</t>
  </si>
  <si>
    <t>60m 10pin Double Ended Cable for MX521 GPS antennas.</t>
  </si>
  <si>
    <t>3508-102-70640</t>
  </si>
  <si>
    <t>60M 10-pins single ended cable</t>
  </si>
  <si>
    <t>60m 10pin Single Ended Cable for MX521 GPS antennas.</t>
  </si>
  <si>
    <t>000-10881-001</t>
  </si>
  <si>
    <t>60M 1-SIDE PREWIRED SRT U.M. CABLE KIT</t>
  </si>
  <si>
    <t>000-12392-001</t>
  </si>
  <si>
    <t>65m Ethernet cable for (213 ft) for R3000</t>
  </si>
  <si>
    <t>65m (213 ft) Ethernet cable for R3016 12U/6X with Navico 5-Pin Yellow Ethernet connector for the R3016 Display.</t>
  </si>
  <si>
    <t>000-14628-001</t>
  </si>
  <si>
    <t>65m Ethernet cable for (213 ft) for R5000</t>
  </si>
  <si>
    <t>65m (213 ft) Ethernet cable for R5000 Systems with RJ45 Ethernet connector for connection to the R5000 Processor Unit</t>
  </si>
  <si>
    <t>000-12389-001</t>
  </si>
  <si>
    <t>65m Power Cable for SRT LAN Kit (213 ft) R3000 &amp; R5000</t>
  </si>
  <si>
    <t>Power cable for SRT LAN kit.  65 M (213 ft)</t>
  </si>
  <si>
    <t>Networking</t>
  </si>
  <si>
    <t>135-0A-097</t>
  </si>
  <si>
    <t>6-Core Wind Cable 9 m</t>
  </si>
  <si>
    <t>000-10324-001</t>
  </si>
  <si>
    <t>6ft X-Band Radar Antenna</t>
  </si>
  <si>
    <t>6ft X-band Antenna for 12kW R3000 Radar System and 12kW/25kW R5000 System as well as 12/25kW ARGUS Systems.</t>
  </si>
  <si>
    <t>Echosounder</t>
  </si>
  <si>
    <t>000-13313-001</t>
  </si>
  <si>
    <t>7 Pin to 9 Pin Adapter Cable</t>
  </si>
  <si>
    <t>Connects older 7 pin blue plug transducers to displays with 9pin transducer ports.</t>
  </si>
  <si>
    <t>000-10046-001</t>
  </si>
  <si>
    <t>7 Pin Transducer Adapter - Bare wires</t>
  </si>
  <si>
    <t>7pin adapter cable to bare wires. To connect a bare-wire transducer to a display with 7pin sonar port.</t>
  </si>
  <si>
    <t>000-0099-93</t>
  </si>
  <si>
    <t>7 Pin Transducer Extension Cable - 3.65m/12ft</t>
  </si>
  <si>
    <t>XT-12BL 12ft blue 7 pin transducer extension Cable: 3.65 m (12 ft)</t>
  </si>
  <si>
    <t>000-0099-94</t>
  </si>
  <si>
    <t>7 Pin Transducer Extension Cable - 6m/20ft</t>
  </si>
  <si>
    <t>XT-20BL 20ft blue 7 pin transducer extension cable: 6 m (20 ft)</t>
  </si>
  <si>
    <t>000-14068-001</t>
  </si>
  <si>
    <t>7-pin Transducer to HOOK2/Reveal/Cruise Adapter</t>
  </si>
  <si>
    <t>7-pin Transducer to HOOK2/Reveal/Cruise Adapter Cable. Check Transducer compatability in description!</t>
  </si>
  <si>
    <t>11298</t>
  </si>
  <si>
    <t>8 Port Network Switch for ECDIS Systems</t>
  </si>
  <si>
    <t>ECDIS NETWORK SWITCH,8 PORT,  8 x 10/100Base-TX, RJ45, IP30 Metal Housing, Class 1, Div. II Rated, -10 to +60 deg. C.</t>
  </si>
  <si>
    <t>3508-102-70185</t>
  </si>
  <si>
    <t>80m 10pin Single Ended Cable</t>
  </si>
  <si>
    <t>80m 10pin Single Ended Cable for MX521 GPS antennas.</t>
  </si>
  <si>
    <t>000-12571-001</t>
  </si>
  <si>
    <t>9 Pin to 7 Pin Adapter - For Analog Temp. Transducers (Non-CHIRP Transducers)</t>
  </si>
  <si>
    <t>Connects a non-CHIRP transducer with a 9 Pin black connector to the older 7 pin blue sockets on displays and echosounder modules. For use with transducers that have an analog temperature sensor.</t>
  </si>
  <si>
    <t>000-13977-001</t>
  </si>
  <si>
    <t>9 Pin to 7 Pin Adapter - For XID Airmar Transdcuers (CHIRP Transducers)</t>
  </si>
  <si>
    <t>Connects an XID Airmar CHIRP transducer with a 9 Pin black connector to the older 7 pin blue sockets on displays and echosounder modules. For use with Airmar 9pin XID transducers.</t>
  </si>
  <si>
    <t>000-00099-006</t>
  </si>
  <si>
    <t>9 Pin Transducer Extension Cable - 3m/10ft</t>
  </si>
  <si>
    <t>Extension cable for 9-pin transducers. *For optimum performance do not use more than 1 extension per installation.</t>
  </si>
  <si>
    <t>000-11497-001</t>
  </si>
  <si>
    <t>90 DEGREE BEZEL FOR HELM DRIVE</t>
  </si>
  <si>
    <t>000-10325-001</t>
  </si>
  <si>
    <t>9ft X-Band Radar Antenna</t>
  </si>
  <si>
    <t>9ft X-band Antenna for 12kW/25kW R5000 Radar System.</t>
  </si>
  <si>
    <t>000-14886-001</t>
  </si>
  <si>
    <t>9-Pin 83/200kHz Pod-Style Shoot-Through Trandsucer</t>
  </si>
  <si>
    <t>9-Pin 83/200kHz Pod-Style Shoot-Through Trandsucer. Depth only.</t>
  </si>
  <si>
    <t>000-14887-001</t>
  </si>
  <si>
    <t>9-Pin 83/200kHz Pod-Style Shoot-Through Transducer w/Temp</t>
  </si>
  <si>
    <t>9-Pin 83/200kHz Pod-Style Shoot-Through-Hull or Trolling Motor Mount Transducer w/Temp</t>
  </si>
  <si>
    <t>Sonar</t>
  </si>
  <si>
    <t>000-14888-001</t>
  </si>
  <si>
    <t>9-Pin 83/200kHz Trolling-Motor Pod Transducer w/Temp</t>
  </si>
  <si>
    <t>000-14885-001</t>
  </si>
  <si>
    <t>9-Pin High Speed Skimmer Transducer 50/200 kHz</t>
  </si>
  <si>
    <t>9 Pin 50/200 kHz transom-mount skimmer depth/temp - black 9 pin connector</t>
  </si>
  <si>
    <t>000-14884-001</t>
  </si>
  <si>
    <t>9-Pin High Speed Skimmer Transducer 83/200 kHz</t>
  </si>
  <si>
    <t>High speed skimmer 83/200 kHz transom-mount skimmer depth/temp - Black 9 pin connector</t>
  </si>
  <si>
    <t>000-14069-001</t>
  </si>
  <si>
    <t>9-pin Transducer to HOOK2/Reveal/Cruise Adapter</t>
  </si>
  <si>
    <t>xSONIC Transducer to HOOK2/Reveal/Cruise Adapter cable. Check Transducer compatability in Details!</t>
  </si>
  <si>
    <t>SP-973371A3-001</t>
  </si>
  <si>
    <t>A.D.A. PCB</t>
  </si>
  <si>
    <t>Autopilot</t>
  </si>
  <si>
    <t>000-13895-001</t>
  </si>
  <si>
    <t>A2004 Autopilot Control Unit</t>
  </si>
  <si>
    <t>The A2004 is an Autopilot Controller designed to meet the needs of professionals onboard non-SOLAS workboats. It features a proven Simrad interface, presented on a wide-angle and zero-fog colour display.</t>
  </si>
  <si>
    <t>000-13899-001</t>
  </si>
  <si>
    <t>A2004 Autopilot System Kit</t>
  </si>
  <si>
    <t>A2004 Autopilot pack with A2004 controller, AC70 Autopilot computer and RF300 rudder feedback. For use with non-IMO professional vessels. For reversible pumps or non-isolated solenoid valve controls. Add either an AD80 or SD80 for thruster control.</t>
  </si>
  <si>
    <t>000-13901-001</t>
  </si>
  <si>
    <t>A2004 Autopilot System Kit w/ HS75 GPS Compass</t>
  </si>
  <si>
    <t>A2004 Autopilot pack with A2004 controller, AC70 Autopilot computer, RF300 rudder feedback and a HS75 GPS compass. For use with non-IMO professional vessels. For reversible pumps or non-isolated solenoid valve controls. Add either an AD80 or SD80 for thruster control.</t>
  </si>
  <si>
    <t>000-13900-001</t>
  </si>
  <si>
    <t>A2004 Autopilot System Kit w/ Precision-9 Compass</t>
  </si>
  <si>
    <t>A2004 Autopilot pack with A2004 controller, AC70 Autopilot computer, RF300 rudder feedback and a Precision-9 magnetic compass. For use with non-IMO professional vessels. For reversible pumps or non-isolated solenoid valve controls. Add either an AD80 or SD80 for thruster control.</t>
  </si>
  <si>
    <t>000-14075-001</t>
  </si>
  <si>
    <t>A2004/AP48 Dash mounting kit</t>
  </si>
  <si>
    <t>A2004 / AP48 Dash mounting kit: Includes dash seal, 4x 1/2" Phillips pan head screws, 2x Bezels, screw mount jig tool.</t>
  </si>
  <si>
    <t>000-14074-001</t>
  </si>
  <si>
    <t>A2004/AP48 Mounting Bracket Kit</t>
  </si>
  <si>
    <t>000-14073-001</t>
  </si>
  <si>
    <t>A2004/AP48 Suncover</t>
  </si>
  <si>
    <t>Suncover for A2004/AP48 autopilot controllers</t>
  </si>
  <si>
    <t>000-10186-001</t>
  </si>
  <si>
    <t>AC70 Autopilot Computer</t>
  </si>
  <si>
    <t>AC70 Autopilot Computer for rudder or propeller (i.e. Voith Schneider), for reversible motor or
galvanic non-isolated solenoids.</t>
  </si>
  <si>
    <t>000-10595-001</t>
  </si>
  <si>
    <t>AC70 PCB</t>
  </si>
  <si>
    <t>AC70 spare PCB assembly. Also option for Voith Schneider propeller control. To be mounted in AC85 Autopilot Computer Cabinet for IMO approved Voith Schneider pilot.</t>
  </si>
  <si>
    <t>Autopilots</t>
  </si>
  <si>
    <t>000-10187-001</t>
  </si>
  <si>
    <t>AC80A Analog Autopilot Computer</t>
  </si>
  <si>
    <t>AC80A Autopilot Computer: 
Drive computer for analog signal control of rudder or a thruster using analog voltage or low level current.</t>
  </si>
  <si>
    <t>000-10188-001</t>
  </si>
  <si>
    <t>AC80S Solenoid Autopilot Computer</t>
  </si>
  <si>
    <t>AC80S Autopilot Computer: Drive computer for on/off or proportional control of rudder or thruster using galvanic isolated solenoids or high level current.</t>
  </si>
  <si>
    <t>000-10189-001</t>
  </si>
  <si>
    <t>AC85 Autopilot Computer</t>
  </si>
  <si>
    <t>AC85 Autopilot Computer - Configurable autopilot computer cabinet with space for up to 3x AD80, SD80 or AC70 PCBs. Ships with one SI80 card.</t>
  </si>
  <si>
    <t>000-10190-001</t>
  </si>
  <si>
    <t>AC85 Autopilot Computer Cabinet</t>
  </si>
  <si>
    <t>AC85 Autopilot Computer Cabinet only.</t>
  </si>
  <si>
    <t>000-10582-001</t>
  </si>
  <si>
    <t>AC85 Dual Analog Drive Kit</t>
  </si>
  <si>
    <t>Dual Analog kit for AC85 Autopilot Computer Cabinet. Kit contains 2x AD80 PCBs.</t>
  </si>
  <si>
    <t>000-11072-001</t>
  </si>
  <si>
    <t>AC85 Dual Solenoid Drive Kit</t>
  </si>
  <si>
    <t>Dual Solenoid Drive kit for mounting in AC85 Autopilot Computer cabinet. Comes with 2x SD80 PCBs and 2x RF45X Rudder Feedback Units.</t>
  </si>
  <si>
    <t>000-10568-001</t>
  </si>
  <si>
    <t>Accessory plug assembly for DST800</t>
  </si>
  <si>
    <t>000-16240-001</t>
  </si>
  <si>
    <t>Active Imaging™ HD 3-In1 Fish Reveal (Dual) Transducers</t>
  </si>
  <si>
    <t>Active Imaging™ HD Thru-Hull Fish Reveal (Dual) Transducers. Directly compatible with Lowrance HDS® PRO and Simrad NSSevo4. For SideScan FishReveal, an S3100 or S3100H is required. With a S3100 or S3100H module compatible with: Lowrance HDS® LIVE, HDS Carbon, and Elite FS™. Simrad® NSSevo3(S), NSOevo3(S), and NSX</t>
  </si>
  <si>
    <t>000-16239-001</t>
  </si>
  <si>
    <t>Active Imaging™ HD 3-In1 Fish Reveal.Thru-Hull (Single) Transducer</t>
  </si>
  <si>
    <t>Active Imaging™ HD Thru-Hull (Single) Transducer. Direct connection to HDS® PRO and Simrad NSSevo4. For SideScan FishReveal, an S3100 or S3100H is required.  Lowrance HDS® LIVE, HDS Carbon, and Elite FS™. Simrad® NSSevo3(S), NSOevo3(S), and NSX require an S3100 or S3100H</t>
  </si>
  <si>
    <t>000-16242-001</t>
  </si>
  <si>
    <t>Active Imaging™ HD Thru-Hull (Dual) Transducer PORT</t>
  </si>
  <si>
    <t>000-16241-001</t>
  </si>
  <si>
    <t>Active Imaging™ HD Thru-Hull (Dual) Transducer STARBOARD</t>
  </si>
  <si>
    <t>000-15813-001</t>
  </si>
  <si>
    <t>ActiveImaging 2-IN-1 Transducer with 83/200 in-hull puck (Depth only) and 9 Pin Y cable.</t>
  </si>
  <si>
    <t>000-15812-001</t>
  </si>
  <si>
    <t>ActiveImaging™ 2-in-1 &amp; 83/200 Skimmer Transducer kit</t>
  </si>
  <si>
    <t>ActiveImaging™ 2-in-1 Transducer with 83/200 Skimmer Transducer and Y-Cable</t>
  </si>
  <si>
    <t>000-14490-001</t>
  </si>
  <si>
    <t>ActiveImaging™ 2-IN-1 Transducer w/ 7.6m (25ft) cable</t>
  </si>
  <si>
    <t>ActiveImaging™ 2-IN-1 Transducer - Provides Active Imaging technology for SideScan and DownScan while leaving you free to select other transducer options for for Traditional/Chirp Sonar. 7.6m (25 ft) cable with 9 pin connector.</t>
  </si>
  <si>
    <t>000-14814-001</t>
  </si>
  <si>
    <t>ActiveImaging™ 3-IN-1 Transducer w/ 1.8m (6ft) cable</t>
  </si>
  <si>
    <t>ActiveImaging™ 3-IN-1 combines the new Active Imaging sonar with traditional Medium/High CHIRP sonar for easy single transducer installation. 1.8m (6ft) cable with 9 pin connector.</t>
  </si>
  <si>
    <t>000-14489-001</t>
  </si>
  <si>
    <t>ActiveImaging™ 3-IN-1 Transducer w/ 7.6m (25ft) cable</t>
  </si>
  <si>
    <t>ActiveImaging™ 3-IN-1 combines the new Active Imaging sonar with traditional Medium/High CHIRP sonar for easy single transducer installation. 7.6m (25ft) cable with 9 pin connector.</t>
  </si>
  <si>
    <t>000-16063-001</t>
  </si>
  <si>
    <t>ActiveImaging™ HD  2-in-1 Transducer.</t>
  </si>
  <si>
    <t>ActiveImaging™ HD  2-in-1 Transducer. Provides ActiveImaging HD technology for SideScan and DownScan while leaving you free to select other transducer options for Traditional/Chirp Sonar. 7.6m (25 ft) cable with 9-pin connector.
Compatibility: Direct connect to Simrad NSS4, Lowrance HDS PRO. For Lowrance HDS Live, Carbon, Elite FS, and Simrad NSS4,  NSS evo3(S) / NSOevo3(S) displays, an S3100 sonar module is required.</t>
  </si>
  <si>
    <t>000-16061-001</t>
  </si>
  <si>
    <t>ActiveImaging™ HD 3-in-1 (HW) - SideScan Fish Reveal</t>
  </si>
  <si>
    <t>ActiveImaging™ HD 3-in-1 (High/Wide)– SideScan Fish Reveal. Delivers the highest-definition views of CHIRP, SideScan™, and DownScan Imaging™ in one transducer + SideScan Fish Reveal when connected to an S3100 sonar module.</t>
  </si>
  <si>
    <t>000-16060-001</t>
  </si>
  <si>
    <t>ActiveImaging™ HD 3-in-1 (M/H) - SideScan Fish Reveal</t>
  </si>
  <si>
    <t>ActiveImaging™ HD 3-in-1 (Medium/High)– SideScan Fish Reveal. Delivers the highest-definition views of CHIRP, SideScan™, and DownScan Imaging™ in one transducer + SideScan Fish Reveal when connected to an S3100 sonar module.</t>
  </si>
  <si>
    <t>000-16062-001</t>
  </si>
  <si>
    <t>ActiveImaging™ HD 3-in-1 Transducer</t>
  </si>
  <si>
    <t>ActiveImaging™ HD 3-IN-1 delivers the highest-definition views of CHIRP, SideScan™, and DownScan Imaging™ in one transducer. Comes with a 7.6m (25ft) cable with a 9-pin connector.
Compatibility: Direct connect to Simrad NSS4, Lowrance HDS PRO, or to an S3100 module. For Lowrance HDS Live, Carbon, Elite FS, and Simrad NSS evo3(S) / NSOevo3(S) displays, an S3100 sonar module is required.</t>
  </si>
  <si>
    <t>000-16095-001</t>
  </si>
  <si>
    <t>ActiveImaging™ HD Flush Mount Bracket</t>
  </si>
  <si>
    <t>Stainless Steel Skimmer Flush Mount Bracket for Active Imaging HD Transducers</t>
  </si>
  <si>
    <t>000-16094-001</t>
  </si>
  <si>
    <t>ActiveImaging™ HD Transom Mount</t>
  </si>
  <si>
    <t>Stainless Steel Transom Mount Bracket for Active Imaging HD Transducers</t>
  </si>
  <si>
    <t>000-16171-001</t>
  </si>
  <si>
    <t>ActiveTarget2 Transducer 3 m (10 ft) cable</t>
  </si>
  <si>
    <t>ActiveTargert2 Transducer with 3 m (10 ft) cable</t>
  </si>
  <si>
    <t>000-15773-001</t>
  </si>
  <si>
    <t>ActiveTarget™ Transom Mount Kit (Optional)</t>
  </si>
  <si>
    <t>ActiveTarget Transom Mount Kit (Not included in the ActiveTarget Kit)</t>
  </si>
  <si>
    <t>000-15959-001</t>
  </si>
  <si>
    <t>ActiveTarget™2 Module +Transducer + Mounts</t>
  </si>
  <si>
    <t>ActiveTarget™2 kit Includes Module,Transducer with 7.62 m (25 ft) cable, and Mounts</t>
  </si>
  <si>
    <t>000-15961-001</t>
  </si>
  <si>
    <t>ActiveTarget™2 Module Only</t>
  </si>
  <si>
    <t>ActiveTarget™2 Module Only - Replacement part</t>
  </si>
  <si>
    <t>000-15962-001</t>
  </si>
  <si>
    <t>ActiveTarget™2 Transducer Only</t>
  </si>
  <si>
    <t>ActiveTarget™2 Transducer only with 7.62 m (25 ft) cable</t>
  </si>
  <si>
    <t>000-16054-001</t>
  </si>
  <si>
    <t>ActiveTarget™2 Trolling Motor Shaft Mount</t>
  </si>
  <si>
    <t>000-10191-001</t>
  </si>
  <si>
    <t>AD80 Analog Drive Module</t>
  </si>
  <si>
    <t>AD80 Analog Drive Module for analog signal control of rudder or a thruster using analog voltage or low level current.</t>
  </si>
  <si>
    <t>000-10586-001</t>
  </si>
  <si>
    <t>AD80 Analog Drive PCB</t>
  </si>
  <si>
    <t>AD80 Analog Drive PCB for rudder/thruster, to be mounted in AC85 Autopilot Computer cabinet.</t>
  </si>
  <si>
    <t>000-11740-001</t>
  </si>
  <si>
    <t>Airmar 110WX/120WX Cable Only 6 m (19.6 ft)</t>
  </si>
  <si>
    <t>Airmar 110WX/ 120WX Cable 6 m (19.6 ft) (NMEA 2000 to Device cable)</t>
  </si>
  <si>
    <t>Instruments</t>
  </si>
  <si>
    <t>000-16154-001</t>
  </si>
  <si>
    <t>Airmar® 110WX WeatherStation®</t>
  </si>
  <si>
    <t>Airmar® 110WX WeatherStation® Sensor Only</t>
  </si>
  <si>
    <t>AIS</t>
  </si>
  <si>
    <t>000-16280-001</t>
  </si>
  <si>
    <t>AIS V5043 Class A Transceiver</t>
  </si>
  <si>
    <t>V5043 Class A AIS System - IMO Compliant AIS system.Includes GPS antenna, junction box and pilot plug.</t>
  </si>
  <si>
    <t>000-10337-001</t>
  </si>
  <si>
    <t>ALPHA EXPANSION KIT (include internal wiring for two aditional scanner)</t>
  </si>
  <si>
    <t>ALPHA EXPANSION KIT(includes internal wiring for two additional scanners)</t>
  </si>
  <si>
    <t>000-10690-001</t>
  </si>
  <si>
    <t>ALPHA EXPANSION PCB</t>
  </si>
  <si>
    <t>000-10691-001</t>
  </si>
  <si>
    <t>ALPHA PCB ASSY</t>
  </si>
  <si>
    <t>000-10688-001</t>
  </si>
  <si>
    <t>ANTARES ASSY</t>
  </si>
  <si>
    <t>000-13289-001</t>
  </si>
  <si>
    <t>AP44 Autopilot Controller</t>
  </si>
  <si>
    <t>AP44 Autopilot Controller - Compact and easy to use, the AP44 is your main control panel for the Autopilot. Rotary dial and key function buttons gives you what you need to steer the vessel in a compact unit.</t>
  </si>
  <si>
    <t>000-13562-002</t>
  </si>
  <si>
    <t>AP44H-VRF PACK MK2 (HIGH CAPACITY)</t>
  </si>
  <si>
    <t>AP44 VRF high capacity pack MKII. Comprising of AP44 controller, Precision-9 compass,PUMP-3 hydraulic pump (MKII) and NAC-3 autopilot computer</t>
  </si>
  <si>
    <t>000-13291-002</t>
  </si>
  <si>
    <t>AP44M-VRF PACK MK2 (MED CAPACITY)</t>
  </si>
  <si>
    <t>AP44 VRF medium capacity pack MKII. Comprising of AP44 controller, Precision 9 compass, PUMP-2 hydraulic pump (MKII) and NAC-2 autopilot computer.</t>
  </si>
  <si>
    <t>000-13894-001</t>
  </si>
  <si>
    <t>AP48 Autopilot Controller</t>
  </si>
  <si>
    <t>AP48 Autopilot Controller - A premium dedicated Control Unit for Simrad Autopilot Systems, with a large rotary dial, dedicated keys for 1° and 10° instant course changes as well as Standby/AUTO, Mode, Power and Menu buttons.</t>
  </si>
  <si>
    <t>000-15039-001</t>
  </si>
  <si>
    <t>AP70MK2 Autopilot Basic Pack</t>
  </si>
  <si>
    <t>AP70MK2 Professional Autopilot basic pack. Kit contains AP70 MK2 controller, AC70 computer and RF300 rudder feedback. For reversible hydraulic pumps or non-isolated solenoid valves.</t>
  </si>
  <si>
    <t>000-14958-001</t>
  </si>
  <si>
    <t>AP70MK2 Autopilot Controller</t>
  </si>
  <si>
    <t>AP70MK2 Professional Autopilot Controller. Designed to meet the needs of mariners aboard a variety of professional vessels. With both non-SOLAS and SOLAS system configurations available, it delivers professional autopilot performance to everyone.</t>
  </si>
  <si>
    <t>000-10590-001</t>
  </si>
  <si>
    <t>AP70MK2 Bracket Mount Kit</t>
  </si>
  <si>
    <t>AP70MK2 Bracket Mount Kit. Also for AP70/AP80/MX610/MX612/GN70.</t>
  </si>
  <si>
    <t>000-15042-001</t>
  </si>
  <si>
    <t>AP70MK2 IMO Analog Pack</t>
  </si>
  <si>
    <t>AP70MK2 Analog Pack. IMO Approved. Includes AP70MK2 controller and AC80A Computer. For analog control of rudder or thruster. ±10V, 4-20mA and more.</t>
  </si>
  <si>
    <t>000-15040-001</t>
  </si>
  <si>
    <t>AP70MK2 IMO Solenoid Pack</t>
  </si>
  <si>
    <t>AP70MK2 Solenoid pack. IMO Approved. Kit contains AP70MK2 controller, AC80S Computer and RF45X rudder feedback. For galvanic isolated solenoid valve control. Load range 10mA to 10A. More configurations available.</t>
  </si>
  <si>
    <t>000-15041-001</t>
  </si>
  <si>
    <t>AP70MK2 IMO Start Kit</t>
  </si>
  <si>
    <t>AP70MK2 Large Autopilot System start kit. Comes with AP70MK2 Controller, AC85 Cabinet and SI80 PCB. Add up to 3x AD80/SD80 PCBs as required for installation on the vessel. Add another AC85 cabinet for up to 6 computer boards in the system.</t>
  </si>
  <si>
    <t>000-10596-001</t>
  </si>
  <si>
    <t>AP70MK2 Suncover</t>
  </si>
  <si>
    <t>Suncover / protective cover for AP70mk2. Also fits AP80, MX610 and MX612.</t>
  </si>
  <si>
    <t>000-16447-001</t>
  </si>
  <si>
    <t>AR91 SINGLE SCALE REPEATER</t>
  </si>
  <si>
    <t>AR91 Bearing Repeater displays vessel heading on an illuminated analog dial with 1° markings, usable with an attached azimuth circle to take bearings on celestial bodies and surface targets.</t>
  </si>
  <si>
    <t>000-10332-001</t>
  </si>
  <si>
    <t>ARGUS 15m Prewired up-mast cable kit</t>
  </si>
  <si>
    <t>000-10333-001</t>
  </si>
  <si>
    <t>ARGUS 30m mast cable kit</t>
  </si>
  <si>
    <t>ARGUS 30m Prewired up-mast cable kit</t>
  </si>
  <si>
    <t>000-10558-001</t>
  </si>
  <si>
    <t>ARGUS 6 m Prewired coaxial Interswitch Cable</t>
  </si>
  <si>
    <t>000-10334-001</t>
  </si>
  <si>
    <t>ARGUS 60m Prewired up-mast cable kit</t>
  </si>
  <si>
    <t>000-11855-001</t>
  </si>
  <si>
    <t>ARGUS Multi-Functional Keyboard, Serial</t>
  </si>
  <si>
    <t>Multi-Functional Keyboard, Serial, for ARGUS. Trackball and dedicated keyboard for radar controls.</t>
  </si>
  <si>
    <t>000-15944-001</t>
  </si>
  <si>
    <t>Autopilot fitting adaptor kit. 3 x ORB-5 to ¼" NPT adaptors</t>
  </si>
  <si>
    <t>Autopilot fitting adaptor kit. Contains 3 x ORB-5 to ¼" NPT adaptors</t>
  </si>
  <si>
    <t>000-15597-002</t>
  </si>
  <si>
    <t>AUTOPILOT GATEWAY FOR VOLVO</t>
  </si>
  <si>
    <t>Required for connecting Simrad NAC-D Autopilot Computer to Volvo EVC and IPS drives.
Compatible with EV2
Replaces 000-15597-001</t>
  </si>
  <si>
    <t>000-15598-001</t>
  </si>
  <si>
    <t>AUTOPILOT GATEWAY FOR YAMAHA</t>
  </si>
  <si>
    <t>000-15942-001</t>
  </si>
  <si>
    <t>Autopilot pump fitting kit for ORB steering system</t>
  </si>
  <si>
    <t>Autopilot ORB hose fitting kit for MKII Pumps 1, 2, 3, 4 &amp;5</t>
  </si>
  <si>
    <t>000-15949-001</t>
  </si>
  <si>
    <t>Autopilot pump fitting kit for ORB steering system with steady steer</t>
  </si>
  <si>
    <t>ORB hose fitting kit for MKII Pumps 1, 2, 3, 4 &amp;5, including SteadySteer</t>
  </si>
  <si>
    <t>000-15943-001</t>
  </si>
  <si>
    <t>Autopilot Pump MKII fitting kit for Verado systems</t>
  </si>
  <si>
    <t>Verado autopilot fitting kit for MKII Pumps 1, 2, 3, 4 &amp;5</t>
  </si>
  <si>
    <t>000-15950-001</t>
  </si>
  <si>
    <t>Autopilot Pump MKII fitting kit for Verado systems. Includes SteadySteer</t>
  </si>
  <si>
    <t>Autopilot fitting kit for MKII Pumps 2, 3, 4 &amp;5 for use with Verado systems. Includes SteadySteer</t>
  </si>
  <si>
    <t>000-13703-001</t>
  </si>
  <si>
    <t>Auto-Stby Button - Metal</t>
  </si>
  <si>
    <t>Auto-Stby Button - Metal. For a physical Auto/Stby button in systems with NAC-1 and NAC-2 Autopilot Computers.</t>
  </si>
  <si>
    <t>27102888</t>
  </si>
  <si>
    <t>Azimuth Circle for AR81 &amp; AR83</t>
  </si>
  <si>
    <t>Azimuth Circle - The Azimuth Circle is used to take bearings using known position celestial bodies and surface targets, to calculate the gyro error onboard. Includes padded storage box.</t>
  </si>
  <si>
    <t>000-14540-001</t>
  </si>
  <si>
    <t>B&amp;G HALO20 Radar</t>
  </si>
  <si>
    <t>HALO20 Radar - A cost-effective compact 20'' Radar dome. 24nm range and 24RPM. The perfect radar solution for budget-conscious sailers with smaller vessels.</t>
  </si>
  <si>
    <t>000-14539-001</t>
  </si>
  <si>
    <t>B&amp;G HALO20+ Radar</t>
  </si>
  <si>
    <t>HALO20+ Radar - A compact 20'' powerful 25W Solid-State Radar, delivering 60RPM at short range and up to 36nm range. Identify hazards in an instant with VelocityTrack™ Doppler technology and can run dual scale to identify hazards long and far.</t>
  </si>
  <si>
    <t>000-14538-001</t>
  </si>
  <si>
    <t>B&amp;G HALO24 Radar</t>
  </si>
  <si>
    <t>HALO24 Radar - A 24'' powerful 25W Solid-State Radar, delivering 60RPM at short range and up to 48nm range. Identify hazards in an instant with VelocityTrack™ Doppler technology and can run dual scale to identify hazards long and far.</t>
  </si>
  <si>
    <t>000-11549-002</t>
  </si>
  <si>
    <t>B&amp;G Hercules® Sailing Processor Base Pack</t>
  </si>
  <si>
    <t>B&amp;G Hercules® Sailing Processor Base Pack. Comes with Hercules® Sailing Processor, H5000 Graphic 5 inch colour display and Micro_C backbone kit.</t>
  </si>
  <si>
    <t>000-15635-001</t>
  </si>
  <si>
    <t>B&amp;G Magnetic Suncover for 16'' Monitor</t>
  </si>
  <si>
    <t>000-15636-001</t>
  </si>
  <si>
    <t>B&amp;G Magnetic Suncover for 19'' Monitor</t>
  </si>
  <si>
    <t>000-15894-001</t>
  </si>
  <si>
    <t>B&amp;G Nemesis™ 12 Mast Bracket</t>
  </si>
  <si>
    <t>000-15869-001</t>
  </si>
  <si>
    <t>B&amp;G Nemesis™ 12 Suncover</t>
  </si>
  <si>
    <t>B&amp;G Nemesis™ 12 Spare Suncover</t>
  </si>
  <si>
    <t>000-15893-001</t>
  </si>
  <si>
    <t>B&amp;G Nemesis™ 9 Mast Bracket</t>
  </si>
  <si>
    <t>000-15868-001</t>
  </si>
  <si>
    <t>B&amp;G Nemesis™ 9 Suncover</t>
  </si>
  <si>
    <t>B&amp;G Nemesis™ 9 Spare Suncover</t>
  </si>
  <si>
    <t>000-15740-001</t>
  </si>
  <si>
    <t>B&amp;G Nemesis™ Hub Power/Ethernet Interconnect Cable</t>
  </si>
  <si>
    <t>Nemesis™ Power &amp; Ethernet Hub Interconnect cable. 60cm (2 ft). One required per display to be connected to the Hub.</t>
  </si>
  <si>
    <t>000-15821-001</t>
  </si>
  <si>
    <t>B&amp;G Zeus S 12 Suncover</t>
  </si>
  <si>
    <t>000-15819-001</t>
  </si>
  <si>
    <t>B&amp;G Zeus S 7 Suncover</t>
  </si>
  <si>
    <t>000-15820-001</t>
  </si>
  <si>
    <t>B&amp;G Zeus S 9 Suncover</t>
  </si>
  <si>
    <t>000-13744-001</t>
  </si>
  <si>
    <t>B&amp;G Zeus³ 7'' Sun cover</t>
  </si>
  <si>
    <t>000-13746-001</t>
  </si>
  <si>
    <t>B&amp;G Zeus³/³S 12'' Sun cover</t>
  </si>
  <si>
    <t>000-13747-001</t>
  </si>
  <si>
    <t>B&amp;G Zeus³/³S 16'' Sun cover</t>
  </si>
  <si>
    <t>000-13745-001</t>
  </si>
  <si>
    <t>B&amp;G Zeus³/³S 9'' Sun cover</t>
  </si>
  <si>
    <t>Navigation Systems</t>
  </si>
  <si>
    <t>000-15412-002</t>
  </si>
  <si>
    <t>B&amp;G ZEUS3S 12 MFD,WORLD BASEMAP</t>
  </si>
  <si>
    <t>B&amp;G Zeus³S-12 is an easy-to-use chartplotter navigation system for blue water cruisers and regatta racers, incorporating a 12-inch touchscreen display, high-performance electronics, and a wide range of functionality designed specifically for sailors. World basemap charts</t>
  </si>
  <si>
    <t>Network Sensors</t>
  </si>
  <si>
    <t>000-11571-002</t>
  </si>
  <si>
    <t>B&amp;G ZG100 GPS Antenna - Boatbuilder 6-pack</t>
  </si>
  <si>
    <t>The ZG100 Antenna provides high accuracy position at a 10Hz update rate. Built in rate compass is perfect for for providing heading data for Radar Chart Overlay and for orienting charts in Head Up Mode. - Boatbuilder 6-pack.</t>
  </si>
  <si>
    <t>000-11048-002</t>
  </si>
  <si>
    <t>B&amp;G ZG100 GPS Antenna with Integrated Compass.</t>
  </si>
  <si>
    <t>The ZG100 GPS Antenna with Integrated Compass sensor providing Heading, Heel and Trim.</t>
  </si>
  <si>
    <t>000-15470-001</t>
  </si>
  <si>
    <t>B744VC ACTIVE INSERT - REPLACEMENT</t>
  </si>
  <si>
    <t>27102052</t>
  </si>
  <si>
    <t>BB Repeater Holder for AR81 &amp; AR83</t>
  </si>
  <si>
    <t>BB Repeater Holder - Bridge wall mounted, gimballed holder for indoor mounting of bearing repeater. Keeps the repeater level during rough seas. Includes On/Off switch and built in light dimmer.</t>
  </si>
  <si>
    <t>000-16470-001</t>
  </si>
  <si>
    <t>BB REPEATER HOLDER FOR AR81,AR91,AR83</t>
  </si>
  <si>
    <t>BB Repeater Holder for AR81, AR91, AR83 - Bridge wall mounted, gimballed holder for indoor mounting of bearing repeater. Keeps the repeater level during rough seas. Includes On/Off switch and built-in light dimmer.</t>
  </si>
  <si>
    <t>27102078</t>
  </si>
  <si>
    <t>BH Repeater Stand for AR81 &amp; AR83</t>
  </si>
  <si>
    <t>BH Repeater Stand - Binnacle stand for outdoor mounting of bearing repeater. Gimballed for keeping it level at sea. Includes weather cover.</t>
  </si>
  <si>
    <t>000-13702-001</t>
  </si>
  <si>
    <t>Bracket NSX 3009, NSS7evo3, Zeus3-7, GO9 and Vulcan 9</t>
  </si>
  <si>
    <t>Gimbal mounting bracket for Simrad NSX 3009,  GO9, NSS7 evo3,, and B&amp;G Vulcan9, Zeus3 7 (Plastic)</t>
  </si>
  <si>
    <t>Solutions</t>
  </si>
  <si>
    <t>000-10175-001</t>
  </si>
  <si>
    <t>BRPC Radar SDK - Technical Support Block</t>
  </si>
  <si>
    <t>BRPC Radar SDK Technical Support Block - Technical Support with Navico</t>
  </si>
  <si>
    <t>000-10173-001</t>
  </si>
  <si>
    <t>BRPC Radar SDK - Unlock Key LL1</t>
  </si>
  <si>
    <t>BRPC Radar SDK Unlock Key LL1 - Basic level unlock for SDK integration of a Simrad Radar into your special applications program.</t>
  </si>
  <si>
    <t>000-10174-001</t>
  </si>
  <si>
    <t>BRPC Radar SDK - Unlock Key LL2</t>
  </si>
  <si>
    <t>BRPC Radar SDK Unlock Key LL2 - Highest level unlock for SDK integration of a Simrad Radar into your special applications program.</t>
  </si>
  <si>
    <t>Hook2</t>
  </si>
  <si>
    <t>000-14027-001</t>
  </si>
  <si>
    <t>Bullet Skimmer Transducer</t>
  </si>
  <si>
    <t>Bullet Skimmer Transducer for Hook2-4X, with built in power cable.</t>
  </si>
  <si>
    <t>Eagle</t>
  </si>
  <si>
    <t>000-16367-001</t>
  </si>
  <si>
    <t>BULLET SKIMMER XDCR EAGLE</t>
  </si>
  <si>
    <t>Eagle 4X Bullet Skimmer transducer / power cable</t>
  </si>
  <si>
    <t>000-14192-001</t>
  </si>
  <si>
    <t>Bullet/SplitShot Transom Bracket</t>
  </si>
  <si>
    <t>000-0119-10</t>
  </si>
  <si>
    <t>CA-8</t>
  </si>
  <si>
    <t>CA-8 - Cigarette plug power cable for all 5" and above Lowrance products except X-96</t>
  </si>
  <si>
    <t>000-15834-001</t>
  </si>
  <si>
    <t>Cable Harness for Double System Control Panel</t>
  </si>
  <si>
    <t>Cable Harness for Double System Control Panel. Plugs into main control panel at external mount area, and run to suitable place for a junction box. Use ships cable according to manual and terminate at TB in main unit.</t>
  </si>
  <si>
    <t>Network</t>
  </si>
  <si>
    <t>000-16448-001</t>
  </si>
  <si>
    <t>Cable M12M-5PF ETH ADPTR</t>
  </si>
  <si>
    <t>Ethernet Adapter cable Green M12M 8-pin - Yellow 5 pin female 0.37 m (1.2 ft)</t>
  </si>
  <si>
    <t>000-12307-001</t>
  </si>
  <si>
    <t>CABLE, POWER SONICHUB2</t>
  </si>
  <si>
    <t>000-10904-001</t>
  </si>
  <si>
    <t>CABLE,BB RADAR,EXT EXTENSION,2M</t>
  </si>
  <si>
    <t>000-10905-001</t>
  </si>
  <si>
    <t>CABLE,BB RADAR,EXTERNAL,5M</t>
  </si>
  <si>
    <t>000-16514-001</t>
  </si>
  <si>
    <t>CAP-2 MFD CONNECTOR CAP SET</t>
  </si>
  <si>
    <t>CAP-2 MFD CONNECTOR CAP SET. CAP-1 Pack + USB A + USB C + HDM</t>
  </si>
  <si>
    <t>CB1</t>
  </si>
  <si>
    <t>Cantilever bracket 135-240 mm (5.31-9.44 in)</t>
  </si>
  <si>
    <t>Compass &amp; Gyro</t>
  </si>
  <si>
    <t>20106688</t>
  </si>
  <si>
    <t>CD100A Course Detector</t>
  </si>
  <si>
    <t>CD100A Course Detector with 7m cable. Magnetic course detector with tripod holder for overhead and for conventional magnetic compass.</t>
  </si>
  <si>
    <t>000-10193-001</t>
  </si>
  <si>
    <t>CDI80 Course Detector Interface</t>
  </si>
  <si>
    <t>CDI80 Course Detector Interface is designed for reading heading from a magnetic compass by use of a Simrad CD100A Course Detector, and transmit it on the autopilot NMEA2000 bus.</t>
  </si>
  <si>
    <t>Charts</t>
  </si>
  <si>
    <t>M-AS-T-216-R-MS</t>
  </si>
  <si>
    <t>CHINA, TAIWAN AND VIETNAM</t>
  </si>
  <si>
    <t>M-AS-Y216-MS</t>
  </si>
  <si>
    <t>C-MAP DISCOVER CHINA, TAIWAN AND VIETNAM</t>
  </si>
  <si>
    <t>DISCOVER-CHINA, TAIWAN AND VIETNAM</t>
  </si>
  <si>
    <t>M-IN-Y221-MS</t>
  </si>
  <si>
    <t>C-MAP DISCOVER INDIA, SRI LANKA, MALDIVES</t>
  </si>
  <si>
    <t>DISCOVER-INDIA, SRI LANKA, MALDIVES</t>
  </si>
  <si>
    <t>M-IN-Y400-MS</t>
  </si>
  <si>
    <t>C-MAP DISCOVER INDONESIA, MALAYSIA</t>
  </si>
  <si>
    <t>DISCOVER-INDONESIA, MALAYSIA</t>
  </si>
  <si>
    <t>M-AN-Y224-MS</t>
  </si>
  <si>
    <t>C-MAP DISCOVER JAPAN, AND NORTH AND SOUTH KOREA</t>
  </si>
  <si>
    <t>DISCOVER-JAPAN,AND NORTH AND SOUTH KOREA</t>
  </si>
  <si>
    <t>M-PC-Y051-MS</t>
  </si>
  <si>
    <t>C-MAP DISCOVER PACIFIC TERRITORIES</t>
  </si>
  <si>
    <t>DISCOVER: M-PC-Y051 : DISCOVER PACIFIC TERRITORIES CONTINENTAL</t>
  </si>
  <si>
    <t>M-AS-Y250-MS</t>
  </si>
  <si>
    <t>C-MAP DISCOVER PHILIPPINES, PALAU. GUAM</t>
  </si>
  <si>
    <t>DISCOVER-PHILIPPINES, PALAU. GUAM</t>
  </si>
  <si>
    <t>M-AS-Y226-MS</t>
  </si>
  <si>
    <t>C-MAP REVEAL CHINA, TAIWAN AND VIETNAM</t>
  </si>
  <si>
    <t>REVEAL-CHINA, TAIWAN AND VIETNAM</t>
  </si>
  <si>
    <t>M-IN-Y410-MS</t>
  </si>
  <si>
    <t>C-MAP REVEAL INDONESIA, MALAYSIA</t>
  </si>
  <si>
    <t>REVEAL-INDONESIA, MALAYSIA</t>
  </si>
  <si>
    <t>M-AS-Y260-MS</t>
  </si>
  <si>
    <t>C-MAP REVEAL PHILIPPINES, PALAU. GUAM</t>
  </si>
  <si>
    <t>REVEAL-PHILIPPINES, PALAU. GUAM</t>
  </si>
  <si>
    <t>000-15777-001</t>
  </si>
  <si>
    <t>CNR CLIP KIT: ELITE-7, 9, 10, and 12 FS</t>
  </si>
  <si>
    <t>Corner Clip ELITE-7, 9, 10, and 12 FS</t>
  </si>
  <si>
    <t>44142354</t>
  </si>
  <si>
    <t>Compact MK1 - ICIF PCB</t>
  </si>
  <si>
    <t>GC80 / GC85 Compact Controller MK1 -ICIF PCB</t>
  </si>
  <si>
    <t>44142388</t>
  </si>
  <si>
    <t>Compact MK1 - ITERM PCB</t>
  </si>
  <si>
    <t>GC80 / GC85 Compact Controller MK1 - ITERM PCB</t>
  </si>
  <si>
    <t>000-15921-001</t>
  </si>
  <si>
    <t>Compact MK2 - ICNT PCB</t>
  </si>
  <si>
    <t>GC80 / GC85 Compact Controller MK2 - ICNT PCB</t>
  </si>
  <si>
    <t>000-16143-001</t>
  </si>
  <si>
    <t>COMPASS,HS75 GNSS (2023)</t>
  </si>
  <si>
    <t>HS75 GPS Compass - Ideal heading source for non-SOLAS professional vessels like Search and Rescue, Patrol, Fishing, Workboats and more. Provides solid 0.75° RMS heading accuracy in a compact unit. Supports GPS, GLONASS, Galileo, BeiDou, QZSS for increased accuracy across the world.</t>
  </si>
  <si>
    <t>000-12894-001</t>
  </si>
  <si>
    <t>CONN PACK,H5000 CPU</t>
  </si>
  <si>
    <t>000-12898-001</t>
  </si>
  <si>
    <t>CONN PACK,H5000 EXPANSION MODULES</t>
  </si>
  <si>
    <t>000-12895-001</t>
  </si>
  <si>
    <t>CONNECTOR PACK,H5000 PILOT CPU</t>
  </si>
  <si>
    <t>CONNECTOR PACK (Green),H5000 PILOT CPU</t>
  </si>
  <si>
    <t>000-10330-001</t>
  </si>
  <si>
    <t>CORE UNIT FOR ARGUS IMO/SOLAS SYSTEMS</t>
  </si>
  <si>
    <t>incl. dual receiver interswitch</t>
  </si>
  <si>
    <t>000-10883-001</t>
  </si>
  <si>
    <t>CORE UNIT FOR ARGUS SPECIAL APPLICATION SYSTEMS</t>
  </si>
  <si>
    <t>Argus Special Application Core Unit.</t>
  </si>
  <si>
    <t>000-15832-001</t>
  </si>
  <si>
    <t>Cover panel for Double Control Panel</t>
  </si>
  <si>
    <t>Cover panel to cover the hole left when external mounting of the Double System control panel. Use 000-15833-001 Frame + 000-15834-001 Cable Harness to mount at external location.</t>
  </si>
  <si>
    <t>000-15653-001</t>
  </si>
  <si>
    <t>CR100 Handset Cradle for HS100/H100</t>
  </si>
  <si>
    <t>CR100 Mounting cradle for HS100 &amp; H100 VHF radio handsets</t>
  </si>
  <si>
    <t>000-15053-001</t>
  </si>
  <si>
    <t>Cruise / Hook2 83/200 Skimmer Transducer</t>
  </si>
  <si>
    <t>83/200 Transom mounted Bullet Transducer for Hook2 and Cruise.</t>
  </si>
  <si>
    <t>000-15070-001</t>
  </si>
  <si>
    <t>Cruise-5, Dash kit</t>
  </si>
  <si>
    <t>Cruise-5, Dash mount kit, includes template and gasket, and screws.</t>
  </si>
  <si>
    <t>000-15071-001</t>
  </si>
  <si>
    <t>Cruise-7,Dash kit</t>
  </si>
  <si>
    <t>Cruise-7,Dash mount kit, includes template and gasket, and screws.</t>
  </si>
  <si>
    <t>000-15072-001</t>
  </si>
  <si>
    <t>Cruise-9,Dash kit</t>
  </si>
  <si>
    <t>Cruise-9, Dash mount kit, includes template and gasket, and screws.</t>
  </si>
  <si>
    <t>000-0124-61</t>
  </si>
  <si>
    <t>CVR HDS-5</t>
  </si>
  <si>
    <t>Protective cover for HDS-5, HDS-5m, HDS-5x</t>
  </si>
  <si>
    <t>000-0124-62</t>
  </si>
  <si>
    <t>CVR HDS-7</t>
  </si>
  <si>
    <t>Protective cover for HDS-7, HDS-7m</t>
  </si>
  <si>
    <t>000-10050-001</t>
  </si>
  <si>
    <t>CVR-16</t>
  </si>
  <si>
    <t>SUNCOVER: 5" MARK/ELITE/HOOK</t>
  </si>
  <si>
    <t>000-14229-001</t>
  </si>
  <si>
    <t>Dash Mount Kit for GO7 XSR, Vulcan 7R, I3007 &amp; P3007</t>
  </si>
  <si>
    <t>21119896</t>
  </si>
  <si>
    <t>DD15 Direct Drive</t>
  </si>
  <si>
    <t>DD15 Direct Drive unit for sailboats 30’-40’ with electromagnetic clutch, lever with tiller pin and RF300 Rudder feedback. 12 V power supply (NAC-3 / H5000 required)</t>
  </si>
  <si>
    <t>Deckman</t>
  </si>
  <si>
    <t>BGH140001</t>
  </si>
  <si>
    <t>Deckman C-MAP USB</t>
  </si>
  <si>
    <t>SEN-DEPTH-A2</t>
  </si>
  <si>
    <t>Depth Sensor NMEA only</t>
  </si>
  <si>
    <t>305373A1</t>
  </si>
  <si>
    <t>DESK-TOP CABINET FOR 26" MONITOR</t>
  </si>
  <si>
    <t>M-SA-Y038-MS</t>
  </si>
  <si>
    <t>DISCOVER - SOUTH AMERICA &amp; CARIBBEAN</t>
  </si>
  <si>
    <t>DISCOVER:  M-SA-Y038-MS  South America &amp; Caribbean</t>
  </si>
  <si>
    <t>Cartography</t>
  </si>
  <si>
    <t>M-PC-T-211-D-MS</t>
  </si>
  <si>
    <t>DISCOVER X - FRENCH POLYNESIA</t>
  </si>
  <si>
    <t>PC-T-211-D-MS - DISCOVER X French Polynesia</t>
  </si>
  <si>
    <t>M-IN-T-201-D-MS</t>
  </si>
  <si>
    <t>DISCOVER X - INDIA, SRI LANKA, MALDIVES</t>
  </si>
  <si>
    <t>IN-T-201-D-MS - DISCOVER X India, Sri Lanka, Maldives</t>
  </si>
  <si>
    <t>M-AN-T-204-D-MS</t>
  </si>
  <si>
    <t>DISCOVER X - JAPAN, NORTH AND SOUTH KOREA</t>
  </si>
  <si>
    <t>AN-T-204-D-MS - DISCOVER X Japan, North and South Korea</t>
  </si>
  <si>
    <t>M-AN-T-300-D-MS</t>
  </si>
  <si>
    <t>DISCOVER X: HONG KONG TO MACAU</t>
  </si>
  <si>
    <t>M-AN-T-300-D-MS: DISCOVER X Hong Kong to Macau</t>
  </si>
  <si>
    <t>M-AS-T-216-D-MS</t>
  </si>
  <si>
    <t>DISCOVER-X CHINA, TAIWAN AND VIETNAM</t>
  </si>
  <si>
    <t>M-IN-T-400-D-MS</t>
  </si>
  <si>
    <t>DISCOVER-X INDONESIA, MALAYSIA</t>
  </si>
  <si>
    <t>INDONESIA, MALAYSIA</t>
  </si>
  <si>
    <t>M-PC-T-051-D-MS</t>
  </si>
  <si>
    <t>DISCOVER-X PACIFIC TERRITORIES</t>
  </si>
  <si>
    <t>PACIFIC TERRITORIES</t>
  </si>
  <si>
    <t>M-AS-T-250-D-MS</t>
  </si>
  <si>
    <t>DISCOVER-X PHILIPPINES, PALAU,GUAM</t>
  </si>
  <si>
    <t>PHILIPPINES, PALAU,GUAM</t>
  </si>
  <si>
    <t>M-PC-T-102-D-MS</t>
  </si>
  <si>
    <t>DISCOVER-X PNG SOLOMON VANUATU TONGA SAMOA FIJI</t>
  </si>
  <si>
    <t>PNG SOLOMON VANUATU TONGA SAMOA FIJI</t>
  </si>
  <si>
    <t>10395</t>
  </si>
  <si>
    <t>DONGLE SUPERPRO NETWORK</t>
  </si>
  <si>
    <t>000-15932-001</t>
  </si>
  <si>
    <t>Double Controller - ANNM PCB</t>
  </si>
  <si>
    <t>GC80 / GC85 Double System Controller, Spare ANNM PCB. Found in the main Display assembly.</t>
  </si>
  <si>
    <t>000-15931-001</t>
  </si>
  <si>
    <t>Double Controller - Control Panel</t>
  </si>
  <si>
    <t>GC80 / GC85 Double System Controller spare display assembly.</t>
  </si>
  <si>
    <t>000-15930-001</t>
  </si>
  <si>
    <t>Double Controller - DGCIF PCB</t>
  </si>
  <si>
    <t>GC80 / GC85 Double System Controller, Spare DGCIF PCB.</t>
  </si>
  <si>
    <t>000-15929-001</t>
  </si>
  <si>
    <t>Double Controller - DGCT PCB</t>
  </si>
  <si>
    <t>GC80 / GC85 Double System Controller, Spare DGCT PCB</t>
  </si>
  <si>
    <t>44172096</t>
  </si>
  <si>
    <t>Draglink 200-300mm</t>
  </si>
  <si>
    <t>DL2030 Draglink for DD15. Length: 200-300 mm. 7.9” – 11.8”</t>
  </si>
  <si>
    <t>44172088</t>
  </si>
  <si>
    <t>Draglink 300-400mm</t>
  </si>
  <si>
    <t>DL3040 Draglink for DD15. Length: 300-400 mm. 11.8” - 15.7”.</t>
  </si>
  <si>
    <t>44172104</t>
  </si>
  <si>
    <t>Draglink 400-500mm</t>
  </si>
  <si>
    <t>DL4050 Draglink for DD15. Length: 400-500 mm. 15.7” - 19.7”.</t>
  </si>
  <si>
    <t>000-10261-001</t>
  </si>
  <si>
    <t>DSI  TM mount</t>
  </si>
  <si>
    <t>Low profile trolling motor mount for use with DSI Skimmer transducer.  Includes trolling motor snap on mount, stainless steel trolling motor clamp, and 2 zip ties.</t>
  </si>
  <si>
    <t>000-10260-001</t>
  </si>
  <si>
    <t>DSI DownScan Skimmer Transducer</t>
  </si>
  <si>
    <t>Dual frequency DSI DownScan Skimmer® transducer 455/800kHz with built in temp. Includes 20ft cable, mounting bracket and hardware.</t>
  </si>
  <si>
    <t>000-15736-001</t>
  </si>
  <si>
    <t>DST-810 Depth/Speed/Temp Sensor (Bronze)</t>
  </si>
  <si>
    <t>DST-810 Depth/Speed/Temp Sensor. Bronze thru-hull housing</t>
  </si>
  <si>
    <t>000-15735-001</t>
  </si>
  <si>
    <t>DST-810 Depth/Speed/Temp Sensor (Plastic)</t>
  </si>
  <si>
    <t>DST-810 Depth/Speed/Temp Sensor. Plastic thru-hull housing.</t>
  </si>
  <si>
    <t>000-11738-001</t>
  </si>
  <si>
    <t>DT-800 Depth/Temp Sensor (Plastic)</t>
  </si>
  <si>
    <t>DT800 Depth/Temp Sensor. Plastic thru-hull housing.</t>
  </si>
  <si>
    <t>000-13262-001</t>
  </si>
  <si>
    <t>Dual 9-Pin Wiring Block Sonar Adapter</t>
  </si>
  <si>
    <t>Dual 9-Pin Wiring Block Sonar Adapter, to connect a bare-wire transducer to a 9pin sonar module or display.</t>
  </si>
  <si>
    <t>44142487</t>
  </si>
  <si>
    <t>Dual MK1 - DPANEL PCB</t>
  </si>
  <si>
    <t>GC80 / GC85 Dual Controller MK1 - DPANEL PCB, switch PCB located in the Changeover Panel.</t>
  </si>
  <si>
    <t>000-15928-001</t>
  </si>
  <si>
    <t>Dual MK2 - BTERM-A PCB</t>
  </si>
  <si>
    <t>GC80 / GC85 Dual Controller MK2 - BTERM-A PCB</t>
  </si>
  <si>
    <t>000-15920-001</t>
  </si>
  <si>
    <t>Dual MK2 - Changeover Control Panel</t>
  </si>
  <si>
    <t>GC80 / GC85 Dual Controller MK2 - Complete Changeover assembly.</t>
  </si>
  <si>
    <t>000-15927-001</t>
  </si>
  <si>
    <t>Dual MK2 - DTERM-A PCB</t>
  </si>
  <si>
    <t>GC80 / GC85 Dual Controller MK2 - DTERM-A PCB</t>
  </si>
  <si>
    <t>000-15934-001</t>
  </si>
  <si>
    <t>Dual MK2 - PCC PCB</t>
  </si>
  <si>
    <t>GC80 / GC85 Dual Controller MK2 - PCC PCB, located in the Changeover Control panel in Dual MK2 control units.</t>
  </si>
  <si>
    <t>000-12297-001</t>
  </si>
  <si>
    <t>DVI Cable - 3m</t>
  </si>
  <si>
    <t>000-12264-001</t>
  </si>
  <si>
    <t>E0102 Alarm Panel</t>
  </si>
  <si>
    <t>000-16210-001</t>
  </si>
  <si>
    <t>E900 -DUAL INSTALLATION UNLOCK DONGLES</t>
  </si>
  <si>
    <t>000-16209-001</t>
  </si>
  <si>
    <t>E900 -SINGLE INSTALLATION UNLOCK DONGLE</t>
  </si>
  <si>
    <t>000-16273-001</t>
  </si>
  <si>
    <t>EAGLE 4 ASIA PACK</t>
  </si>
  <si>
    <t>Eagle-4x ASIA :  4" IPS Portrait Fish Finder: Bullet transducer. Asian language pack.</t>
  </si>
  <si>
    <t>000-16252-001</t>
  </si>
  <si>
    <t>EAGLE 4" Dash gasket kit</t>
  </si>
  <si>
    <t>000-16248-001</t>
  </si>
  <si>
    <t>EAGLE 4" Sun cover</t>
  </si>
  <si>
    <t>000-16110-001</t>
  </si>
  <si>
    <t>EAGLE 4X SONAR</t>
  </si>
  <si>
    <t>Eagle-4x:  4" IPS Portrait Fish Finder: Bullet transducer</t>
  </si>
  <si>
    <t>000-16112-001</t>
  </si>
  <si>
    <t>EAGLE 5 SplitShot™  ROW</t>
  </si>
  <si>
    <t>Eagle-5 SplitShot™ HD ROW: 5" IPS screen, SplitShot™ HD transducer. Worldwide basemap chart. (Option to upgrade to CMAP® DISCOVER™ charts)</t>
  </si>
  <si>
    <t>000-16253-001</t>
  </si>
  <si>
    <t>EAGLE 5" Dash gasket kit</t>
  </si>
  <si>
    <t>000-16310-001</t>
  </si>
  <si>
    <t>EAGLE 5" ROW 50/200 HDI</t>
  </si>
  <si>
    <t>Eagle-5 50/200 KHz ROW: 5" IPS screen, HDI 50/200 kHz transducer. Worldwide base map chart. (Option to upgrade to CMAP® DISCOVER™ charts)</t>
  </si>
  <si>
    <t>000-16307-001</t>
  </si>
  <si>
    <t>EAGLE 5" ROW 83/200 HDI</t>
  </si>
  <si>
    <t>Eagle-5 83/200 KHz ROW: 5" IPS screen, HDI 83/200 kHz transducer. Worldwide base map chart. (Option to upgrade to CMAP® DISCOVER™ charts)</t>
  </si>
  <si>
    <t>000-16249-001</t>
  </si>
  <si>
    <t>EAGLE 5" Sun cover</t>
  </si>
  <si>
    <t>000-16314-001</t>
  </si>
  <si>
    <t>EAGLE 5, 7, 9 Power cable</t>
  </si>
  <si>
    <t>000-16115-001</t>
  </si>
  <si>
    <t>EAGLE 7 SplitShot™  ROW</t>
  </si>
  <si>
    <t>Eagle-7 SplitShot HD ROW: 7" IPS screen, SplitShot™ HD transducer, Worldwide basemap chart. (Option to upgrade to CMAP® DISCOVER™ charts)</t>
  </si>
  <si>
    <t>000-16121-001</t>
  </si>
  <si>
    <t>EAGLE 7 TripleShot™ ROW</t>
  </si>
  <si>
    <t>Eagle-7 TripleShot™ ROW: 7" IPS screen, TripleShot™ HD transducer, Worldwide basemap chart. (Option to upgrade to CMAP® DISCOVER™ charts)</t>
  </si>
  <si>
    <t>000-16254-001</t>
  </si>
  <si>
    <t>EAGLE 7" Dash gasket kit</t>
  </si>
  <si>
    <t>000-16311-001</t>
  </si>
  <si>
    <t>EAGLE 7" ROW 50/200 HDI</t>
  </si>
  <si>
    <t>Eagle-7 50/200 ROW: 7" IPS screen, 50/200 kHz HDI transducer, Worldwide base map chart. (Option to upgrade to CMAP® DISCOVER™ charts)</t>
  </si>
  <si>
    <t>000-16250-001</t>
  </si>
  <si>
    <t>EAGLE 7" Sun cover</t>
  </si>
  <si>
    <t>000-16313-001</t>
  </si>
  <si>
    <t>EAGLE 7"/ 9" CORNER CLIPS</t>
  </si>
  <si>
    <t>EAGLE 7, 9 corner clips</t>
  </si>
  <si>
    <t>000-16124-001</t>
  </si>
  <si>
    <t>EAGLE 9 50/200 HDI ROW</t>
  </si>
  <si>
    <t>Eagle-9 HDI ROW: 9" IPS screen, 50/200 kHz HDI CHIRP transducer, Worldwide base map chart. (Option to upgrade to CMAP® DISCOVER™ charts).</t>
  </si>
  <si>
    <t>000-16127-001</t>
  </si>
  <si>
    <t>EAGLE 9 TripleShot™  ROW</t>
  </si>
  <si>
    <t>Eagle-9 TripleShot™ ROW: 9" IPS screen, TripleShot™ HD transducer, Worldwide basemap chart. (Option to upgrade to CMAP® DISCOVER™ charts)</t>
  </si>
  <si>
    <t>000-16255-001</t>
  </si>
  <si>
    <t>EAGLE 9" Dash gasket kit</t>
  </si>
  <si>
    <t>000-16251-001</t>
  </si>
  <si>
    <t>EAGLE 9" Sun cover</t>
  </si>
  <si>
    <t>000-16130-001</t>
  </si>
  <si>
    <t>Eagle Eye™ 9 Live ROW</t>
  </si>
  <si>
    <t>Eagle Eye™ 9 Live ROW: 9" IPS screen, Eagle Eye™ transducer, Worldwide basemap chart. (Option to upgrade to CMAP® DISCOVER™ charts)</t>
  </si>
  <si>
    <t>000-16468-001</t>
  </si>
  <si>
    <t>Eagle Eye™ Transducer Pole Mount</t>
  </si>
  <si>
    <t>000-16369-001</t>
  </si>
  <si>
    <t>Eagle Eye™ Transducer Trolling Motor Mount</t>
  </si>
  <si>
    <t>000-16368-001</t>
  </si>
  <si>
    <t>EAGLE LIVE XDCR PACK</t>
  </si>
  <si>
    <t>Lowrance Eagle Eye LIVE Transducer pack: Eagle Eye™ Transducer offers focused forward and down live sonar combined with CHIRP &amp; DownScan in one transducer, exclusively available with Eagle Eye Fishfinders. The Eagle Eye live sonar transducer is also not compatible with other Lowrance Eagle series displays.</t>
  </si>
  <si>
    <t>000-16315-001</t>
  </si>
  <si>
    <t>EAGLE replacement twist locks</t>
  </si>
  <si>
    <t>000-16463-001</t>
  </si>
  <si>
    <t>EAGLE SPLITSHOT HD SKIMMER XDCR</t>
  </si>
  <si>
    <t>000-16284-001</t>
  </si>
  <si>
    <t>EAGLE SplitShot™ HD Transducer</t>
  </si>
  <si>
    <t>EAGLE SplitShot™ HD 8 pin transducer. 6 m (20 ft cable)</t>
  </si>
  <si>
    <t>000-16285-001</t>
  </si>
  <si>
    <t>EAGLE TripleShot™ HD Transducer</t>
  </si>
  <si>
    <t>EAGLE TripleShot™ HD 8-pin transducer. 6 m (20 ft cable)</t>
  </si>
  <si>
    <t>000-12719-001</t>
  </si>
  <si>
    <t>ECDIS900 Backup &amp; Restore Kit for MK5 &amp; MK15</t>
  </si>
  <si>
    <t>000-12561-001</t>
  </si>
  <si>
    <t>ECDIS900 Documentation &amp; Dongle Kit</t>
  </si>
  <si>
    <t>000-14487-001</t>
  </si>
  <si>
    <t>ECDIS900 MK5A Processor Only</t>
  </si>
  <si>
    <t>SIMRAD ECDIS900 MK5A Processor Only</t>
  </si>
  <si>
    <t>000-14230-001</t>
  </si>
  <si>
    <t>Edge Bezel for GO7 XSR, Vulcan 7R, I3007 &amp; P3007</t>
  </si>
  <si>
    <t>000-15936-001</t>
  </si>
  <si>
    <t>EDS-405A 5-Port Managed Ethernet Switch</t>
  </si>
  <si>
    <t>5-Port Managed Ethernet Switch for IEC61162-450 compliant LWE network.</t>
  </si>
  <si>
    <t>000-12601-001</t>
  </si>
  <si>
    <t>Electronic Chart Display and Information System (ECDIS) Train the Trainer (TTT) – At Navico Facility or Remote to Customers</t>
  </si>
  <si>
    <t>Simrad is committed to providing a full ECDIS solution to the commercial market with a comprehensive range of products.  This product certifies the trainee instructors to issue Navico Types Specific ECDIS Training (TST) certificates after completion.  Send any questions to ECDIS@Navico.com</t>
  </si>
  <si>
    <t>Elite FS™</t>
  </si>
  <si>
    <t>000-15689-001</t>
  </si>
  <si>
    <t>ELITE FS 7 with Active Imaging 3-in-1 Transducer (ROW)</t>
  </si>
  <si>
    <t>ELITE FS 7 with Active Imaging 3-in-1 Transducer (ROW)
The new Elite™ Fishing System (FS) gives you access to the full line-up of Lowrance fishfinding tools – including ActiveTarget™ live sonar, Active Imaging™, FishReveal™ and preloaded C-MAP® Contour™ + charts – all at a more affordable price than other fishfinder/chartplotters in its category</t>
  </si>
  <si>
    <t>000-15702-001</t>
  </si>
  <si>
    <t>ELITE FS 7 with No Transducer (ROW)</t>
  </si>
  <si>
    <t>ELITE FS 7 with No Transducer (ROW)
The new Elite™ Fishing System (FS) gives you access to the full line-up of Lowrance fishfinding tools – including ActiveTarget™ live sonar, Active Imaging™, FishReveal™ and preloaded C-MAP® Contour™ + charts – all at a more affordable price than other fishfinder/chartplotters in its category</t>
  </si>
  <si>
    <t>000-15697-001</t>
  </si>
  <si>
    <t>ELITE FS 7 with xSonic HDI M/H 455/800 Transducer (ROW)</t>
  </si>
  <si>
    <t>ELITE FS 7 with xSonic HDI M/H 455/800 Transducer (ROW)
The new Elite™ Fishing System (FS) gives you access to the full line-up of Lowrance fishfinding tools – including ActiveTarget™ live sonar, Active Imaging™, FishReveal™ and preloaded C-MAP® Contour™ + charts – all at a more affordable price than other fishfinder/chartplotters in its category</t>
  </si>
  <si>
    <t>000-15693-001</t>
  </si>
  <si>
    <t>ELITE FS 9 with Active Imaging 3-in-1 Transducer  (ROW)</t>
  </si>
  <si>
    <t>ELITE FS 9 with Active Imaging 3-in-1 Transducer  (ROW)
The new Elite™ Fishing System (FS) gives you access to the full line-up of Lowrance fishfinding tools – including ActiveTarget™ live sonar, Active Imaging™, FishReveal™ and preloaded C-MAP® Contour™ + charts – all at a more affordable price than other fishfinder/chartplotters in its category</t>
  </si>
  <si>
    <t>000-15706-001</t>
  </si>
  <si>
    <t>ELITE FS 9 with No Transducer (ROW)</t>
  </si>
  <si>
    <t>ELITE FS 9 with No Transducer (ROW)
The new Elite™ Fishing System (FS) gives you access to the full line-up of Lowrance fishfinding tools – including ActiveTarget™ live sonar, Active Imaging™, FishReveal™ and preloaded C-MAP® Contour™ + charts – all at a more affordable price than other fishfinder/chartplotters in its category</t>
  </si>
  <si>
    <t>000-16445-001</t>
  </si>
  <si>
    <t>Elite™ FS 10 Flushmount kit</t>
  </si>
  <si>
    <t>000-16437-001</t>
  </si>
  <si>
    <t>Elite™ FS 10 No Transducer (ROW)</t>
  </si>
  <si>
    <t>Elite™ FS 10 No Transducer (ROW):The Elite™ Fishing System (FS) gives you access to the full line-up of Lowrance fishfinding tools – including ActiveTarget™ 2 live sonar, Active Imaging™ and Active Imaging™ HD* and preloaded C-MAP® Discover Onboard charts – to help you make the most of your time on the water.
*Active Imaging HD requires S3100 Module</t>
  </si>
  <si>
    <t>000-16443-001</t>
  </si>
  <si>
    <t>Elite™ FS 10 SunCover</t>
  </si>
  <si>
    <t>Protective suncover for Elite FS 10</t>
  </si>
  <si>
    <t>000-16438-001</t>
  </si>
  <si>
    <t>Elite™ FS 10 with Active Imaging 3-in-1 Transducer (ROW)</t>
  </si>
  <si>
    <t>Elite™ FS 10 with Active Imaging 3-in-1 Transducer (ROW): The Elite™ Fishing System (FS) gives you access to the full line-up of Lowrance fishfinding tools – including ActiveTarget™ 2 live sonar, Active Imaging™ and Active Imaging™ HD* and preloaded C-MAP® Discover Onboard charts – to help you make the most of your time on the water.
*Active Imaging HD requires S3100 Module</t>
  </si>
  <si>
    <t>000-16446-001</t>
  </si>
  <si>
    <t>Elite™ FS 12 Flushmount kit</t>
  </si>
  <si>
    <t>000-16439-001</t>
  </si>
  <si>
    <t>Elite™ FS 12 No Transducer (ROW)</t>
  </si>
  <si>
    <t>Elite™ FS 12 No Transducer (ROW): The Elite™ Fishing System (FS) gives you access to the full line-up of Lowrance fishfinding tools – including ActiveTarget™ 2 live sonar, Active Imaging™ and Active Imaging™ HD* and preloaded C-MAP® Discover Onboard charts – to help you make the most of your time on the water.
*Active Imaging HD requires S3100 Module</t>
  </si>
  <si>
    <t>000-16444-001</t>
  </si>
  <si>
    <t>Elite™ FS 12 Suncover</t>
  </si>
  <si>
    <t>Protective suncover for Elite FS 12</t>
  </si>
  <si>
    <t>000-16440-001</t>
  </si>
  <si>
    <t>Elite™ FS 12 with Active Imaging 3-in-1 Transducer (ROW)</t>
  </si>
  <si>
    <t>Elite™ FS 12 with Active Imaging 3-in-1 Transducer (ROW): The Elite™ Fishing System (FS) gives you access to the full line-up of Lowrance fishfinding tools – including ActiveTarget™ 2 live sonar, Active Imaging™ and Active Imaging™ HD* and preloaded C-MAP® Discover Onboard charts – to help you make the most of your time on the water.
*Active Imaging HD requires S3100 Module</t>
  </si>
  <si>
    <t>000-0106-98</t>
  </si>
  <si>
    <t>Epoxy transducer mounting adhesive (6 PACK)</t>
  </si>
  <si>
    <t>Epoxy transducer mounting adhesive. NOTE: THIS PACK CONTAINS SIX SACHETS AND PRICE IS PER SACHET. Please Multiply price by six.</t>
  </si>
  <si>
    <t>000-16144-001</t>
  </si>
  <si>
    <t>Ethernet Cable 0.6 m (2 ft)</t>
  </si>
  <si>
    <t>Ethernet Cable -Yellow 5-Pin Male-Male - 0.6 m (2 ft)</t>
  </si>
  <si>
    <t>000-0127-51</t>
  </si>
  <si>
    <t>Ethernet Cable 1.8m (6ft)</t>
  </si>
  <si>
    <t>Ethernet Cable -Yellow 5-Pin Male-Male - 1.8 m (6 ft)</t>
  </si>
  <si>
    <t>000-0127-37</t>
  </si>
  <si>
    <t>Ethernet Cable 15.2m (50ft)</t>
  </si>
  <si>
    <t>Ethernet Cable -Yellow 5-Pin Male-Male - 15.2 m (50 ft)</t>
  </si>
  <si>
    <t>000-0127-29</t>
  </si>
  <si>
    <t>Ethernet Cable 4.5m (15ft)</t>
  </si>
  <si>
    <t>Ethernet Cable -Yellow 5-Pin Male-Male - 4.5 m (15 ft)</t>
  </si>
  <si>
    <t>000-0127-30</t>
  </si>
  <si>
    <t>Ethernet Cable 7.6m (25ft)</t>
  </si>
  <si>
    <t>Ethernet Cable -Yellow 5-Pin Male-Male - 7.6 m (25 ft)</t>
  </si>
  <si>
    <t>000-10779-001</t>
  </si>
  <si>
    <t>Ethernet Cable Joiner - 5-pin F-F</t>
  </si>
  <si>
    <t>5 Pin Ethernet cable joiner (Female to Female). Lets you join together two lengths of 5-pin Ethernet Cables. 14 cm (5.5")</t>
  </si>
  <si>
    <t>000-0120-62</t>
  </si>
  <si>
    <t>Evinrude Engine Interface</t>
  </si>
  <si>
    <t>Evinrude engine interface cable 4.5 m (15 ft) and T-connector</t>
  </si>
  <si>
    <t>44142412</t>
  </si>
  <si>
    <t>Expanded / Dual MK1 - GPOWER PCB</t>
  </si>
  <si>
    <t>GC80 / GC85 Expanded and Dual Controller MK1 - GPOWER PCB. Power supply unit.</t>
  </si>
  <si>
    <t>44142446</t>
  </si>
  <si>
    <t>Expanded / Dual MK1 - GTERM PCB</t>
  </si>
  <si>
    <t>GC80 / GC85 Expanded &amp; Dual Controller MK1 GTERM PCB</t>
  </si>
  <si>
    <t>44142420</t>
  </si>
  <si>
    <t>Expanded / Dual MK1 - SCC PCB</t>
  </si>
  <si>
    <t>GC80 / GC85 Expanded &amp; Dual Controller MK1 - SCC PCB</t>
  </si>
  <si>
    <t>000-15922-001</t>
  </si>
  <si>
    <t>Expanded / Dual MK2 - CTERM PCB</t>
  </si>
  <si>
    <t>GC80 / GC85 Dual Controller MK2 - CTERM PCB</t>
  </si>
  <si>
    <t>000-15925-001</t>
  </si>
  <si>
    <t>Expanded / Dual MK2 - GTERM-A PCB</t>
  </si>
  <si>
    <t>GC80 / GC85 Dual Controller MK2 - GTERM-A PCB, Main termination board with jumpers and terminal blocks.</t>
  </si>
  <si>
    <t>000-15923-001</t>
  </si>
  <si>
    <t>Expanded / Dual MK2 - SCC PCB</t>
  </si>
  <si>
    <t>GC80 / GC85 Expanded &amp; Dual Controller MK2 - SCC PCB. Also used in the Double System Controller.</t>
  </si>
  <si>
    <t>000-10685-001</t>
  </si>
  <si>
    <t>Expanded Keyboard - Keypad</t>
  </si>
  <si>
    <t>44142438</t>
  </si>
  <si>
    <t>Expanded MK1 - SIFC PCB</t>
  </si>
  <si>
    <t>GC80 / GC85 Expanded Controller MK1 - SIFC PCB</t>
  </si>
  <si>
    <t>000-15926-001</t>
  </si>
  <si>
    <t>Expanded MK2 - SCOIF PCB</t>
  </si>
  <si>
    <t>GC80 / GC85 Expanded Controller MK2 - SCOIF PCB</t>
  </si>
  <si>
    <t>000-15924-001</t>
  </si>
  <si>
    <t>Expanded MK2 - SIFC PCB</t>
  </si>
  <si>
    <t>GC80 / GC85 Expanded Controller MK2 - SIFC PCB</t>
  </si>
  <si>
    <t>44170744</t>
  </si>
  <si>
    <t>Extension Cable #1 - Compact and Expanded 10m</t>
  </si>
  <si>
    <t>Extension Cable #1 - Compact and Expanded Control Unit MK1 + MK2 10m - Main extension cable</t>
  </si>
  <si>
    <t>44170751</t>
  </si>
  <si>
    <t>Extension Cable #1 - Compact and Expanded 15m</t>
  </si>
  <si>
    <t>Extension Cable #1 - Compact and Expanded Control Unit MK1 + MK2 15m - Main extension cable</t>
  </si>
  <si>
    <t>44170736</t>
  </si>
  <si>
    <t>Extension Cable #1 - Compact and Expanded 5m</t>
  </si>
  <si>
    <t>Extension Cable #1 - Compact and Expanded Control Unit MK1 + MK2 5m - Main extension cable</t>
  </si>
  <si>
    <t>000-15840-001</t>
  </si>
  <si>
    <t>Extension Cable #1 - Dual Control Unit MK2 10m</t>
  </si>
  <si>
    <t>Extension Cable #1 - Dual Control Unit MK2 10m - Main extension cable</t>
  </si>
  <si>
    <t>000-15842-001</t>
  </si>
  <si>
    <t>Extension Cable #1 - Dual Control Unit MK2 15m</t>
  </si>
  <si>
    <t>Extension Cable #1 - Dual Control Unit MK2 15m - Main extension cable</t>
  </si>
  <si>
    <t>000-15838-001</t>
  </si>
  <si>
    <t>Extension Cable #1 - Dual Control Unit MK2 5m</t>
  </si>
  <si>
    <t>Extension Cable #1 - Dual Control Unit MK2 5m - Main extension cable</t>
  </si>
  <si>
    <t>000-15836-001</t>
  </si>
  <si>
    <t>Extension Cable #2 - Compact and Expanded 10m</t>
  </si>
  <si>
    <t>Extension Cable #2 - Compact and Expanded 10m - Required for BAM interface functionality in MK2 units.</t>
  </si>
  <si>
    <t>000-15837-001</t>
  </si>
  <si>
    <t>Extension Cable #2 - Compact and Expanded 15m</t>
  </si>
  <si>
    <t>Extension Cable #2 - Compact and Expanded 15m - Required for BAM interface functionality in MK2 units.</t>
  </si>
  <si>
    <t>000-15835-001</t>
  </si>
  <si>
    <t>Extension Cable #2 - Compact and Expanded 5m</t>
  </si>
  <si>
    <t>Extension Cable #2 - Compact and Expanded 5m - Required for BAM interface functionality in MK2 units.</t>
  </si>
  <si>
    <t>000-15841-001</t>
  </si>
  <si>
    <t>Extension Cable #2 - Dual Control Unit MK2 10m</t>
  </si>
  <si>
    <t>Extension Cable #2 - Dual Control Unit MK2 10m - Required for BAM functionality in MK2 units.</t>
  </si>
  <si>
    <t>000-15843-001</t>
  </si>
  <si>
    <t>Extension Cable #2 - Dual Control Unit MK2 15m</t>
  </si>
  <si>
    <t>Extension Cable #2 - Dual Control Unit MK2 15m - Required for BAM functionality in MK2 units.</t>
  </si>
  <si>
    <t>000-15839-001</t>
  </si>
  <si>
    <t>Extension Cable #2 - Dual Control Unit MK2 5m</t>
  </si>
  <si>
    <t>Extension Cable #2 - Dual Control Unit MK2 5m - Required for BAM functionality in MK2 units.</t>
  </si>
  <si>
    <t>000-14036-001</t>
  </si>
  <si>
    <t>External DVD Drive (USB)</t>
  </si>
  <si>
    <t>External DVD Drive for ECDIS900 installations where charts are supplied on DVD. Connects via standard USB 2.0 A plug. LG P/N GP50NB40</t>
  </si>
  <si>
    <t>000-11224-001</t>
  </si>
  <si>
    <t>FAIRING LSS HD BRONZE TRANDUCER SPARE</t>
  </si>
  <si>
    <t>000-12602-001</t>
  </si>
  <si>
    <t>Flat Mount Bracket for Skimmer Transducers</t>
  </si>
  <si>
    <t>Flat Mount Bracket for Active Imaging, TotalScan and StructureScan 3D skimmer transducers.</t>
  </si>
  <si>
    <t>000-11518-001</t>
  </si>
  <si>
    <t>Fluid Level Sensor</t>
  </si>
  <si>
    <t>Fluid Level Sensor - Connects to a standard suitable tank level sensor and transmits the tank level on the the NMEA 2000 network.</t>
  </si>
  <si>
    <t>000-15785-001</t>
  </si>
  <si>
    <t>FLUSH MOUNT KIT: ELITE FS 7</t>
  </si>
  <si>
    <t>000-15786-001</t>
  </si>
  <si>
    <t>FLUSH MOUNT KIT: ELITE FS 9</t>
  </si>
  <si>
    <t>000-12231-001</t>
  </si>
  <si>
    <t>ForwardScan™ Fairing Block Only</t>
  </si>
  <si>
    <t>000-13579-001</t>
  </si>
  <si>
    <t>ForwardScan™ Long-Stem Fairing Block Only</t>
  </si>
  <si>
    <t>000-13578-001</t>
  </si>
  <si>
    <t>ForwardScan™ Long-Stem Housing Only</t>
  </si>
  <si>
    <t>000-13284-001</t>
  </si>
  <si>
    <t>ForwardScan™ Long-Stem Transducer Kit</t>
  </si>
  <si>
    <t>ForwardScan™ Transducer Kit (Long-Stem) with Sleeve &amp; Plug. 10m (33ft) Cable</t>
  </si>
  <si>
    <t>000-12232-001</t>
  </si>
  <si>
    <t>ForwardScan™ O-Ring</t>
  </si>
  <si>
    <t>ForwardScan™ O-Ring (Color of supplied O-Ring may vary from shown)</t>
  </si>
  <si>
    <t>000-12230-001</t>
  </si>
  <si>
    <t>ForwardScan™ Plug Only</t>
  </si>
  <si>
    <t>000-11669-001</t>
  </si>
  <si>
    <t>ForwardScan™ Sleeve and Plug Only</t>
  </si>
  <si>
    <t>ForwardScan™ Sleeve and Plug Only (No Transducer)</t>
  </si>
  <si>
    <t>000-11674-001</t>
  </si>
  <si>
    <t>ForwardScan™ Transducer Kit</t>
  </si>
  <si>
    <t>ForwardScan™ Transducer Kit with Sleeve &amp; Plug. 10m (33ft) Cable</t>
  </si>
  <si>
    <t>000-11675-001</t>
  </si>
  <si>
    <t>ForwardScan™ Transducer Only</t>
  </si>
  <si>
    <t>ForwardScan™ Transducer Only. With 10m (33ft) Cable</t>
  </si>
  <si>
    <t>000-15833-001</t>
  </si>
  <si>
    <t>Frame for Double System Control Panel</t>
  </si>
  <si>
    <t>Frame for external mounting of the Double System Control Panel outside the main unit. Use 000-15832-001 to cover the hole in the main unit.</t>
  </si>
  <si>
    <t>M-PC-Y211-MS</t>
  </si>
  <si>
    <t>FRENCH POLYNESIA-MAX-N+</t>
  </si>
  <si>
    <t>DISCOVER : M-PC-Y211 : Discover French Polynesia</t>
  </si>
  <si>
    <t>000-10589-001</t>
  </si>
  <si>
    <t>FU/QS/NF80 Bulkhead Mounting Kit</t>
  </si>
  <si>
    <t>NF80/FU80/QS80 bulkhead Mounting Kit</t>
  </si>
  <si>
    <t>000-10183-001</t>
  </si>
  <si>
    <t>FU80 Follow-Up Steering Lever</t>
  </si>
  <si>
    <t>FU80 Follow UP remote unit with display. Take command and Mode buttons. Provides course change in Auto mode.</t>
  </si>
  <si>
    <t>000-11282-001</t>
  </si>
  <si>
    <t>FU80/NF80 Spare Lever, Long</t>
  </si>
  <si>
    <t>Spare lever for FU80 and NF80, long version.</t>
  </si>
  <si>
    <t>000-11283-001</t>
  </si>
  <si>
    <t>FU80/NF80 Spare Lever, Short</t>
  </si>
  <si>
    <t>Spare FU80/NF80 Steering Lever, Short version.</t>
  </si>
  <si>
    <t>000-11522-001</t>
  </si>
  <si>
    <t>Fuel Data Manager</t>
  </si>
  <si>
    <t>Fuel Data Manager - Monitors Fuel Rate/Fuel Flow from NMEA 2000 engines and fuel flow sensors, and accumulates Fuel Rate into Fuel Used. Outputs seasonal, trip and total fuel used.</t>
  </si>
  <si>
    <t>000-11517-001</t>
  </si>
  <si>
    <t>Fuel Flow Sensor</t>
  </si>
  <si>
    <t>Fuel Flow Sensor - For gasoline engines. In-line sensor for 3/8" (9.5 mm) Inside Diameter fuel line. Comes with 10ft cable and T-connector.</t>
  </si>
  <si>
    <t>000-15546-001</t>
  </si>
  <si>
    <t>Gasket for 20/20 HV Display 5-pack</t>
  </si>
  <si>
    <t>000-15547-001</t>
  </si>
  <si>
    <t>Gasket for 30/30 HV Display 5-pack</t>
  </si>
  <si>
    <t>000-15548-001</t>
  </si>
  <si>
    <t>Gasket for 40/40 HV Display 5-pack</t>
  </si>
  <si>
    <t>000-15545-001</t>
  </si>
  <si>
    <t>Gasket for H5000 Graphic/Race Displays 5-pack</t>
  </si>
  <si>
    <t>000-15567-001</t>
  </si>
  <si>
    <t>GC80 Compact Gyro System MK2</t>
  </si>
  <si>
    <t>Simrad GC80 Compact MK2 Gyro system.
Includes GC80/85 Compact Control Unit MK2 and GC80 Master Compass with Sensitive Element.</t>
  </si>
  <si>
    <t>000-15569-001</t>
  </si>
  <si>
    <t>GC80 Dual Gyro System MK2</t>
  </si>
  <si>
    <t>GC80 Dual Gyro System MK2.
Includes GC80/85 Dual Control Unit MK2 and 2x GC80 Master Compass including Sensitive Element.</t>
  </si>
  <si>
    <t>000-15568-001</t>
  </si>
  <si>
    <t>GC80 Expanded Gyro System MK2</t>
  </si>
  <si>
    <t>GC80 Expanded Gyro System MK2.
Includes GC80/85 Expanded Control Unit MK2 and GC80 Master Compass including Sensitive Element.</t>
  </si>
  <si>
    <t>27101674</t>
  </si>
  <si>
    <t>GC80 Master Compass</t>
  </si>
  <si>
    <t>GC80 Master Compass only, without sensitive element.</t>
  </si>
  <si>
    <t>27102169</t>
  </si>
  <si>
    <t>GC80 Master compass including sensitive element</t>
  </si>
  <si>
    <t>000-15958-001</t>
  </si>
  <si>
    <t>GC80 MK2 Dual System DNV DP</t>
  </si>
  <si>
    <t>GC80 Dual expanded gyro system MK2. Includes 2x GC80/85 expanded control unit MK2, 2x GC80 master compass including sensitive element, and GC80/GC85 double system controller unit.</t>
  </si>
  <si>
    <t>44174027</t>
  </si>
  <si>
    <t>GC80 Sensitive Element - New</t>
  </si>
  <si>
    <t>Brand new sensitive element for GC80 Gyro. NOT eligible for Sensitive element exchange program when bought stand-alone! Use 151-10000-001 for exchange program.</t>
  </si>
  <si>
    <t>151-10000-001</t>
  </si>
  <si>
    <t>GC80 Sensitive Element - Refurbished</t>
  </si>
  <si>
    <t>Factory refurbished exchange element for GC80. Eligible for element exchange program - order with your local Navico Service office.</t>
  </si>
  <si>
    <t>27101724</t>
  </si>
  <si>
    <t>GC80/85 220/110V AC Power Supply</t>
  </si>
  <si>
    <t>GC80/85 Power Supply Unit. Add-on for Compact controller units when operation from 110/220 V AC is required as MAIN power source.</t>
  </si>
  <si>
    <t>27101757</t>
  </si>
  <si>
    <t>GC80/85 Remote Panel Mount Frame</t>
  </si>
  <si>
    <t>Remote Panel Mount Frame for external mounting of the Master Compass control panels from all MK1 and MK2 Compact, Expanded and Dual Control Units. Includes mounting frame and blanking plate.</t>
  </si>
  <si>
    <t>000-15846-001</t>
  </si>
  <si>
    <t>GC80/85 Remote Panel Mount Kit - Compact &amp; Expanded MK2 10m</t>
  </si>
  <si>
    <t>GC80/85 Remote Mount Kit - Compact &amp; Expanded 10m. Comes with Frame, Blanking plate and 2 cables.</t>
  </si>
  <si>
    <t>000-15847-001</t>
  </si>
  <si>
    <t>GC80/85 Remote Panel Mount Kit - Compact &amp; Expanded MK2 15m</t>
  </si>
  <si>
    <t>GC80/85 Remote Mount Kit - Compact &amp; Expanded 15m. Comes with Frame, Blanking plate and 2 cables.</t>
  </si>
  <si>
    <t>000-15845-001</t>
  </si>
  <si>
    <t>GC80/85 Remote Panel Mount Kit - Compact &amp; Expanded MK2 5m</t>
  </si>
  <si>
    <t>GC80/85 Remote Mount Kit - Compact &amp; Expanded 5m. Comes with Frame, Blanking plate and 2 cables.</t>
  </si>
  <si>
    <t>000-15844-001</t>
  </si>
  <si>
    <t>GC80/85 Remote Panel Mount Kit - Double System Controller</t>
  </si>
  <si>
    <t>GC80/85 Remote Mount Kit - Double System Controller. Comes with Frame, Cover Panel and Cable Harness.</t>
  </si>
  <si>
    <t>000-15849-001</t>
  </si>
  <si>
    <t>GC80/85 Remote Panel Mount Kit - Dual MK2 10m</t>
  </si>
  <si>
    <t>GC80/85 Remote Mount Kit - Dual MK2 10m. Comes with Frame, Blanking plate and 2 cables.</t>
  </si>
  <si>
    <t>000-15850-001</t>
  </si>
  <si>
    <t>GC80/85 Remote Panel Mount Kit - Dual MK2 15m</t>
  </si>
  <si>
    <t>GC80/85 Remote Mount Kit - Dual MK2 15m. Comes with Frame, Blanking plate and 2 cables.</t>
  </si>
  <si>
    <t>000-15848-001</t>
  </si>
  <si>
    <t>GC80/85 Remote Panel Mount Kit - Dual MK2 5m</t>
  </si>
  <si>
    <t>GC80/85 Remote Mount Kit - Dual MK2 5m. Comes with Frame, Blanking plate and 2 cables.</t>
  </si>
  <si>
    <t>000-15036-001</t>
  </si>
  <si>
    <t>GC80/GC85 Compact Control Unit MK2</t>
  </si>
  <si>
    <t>000-15035-001</t>
  </si>
  <si>
    <t>GC80/GC85 Double System Controller Unit</t>
  </si>
  <si>
    <t>GC80/GC85 Double System Controller Unit - For DNV Nautical Safety requirements</t>
  </si>
  <si>
    <t>000-15038-001</t>
  </si>
  <si>
    <t>GC80/GC85 Dual Control Unit MK2</t>
  </si>
  <si>
    <t>000-15037-001</t>
  </si>
  <si>
    <t>GC80/GC85 Expanded Control Unit MK2</t>
  </si>
  <si>
    <t>000-15570-001</t>
  </si>
  <si>
    <t>GC85 Compact Gyro System MK2</t>
  </si>
  <si>
    <t>Simrad GC85 Compact MK2 Gyro system for High Speed Craft.
Includes GC80/85 Compact Control Unit MK2 and GC85 Master Compass with Sensitive Element.</t>
  </si>
  <si>
    <t>27101682</t>
  </si>
  <si>
    <t>GC85 Master Compass</t>
  </si>
  <si>
    <t>GC85 Master Compass only, without sensitive element</t>
  </si>
  <si>
    <t>27102177</t>
  </si>
  <si>
    <t>GC85 Master compass including sensitive element</t>
  </si>
  <si>
    <t>151-10001-001</t>
  </si>
  <si>
    <t>GC85 Sensitive Element - Refurbished</t>
  </si>
  <si>
    <t>Factory refurbished exchange element for GC85. Eligible for element exchange program - order with your local Navico Service office.</t>
  </si>
  <si>
    <t>000-11021-001</t>
  </si>
  <si>
    <t>Gimbal Bracket &amp; Knobs for 12" Lowrance</t>
  </si>
  <si>
    <t>Gimbal mounting bracket with knobs for 12" HDS Gen2 Touch/HDS Gen3/HDS Carbon/Elite-Ti</t>
  </si>
  <si>
    <t>000-11019-001</t>
  </si>
  <si>
    <t>Gimbal Bracket &amp; Knobs for 7" Lowrance</t>
  </si>
  <si>
    <t>Gimbal mounting bracket with knobs for 7" HDS Gen2 Touch/HDS Gen3/HDS Carbon/Hook/Hook2/Hook Reveal/Elite-HDI-CHIRP/Eagle 7
*Not for use with Elite-7 Ti</t>
  </si>
  <si>
    <t>000-11020-001</t>
  </si>
  <si>
    <t>Gimbal Bracket &amp; Knobs for 9" Lowrance</t>
  </si>
  <si>
    <t>Gimbal mounting bracket with knobs for 9" HDS Gen2 Touch/HDS Gen3/HDS Carbon/Elite-Ti/Hook/Elite-HDI-CHIRP</t>
  </si>
  <si>
    <t>000-10467-001</t>
  </si>
  <si>
    <t>Gimbal Bracket Knobs</t>
  </si>
  <si>
    <t>Gimbal Bracket Knobs for Lowrance, Simrad, B&amp;G MFDs</t>
  </si>
  <si>
    <t>000-14247-001</t>
  </si>
  <si>
    <t>GO12 &amp; Vulcan 12 Edge Bezel</t>
  </si>
  <si>
    <t>000-14147-001</t>
  </si>
  <si>
    <t>GO12 Suncover</t>
  </si>
  <si>
    <t>000-14246-001</t>
  </si>
  <si>
    <t>GO12/V12 DASH MOUNT KIT</t>
  </si>
  <si>
    <t>000-13171-001</t>
  </si>
  <si>
    <t>GO5 &amp; Vulcan-5 Power &amp; N2K Cable</t>
  </si>
  <si>
    <t>000-14839-001</t>
  </si>
  <si>
    <t>GO7 XSR - w/ Active Imaging 3-in-1 Transducer</t>
  </si>
  <si>
    <t>Simrad GO7 XSR – 7’’ Multifunctional Display with built in Echosounder, GPS and Wi-Fi. Super-bright, multi-touch widescreen display with NMEA 2000 and Radar interface. Includes Active Imaging 3-in-1 transducer.</t>
  </si>
  <si>
    <t>000-14446-001</t>
  </si>
  <si>
    <t>GO7 XSR - w/ HDI Transducer</t>
  </si>
  <si>
    <t>Simrad GO7 XSR – 7’’ Multifunctional Display with built in Echosounder, GPS and Wi-Fi. Super-bright, multi-touch widescreen display with NMEA 2000 and Radar interface. Includes M/H HDI Transducer.</t>
  </si>
  <si>
    <t>000-14448-001</t>
  </si>
  <si>
    <t>GO7 XSR - w/o Transducer</t>
  </si>
  <si>
    <t>Simrad GO7 XSR – 7’’ Multifunctional Display with built in Echosounder, GPS and Wi-Fi. Super-bright, multi-touch widescreen display with NMEA 2000 and Radar interface.</t>
  </si>
  <si>
    <t>000-14841-001</t>
  </si>
  <si>
    <t>GO9 XSE - w/ Active Imaging 3-in-1 Transducer</t>
  </si>
  <si>
    <t>Simrad GO9 XSE – 9’’ Multifunctional Display with built in Echosounder, GPS and Wi-Fi. Super-bright, multi-touch widescreen display with NMEA 2000 and Radar interface. Includes Active Imaging 3-in-1 transducer.</t>
  </si>
  <si>
    <t>000-15618-001</t>
  </si>
  <si>
    <t>GO9 XSE - w/ Active Imaging 3-in-1 Transducer + Halo20+ Radar</t>
  </si>
  <si>
    <t>Simrad GO9 XSE - w/ Active Imaging 3-in-1 Transducer and Halo20+ Radar bundle.</t>
  </si>
  <si>
    <t>000-14445-001</t>
  </si>
  <si>
    <t>GO9 XSE - w/ HDI Transducer</t>
  </si>
  <si>
    <t>Simrad GO9 XSE – 9’’ Multifunctional Display with built in Echosounder, GPS and Wi-Fi. Super-bright, multi-touch widescreen display with NMEA 2000 and Radar interface. Includes M/H HDI Transducer.</t>
  </si>
  <si>
    <t>000-14444-001</t>
  </si>
  <si>
    <t>GO9 XSE - w/o Transducer</t>
  </si>
  <si>
    <t>Simrad GO9 XSE – 9’’ Multifunctional Display with built in Echosounder, GPS and Wi-Fi. Super-bright, multi-touch widescreen display with NMEA 2000 and Radar interface.</t>
  </si>
  <si>
    <t>000-13699-001</t>
  </si>
  <si>
    <t>GO9 XSE &amp; Vulcan 9 Dash Mount Kit</t>
  </si>
  <si>
    <t>000-13700-001</t>
  </si>
  <si>
    <t>GO9 XSE &amp; Vulcan 9 Edge Bezel</t>
  </si>
  <si>
    <t>Replacement bezel for Simrad GO9 or B&amp;G Vulcan9.</t>
  </si>
  <si>
    <t>000-13698-001</t>
  </si>
  <si>
    <t>GO9 XSE Suncover</t>
  </si>
  <si>
    <t>Suncover for Simrad GO9 XSE</t>
  </si>
  <si>
    <t>000-13613-001</t>
  </si>
  <si>
    <t>GPS-500 GPS Antenna</t>
  </si>
  <si>
    <t>GPS-500 - GPS antenna for Navico AIS transceivers and VHF systems. 10 m (33 ft) cable with SMA connector.</t>
  </si>
  <si>
    <t>000-12896-001</t>
  </si>
  <si>
    <t>GROMMET PACK,H5000 CPU</t>
  </si>
  <si>
    <t>000-12897-001</t>
  </si>
  <si>
    <t>GROMMET PACK,H5000 MODULES</t>
  </si>
  <si>
    <t>000-11043-002</t>
  </si>
  <si>
    <t>GS25 GPS Antenna</t>
  </si>
  <si>
    <t>GS25 Antenna with built-in rate compass. 10 Hz position update rate. 
Built-in rate compass is perfect for providing heading data for Radar Chart Overlay and for orienting charts in Head-Up Mode.
Note: This heading sensor is not recommended for MARPA or Autopilot control! Please use the Precision 9 for this.</t>
  </si>
  <si>
    <t>GPS</t>
  </si>
  <si>
    <t>000-11137-001</t>
  </si>
  <si>
    <t>GS70 N2K GPS Antenna</t>
  </si>
  <si>
    <t>GS70 GPS Smart Antenna is an IMO compliant NMEA2000 GPS antenna which can be used with Simrad’s IMO compliant P3007 GPS Display for IMO Applications, or P2005 GPS Display for non-IMO applications where high accuracy in a small formfactor is desired.</t>
  </si>
  <si>
    <t>BGH231021</t>
  </si>
  <si>
    <t>H3000 Analogue Bezel (Black)</t>
  </si>
  <si>
    <t>SEN-DEPTH-H</t>
  </si>
  <si>
    <t>H3000 Depth Sensor only</t>
  </si>
  <si>
    <t>SEN-SPD-HM</t>
  </si>
  <si>
    <t>H3000 Speed Sensor Bronze Flanged</t>
  </si>
  <si>
    <t>SEN-SPEED-H</t>
  </si>
  <si>
    <t>H3000 Speed Sensor only</t>
  </si>
  <si>
    <t>SEN-SPD-HP</t>
  </si>
  <si>
    <t>H3000 Speed Sensor Plastic Flanged</t>
  </si>
  <si>
    <t>SEN-SPD-HPF</t>
  </si>
  <si>
    <t>H3000 Speed Sensor Plastic Flush</t>
  </si>
  <si>
    <t>BGH234017</t>
  </si>
  <si>
    <t>H3000 Sun Cover (Analogue)</t>
  </si>
  <si>
    <t>BGH214015</t>
  </si>
  <si>
    <t>H3000 Sun Cover (GFD, GPD, 20/20HV)</t>
  </si>
  <si>
    <t>000-11551-001</t>
  </si>
  <si>
    <t>H5000 3D Motion Sensor</t>
  </si>
  <si>
    <t>H5000 3D Motion Sensor Enables Motion Correction for Wind data on H5000 Hercules/Performance systems</t>
  </si>
  <si>
    <t>000-11714-001</t>
  </si>
  <si>
    <t>H5000 ANALOGUE AWA 360</t>
  </si>
  <si>
    <t>000-11716-001</t>
  </si>
  <si>
    <t>H5000 ANALOGUE AWS 0-50KT</t>
  </si>
  <si>
    <t>000-11719-001</t>
  </si>
  <si>
    <t>H5000 ANALOGUE BOAT SPEED 12.5KT</t>
  </si>
  <si>
    <t>000-11721-001</t>
  </si>
  <si>
    <t>H5000 ANALOGUE BOAT SPEED 25KT</t>
  </si>
  <si>
    <t>000-11720-001</t>
  </si>
  <si>
    <t>H5000 ANALOGUE DEPTH 200M</t>
  </si>
  <si>
    <t>000-11725-001</t>
  </si>
  <si>
    <t>H5000 Analogue Expansion</t>
  </si>
  <si>
    <t>Allows expansion of an H5000 system to include additional analogue and pulse signals from compatible 3rd party sensors. H5000 provides options for these inputs to be assigned to a known function type or to be set up as a custom input with name defined by the user.</t>
  </si>
  <si>
    <t>000-11724-001</t>
  </si>
  <si>
    <t>H5000 ANALOGUE FT/FATH DEPTH</t>
  </si>
  <si>
    <t>000-11722-001</t>
  </si>
  <si>
    <t>H5000 ANALOGUE HEADING</t>
  </si>
  <si>
    <t>000-11718-001</t>
  </si>
  <si>
    <t>H5000 ANALOGUE MAG AWA</t>
  </si>
  <si>
    <t>000-11723-001</t>
  </si>
  <si>
    <t>H5000 ANALOGUE RUDDER ANGLE</t>
  </si>
  <si>
    <t>000-11715-001</t>
  </si>
  <si>
    <t>H5000 ANALOGUE TWA 360</t>
  </si>
  <si>
    <t>000-11717-001</t>
  </si>
  <si>
    <t>H5000 ANALOGUE TWS 0-50KT</t>
  </si>
  <si>
    <t>000-11553-001</t>
  </si>
  <si>
    <t>H5000 Audible Alarm Module</t>
  </si>
  <si>
    <t>H5000 Audible Alarm Module provides a configurable audible alarm connected anywhere on the network.</t>
  </si>
  <si>
    <t>000-11552-001</t>
  </si>
  <si>
    <t>H5000 Barometric Pressure Sensor</t>
  </si>
  <si>
    <t>H5000 Barometric Pressure Sensor provides High-Resolution measurement of Barometric Pressure to the system.</t>
  </si>
  <si>
    <t>000-11759-001</t>
  </si>
  <si>
    <t>H5000 CPU UNLOCK CODE HERC TO PERF</t>
  </si>
  <si>
    <t>000-11758-001</t>
  </si>
  <si>
    <t>H5000 CPU UNLOCK CODE HYDRA TO HERC</t>
  </si>
  <si>
    <t>000-11760-001</t>
  </si>
  <si>
    <t>H5000 CPU UNLOCK CODE HYDRA TO PERF</t>
  </si>
  <si>
    <t>000-12614-001</t>
  </si>
  <si>
    <t>H5000 Displays - Edge Cover Set</t>
  </si>
  <si>
    <t>000-13323-001</t>
  </si>
  <si>
    <t>H5000 Fastnet Interface</t>
  </si>
  <si>
    <t>The H5000 Fastnet Interface provides a B&amp;G supported solution for customers wishing to progressively upgrade H3000 systems and/or replace displays on an H3000 system with the latest H5000 Graphic displays.</t>
  </si>
  <si>
    <t>000-11542-001</t>
  </si>
  <si>
    <t>H5000 Graphic Display</t>
  </si>
  <si>
    <t>H5000 Graphic Display - A 5-inch colour display with a straightforward user interface packed with unique sailing features including SailSteer and Start Line.</t>
  </si>
  <si>
    <t>000-11544-001</t>
  </si>
  <si>
    <t>H5000 Pilot Controller</t>
  </si>
  <si>
    <t>000-12615-001</t>
  </si>
  <si>
    <t>H5000 Pilot Controller Edge Cover Set</t>
  </si>
  <si>
    <t>000-11726-001</t>
  </si>
  <si>
    <t>H5000 Serial Expansion</t>
  </si>
  <si>
    <t>H5000 Serial Expansion allows expansion of an H5000 system. Provides additional serial interfacing options. Typically used for interfacing B&amp;G HGSC heading sensor, GPS sensors, 3rd party heading sensors and other NMEA 0183 devices.</t>
  </si>
  <si>
    <t>000-11554-001</t>
  </si>
  <si>
    <t>H5000,Pilot Computer</t>
  </si>
  <si>
    <t>H5000,Pilot Computer: The record-breaking B&amp;G Pilot features dedicated steering modes and sailing algorithms including Gust Response, Recovery and High Wind Response. It’s been proven in the toughest conditions and most testing environments and is ideal for short-handed cruisers or racers.
Note: An H5000 Hydra, Hercules or Performance CPU is required to steer to wind</t>
  </si>
  <si>
    <t>LSH80</t>
  </si>
  <si>
    <t>Hailer Horn LSH80</t>
  </si>
  <si>
    <t>Waterproof Hailer Horn Speaker (8 Ohms) for use with Navico VHF Systems.</t>
  </si>
  <si>
    <t>000-15767-001</t>
  </si>
  <si>
    <t>HALO 2000 &amp; 3000 Power and Ethernet Cable - 10m</t>
  </si>
  <si>
    <t>HALO 2000 &amp; 3000 Power and Ethernet Cable - 10 m (33 ft)</t>
  </si>
  <si>
    <t>000-15768-001</t>
  </si>
  <si>
    <t>HALO 2000 &amp; 3000 Power and Ethernet Cable - 20m</t>
  </si>
  <si>
    <t>HALO 2000 &amp; 3000 Power and Ethernet Cable - 20 m (65.5 ft)</t>
  </si>
  <si>
    <t>000-15769-001</t>
  </si>
  <si>
    <t>HALO 2000 &amp; 3000 Power and Ethernet Cable - 30m</t>
  </si>
  <si>
    <t>HALO 2000 &amp; 3000 Power and Ethernet Cable - 30 m (98.5 ft)</t>
  </si>
  <si>
    <t>000-15758-001</t>
  </si>
  <si>
    <t>HALO 2003</t>
  </si>
  <si>
    <t>HALO 2003: 50W Pulse Compression Radar System. Comes with HALO 50W Pedestal, 3ft Antenna, RI-50 Power Supply and 20 m (65.5 ft) Cable.</t>
  </si>
  <si>
    <t>000-15759-001</t>
  </si>
  <si>
    <t>HALO 2004</t>
  </si>
  <si>
    <t>HALO 2004: 50W Pulse Compression Radar System. Comes with HALO 50W Pedestal, 4ft Antenna, RI-50 Power Supply and 20 m (65.5 ft) Cable.</t>
  </si>
  <si>
    <t>000-15760-001</t>
  </si>
  <si>
    <t>HALO 2006</t>
  </si>
  <si>
    <t>HALO 2006: 50W Pulse Compression Radar System. Comes with HALO 50W Pedestal, 6ft Antenna, RI-50 Power Supply and 20 m (65.5 ft) Cable.</t>
  </si>
  <si>
    <t>000-15762-001</t>
  </si>
  <si>
    <t>HALO 200X Radar Pedestal Only</t>
  </si>
  <si>
    <t>HALO 200X 50W Pulse Compression Radar: Pedestal Only</t>
  </si>
  <si>
    <t>000-15763-001</t>
  </si>
  <si>
    <t>HALO 3004</t>
  </si>
  <si>
    <t>HALO 3004: 130W Pulse Compression Radar System. Comes with HALO 130W Pedestal, 4ft Antenna, RI-50 Power Supply and 20 m (65.5 ft) Cable.</t>
  </si>
  <si>
    <t>000-15764-001</t>
  </si>
  <si>
    <t>HALO 3006</t>
  </si>
  <si>
    <t>HALO 3006: 130W Pulse Compression Radar System. Comes with HALO 130W Pedestal, 6ft Antenna, RI-50 Power Supply and 20 m (65.5 ft) Cable.</t>
  </si>
  <si>
    <t>000-15766-001</t>
  </si>
  <si>
    <t>HALO 300X Radar Pedestal Only</t>
  </si>
  <si>
    <t>HALO 300X 130W Pulse Compression Radar: Pedestal Only</t>
  </si>
  <si>
    <t>000-15742-001</t>
  </si>
  <si>
    <t>HALO 500X 130 W Pulse Compression Radar: Pedestal only.</t>
  </si>
  <si>
    <t>HALO 500X 130 W Pulse Compression Radar for standard and HSC vessels: Pedestal only.</t>
  </si>
  <si>
    <t>000-15746-001</t>
  </si>
  <si>
    <t>HALO 500X Ethernet Cable -  65 m (213 ft)</t>
  </si>
  <si>
    <t>HALO 500X Ethernet Cable - RJ-45 male - OneNet male: 65 m (213 ft)</t>
  </si>
  <si>
    <t>000-15745-001</t>
  </si>
  <si>
    <t>HALO 500X Ethernet Cable - 30 m (98.5 ft)</t>
  </si>
  <si>
    <t>HALO 500X Ethernet Cable - RJ-45 male - OneNet male: 30 m (98.5 ft)</t>
  </si>
  <si>
    <t>000-15743-001</t>
  </si>
  <si>
    <t>HALO 500X Power Cable - 30 m (98.5 ft)</t>
  </si>
  <si>
    <t>000-15744-001</t>
  </si>
  <si>
    <t>HALO 500X Power Cable - 65 m (213 ft)</t>
  </si>
  <si>
    <t>000-16090-001</t>
  </si>
  <si>
    <t>HALO 500X Spare part: Internal radar processing module</t>
  </si>
  <si>
    <t>000-16093-001</t>
  </si>
  <si>
    <t>HALO 500X Spare part: Motor</t>
  </si>
  <si>
    <t>000-16091-001</t>
  </si>
  <si>
    <t>HALO 500X Spare part: Performance monitor: External</t>
  </si>
  <si>
    <t>000-16092-001</t>
  </si>
  <si>
    <t>HALO 500X Spare part: Performance monitor: Internal</t>
  </si>
  <si>
    <t>000-11464-001</t>
  </si>
  <si>
    <t>HALO Antenna - 3ft</t>
  </si>
  <si>
    <t>HALO Antenna Only - 3ft</t>
  </si>
  <si>
    <t>000-11465-001</t>
  </si>
  <si>
    <t>HALO Antenna - 4ft</t>
  </si>
  <si>
    <t>HALO Antenna Only - 4ft</t>
  </si>
  <si>
    <t>000-11466-001</t>
  </si>
  <si>
    <t>HALO Antenna - 6ft</t>
  </si>
  <si>
    <t>HALO Antenna Only - 6ft</t>
  </si>
  <si>
    <t>000-12515-001</t>
  </si>
  <si>
    <t>HALO Antenna - Spare Mounting Kit</t>
  </si>
  <si>
    <t>HALO Antenna - Spare Mounting Kit. M8 Dome Nuts, M8 Spring Washers, M8x16x1.2 Flat Washers. 316 SS, 4pcs each.</t>
  </si>
  <si>
    <t>000-14551-001</t>
  </si>
  <si>
    <t>HALO Dome to 3G/4G Cable Adapter</t>
  </si>
  <si>
    <t>Enables re-use of the existing BR24/3G/4G cable onboard when upgrading to a HALO Dome radar.</t>
  </si>
  <si>
    <t>000-12514-001</t>
  </si>
  <si>
    <t>HALO Pedestal - Spare Mounting Kit</t>
  </si>
  <si>
    <t>HALO Pedestal, Spare mounting kit. Includes -4 x Bolt, HEX, M12x35, 316 s/s: 
4 x Bolt, HEX, M12x50, 316 s/s:
-4 x Washer, Flat, M12x36x3, 316 s/s: 
-4 x Washer, Spring, M12, 316 s/s: 
-8 x Washer, Isolating M12x38 Nylon</t>
  </si>
  <si>
    <t>Communications</t>
  </si>
  <si>
    <t>000-15650-001</t>
  </si>
  <si>
    <t>HANDSET,H100,WIRED</t>
  </si>
  <si>
    <t>B&amp;G H100 wired handset for V100/V100-B VHF radios. Up to 4 wired handsets can be added to one system.</t>
  </si>
  <si>
    <t>000-15648-001</t>
  </si>
  <si>
    <t>HANDSET+SPEAKER KIT,V100,WIRED</t>
  </si>
  <si>
    <t>B&amp;G H100 wired handset and speaker for V100/V100-B VHF radios. Up to 4 wired handsets can be added to one system and 4 wired Speakers.</t>
  </si>
  <si>
    <t>000-14381-001</t>
  </si>
  <si>
    <t>Hatteland 150GB SSD for HD24T21NEC</t>
  </si>
  <si>
    <t>This is a replacement to the 80GB SSD (PNs 000-14102-001 and 000-13331-001).  Please see Hatteland Engineering Change Notification (ECN) for details [http://www.hatteland-display.com/mails/17_2017_ecn.html]</t>
  </si>
  <si>
    <t>000-12562-001</t>
  </si>
  <si>
    <t>Hatteland 19" FPC Mounting Brackets</t>
  </si>
  <si>
    <t>Fits both 17 and 19 inch models. Kit consists of 2 brackets (fully assembled) marked Left and Right.
Note: Can not be combined with internal HDD storage, use SSD storage in order to meet EN60945 requirements.</t>
  </si>
  <si>
    <t>000-12343-001</t>
  </si>
  <si>
    <t>Hatteland 24'' Series X Adapter Frame Kit</t>
  </si>
  <si>
    <t>000-12563-001</t>
  </si>
  <si>
    <t>HATTELAND 24-26-FPC24" MOUNT.BRACKETS</t>
  </si>
  <si>
    <t>HATTELAND 24-26-FPC24" MOUNT.BRACKETS
For mounting on Table / Desktop. EN60945 tested.
Kit consists of 2 x fully assembled brackets, 4 x M5 Unbrako® Hex Key screws and 4 x metal spring washers. Marked with Left and Right labels.</t>
  </si>
  <si>
    <t>000-12564-001</t>
  </si>
  <si>
    <t>Hatteland NMEA0183 4-Port Expansion (USB)</t>
  </si>
  <si>
    <t>HATTELAND external NMEA 0183 Comms module. Four NMEA RS-422 / RS-485. 4 x 5 pin terminal block 3.81 connector.</t>
  </si>
  <si>
    <t>000-10977-001</t>
  </si>
  <si>
    <t>HDI Skimmer L/H 455/800 7-pin - Black - 6m Cable -</t>
  </si>
  <si>
    <t>HDI Skimmer® transducer 50/200/455/800kHz with built in temp. Includes mounting bracket and hardware.  Cable Length 6 m (20 ft)</t>
  </si>
  <si>
    <t>000-12569-001</t>
  </si>
  <si>
    <t>HDI Skimmer L/H 455/800 xSonic 9-pin - Black - 6m Cable</t>
  </si>
  <si>
    <t>HDI Skimmer L/H 455/800 xSonic 9-pin - Black - 6m (20 ft) Cable</t>
  </si>
  <si>
    <t>000-10976-001</t>
  </si>
  <si>
    <t>HDI Skimmer M/H 455/800 7-pin - Black - 6m Cable</t>
  </si>
  <si>
    <t>HDI Skimmer® transducer 83/200/455/800kHz with built in temp. Includes mounting bracket and hardware. Cable Length 6m (20 ft)</t>
  </si>
  <si>
    <t>000-12728-001</t>
  </si>
  <si>
    <t>HDI Skimmer M/H 455/800 X-Sonic 9-pin - Black - 6m Cable</t>
  </si>
  <si>
    <t>HDI Skimmer med/high (455/800 kHz) transducer. 9 pin Black X-Sonic Connector.  Cable Length 6 m (20 ft)</t>
  </si>
  <si>
    <t>000-14267-001</t>
  </si>
  <si>
    <t>HDI Skimmer M/H 455/800 xSonic 9-pin - Lowrance Blue - 2m Cable</t>
  </si>
  <si>
    <t>HDI Skimmer MED/HIGH 455/800 transducer. 9 pin Black xSonic Connector in Lowrance branded blue housing with 2 m ( 6ft) transducer cable.</t>
  </si>
  <si>
    <t>000-12570-001</t>
  </si>
  <si>
    <t>HDI Skimmer M/H 455/800 xSonic 9-pin - Lowrance Blue - 4.5m Cable</t>
  </si>
  <si>
    <t>HDI Skimmer MED/HIGH 455/800 transducer. 9 pin Black xSonic Connector in Lowrance branded blue housing. 4.5 m (15 ft) cable</t>
  </si>
  <si>
    <t>000-10978-001</t>
  </si>
  <si>
    <t>HDI TROLLING MOTOR ADAPTOR FOR SKIMMER</t>
  </si>
  <si>
    <t>HDI TROLLING MOTOR ADAPTOR FOR SKIMMER (*only for 83/200/455/800 HDI Skimmer transducer)</t>
  </si>
  <si>
    <t>000-11249-001</t>
  </si>
  <si>
    <t>HDMI Cable 10m (33 ft)</t>
  </si>
  <si>
    <t>HDMI monitor video cable 10 m (33 ft)</t>
  </si>
  <si>
    <t>000-11248-001</t>
  </si>
  <si>
    <t>HDMI Cable 3m (9.8ft)</t>
  </si>
  <si>
    <t>HDMI monitor video cable 3 m (9.8 ft)</t>
  </si>
  <si>
    <t>000-0124-70</t>
  </si>
  <si>
    <t>HDS connector cover</t>
  </si>
  <si>
    <t>CAP-1 - Set of connector caps for HDS series</t>
  </si>
  <si>
    <t>000-11010-001</t>
  </si>
  <si>
    <t>HDS Video Adapter Cable</t>
  </si>
  <si>
    <t>000-16056-001</t>
  </si>
  <si>
    <t>HDS-10 PRO / Elite FS-10 Bracket</t>
  </si>
  <si>
    <t>HDS Pro</t>
  </si>
  <si>
    <t>000-16000-001</t>
  </si>
  <si>
    <t>HDS-10 PRO No Transducer (ROW)</t>
  </si>
  <si>
    <t>Lowrance HDS-10 PRO, No Transducer. 10" SolarMAX HD IPS display, Dual 1kW sonar with CHIRP, ActiveImaging™ HD ready. Networkable to Lowrance performance sonars (ActiveTarget™ and ActiveTarget™2), Radars, Trolling Motors, and Autopilots along with waypoint, chart, and sonar sharing. Worlwide basemap (chart card required).</t>
  </si>
  <si>
    <t>000-15985-001</t>
  </si>
  <si>
    <t>HDS-10 PRO ROW + ActiveImaging™ HD 3-in-1 Transducer</t>
  </si>
  <si>
    <t>Lowrance HDS-10 PRO with ActiveImaging™ HD 3-in-1 transducer. 10" SolarMAX HD IPS display, Dual 1kW sonar with CHIRP. Networkable to Lowrance performance sonars (ActiveTarget™ and ActiveTarget™2), Radars, Trolling Motors, and Autopilots along with waypoint, chart, and sonar sharing. Worlwide basemap (chart card required).</t>
  </si>
  <si>
    <t>000-16059-001</t>
  </si>
  <si>
    <t>HDS-10 PRO Suncover</t>
  </si>
  <si>
    <t>000-13980-001</t>
  </si>
  <si>
    <t>HDS-12 CARBON BZL &amp; SD DOOR PK ASSY</t>
  </si>
  <si>
    <t>000-12245-001</t>
  </si>
  <si>
    <t>HDS-12 GEN3 BEZEL &amp; DOOR PK ASY</t>
  </si>
  <si>
    <t>000-12246-001</t>
  </si>
  <si>
    <t>HDS-12 GEN3 SUNCOVER</t>
  </si>
  <si>
    <t>000-14592-001</t>
  </si>
  <si>
    <t>HDS-12 LIVE Bezel and SD Card Door</t>
  </si>
  <si>
    <t>000-14588-001</t>
  </si>
  <si>
    <t>HDS-12 LIVE, PRO / Elite FS-12 Bracket and Knobs</t>
  </si>
  <si>
    <t>Lowrance HDS-12 LIVE/PRO &amp; Elite FS-12 Bracket and Knobs</t>
  </si>
  <si>
    <t>000-14584-001</t>
  </si>
  <si>
    <t>HDS-12 LIVE/PRO Suncover</t>
  </si>
  <si>
    <t>000-16003-001</t>
  </si>
  <si>
    <t>HDS-12 PRO No Transducer (ROW)</t>
  </si>
  <si>
    <t>Lowrance HDS-12 PRO, No Transducer. 12" SolarMAX HD IPS display, Dual 1kW sonar with CHIRP, ActiveImaging™ HD ready. Networkable to Lowrance performance sonars (ActiveTarget™ and ActiveTarget™2), Radars, Trolling Motors, and Autopilots along with waypoint, chart, and sonar sharing. Worlwide basemap (chart card required).</t>
  </si>
  <si>
    <t>000-15988-001</t>
  </si>
  <si>
    <t>HDS-12 PRO ROW + ActiveImaging™ HD 3-in-1 Transducer</t>
  </si>
  <si>
    <t>Lowrance HDS-12 PRO with ActiveImaging™ HD 3-in-1 transducer. 12" SolarMAX HD IPS display, Dual 1kW sonar with CHIRP. Networkable to Lowrance performance sonars (ActiveTarget™ and ActiveTarget™2), Radars, Trolling Motors, and Autopilots along with waypoint, chart, and sonar sharing. Worlwide basemap (chart card required).</t>
  </si>
  <si>
    <t>000-13995-001</t>
  </si>
  <si>
    <t>HDS-16 CARBON BEZEL CARD DOOR ACC</t>
  </si>
  <si>
    <t>000-13994-001</t>
  </si>
  <si>
    <t>HDS-16 CARBON BRACKET ACCESSORY</t>
  </si>
  <si>
    <t>000-13993-001</t>
  </si>
  <si>
    <t>HDS-16 CARBON SUNCOVER ACCESSORY</t>
  </si>
  <si>
    <t>000-14593-001</t>
  </si>
  <si>
    <t>HDS-16 LIVE Bezel and SD Card Door</t>
  </si>
  <si>
    <t>000-14589-001</t>
  </si>
  <si>
    <t>HDS-16 LIVE/PRO Bracket and Knobs</t>
  </si>
  <si>
    <t>000-14585-001</t>
  </si>
  <si>
    <t>HDS-16 LIVE/PRO Suncover</t>
  </si>
  <si>
    <t>000-16006-001</t>
  </si>
  <si>
    <t>HDS-16 PRO No Transducer (ROW)</t>
  </si>
  <si>
    <t>Lowrance HDS-16 PRO, No Transducer. 16" SolarMAX HD IPS display, Dual 1kW sonar with CHIRP, ActiveImaging™ HD ready. Networkable to Lowrance performance sonars (ActiveTarget™ and ActiveTarget™2), Radars, Trolling Motors, and Autopilots along with waypoint, chart, and sonar sharing. Worlwide basemap (chart card required).</t>
  </si>
  <si>
    <t>000-15991-001</t>
  </si>
  <si>
    <t>HDS-16 PRO with Active Imaging HD 3-in-1 Transducer (ROW)</t>
  </si>
  <si>
    <t>Lowrance HDS-16 PRO with ActiveImaging™ HD 3-in-1 transducer. 16" SolarMAX HD IPS display, Dual 1kW sonar with CHIRP. Networkable to Lowrance performance sonars (ActiveTarget™ and ActiveTarget™2), Radars, Trolling Motors, and Autopilots along with waypoint, chart, and sonar sharing. Worlwide basemap (chart card required).</t>
  </si>
  <si>
    <t>000-13978-001</t>
  </si>
  <si>
    <t>HDS-7 CARBON BZL &amp; SD DOOR PK ASSY</t>
  </si>
  <si>
    <t>000-12241-001</t>
  </si>
  <si>
    <t>HDS-7 GEN3 BEZEL &amp; DOOR PK ASY</t>
  </si>
  <si>
    <t>000-12242-001</t>
  </si>
  <si>
    <t>HDS-7 GEN3 SUNCOVER</t>
  </si>
  <si>
    <t>000-14590-001</t>
  </si>
  <si>
    <t>HDS-7 LIVE Bezel and SD Card Door</t>
  </si>
  <si>
    <t>000-14586-001</t>
  </si>
  <si>
    <t>HDS-7 LIVE Bracket and Knobs</t>
  </si>
  <si>
    <t>000-14582-001</t>
  </si>
  <si>
    <t>HDS-7 LIVE SUNCOVER</t>
  </si>
  <si>
    <t>000-13979-001</t>
  </si>
  <si>
    <t>HDS-9 CARBON BZL &amp; SD DOOR PK ASSY</t>
  </si>
  <si>
    <t>000-12243-001</t>
  </si>
  <si>
    <t>HDS-9 GEN3 BEZEL &amp; DOOR PK ASY</t>
  </si>
  <si>
    <t>000-12244-001</t>
  </si>
  <si>
    <t>HDS-9 GEN3 SUNCOVER</t>
  </si>
  <si>
    <t>000-14591-001</t>
  </si>
  <si>
    <t>HDS-9 LIVE Bezel and SD Card Door</t>
  </si>
  <si>
    <t>000-14583-001</t>
  </si>
  <si>
    <t>HDS-9 LIVE/PRO Suncover</t>
  </si>
  <si>
    <t>000-14587-001</t>
  </si>
  <si>
    <t>HDS-9 LIVE/PRO, Elite FS9 Bracket and Knobs</t>
  </si>
  <si>
    <t>HDS-9 LIVE/PRO / Elite FS9 Bracket and Knobs</t>
  </si>
  <si>
    <t>000-15997-001</t>
  </si>
  <si>
    <t>HDS-9 PRO No Transducer (ROW)</t>
  </si>
  <si>
    <t>Lowrance HDS-9 PRO, No Transducer. 9" SolarMAX HD IPS display, Dual 1kW sonar with CHIRP, ActiveImaging™ HD ready. Networkable to Lowrance performance sonars (ActiveTarget™ and ActiveTarget™2), Radars, Trolling Motors, and Autopilots along with waypoint, chart, and sonar sharing. Worlwide basemap (chart card required).</t>
  </si>
  <si>
    <t>000-15982-001</t>
  </si>
  <si>
    <t>HDS-9 PRO ROW + ActiveImaging™ HD 3-in-1 Transducer</t>
  </si>
  <si>
    <t>Lowrance HDS-9 PRO with ActiveImaging™ HD 3-in-1 transducer. 9" SolarMAX HD IPS display, Dual 1kW sonar with CHIRP. Networkable to Lowrance performance sonars (ActiveTarget™ and ActiveTarget™2), Radars, Trolling Motors, and Autopilots along with waypoint, chart, and sonar sharing. Worlwide basemap (chart card required).</t>
  </si>
  <si>
    <t>000-11771-001</t>
  </si>
  <si>
    <t>HELM-1 Cable Steer Drive Unit</t>
  </si>
  <si>
    <t>The HELM-1 is a complete autopilot drive unit for cable-steered vessels, and replaces your existing manual helm drive behind the dash. Designed for easy installation and retrofit, the HELM-1 features an integrated rudder feedback sensor and is plug-and-play compatible with NAC-1 and NAC-2 autopilot computers.</t>
  </si>
  <si>
    <t>000-15137-001</t>
  </si>
  <si>
    <t>HERCULES® EXPANSION MODULE</t>
  </si>
  <si>
    <t>HERCULES EXPANSION MODULE</t>
  </si>
  <si>
    <t>000-15135-001</t>
  </si>
  <si>
    <t>HERCULES® SAILING PROCESSOR</t>
  </si>
  <si>
    <t>B&amp;G Hercules Sailing Processor</t>
  </si>
  <si>
    <t>000-15136-001</t>
  </si>
  <si>
    <t>Hercules® WTP Sailing Processor</t>
  </si>
  <si>
    <t>Hercules® WTP Sailing Processor.</t>
  </si>
  <si>
    <t>000-11550-002</t>
  </si>
  <si>
    <t>Hercules® WTP Sailing Processor Base Pack.</t>
  </si>
  <si>
    <t>B&amp;G Hercules® WTP Sailing Processor Base Pack. H5000 Graphic, Hercules® WTP Sailing Processor, Micro-C Backbone kit</t>
  </si>
  <si>
    <t>000-12393-001</t>
  </si>
  <si>
    <t>High Speed NMEA 0183 Serial cable - 2m (6 ft)</t>
  </si>
  <si>
    <t>High speed NMEA 0183 Serial cable 2m (6 ft)</t>
  </si>
  <si>
    <t>M-AN-M300-MS</t>
  </si>
  <si>
    <t>HONG KONG TO MACAU-MAX</t>
  </si>
  <si>
    <t>AN-M300 - Hong Kong To Macau - MAX - Asia - Wide</t>
  </si>
  <si>
    <t>000-15544-001</t>
  </si>
  <si>
    <t>HOOK REVEAL 5 ROW ICEMACHINE</t>
  </si>
  <si>
    <t>HOOK REVEAL 5 ROW ICEMACHINE: Hook Reveal 5/ Ice Transducer / Ice Bag</t>
  </si>
  <si>
    <t>000-15639-001</t>
  </si>
  <si>
    <t>HOOK REVEAL 50/200 HDI Skimmer Transducer</t>
  </si>
  <si>
    <t>HDI Skimmer® transducer 50/200/455/800kHz for Hook2* and Hook Reveal, with built in temp. Includes mounting bracket and hardware. Cable Length 6m (20 ft). Connector: 8 pin push fit. (* 50 kHz / Low CHIRP frequency options are not available on Hook2)</t>
  </si>
  <si>
    <t>000-15640-001</t>
  </si>
  <si>
    <t>HOOK REVEAL, EAGLE 83/200 HDI Skimmer Transducer</t>
  </si>
  <si>
    <t>HDI Skimmer® transducer 83/200/455/800kHz for Hook2*, Hook Reveal, and Eagle 7,9. Built-in temp. Includes mounting bracket and hardware. Cable Length 6m (20 ft). Connector: 8-pin push fit. (*83 kHz / Mid CHIRP frequency options are not available on Hook2)</t>
  </si>
  <si>
    <t>000-14089-001</t>
  </si>
  <si>
    <t>HOOK2 &amp; Hook Reveal 200kHz Ice Transducer</t>
  </si>
  <si>
    <t>Hook Reveal and Hook2 5"/7"/9"/12" Ice Transducer. 200kHz</t>
  </si>
  <si>
    <t>000-14414-001</t>
  </si>
  <si>
    <t>Hook2 / Reveal / Cruise 8 pin 10 Ft Extension Cable</t>
  </si>
  <si>
    <t>8 pin 10 Ft Extension Cable: This extension cable is only for Hook2 / Hook Reveal / Cruise 8 pin compatible transducers such as Splitshot, TripleShot, Cruise Skimmer</t>
  </si>
  <si>
    <t>000-14177-001</t>
  </si>
  <si>
    <t>HOOK2 12"  Sun Cover</t>
  </si>
  <si>
    <t>000-14173-001</t>
  </si>
  <si>
    <t>HOOK2 4x Sun Cover</t>
  </si>
  <si>
    <t>000-14175-001</t>
  </si>
  <si>
    <t>HOOK2 7"  Sun Cover</t>
  </si>
  <si>
    <t>000-14176-001</t>
  </si>
  <si>
    <t>HOOK2 9"  Sun Cover</t>
  </si>
  <si>
    <t>000-14413-001</t>
  </si>
  <si>
    <t>Hook2 Bullet Skimmer Transducer 10 Ft Extension Cable</t>
  </si>
  <si>
    <t>000-14174-001</t>
  </si>
  <si>
    <t>HOOK2/REVEAL 5"  Sun Cover</t>
  </si>
  <si>
    <t>HOOK2 / HOOK Reveal 5" Sun Cover</t>
  </si>
  <si>
    <t>000-14191-001</t>
  </si>
  <si>
    <t>HOOK2/REVEAL 7"/9"/12" Corner Clips</t>
  </si>
  <si>
    <t>HOOK2 7"/9"/12", Hook Reveal 7"/9" corner clips</t>
  </si>
  <si>
    <t>000-14171-001</t>
  </si>
  <si>
    <t>HOOK2/REVEAL 9" Gimbal Bracket</t>
  </si>
  <si>
    <t>Gimbal Bracket for Hook2/Hook Reveal 9"</t>
  </si>
  <si>
    <t>000-14170-001</t>
  </si>
  <si>
    <t>Hook2/Reveal-4"/5", Eagle-5, Cruise Quick Release Bracket</t>
  </si>
  <si>
    <t>Lowrance Hook2-4"/5", HOOK Reveal 5", Eagle-5", SIMRAD Cruise-5" quick release bracket.</t>
  </si>
  <si>
    <t>000-14088-001</t>
  </si>
  <si>
    <t>HOOK2-4x  Ice Transducer</t>
  </si>
  <si>
    <t>HOOK2-4x  Ice Transducer with power lead.</t>
  </si>
  <si>
    <t>000-14070-001</t>
  </si>
  <si>
    <t>HOOK2-4X 7pin Transducer Adapter &amp; Power Cable</t>
  </si>
  <si>
    <t>HOOK2-4X to 7pin Blue Transducer Adapter &amp; Power Cable</t>
  </si>
  <si>
    <t>SEN-HSG-M</t>
  </si>
  <si>
    <t>Housing Bronze Flanged</t>
  </si>
  <si>
    <t>SEN-HSG-P</t>
  </si>
  <si>
    <t>Housing Plastic Flanged</t>
  </si>
  <si>
    <t>SEN-HSG-PF</t>
  </si>
  <si>
    <t>Housing Plastic Flush</t>
  </si>
  <si>
    <t>SEN-PLUG-DPT</t>
  </si>
  <si>
    <t>Housing Plug (Depth)</t>
  </si>
  <si>
    <t>SEN-PLUG-SP2</t>
  </si>
  <si>
    <t>Housing Plug Speed (screw version)</t>
  </si>
  <si>
    <t>000-15649-001</t>
  </si>
  <si>
    <t>HS100 Handset - Wired</t>
  </si>
  <si>
    <t>Simrad HS100 wired handset only, for RS100 / RS100-B VHF radios. Up to 4 wired handsets can be added to one system.</t>
  </si>
  <si>
    <t>000-15647-001</t>
  </si>
  <si>
    <t>HS100 Handset + Speaker Kit - Wired</t>
  </si>
  <si>
    <t>Simrad HS100 wired handset and SP100 speaker kit for RS100/RS100-B VHF radio systems. Up to 4 wired handsets and 4 speakers can be added to one system.</t>
  </si>
  <si>
    <t>000-14475-001</t>
  </si>
  <si>
    <t>HS40 Wireless Handset</t>
  </si>
  <si>
    <t>Simrad HS40 - Wireless handset for the RS40 and RS100 VHF radios. HS40 duplicates the radios display and controls, enabling remote control access to all key functions.</t>
  </si>
  <si>
    <t>000-14925-001</t>
  </si>
  <si>
    <t>HS40/H60 VHF Wireless handset charging cradle</t>
  </si>
  <si>
    <t>HS40/H60 VHF Wireless handset Inductive charging cradle</t>
  </si>
  <si>
    <t>000-10641-001</t>
  </si>
  <si>
    <t>HS70 Programming Cable</t>
  </si>
  <si>
    <t>000-15686-001</t>
  </si>
  <si>
    <t>HS75 Pole Mount Bracket</t>
  </si>
  <si>
    <t>Pole Mount Bracket for HS75 - Standard 1'' 14TPI  threads.</t>
  </si>
  <si>
    <t>000-15687-001</t>
  </si>
  <si>
    <t>HS75 Surface Mount Kit</t>
  </si>
  <si>
    <t>Surface mount kit for HS75 Antenna. Contains bracket to mount to compass, + 2 surface brackets. One mount for cables passing down through the mounting surface, and a taller version for feeding the cable out the side of the mount.</t>
  </si>
  <si>
    <t>000-10939-001</t>
  </si>
  <si>
    <t>HS80A &amp; MX575D Power &amp; Data Cable - 15m</t>
  </si>
  <si>
    <t>000-10940-001</t>
  </si>
  <si>
    <t>HS80A &amp; MX575D Power &amp; Data Cable - 30m</t>
  </si>
  <si>
    <t>000-0106-77</t>
  </si>
  <si>
    <t>HST-DFSBL 50/200 kHz Skimmer Transducer w/ Temp Sensor</t>
  </si>
  <si>
    <t>HST-DFSBL 50/200 kHz transom-mount skimmer depth/temp - blue 7 pin connector.  Cable Length 6 m (20 ft)</t>
  </si>
  <si>
    <t>000-0106-72</t>
  </si>
  <si>
    <t>HST-WSBL 83/200 kHz Skimmer Transducer w/ Temp Sensor</t>
  </si>
  <si>
    <t>HST - WSBL 83/200 kHz transom-mount skimmer depth/temp - blue 7 pin connector . Cable Length 6 m (20 ft)</t>
  </si>
  <si>
    <t>000-0106-48</t>
  </si>
  <si>
    <t>HST-WSU 83/200kHz Skimmer Transducer</t>
  </si>
  <si>
    <t>HST-WSU 83/200kHz Skimmer Transducer with Temp Sensor. 20ft Cable and UniPlug.</t>
  </si>
  <si>
    <t>000-13902-001</t>
  </si>
  <si>
    <t>Hydraulic Ram T0 12V</t>
  </si>
  <si>
    <t>Hydraulic Ram T0 12V - The RAM T0 Hydraulic linear actuator combines a cylinder, pump,
motor, clutch, and reservoir in a pre-filled, sealed unit. Designed to be
used on vessels fitted with mechanical primary steering that can be
back-driven.</t>
  </si>
  <si>
    <t>RAM-T1-12V</t>
  </si>
  <si>
    <t>Hydraulic Ram T1 12V</t>
  </si>
  <si>
    <t>Hydraulic Ram T1 12V High power, efficient drive units for maximum power with minimum consumption. Ram drives allow the Power Steer mode on the Pilot to be used in cases of manual steering failure. Fully Integrated hydraulic system, no external hoses, reservoirs etc.</t>
  </si>
  <si>
    <t>RAM-T2-12V</t>
  </si>
  <si>
    <t>Hydraulic Ram T2 12V</t>
  </si>
  <si>
    <t>Hydraulic Ram T2 12V High power, efficient drive units for maximum power with minimum consumption. Ram drives allow the Power Steer mode on the Pilot to be used in cases of manual steering failure. Fully Integrated hydraulic system, no external hoses, reservoirs etc.</t>
  </si>
  <si>
    <t>RAM-T2-24V</t>
  </si>
  <si>
    <t>Hydraulic Ram T2 24V</t>
  </si>
  <si>
    <t>Hydraulic Ram T2 24V High power, efficient drive units for maximum power with minimum consumption. Ram drives allow the Power Steer mode on the Pilot to be used in cases of manual steering failure. Fully Integrated hydraulic system, no external hoses, reservoirs etc.</t>
  </si>
  <si>
    <t>000-13788-001</t>
  </si>
  <si>
    <t>Hydraulic Ram T3 12V</t>
  </si>
  <si>
    <t>Hydraulic Ram T3 12V Hydraulic Steering Systems combine a hydraulic cylinder with
clutch, reversing pump and reservoir in a compact installation.</t>
  </si>
  <si>
    <t>RAM-T3-24V</t>
  </si>
  <si>
    <t>Hydraulic Ram T3 24V</t>
  </si>
  <si>
    <t>Hydraulic Ram T3 24V Hydraulic Steering Systems combine a hydraulic cylinder with
clutch, reversing pump and reservoir in a compact installation.</t>
  </si>
  <si>
    <t>000-14125-001</t>
  </si>
  <si>
    <t>I3005 Instrument</t>
  </si>
  <si>
    <t>I3005 Instrument is a 5'' color display multi instrument with easy touch control, a variety of graphic layouts with the capability to enable up to eight different functions simultaneously. Offering a flexible installation that supports a wide variety of I/O signal types.</t>
  </si>
  <si>
    <t>000-14126-001</t>
  </si>
  <si>
    <t>I3007 Instrument</t>
  </si>
  <si>
    <t>I3007 Instrument is a 7-inch superior color display with easy touch control, a variety of graphic layouts with the capability to enable up to eight different functions simultaneously. Offering a flexible installation that supports a wide variety of I/O signal types. The I3007 is approved for SOLAS vessels.</t>
  </si>
  <si>
    <t>000-10442-001</t>
  </si>
  <si>
    <t>ICE TRANSDUCER FLOAT</t>
  </si>
  <si>
    <t>000-14889-001</t>
  </si>
  <si>
    <t>Ice Transducer M/H 9-pin</t>
  </si>
  <si>
    <t>Ice transducer with 9 Pin connector. 83/200 Medium/High frequencies.</t>
  </si>
  <si>
    <t>000-11852-001</t>
  </si>
  <si>
    <t>IDST800L</t>
  </si>
  <si>
    <t>Airmar IDST800L 235F B-122-RETR 6M</t>
  </si>
  <si>
    <t>000-13951-001</t>
  </si>
  <si>
    <t>INSTALL KIT AP44</t>
  </si>
  <si>
    <t>10153</t>
  </si>
  <si>
    <t>INTERFACE UGI-417 GYRO/LOG</t>
  </si>
  <si>
    <t>Entertainment/Weather</t>
  </si>
  <si>
    <t>000-15876-001</t>
  </si>
  <si>
    <t>IP CAM-1 Marine Camera 12 V, PoE</t>
  </si>
  <si>
    <t>The IP CAM-1 marine grade 316 stainless steel IP camera. Powered by 12V DC or PoE.</t>
  </si>
  <si>
    <t>000-13334-001</t>
  </si>
  <si>
    <t>IS35 Digital Gauge</t>
  </si>
  <si>
    <t>IS35 offers a smart interface to engine data, fuel efficiency, depth history and more. This digital gauge automatically displays the most relevant information available from your boat’s on-board electronics, and can be easily retrofit in place of a standard analogue gauge.</t>
  </si>
  <si>
    <t>000-11773-001</t>
  </si>
  <si>
    <t>IS35 Suncover</t>
  </si>
  <si>
    <t>000-13950-001</t>
  </si>
  <si>
    <t>IS42 &amp; Triton2 Installation Kit</t>
  </si>
  <si>
    <t>IS42 &amp; Triton2 Installation Kit - Includes edge bezel, screws and guide tool.</t>
  </si>
  <si>
    <t>000-13285-001</t>
  </si>
  <si>
    <t>IS42 Instrument Display</t>
  </si>
  <si>
    <t>IS42 Instrument - This multi-purpose instrument display features a colour screen that’s designed for optimal visibility in all conditions. See wind data, boat speed, depth, engine information, autopilot status, AIS data and more at a glance.</t>
  </si>
  <si>
    <t>000-13293-002</t>
  </si>
  <si>
    <t>IS42 Speed &amp; Depth Instrument Pack</t>
  </si>
  <si>
    <t>IS42 Speed &amp; Depth Instrument System Pack. Includes IS42 and DST810 Depth/Speed/Temp transducer.</t>
  </si>
  <si>
    <t>000-13723-001</t>
  </si>
  <si>
    <t>IS42 Suncover</t>
  </si>
  <si>
    <t>Suncover for Simrad IS42 Display.</t>
  </si>
  <si>
    <t>000-14479-001</t>
  </si>
  <si>
    <t>IS42J Engine Gauge &amp; J1939 Gateway</t>
  </si>
  <si>
    <t>IS42J - 4.1-inch colour display offering a clear view of engine status and performance for one or two J1939 compatible diesel engines. More than a standalone gauge, the IS42J also bridges the gap between those engines and your boat’s NMEA 2000® network.</t>
  </si>
  <si>
    <t>000-14822-001</t>
  </si>
  <si>
    <t>J1939 ADAPTOR CABLE</t>
  </si>
  <si>
    <t>J1939 to Micro-C adaptor cable 30 cm (1ft)</t>
  </si>
  <si>
    <t>22088165</t>
  </si>
  <si>
    <t>JS10 NFU Joystick</t>
  </si>
  <si>
    <t>JS10 Non Follow Up Joystick, designed for armrest mounting or at key positions on the vessel.
Compatible with AC70, AC80A, AC80S, AC85, NAC-3. Comes with 10m cable.</t>
  </si>
  <si>
    <t>288-00-001</t>
  </si>
  <si>
    <t>Junction Box 7 Terminal</t>
  </si>
  <si>
    <t>000-10606-001</t>
  </si>
  <si>
    <t>KAYAK SCUPPER HOLE TRANSDUCER MOUNT</t>
  </si>
  <si>
    <t>000-11763-001</t>
  </si>
  <si>
    <t>Keyboard PS/2 for CS68 ECDIS</t>
  </si>
  <si>
    <t>Keyboard PS/2 for CS68 ECDIS - G84-4100</t>
  </si>
  <si>
    <t>11197</t>
  </si>
  <si>
    <t>Keyboard USB - Cherry US/ENG</t>
  </si>
  <si>
    <t>11313</t>
  </si>
  <si>
    <t>KIT,BNWAS INTERFACE,ALARM PLC</t>
  </si>
  <si>
    <t>20188074</t>
  </si>
  <si>
    <t>LF3000 Linear Feedback</t>
  </si>
  <si>
    <t>LF3000 Linear Feedback - For use with outboard system if a rudder angle is desired. Also requires LFI3000MK2 priced/ordered separately.</t>
  </si>
  <si>
    <t>20193454</t>
  </si>
  <si>
    <t>Light Duty Transmission Link</t>
  </si>
  <si>
    <t>Light Duty Transmission Link for RF300, RF25N and RF40 rudder feedbacks.</t>
  </si>
  <si>
    <t>000-14920-001</t>
  </si>
  <si>
    <t>LINK-6 Fist Mic</t>
  </si>
  <si>
    <t>Lowrance Link-9 Remote Mountable Fist Mic. Can be connected to the front or rear of the radio, and optional extension cable allows the radio and mic to be mounted in seperate locations.</t>
  </si>
  <si>
    <t>000-14057-001</t>
  </si>
  <si>
    <t>LINK-6 Flush Mount Kit</t>
  </si>
  <si>
    <t>000-14062-001</t>
  </si>
  <si>
    <t>LINK-6 Mic Clip</t>
  </si>
  <si>
    <t>000-14060-001</t>
  </si>
  <si>
    <t>LINK-6 Mounting Bracket</t>
  </si>
  <si>
    <t>000-14064-001</t>
  </si>
  <si>
    <t>LINK-6 Mounting Bracket Knobs</t>
  </si>
  <si>
    <t>000-14054-001</t>
  </si>
  <si>
    <t>LINK-6 Suncover</t>
  </si>
  <si>
    <t>VHF and AIS</t>
  </si>
  <si>
    <t>000-14493-001</t>
  </si>
  <si>
    <t>LINK-6S Marine VHF Radio w/ DSC</t>
  </si>
  <si>
    <t>Lowrance Link-6S Marine DSC VHF Radio. With built in GPS.</t>
  </si>
  <si>
    <t>000-14918-001</t>
  </si>
  <si>
    <t>LINK-9 Fist Mic mounting clip</t>
  </si>
  <si>
    <t>000-14914-001</t>
  </si>
  <si>
    <t>LINK-9 Flush Mount KIt</t>
  </si>
  <si>
    <t>Link-9 VHF Flush Mounting kit.:Includes teplate, Gasket, Bezels and screws</t>
  </si>
  <si>
    <t>000-14472-001</t>
  </si>
  <si>
    <t>LINK-9 Marine VHF Radio w/ DSC and AIS-RX</t>
  </si>
  <si>
    <t>Lowrance LINK-9 marine VHF radio with DSC and AIS receiver.</t>
  </si>
  <si>
    <t>000-14916-001</t>
  </si>
  <si>
    <t>LINK-9 Mounting Bracket w/Knobs</t>
  </si>
  <si>
    <t>Link-9 VHF Mounting bracket with Knobs and Screws</t>
  </si>
  <si>
    <t>000-14911-001</t>
  </si>
  <si>
    <t>LINK-9 VHF Suncover</t>
  </si>
  <si>
    <t>000-14503-001</t>
  </si>
  <si>
    <t>LINKPRO SERVICE TOOL</t>
  </si>
  <si>
    <t>000-14963-001</t>
  </si>
  <si>
    <t>LiveSight Ice Mount</t>
  </si>
  <si>
    <t>Replacement Ice Mount for LiveSight Transducer</t>
  </si>
  <si>
    <t>000-14543-001</t>
  </si>
  <si>
    <t>LOWRANCE HALO20 Radar</t>
  </si>
  <si>
    <t>HALO20 Radar - A cost-effective compact 20'' Radar dome. 24nm range and 24RPM. The perfect radar solution for budget-conscious boaters with small sportfishing vessels and dayboats.</t>
  </si>
  <si>
    <t>000-14542-001</t>
  </si>
  <si>
    <t>LOWRANCE HALO20+ Radar</t>
  </si>
  <si>
    <t>000-14541-001</t>
  </si>
  <si>
    <t>LOWRANCE HALO24 Radar</t>
  </si>
  <si>
    <t>000-14041-001</t>
  </si>
  <si>
    <t>Lowrance Power Cable</t>
  </si>
  <si>
    <t>2-Wire POWER ONLY cable for Mark, Elite, Hook, Elite Ti, HDS.</t>
  </si>
  <si>
    <t>000-0127-49</t>
  </si>
  <si>
    <t>Lowrance Power/0183 Cable</t>
  </si>
  <si>
    <t>Lowrance Power/0183 Cable for HDS, EliteTi/Ti2 and HOOK Gen1 series.</t>
  </si>
  <si>
    <t>000-14505-001</t>
  </si>
  <si>
    <t>LOWRANCE REMOTE CONTROLLER LR-1</t>
  </si>
  <si>
    <t>LOWRANCE REMOTE CONTROLLER LR-1
Bluetooth Remote controller for HDS Live and HDS Carbon</t>
  </si>
  <si>
    <t>000-10874-001</t>
  </si>
  <si>
    <t>LSS-HD Skimmer Bracket</t>
  </si>
  <si>
    <t>LSS-HD Skimmer Mount Transducer Bracket</t>
  </si>
  <si>
    <t>LTB2:Y</t>
  </si>
  <si>
    <t>LTB2:Y - AX30 Replacement Lithium Battery</t>
  </si>
  <si>
    <t>Lithium battery for AX30</t>
  </si>
  <si>
    <t>000-13547-001</t>
  </si>
  <si>
    <t>M5000 Monitor Gimbal Bracket Kit</t>
  </si>
  <si>
    <t>Extra heavy duty Gimbal bracket for desk-mounting the M5000 IMO Monitors, Simrad MO-Series Touch Monitors,  B&amp;G ZM-Series Monitors as well as NSO evo3S MFD and Zeus3S Glass Helm Displays.</t>
  </si>
  <si>
    <t>000-12257-001</t>
  </si>
  <si>
    <t>M5000 Monitor Power Supply</t>
  </si>
  <si>
    <t>M5000 Monitor Power Supply - Mains power supply for the M5000 series monitors. 100-240V AC 50/60Hz to 24V DC 4.17A.</t>
  </si>
  <si>
    <t>000-12300-001</t>
  </si>
  <si>
    <t>M5024 - 24'' Monitor w/ AC Power Supply Kit</t>
  </si>
  <si>
    <t>M5024 24" Diagonal 16:9 widescreen. including external AC/DC power supply and DVI cable, color calibrated monitor for ECDIS usage and ARGUS type approved Radar System for CAT 2 (H) IMO/SOLAS Vessels. Includes 230/110V AC Power supply.</t>
  </si>
  <si>
    <t>000-11781-001</t>
  </si>
  <si>
    <t>M5024 - 24'' Type Approved Monitor</t>
  </si>
  <si>
    <t>M5024 24" Diagonal 16:9 widescreen color calibrated monitor for ECDIS usage and R5000 type approved Radar System for CAT 2 (H) IMO/SOLAS Vessels</t>
  </si>
  <si>
    <t>000-12726-001</t>
  </si>
  <si>
    <t>M5027 - 27'' Type Approved Monitor</t>
  </si>
  <si>
    <t>M5027 27” Diagonal 16:9 widescreen color calibrated monitor for ECDIS usage and ARGUS type approved Radar System for CAT 1 (H) IMO/SOLAS Vessels.</t>
  </si>
  <si>
    <t>000-15633-001</t>
  </si>
  <si>
    <t>Magnetic Suncover for 19'' SIMRAD Monitor</t>
  </si>
  <si>
    <t>Magnetic Suncover for 19'' SIMRAD Monitor and NSOevo3S MFD</t>
  </si>
  <si>
    <t>000-15634-001</t>
  </si>
  <si>
    <t>Magnetic Suncover for 24'' SIMRAD Monitor</t>
  </si>
  <si>
    <t>Magnetic Suncover for 24'' SIMRAD Monitor and NSOevo3S MFD</t>
  </si>
  <si>
    <t>000-15632-001</t>
  </si>
  <si>
    <t>Magnetic Suncover for SIMRAD 16''  Monitor</t>
  </si>
  <si>
    <t>Magnetic Suncover for SIMRAD MO16 Monitor and NSO evo3S MFD</t>
  </si>
  <si>
    <t>44174134</t>
  </si>
  <si>
    <t>Master Compass - Belt</t>
  </si>
  <si>
    <t>GC80 / GC85 Master Compass - Drive belt. Mounted on the underside by the stepper motor. Also for RGC12.</t>
  </si>
  <si>
    <t>44134856</t>
  </si>
  <si>
    <t>Master Compass - Harness Assembly</t>
  </si>
  <si>
    <t>GC80 / GC85 Master Compass - Harness Assembly. Also for RGC12.</t>
  </si>
  <si>
    <t>44141760</t>
  </si>
  <si>
    <t>Master Compass - Inverter</t>
  </si>
  <si>
    <t>GC80 / GC85 Master Compass Inverter. Also for RGC10/11/12.</t>
  </si>
  <si>
    <t>44142321</t>
  </si>
  <si>
    <t>Master Compass - SMCC PCB</t>
  </si>
  <si>
    <t>GC80 / GC85 Master Compass - SMCC PCB mounted on the lower part of the master compass.</t>
  </si>
  <si>
    <t>000-13585-001</t>
  </si>
  <si>
    <t>Master Compass - Upper Brush Assembly</t>
  </si>
  <si>
    <t>GC80 / GC85 Master Compass - Upper Brush Assembly. Also for RGC11/12.</t>
  </si>
  <si>
    <t>27102060</t>
  </si>
  <si>
    <t>MB Repeater Holder for AR81 &amp; AR83</t>
  </si>
  <si>
    <t>MB Repeater Holder - Wall mounted mounting bracket for AR81 or AR83 Bearing Repeater. Lets you mount the Repeater at a fixed angle using the threaded mounts on the Repeater.</t>
  </si>
  <si>
    <t>000-16471-001</t>
  </si>
  <si>
    <t>MB REPEATER HOLDER FOR AR81,AR91,AR83</t>
  </si>
  <si>
    <t>22011183</t>
  </si>
  <si>
    <t>Medium Duty Transmission Link</t>
  </si>
  <si>
    <t>Transmission Link assembly for RF45X and RF70N.</t>
  </si>
  <si>
    <t>213-10-004</t>
  </si>
  <si>
    <t>MHU Angle Bearing</t>
  </si>
  <si>
    <t>000-10573-001</t>
  </si>
  <si>
    <t>MHU Mast Bracket</t>
  </si>
  <si>
    <t>Mast Bracket kit with rubber gasket and screws for the WS310/320, 608/508, and IS20 Wind Sensors.</t>
  </si>
  <si>
    <t>MHU-MLDGS</t>
  </si>
  <si>
    <t>MHU Mouldings</t>
  </si>
  <si>
    <t>MHU-NUTS</t>
  </si>
  <si>
    <t>MHU Mounting Nuts - All Models</t>
  </si>
  <si>
    <t>Replacement mounting nuts for wind vane and cups for all B&amp;G MHUs (508, 608, 213, VMHU, WS300, WS700)</t>
  </si>
  <si>
    <t>213-10-038</t>
  </si>
  <si>
    <t>MHU Speed Bearing - All Models</t>
  </si>
  <si>
    <t>Replacement wind speed bearing for all B&amp;G MHUs (508, 608, 213, VMHU, WS300, WS700)</t>
  </si>
  <si>
    <t>213-10-056</t>
  </si>
  <si>
    <t>MHU Vane</t>
  </si>
  <si>
    <t>000-15140-001</t>
  </si>
  <si>
    <t>MHU Wind Speed Cups - All models</t>
  </si>
  <si>
    <t>Wind Speed Cup spare for all B&amp;G MHUs (508, 608, 213, VMHU, WS300, WS700)</t>
  </si>
  <si>
    <t>000-13892-001</t>
  </si>
  <si>
    <t>MI10 MicroSD Card Reader</t>
  </si>
  <si>
    <t>MI10 Dashmount microSD card reader: Provides a dual Chart Card reader for use with NSO and Zeus MFD / MPU systems.</t>
  </si>
  <si>
    <t>24006199</t>
  </si>
  <si>
    <t>Micro-C Device to SimNet 1m</t>
  </si>
  <si>
    <t>Micro-C female to SimNet  1.0 m (3.2 ft) cable that connects a NMEA 2000® product to a SimNet backbone</t>
  </si>
  <si>
    <t>24006413</t>
  </si>
  <si>
    <t>Micro-C Device to SimNet 4m</t>
  </si>
  <si>
    <t>Micro-C female to SimNet 4 m (13 ft) cable that connects a NMEA 2000® product to a SimNet backbone</t>
  </si>
  <si>
    <t>11393</t>
  </si>
  <si>
    <t>MK 6.0 Radar Interface</t>
  </si>
  <si>
    <t>MK 6.0 Radar Interface - Allows displaying Radar Overlay in ECDIS900 from several different Radar types. Check description for compatability.</t>
  </si>
  <si>
    <t>44142362</t>
  </si>
  <si>
    <t>MK1 Control Units - GPANEL PCB</t>
  </si>
  <si>
    <t>GC80 / GC85 Compact &amp; Expanded &amp; Dual Controller MK1 - GPANEL PCB. Replacement PCB for the Gyro control panel. Used in all MK1 control units interchangeably.</t>
  </si>
  <si>
    <t>000-12547-002</t>
  </si>
  <si>
    <t>MK15 FPC 19" 4S,HD 19T22</t>
  </si>
  <si>
    <t>SIMRAD MK15 Flat pannel PC 19" 4S,HD 19T22</t>
  </si>
  <si>
    <t>000-12547-001</t>
  </si>
  <si>
    <t>MK15 FPC 19” 4S</t>
  </si>
  <si>
    <t>000-12526-002</t>
  </si>
  <si>
    <t>MK15 FPC 24" 4S,HD 24T22</t>
  </si>
  <si>
    <t>SIMRAD MK15 Flat pannel PC 24" 4S,HD 24T22</t>
  </si>
  <si>
    <t>000-12526-001</t>
  </si>
  <si>
    <t>MK15 FPC 24” 4S</t>
  </si>
  <si>
    <t>000-16155-001</t>
  </si>
  <si>
    <t>MK15 FPC 27" 4S,HD 27T22</t>
  </si>
  <si>
    <t>SIMRAD MK15 Flat pannel PC 27" 4S,HD 27T22</t>
  </si>
  <si>
    <t>000-15933-001</t>
  </si>
  <si>
    <t>MK2 Control Units - GPANEL-A PCB</t>
  </si>
  <si>
    <t>GC80 / GC85 Compact &amp; Expanded &amp; Dual Controller MK1 - GPANEL-A PCB. Replacement PCB for the Gyro control panel assembly. Used in all MK2 control units interchangeably.</t>
  </si>
  <si>
    <t>000-15919-001</t>
  </si>
  <si>
    <t>MK2 Control Units - Gyro Control Panel</t>
  </si>
  <si>
    <t>GC80 / GC85 MK2 Control Units, Main Gyro Control Panel located in Compact, Expanded and Dual MK2 Control units.</t>
  </si>
  <si>
    <t>000-11614-001</t>
  </si>
  <si>
    <t>MO, NSO evo3 16/19/24 Cable retention bracket</t>
  </si>
  <si>
    <t>000-11625-001</t>
  </si>
  <si>
    <t>MO16/19/24 Connector Kit</t>
  </si>
  <si>
    <t>MO16/19/24 Connector Kit - Power and Serial</t>
  </si>
  <si>
    <t>000-11260-001</t>
  </si>
  <si>
    <t>MO16-T - 16'' Touch Monitor</t>
  </si>
  <si>
    <t>MO16-T - 15.6" Multi-Touch monitor with 1366x768 resolution. The 1000 nit peak brightness gives you a clear display even in direct sunlight, and the minimum brightness is extremely dim for night operation without blinding. Multiple video inputs and low-profile glass bridge design.</t>
  </si>
  <si>
    <t>000-11264-001</t>
  </si>
  <si>
    <t>MO24-T - 24'' Touch Monitor</t>
  </si>
  <si>
    <t>MO24-T - 24" Multi-Touch monitor with 1920x1080 resolution. The 1000 nit peak brightness gives you a clear display even in direct sunlight, and the minimum brightness is extremely dim for night operation without blinding. Multiple video inputs and low-profile glass bridge design.</t>
  </si>
  <si>
    <t>000-11737-002</t>
  </si>
  <si>
    <t>MONITOR,B&amp;G,ZM19-T,TOUCH,HIGH BR</t>
  </si>
  <si>
    <t>B&amp;G ZM19-T. 19" Multi-Touch monitor, HD widescreen 1366x768 resolution. High-bright 1000-nit monitor. HDMI, DVI, 2x Analog composite (BNC) video in.</t>
  </si>
  <si>
    <t>000-11262-002</t>
  </si>
  <si>
    <t>MONITOR,SIM,MO19-T,TOUCH,HIGH BRT</t>
  </si>
  <si>
    <t>MO19-T - 19" Multi-Touch monitor, HD widescreen 1366x768 resolution. High-bright 1000-nit monitor. HDMI, DVI, 2x Analog composite (BNC) video in.</t>
  </si>
  <si>
    <t>000-0099-06</t>
  </si>
  <si>
    <t>Mounting Bracket for 83/200kHz Skimmer Transducers (HS-WS-SS)</t>
  </si>
  <si>
    <t>Mounting kit for transom mount 83/200 kHz skimmer transducers.</t>
  </si>
  <si>
    <t>000-12372-001</t>
  </si>
  <si>
    <t>Mounting bracket NSX 3007, GO7 XSR, Vulcan 7R, I3007 &amp; P3007</t>
  </si>
  <si>
    <t>Mounting bracket for Simrad NSX 3007, GO7 XSR, I3007, P3007, and B&amp;G Vulcan 7R,</t>
  </si>
  <si>
    <t>000-10466-001</t>
  </si>
  <si>
    <t>MOUNTING BRACKET, NSS-12 EVO2, ZEUS2-12</t>
  </si>
  <si>
    <t>000-10465-001</t>
  </si>
  <si>
    <t>MOUNTING BRACKET, NSS-9 EVO2, ZEUS2-9</t>
  </si>
  <si>
    <t>000-11618-001</t>
  </si>
  <si>
    <t>MO-xx, NSOevo3 16/19/24 &amp; M5000 Rear Mount Bracket Kit</t>
  </si>
  <si>
    <t>MO, NSO evo3 16/19/24,Rear mount bracket kit.
Includes: dash seal for 16,19,24" and Bracket kit</t>
  </si>
  <si>
    <t>500-100-2001</t>
  </si>
  <si>
    <t>MX510/12 Power &amp; Data Cable</t>
  </si>
  <si>
    <t>MX510/12 Power &amp; Data Cable - 12pin 3m</t>
  </si>
  <si>
    <t>000-11139-001</t>
  </si>
  <si>
    <t>MX610 Junction Box</t>
  </si>
  <si>
    <t>MX610JB GPS Junction Box - NMEA0183, Antenna and NMEA2000 Junction Box for P3007, P2005, GN70, MX610, MX612 GPS and DGPS systems.</t>
  </si>
  <si>
    <t>000-10916-001</t>
  </si>
  <si>
    <t>MX612 Junction Box</t>
  </si>
  <si>
    <t>MX612JB has a total of 12 NMEA0183 ports, where 2 are reserved for antenna communications, leaving 10 available for distribution of data to other systems onboard.</t>
  </si>
  <si>
    <t>000-12612-001</t>
  </si>
  <si>
    <t>N2K 4-Way T-Joiner</t>
  </si>
  <si>
    <t>Low loss NMEA2000 4-way joiner. Connect four NMEA2000 Micro-C devices to the NMEA2000 Network.</t>
  </si>
  <si>
    <t>000-10760-001</t>
  </si>
  <si>
    <t>N2K Autopilot backbone start kit</t>
  </si>
  <si>
    <t>NMEA 2000 Micro-C Auto pilot network starter kit: Includes Network power cable, 4.5 m (15 ft) N2K cable, 3 x T-connectors, and 2 x network terminators.</t>
  </si>
  <si>
    <t>000-0127-04</t>
  </si>
  <si>
    <t>N2K Blue Device to Red</t>
  </si>
  <si>
    <t>NAC-MRD2MBL - Adapter cable to enable connection of a legacy blue NMEA 2000® device to a red or black Micro-C network</t>
  </si>
  <si>
    <t>000-10614-001</t>
  </si>
  <si>
    <t>N2K Cable - 0.4m (90°)</t>
  </si>
  <si>
    <t>NMEA2000 Cable with 90-degree connectors on both ends. For use on instruments mounted in tight spaces etc where normal cables run too deep behind the unit.</t>
  </si>
  <si>
    <t>000-0119-88</t>
  </si>
  <si>
    <t>N2K Cable - 0.6m (2ft)</t>
  </si>
  <si>
    <t>N2KEXT-2RD - 0.61 m (2-ft) NMEA 2000® cable for backbone extension or drop cable to connect an additional network device</t>
  </si>
  <si>
    <t>000-15739-001</t>
  </si>
  <si>
    <t>N2K Cable - 0.6m 90DEG</t>
  </si>
  <si>
    <t>NMEA 2000  cable 0.6 m (2 ft) Micro-C straight connector / 90 degree female connector.</t>
  </si>
  <si>
    <t>000-0127-53</t>
  </si>
  <si>
    <t>N2K Cable - 1.8m (6ft)</t>
  </si>
  <si>
    <t>N2KEXT-6RD - 1.82 m (6-ft) NMEA 2000® cable for backbone extension or drop cable to connect an additional network device</t>
  </si>
  <si>
    <t>000-0119-86</t>
  </si>
  <si>
    <t>N2K Cable - 4.5m (15ft)</t>
  </si>
  <si>
    <t>N2KEXT-15RD - 4.55 m (15-ft) NMEA 2000® cable for backbone extension or or drop cable to connect an additional  network device</t>
  </si>
  <si>
    <t>000-0119-83</t>
  </si>
  <si>
    <t>N2K Cable - 7.5m (25ft)</t>
  </si>
  <si>
    <t>N2KEXT-25RD - 7.58 m (25-ft) NMEA 2000® cable for network backbone extension only</t>
  </si>
  <si>
    <t>000-14378-001</t>
  </si>
  <si>
    <t>N2K Cable - Medium duty 10m (33ft)</t>
  </si>
  <si>
    <t>NMEA 2000 Micro-C Medium duty cable. 10 m (33 ft) Low loss 18 gauge cable recommended for network backbone runs</t>
  </si>
  <si>
    <t>000-14379-001</t>
  </si>
  <si>
    <t>N2K Cable - Medium duty 20m (66.6ft)</t>
  </si>
  <si>
    <t>NMEA 2000 Micro-C Medium duty cable. 20 m (65.6 ft) Low loss 18-gauge cable recommended for network backbone runs resulting in a more robust network. Cables are identified by orange locking collars.</t>
  </si>
  <si>
    <t>000-14376-001</t>
  </si>
  <si>
    <t>N2K Cable - Medium duty 2m (6.5ft)</t>
  </si>
  <si>
    <t>NMEA 2000 Micro-C Medium duty cable. 2 m (6.5 ft) Low loss 18 gauge cable recommended for network backbone runs</t>
  </si>
  <si>
    <t>000-14377-001</t>
  </si>
  <si>
    <t>N2K Cable - Medium duty 6m (19.7ft)</t>
  </si>
  <si>
    <t>NMEA 2000 Micro-C Medium duty cable. 6 m (19.7 ft) Low loss 18 gauge cable recommended for network backbone runs</t>
  </si>
  <si>
    <t>000-15385-001</t>
  </si>
  <si>
    <t>N2K In-Line Terminator</t>
  </si>
  <si>
    <t>In-Line 120-Ohm NMEA2000 terminator, to use in one end of the network.</t>
  </si>
  <si>
    <t>000-0119-75</t>
  </si>
  <si>
    <t>N2K Power Cable Kit</t>
  </si>
  <si>
    <t>N2K-PWR-RD - NMEA 2000® power cable. Includes power cable and 1 x T connector</t>
  </si>
  <si>
    <t>000-12259-001</t>
  </si>
  <si>
    <t>N2K Power Isolator</t>
  </si>
  <si>
    <t>Network power isolator. Separates separately powered sections of the NMEA2000 network while letting data through.</t>
  </si>
  <si>
    <t>000-0127-05</t>
  </si>
  <si>
    <t>N2K Red Device to Blue</t>
  </si>
  <si>
    <t>NAC-FRD2FBL - Adapter cable to enable connection of a red or black Micro-C NMEA 2000® device to a legacy blue network.</t>
  </si>
  <si>
    <t>000-0124-69</t>
  </si>
  <si>
    <t>N2K Start Kit</t>
  </si>
  <si>
    <t>NMEA 2000® starter kit - Backbone required to install one or more NMEA 2000® devices includes Network power cable, 0.6 m (2 ft) N2K cable, 4.5 m (15 ft) N2K cable, 2 x T-connectors, 2 x network terminators</t>
  </si>
  <si>
    <t>000-0127-52</t>
  </si>
  <si>
    <t>N2K Terminator Kit</t>
  </si>
  <si>
    <t>TR-120-KIT - Set of 1 male and 1 female NMEA 2000® terminators</t>
  </si>
  <si>
    <t>000-0119-79</t>
  </si>
  <si>
    <t>N2K T-Joiner</t>
  </si>
  <si>
    <t>N2K-T-RD - Micro-C T-connector for connection of an additional network device</t>
  </si>
  <si>
    <t>000-10757-001</t>
  </si>
  <si>
    <t>N2K Wind Mast cable 20m (66ft)</t>
  </si>
  <si>
    <t>20 m (66 ft) NMEA2000 Wind vane cable (Micro-C male - Simnet)</t>
  </si>
  <si>
    <t>000-10758-001</t>
  </si>
  <si>
    <t>N2K Wind Mast cable 35 m (115ft)</t>
  </si>
  <si>
    <t>35 m (115 ft) NMEA2000 Wind vane cable (Micro-C male - Simnet)</t>
  </si>
  <si>
    <t>000-14464-001</t>
  </si>
  <si>
    <t>NAC-1 &amp; NAC-2 Power Cable</t>
  </si>
  <si>
    <t>NAC-1 &amp; NAC-2 Power Cable - 2m</t>
  </si>
  <si>
    <t>000-14798-001</t>
  </si>
  <si>
    <t>NAC-1 &amp; NAC-2 Rudder Feedback Cable</t>
  </si>
  <si>
    <t>NAC-2 Rudder feedback cable: Used to connect resistive rudder feedback units to either NAC-1 or NAC-2. 3 Pin connector to 3 bare wires. 2 m (6.5 ft)</t>
  </si>
  <si>
    <t>000-11769-001</t>
  </si>
  <si>
    <t>NAC-1 Autopilot Computer</t>
  </si>
  <si>
    <t>NAC-1 Autopilot Computer – The brains behind the Outboard Pilot and Drive Pilot systems. It contains the steering computer and electronics for the drive unit motor and clutch.</t>
  </si>
  <si>
    <t>000-15952-001</t>
  </si>
  <si>
    <t>NAC-1 Outboard Pilot Hydraulic Pack, MKII Pump-1</t>
  </si>
  <si>
    <t>Outboard Pilot Hydraulic Pack: Includes Point-1 AP Heading and GPS Sensor, NAC-1 Autopilot Computer, PUMP-1 MKII – 0.8L reversible hydraulic pump, hydraulic fitting kit, Standby-Auto button and Micro-C network components.</t>
  </si>
  <si>
    <t>000-15951-001</t>
  </si>
  <si>
    <t>NAC-1 Precision Hydraulic Pilot Pack, MKII Pump-1</t>
  </si>
  <si>
    <t>NAC-1 Precision Hydraulic Autopilot pack: Includes Precision-9 Heading Sensor, NAC-1 Autopilot Computer, PUMP-1 (MkII) Hydraulic Pump – 0.8L reversible hydraulic pump, Standby-Auto button and Micro-C network components.</t>
  </si>
  <si>
    <t>000-13249-001</t>
  </si>
  <si>
    <t>NAC-2 Autopilot Computer</t>
  </si>
  <si>
    <t>The low-current NAC-2 autopilot computer is ideal for smaller vessels, designed to run small hydraulic drives and mechanical drives for vessels up to 10 metres (33 feet) in length. Also provides solenoid output.</t>
  </si>
  <si>
    <t>000-13335-001</t>
  </si>
  <si>
    <t>NAC-2 Autopilot Core Pack</t>
  </si>
  <si>
    <t>NAC-2 Autopilot Core Pack - Comes with NAC-2 Autopilot Computer, Precision-9 Compass and RF-25N Rudder Feedback unit.</t>
  </si>
  <si>
    <t>000-14463-001</t>
  </si>
  <si>
    <t>NAC-2 Drive Cable</t>
  </si>
  <si>
    <t>NAC-2 Spare Drive Cable - 2m (6.5 ft)</t>
  </si>
  <si>
    <t>000-13337-001</t>
  </si>
  <si>
    <t>NAC-2 VRF Autopilot Core Pack</t>
  </si>
  <si>
    <t>NAC-2 VRF Autopilot Core Pack - Comes with NAC-2 Autopilot Computer and Precision-9 Compass.</t>
  </si>
  <si>
    <t>000-13250-001</t>
  </si>
  <si>
    <t>NAC-3 Autopilot Computer</t>
  </si>
  <si>
    <t>The high-current NAC-3 autopilot computer is designed for vessels over 10 metres (33 feet) in length, with the ability to run heavy-duty hydraulic drive pumps &amp; linear rams, and also provides solenoid output.</t>
  </si>
  <si>
    <t>000-13336-001</t>
  </si>
  <si>
    <t>NAC-3 Autopilot Core Pack</t>
  </si>
  <si>
    <t>NAC-3 Autopilot Core Pack - Comes with NAC-3 Autopilot Computer, Precision-9 Compass and RF-25N Rudder Feedback unit.</t>
  </si>
  <si>
    <t>000-13338-001</t>
  </si>
  <si>
    <t>NAC-3 VRF Autopilot Core Pack</t>
  </si>
  <si>
    <t>NAC-3 VRF Autopilot Core Pack - Comes with NAC-3 Autopilot Computer and Precision-9 Compass.</t>
  </si>
  <si>
    <t>000-15621-001</t>
  </si>
  <si>
    <t>NAC-D AUTOPILOT COMPUTER</t>
  </si>
  <si>
    <t>NAC-D AUTOPILOT COMPUTER. NAC™ -D is a digital steering autopilot solution for Electronic Vessel Control Systems (steering systems with a digital interface). It allows automatic switching between two speed profiles, delivering optimal steering performance at both low and high speeds.</t>
  </si>
  <si>
    <t>Power Systems</t>
  </si>
  <si>
    <t>000-13959-001</t>
  </si>
  <si>
    <t>NAIS500 &amp; Naviop OP-BOX Power &amp; Serial Cable</t>
  </si>
  <si>
    <t>NAIS500/400 &amp; Naviop OP-BOX Power &amp; Serial Cable</t>
  </si>
  <si>
    <t>000-13611-001</t>
  </si>
  <si>
    <t>NAIS-500 Class B AIS</t>
  </si>
  <si>
    <t>NAIS-500 class B AIS module only. Broadcast your location to anyone nearby with an AIS Receiver. A low cost safety system for recreational vessels and smaller professional vessels in near coastal waters.</t>
  </si>
  <si>
    <t>000-13609-001</t>
  </si>
  <si>
    <t>NAIS-500 Class B AIS w/ GPS-500</t>
  </si>
  <si>
    <t>NAIS-500 class B AIS with GPS-500 GPS antenna. Broadcast your location to anyone nearby with an AIS Receiver. A low cost safety system for recreational vessels and smaller professional vessels in near coastal waters.</t>
  </si>
  <si>
    <t>000-13963-001</t>
  </si>
  <si>
    <t>NAIS-500 Class B AIS w/ NSPL-500 &amp; GPS-500</t>
  </si>
  <si>
    <t>NAIS-500 Class B AIS including NSPL500 VHF/AIS Antenna splitter and GPS500 antenna. Broadcast your location to anyone nearby with an AIS Receiver. A low cost safety system for recreational vessels and smaller professional vessels in near coastal waters.</t>
  </si>
  <si>
    <t>000-14991-001</t>
  </si>
  <si>
    <t>Naviop AT30 Protocol Converter</t>
  </si>
  <si>
    <t>Naviop AT30 Protocol Converter - N2K To Naviop CAN Gateway for bridging the vessels NMEA2000 network to the Naviop Digital Switching system.</t>
  </si>
  <si>
    <t>C-28574</t>
  </si>
  <si>
    <t>Naviop CAN Drop Cable for NOVA+ - 1.2m</t>
  </si>
  <si>
    <t>C-28576</t>
  </si>
  <si>
    <t>Naviop CAN Drop Cable NA30</t>
  </si>
  <si>
    <t>DAU-B-128</t>
  </si>
  <si>
    <t>Naviop DAU Bridge - CAN ID 128</t>
  </si>
  <si>
    <t>DAU-E-136</t>
  </si>
  <si>
    <t>Naviop DAU Easy - CAN ID 136</t>
  </si>
  <si>
    <t>DAU-E-137</t>
  </si>
  <si>
    <t>Naviop DAU Easy - CAN ID 137</t>
  </si>
  <si>
    <t>C-EGON-01</t>
  </si>
  <si>
    <t>Naviop EGON Cable - CAN ID 1</t>
  </si>
  <si>
    <t>Naviop EGON Power and CAN Cable - CAN ID 2</t>
  </si>
  <si>
    <t>C-EGON-02</t>
  </si>
  <si>
    <t>Naviop EGON Cable - CAN ID 2</t>
  </si>
  <si>
    <t>C-EGON-03</t>
  </si>
  <si>
    <t>Naviop EGON Cable - CAN ID 3</t>
  </si>
  <si>
    <t>Naviop EGON Power and CAN Cable - CAN ID 3</t>
  </si>
  <si>
    <t>C-EGON-04</t>
  </si>
  <si>
    <t>Naviop EGON Cable - CAN ID 4</t>
  </si>
  <si>
    <t>Naviop EGON Power and CAN Cable - CAN ID 4</t>
  </si>
  <si>
    <t>000-14901-001</t>
  </si>
  <si>
    <t>Naviop EGON Plug Set</t>
  </si>
  <si>
    <t>Naviop EGON Plug Set- Includes 1x Blue connector, 1x Green connector, 1x Grey connector, 1x Black Connector, 24x EGON Power Contacts, 24x Cable Seals.</t>
  </si>
  <si>
    <t>31M-316-0</t>
  </si>
  <si>
    <t>Naviop EGON+ - 12V DC 16 Ch</t>
  </si>
  <si>
    <t>Naviop EGON+ 12V DC 16 Channels - 8 channels Fuse+Relay, 8 channels Fuse only</t>
  </si>
  <si>
    <t>31M-335-0</t>
  </si>
  <si>
    <t>Naviop EGON+ - 24V DC 16 Ch</t>
  </si>
  <si>
    <t>Naviop EGON+ 24V DC 16 Channels - 8 channels Fuse+Relay, 8 channels Fuse only</t>
  </si>
  <si>
    <t>000-14844-001</t>
  </si>
  <si>
    <t>Naviop EGON+ 12VDC Replacement Relay</t>
  </si>
  <si>
    <t>31M-336-0</t>
  </si>
  <si>
    <t>Naviop EGON+ Power - 12V DC 8 Ch</t>
  </si>
  <si>
    <t>Naviop EGON+ Power 12V DC - 8 channels Fuse+Relay</t>
  </si>
  <si>
    <t>31M-337-0</t>
  </si>
  <si>
    <t>Naviop EGON+ Power - 24V DC 8 Ch</t>
  </si>
  <si>
    <t>Naviop EGON+ Power - 24V DC 16 Channels - 8 channels Fuse+Relay, 8 channels Fuse only</t>
  </si>
  <si>
    <t>000-14664-001</t>
  </si>
  <si>
    <t>Naviop LOOP M Digital Switching System Kit</t>
  </si>
  <si>
    <t>Naviop LOOP M+ Digital Switching System Kit - A customized monitoring and control system sporting dedicated pages with a clear view of power board status, down to the single fuse or relay. 8 fused relay controlled channels + 8 fused channels.</t>
  </si>
  <si>
    <t>000-14663-001</t>
  </si>
  <si>
    <t>Naviop LOOP M+ Digital Switching System Kit</t>
  </si>
  <si>
    <t>Naviop LOOP M+ Digital Switching System Kit - A customized monitoring and control system sporting dedicated pages with a clear view of power board status, down to the single fuse or relay. 16 fused relay controlled channels + 16 fused channels.</t>
  </si>
  <si>
    <t>000-14666-001</t>
  </si>
  <si>
    <t>Naviop LOOP S Digital Switching System Kit</t>
  </si>
  <si>
    <t>Naviop LOOP S Digital Switching System Kit - Simple, yet powerful control and monitoring features through an integrated sidebar on an MFD showing dedicated functions. 8 fused relay controlled channels + 8 fused channels.</t>
  </si>
  <si>
    <t>000-14665-001</t>
  </si>
  <si>
    <t>Naviop LOOP S+ Digital Switching System Kit</t>
  </si>
  <si>
    <t>Naviop LOOP S+ Digital Switching System Kit - Simple, yet powerful control and monitoring features through an integrated sidebar on an MFD showing dedicated functions. 16 fused relay controlled channels + 16 fused channels.</t>
  </si>
  <si>
    <t>000-15212-001</t>
  </si>
  <si>
    <t>Naviop OP-BOX - LOOP M / M+</t>
  </si>
  <si>
    <t>Naviop OP-BOX - LOOP M / M+ - Processing and protocols Unit with PLC programming capability.</t>
  </si>
  <si>
    <t>000-15756-001</t>
  </si>
  <si>
    <t>Naviop OP-BOX Programmable 1GHz</t>
  </si>
  <si>
    <t>BERMINI-USAA-1M</t>
  </si>
  <si>
    <t>Naviop OP-BOX USB Cable</t>
  </si>
  <si>
    <t>NA05-0003</t>
  </si>
  <si>
    <t>Naviop SE NOVA+ Light Board</t>
  </si>
  <si>
    <t>Naviop SE NOVA+ Light Board - NOVA+ is a solid state lighting control board designed specifically for use in marine environments, and enables dimmable lighting control of up to 8 separate circuits, each of them being protected by a pull-out fuse. Naviop-CAN connection to the monitoring and control system is available. Only for Naviop LOOP-P Systems.</t>
  </si>
  <si>
    <t>NA05-0003-H</t>
  </si>
  <si>
    <t>Naviop SE NOVA+ Light Board w/ Harness</t>
  </si>
  <si>
    <t>Naviop SE NOVA+ Light Board w/ Harness - NOVA+ is a solid state lighting control board designed specifically for use in marine environments, and enables dimmable lighting control of up to 8 separate circuits, each of them being protected by a pull-out fuse. Naviop-CAN connection to the monitoring and control system is available. Only for Naviop LOOP-P Systems.</t>
  </si>
  <si>
    <t>C-DAU-CABLE</t>
  </si>
  <si>
    <t>Naviop Wiring Harness for DAU Units - 2m</t>
  </si>
  <si>
    <t>NCB850</t>
  </si>
  <si>
    <t>NCB850 - AX150 / AX250 Replacement NiMH Battery</t>
  </si>
  <si>
    <t>Rechargeable 850mAh NiMh battery pack for Axis 150/250</t>
  </si>
  <si>
    <t>000-15612-001</t>
  </si>
  <si>
    <t>NEMESIS 12</t>
  </si>
  <si>
    <t>B&amp;G Nemesis™ 12" Sailing Display. The Ultimate sailing display providing visibility &amp; versatility, complete customization and total integration.</t>
  </si>
  <si>
    <t>000-15611-001</t>
  </si>
  <si>
    <t>NEMESIS 9</t>
  </si>
  <si>
    <t>B&amp;G Nemesis™ 9" Sailing Display. The Ultimate sailing display providing visibility &amp; versatility, complete customization and total integration.</t>
  </si>
  <si>
    <t>000-15683-001</t>
  </si>
  <si>
    <t>NEMESIS HUB</t>
  </si>
  <si>
    <t>B&amp;G Nemesis™ Hub allows compact and straightforward connection of up to 3 Nemesis™ displays at a key location (mast, helm etc) with a single Power/Ethernet cable run, and a simple interconnect cable from the hub to each display.</t>
  </si>
  <si>
    <t>000-10029-001</t>
  </si>
  <si>
    <t>NEP-2 Network Expansion Module</t>
  </si>
  <si>
    <t>NEP-2 Network Expansion Port enables multiple displays to exchange chart data, waypoint and route information, as well as interconnecting radar and echosounder modules.</t>
  </si>
  <si>
    <t>000-16008-001</t>
  </si>
  <si>
    <t>NEP-3,ETH 5 PORT SWITCH,1GBPS</t>
  </si>
  <si>
    <t>NEP-3: Five port (M12) Gigabit Ethernet switch.</t>
  </si>
  <si>
    <t>M-PC-Y210-MS</t>
  </si>
  <si>
    <t>NEW CALEDONIA-MAX-N+</t>
  </si>
  <si>
    <t>DISCOVER : M-PC-Y210 : Discover New Caledonia</t>
  </si>
  <si>
    <t>000-10185-001</t>
  </si>
  <si>
    <t>NF80 NFU Steering Lever</t>
  </si>
  <si>
    <t>NF80 Non Follow Up remote unit with display. Take command and Mode buttons. Provides course change in Auto mode.</t>
  </si>
  <si>
    <t>000-15939-001</t>
  </si>
  <si>
    <t>NMEA 0183® Interface</t>
  </si>
  <si>
    <t>NMEA 0183® - NMEA 2000® converter. 1.8 m (6 ft) Micro-C to bare wire cable</t>
  </si>
  <si>
    <t>000-15940-001</t>
  </si>
  <si>
    <t>NMEA 2000® Remote MOB Button</t>
  </si>
  <si>
    <t>NMEA 2000® Remote MOB Button. An emergency Man-Over-Board (MOB) button, which will trigger alerts across the NMEA2000® network.</t>
  </si>
  <si>
    <t>SEN-DPT-A2P</t>
  </si>
  <si>
    <t>NMEA Depth Sensor Plastic Flanged</t>
  </si>
  <si>
    <t>000-11584-001</t>
  </si>
  <si>
    <t>NMEA0183 Serial Cable - LTW 8 Way - 10M</t>
  </si>
  <si>
    <t>000-15641-001</t>
  </si>
  <si>
    <t>NRS-1 Marine VHF System Blackbox</t>
  </si>
  <si>
    <t>NRS-1 Marine VHF Radio. Black box only</t>
  </si>
  <si>
    <t>000-15657-001</t>
  </si>
  <si>
    <t>NRS-1/2 Bulkhead WiFi Antenna Mount Cable - 6m</t>
  </si>
  <si>
    <t>NRS-1/ NRS-2 Bulkhead WiFi Antenna Mount Cable - 6m - For mounting the WiFi antenna in more suitable location if reception from antenna on Blackbox is not adequate.</t>
  </si>
  <si>
    <t>000-15642-001</t>
  </si>
  <si>
    <t>NRS-2 Marine VHF System Blackbox</t>
  </si>
  <si>
    <t>NRS-2 Marine VHF Radio with built in AIS Class B transciever. Black box only</t>
  </si>
  <si>
    <t>000-15047-001</t>
  </si>
  <si>
    <t>NSO evo3S MFD 16"</t>
  </si>
  <si>
    <t>NSO evo3S 16" MFD Display Only - High performance all-in-one multifunctional display. Integrate with radar, autopilot, sonar modules and much more via Ethernet and NMEA2000.</t>
  </si>
  <si>
    <t>000-15126-001</t>
  </si>
  <si>
    <t>NSO evo3S MFD 16" System Pack</t>
  </si>
  <si>
    <t>NSO evo3S 16" MFD System Pack - High performance all-in-one multifunctional display. Integrate with radar, autopilot, sonar modules and much more via Ethernet and NMEA2000. Includes MI10 Card reader, OP50 Remote, and GS25 GPS Antenna.</t>
  </si>
  <si>
    <t>000-15049-001</t>
  </si>
  <si>
    <t>NSO evo3S MFD 19"</t>
  </si>
  <si>
    <t>NSO evo3S 19" MFD Display Only - High performance all-in-one multifunctional display. Integrate with radar, autopilot, sonar modules and much more via Ethernet and NMEA2000.</t>
  </si>
  <si>
    <t>000-15127-001</t>
  </si>
  <si>
    <t>NSO evo3S MFD 19" System Pack</t>
  </si>
  <si>
    <t>NSO evo3S 19" MFD System Pack - High performance all-in-one multifunctional display. Integrate with radar, autopilot, sonar modules and much more via Ethernet and NMEA2000. Includes MI10 Card reader, OP50 Remote, and GS25 GPS Antenna.</t>
  </si>
  <si>
    <t>000-15051-001</t>
  </si>
  <si>
    <t>NSO evo3S MFD 24"</t>
  </si>
  <si>
    <t>NSO evo3S 24" MFD Display Only - High performance all-in-one multifunctional display. Integrate with radar, autopilot, sonar modules and much more via Ethernet and NMEA2000.</t>
  </si>
  <si>
    <t>000-15128-001</t>
  </si>
  <si>
    <t>NSO evo3S MFD 24" System Pack</t>
  </si>
  <si>
    <t>NSO evo3S 24" MFD System Pack - High performance all-in-one multifunctional display. Integrate with radar, autopilot, sonar modules and much more via Ethernet and NMEA2000. Includes MI10 Card reader, OP50 Remote, and GS25 GPS Antenna.</t>
  </si>
  <si>
    <t>000-15045-001</t>
  </si>
  <si>
    <t>NSO evo3S MPU with Worldwide Basemap</t>
  </si>
  <si>
    <t>NSO evo3S MPU - Multi-Display Blackbox MFD solution. Can drive two independent displays, supporting both touch and non-touch monitors. Expand and integrate to build your preferred system including navigation, radar, sonar, autopilot, and more.</t>
  </si>
  <si>
    <t>000-15115-001</t>
  </si>
  <si>
    <t>NSO evo3S MPU, 1 x 16" Base System</t>
  </si>
  <si>
    <t>NSO evo3S MPU 1 x 16" Multi-Touch Monitor System base kit. Expand and integrate to build your preferred system including navigation, radar, sonar, autopilot, and more.</t>
  </si>
  <si>
    <t>000-15117-001</t>
  </si>
  <si>
    <t>NSO evo3S MPU, 1 x 19" Base System</t>
  </si>
  <si>
    <t>NSO evo3S MPU 1 x 19" Multi-Touch Monitor System base kit. Expand and integrate to build your preferred system including navigation, radar, sonar, autopilot, and more.</t>
  </si>
  <si>
    <t>000-15119-001</t>
  </si>
  <si>
    <t>NSO evo3S MPU, 1 x 24" Base System</t>
  </si>
  <si>
    <t>NSO evo3S MPU 1 x 24" Multi-Touch Monitor System base kit. Expand and integrate to build your preferred system including navigation, radar, sonar, autopilot, and more.</t>
  </si>
  <si>
    <t>000-15121-001</t>
  </si>
  <si>
    <t>NSO evo3S MPU, 2 x 16" Base System</t>
  </si>
  <si>
    <t>NSO evo3S MPU 2 x 16" Multi-Touch Monitor System base kit. Expand and integrate to build your preferred system including navigation, radar, sonar, autopilot, and more.</t>
  </si>
  <si>
    <t>000-15123-001</t>
  </si>
  <si>
    <t>NSO evo3S MPU, 2 x 19" Base System</t>
  </si>
  <si>
    <t>NSO evo3S MPU 2 x 19" Multi-Touch Monitor System base kit. Expand and integrate to build your preferred system including navigation, radar, sonar, autopilot, and more.</t>
  </si>
  <si>
    <t>000-11247-001</t>
  </si>
  <si>
    <t>NSO/Zeus MPU Touch Monitor &amp; NMEA 0183 Serial Cable</t>
  </si>
  <si>
    <t>NSOevo2, NSOevo3S, Zeus2 and Zeus3S NMEA0183 and Touch Monitor Serial Cable. 2m (6.5 ft)</t>
  </si>
  <si>
    <t>000-14488-001</t>
  </si>
  <si>
    <t>NSOEvo3 &amp; Zeus3 16'' Glass Helm - Gimball Bracket Spacer</t>
  </si>
  <si>
    <t>Spacer required if using the Heavy Duty Gimbal bracket kit (000-13547-001) to mount an NSO16 evo3 or ZEUS3-16 display.(not required for 19 and 24 " displays)</t>
  </si>
  <si>
    <t>000-13612-001</t>
  </si>
  <si>
    <t>NSPL-500 VHF/AIS Antenna Splitter</t>
  </si>
  <si>
    <t>NSPL-500 AIS/VHF Antenna Splitter - Enables use of one VHF antenna on the vessel for both VHF and AIS.</t>
  </si>
  <si>
    <t>000-16275-001</t>
  </si>
  <si>
    <t>NSS 4-10 MFD, NO SONAR</t>
  </si>
  <si>
    <t>NSS 4-10 MFD, NO SONAR, No Chart. 10-inch SolarMAX™ high-definition display. Qualcomm® 8-core processor. Built-in GPS, Gigabit and 10/100 Ethernet, Video Out, WIFI. World basemap. A next-generation C-MAP® DISCOVER™ X or REVEAL X™ chart card is required.</t>
  </si>
  <si>
    <t>000-16013-001</t>
  </si>
  <si>
    <t>NSS 4-10 MFD, WORLD BASEMAP</t>
  </si>
  <si>
    <t>NSS 4-10 MFD, 10-inch SolarMAX™ high-definition display. Qualcomm® 8-core processor. Built-in dual channel 1 kW echosounder, GPS, Gigabit and 10/100 Ethernet, Video Out, WIFI. World basemap. A next-generation C-MAP® DISCOVER™ X or REVEAL X™ chart card is required.</t>
  </si>
  <si>
    <t>000-16451-001</t>
  </si>
  <si>
    <t>NSS 4-10 Suncover</t>
  </si>
  <si>
    <t>000-16276-001</t>
  </si>
  <si>
    <t>NSS 4-12 MFD, NO SONAR</t>
  </si>
  <si>
    <t>NSS 4-12 MFD, NO SONAR, No Chart. 12-inch SolarMAX™ high-definition display. Qualcomm® 8-core processor. Built-in GPS, Gigabit and 10/100 Ethernet, Video in / out, WIFI. World basemap. A next-generation C-MAP® DISCOVER™ X or REVEAL X™ chart card is required.</t>
  </si>
  <si>
    <t>000-16016-001</t>
  </si>
  <si>
    <t>NSS 4-12 MFD, WORLD BASEMAP</t>
  </si>
  <si>
    <t>NSS 4-12 MFD, 12-inch SolarMAX™ high-definition display. Qualcomm® 8-core processor. Built-in dual channel 1 kW echosounder, Gigabit and 10/100 Ethernet, GPS, Video Out / Video In (or USB), WIFI. World basemap. A next-generation C-MAP® DISCOVER™ X or REVEAL X™ chart card is required.</t>
  </si>
  <si>
    <t>000-16450-001</t>
  </si>
  <si>
    <t>NSS 4-12 Suncover</t>
  </si>
  <si>
    <t>000-16277-001</t>
  </si>
  <si>
    <t>NSS 4-16 MFD, NO SONAR</t>
  </si>
  <si>
    <t>NSS 4-16 MFD, NO SONAR, No Chart. 16-inch SolarMAX™ high-definition display. Qualcomm® 8-core processor. Built-in GPS, Gigabit and 10/100 Ethernet, Video In / Out, WIFI. World basemap. A next-generation C-MAP® DISCOVER™ X or REVEAL X™ chart card is required.</t>
  </si>
  <si>
    <t>000-16019-001</t>
  </si>
  <si>
    <t>NSS 4-16 MFD, WORLD BASEMAP</t>
  </si>
  <si>
    <t>NSS 4-16 MFD, 16-inch SolarMAX™ high-definition display. Qualcomm® 8-core processor. Built-in GPS, Gigabit and 10/100 Ethernet,  Video Out / Video In (or USB), WIFI. World basemap. A next-generation C-MAP® DISCOVER™ X or REVEAL X™ chart card is required.</t>
  </si>
  <si>
    <t>000-16449-001</t>
  </si>
  <si>
    <t>NSS 4-16 Suncover</t>
  </si>
  <si>
    <t>000-11600-001</t>
  </si>
  <si>
    <t>NSS evo2 &amp; ZEUS² 12 Edge Bezels  (Pair)</t>
  </si>
  <si>
    <t>000-11598-001</t>
  </si>
  <si>
    <t>NSS evo2 &amp; ZEUS² 7 Edge Bezels</t>
  </si>
  <si>
    <t>NSS evo2 &amp; ZEUS² 7 Edge Bezels (Pair)</t>
  </si>
  <si>
    <t>000-11599-001</t>
  </si>
  <si>
    <t>NSS evo2 &amp; ZEUS² 9 Edge Bezels  (Pair)</t>
  </si>
  <si>
    <t>000-11587-001</t>
  </si>
  <si>
    <t>NSS evo2 &amp; ZEUS² Chart Card Door, Replacement</t>
  </si>
  <si>
    <t>000-11594-001</t>
  </si>
  <si>
    <t>NSS12 evo2 Sun Cover</t>
  </si>
  <si>
    <t>000-13742-001</t>
  </si>
  <si>
    <t>NSS12 evo3/evo3S Sun Cover</t>
  </si>
  <si>
    <t>000-15406-002</t>
  </si>
  <si>
    <t>NSS12 evo3S with World Basemap</t>
  </si>
  <si>
    <t>NSS12 evo3S is an all-in-one MFD, with built-in dual channel CHIRP sonar, GPS and WIFI. Support for chart options, Radars, Autopilot, Instrumentation and much more.</t>
  </si>
  <si>
    <t>000-11601-001</t>
  </si>
  <si>
    <t>NSS16 evo2 Edge Bezels</t>
  </si>
  <si>
    <t>000-11596-001</t>
  </si>
  <si>
    <t>NSS16 evo2 Sun Cover</t>
  </si>
  <si>
    <t>000-11604-001</t>
  </si>
  <si>
    <t>NSS16 evo2 VESA Mount Kit</t>
  </si>
  <si>
    <t>000-13743-001</t>
  </si>
  <si>
    <t>NSS16 evo3/evo3S Sun Cover</t>
  </si>
  <si>
    <t>000-15407-001</t>
  </si>
  <si>
    <t>NSS16 evo3S with World Basemap</t>
  </si>
  <si>
    <t>NSS16 evo3S is an all-in-one MFD, with built-in dual channel CHIRP sonar, GPS and WIFI. Support for chart options, Radars, Autopilot, Instrumentation and much more.</t>
  </si>
  <si>
    <t>000-11590-001</t>
  </si>
  <si>
    <t>NSS7 evo2 Sun Cover</t>
  </si>
  <si>
    <t>000-13740-001</t>
  </si>
  <si>
    <t>NSS7 evo3 Sun Cover</t>
  </si>
  <si>
    <t>000-13237-001</t>
  </si>
  <si>
    <t>NSS7 evo3 with World Basemap</t>
  </si>
  <si>
    <t>NSS7 evo3 - All in one multifunctional display. Built-in dual channel CHIRP sonar, GPS and WIFI. Support for chart options, Radars, Autopilot, Instrumentation and much more.</t>
  </si>
  <si>
    <t>000-10464-001</t>
  </si>
  <si>
    <t>NSS7 MNT BRACKET</t>
  </si>
  <si>
    <t>NSS7 MOUNTING BRACKET</t>
  </si>
  <si>
    <t>000-11592-001</t>
  </si>
  <si>
    <t>NSS9 evo2 Sun Cover</t>
  </si>
  <si>
    <t>000-13741-001</t>
  </si>
  <si>
    <t>NSS9 evo3/evo3S Sun Cover</t>
  </si>
  <si>
    <t>000-15405-001</t>
  </si>
  <si>
    <t>NSS9 evo3S with World Basemap</t>
  </si>
  <si>
    <t>NSS9 evo3S is an all-in-one MFD, with built-in dual channel CHIRP sonar, GPS and WIFI. Support for chart options,  Radars, Autopilot, Instrumentation  and much more.</t>
  </si>
  <si>
    <t>000-13753-001</t>
  </si>
  <si>
    <t>NSSevo3 &amp; ZEUS³ 7'' Dash Mount Kit</t>
  </si>
  <si>
    <t>000-13749-001</t>
  </si>
  <si>
    <t>NSSevo3 &amp; ZEUS³ 7'' Edge Bezels</t>
  </si>
  <si>
    <t>000-13748-001</t>
  </si>
  <si>
    <t>NSSevo3 &amp; ZEUS³ Chart Card Door</t>
  </si>
  <si>
    <t>000-14317-001</t>
  </si>
  <si>
    <t>NSSevo3 &amp; ZEUS³ Rotary Knob</t>
  </si>
  <si>
    <t>Replacement Rotary knob for Simrad NSS evo3 &amp; Zeus³ MFDs</t>
  </si>
  <si>
    <t>000-13755-001</t>
  </si>
  <si>
    <t>NSSevo3/3S &amp; ZEUS³/³S 12'' Dash Mount Kit</t>
  </si>
  <si>
    <t>000-13751-001</t>
  </si>
  <si>
    <t>NSSevo3/3S &amp; ZEUS³/³S 12'' Edge Bezels</t>
  </si>
  <si>
    <t>000-13759-001</t>
  </si>
  <si>
    <t>NSSevo3/3S &amp; ZEUS³/³S 12'' Mounting Bracket</t>
  </si>
  <si>
    <t>000-13756-001</t>
  </si>
  <si>
    <t>NSSevo3/3S &amp; ZEUS³/³S 16'' Dash Mount Kit</t>
  </si>
  <si>
    <t>000-13752-001</t>
  </si>
  <si>
    <t>NSSevo3/3S &amp; ZEUS³/³S 16'' Edge Bezels</t>
  </si>
  <si>
    <t>000-13760-001</t>
  </si>
  <si>
    <t>NSSevo3/3S &amp; ZEUS³/³S 16'' Mounting Bracket</t>
  </si>
  <si>
    <t>NSS16evo3/3S &amp; ZEUS³/³S 16'' Mounting Bracket (Metal)</t>
  </si>
  <si>
    <t>000-13754-001</t>
  </si>
  <si>
    <t>NSSevo3/3S &amp; ZEUS³/³S 9'' Dash Mount Kit</t>
  </si>
  <si>
    <t>000-13750-001</t>
  </si>
  <si>
    <t>NSSevo3/3S &amp; ZEUS³/³S 9'' Edge Bezels</t>
  </si>
  <si>
    <t>000-13758-001</t>
  </si>
  <si>
    <t>NSSevo3/3S &amp; ZEUS³/³S 9'' Mounting Bracket</t>
  </si>
  <si>
    <t>NSSevo3/3S &amp; ZEUS³/³S 9'' Mounting Bracket (Plastic)</t>
  </si>
  <si>
    <t>000-16220-001</t>
  </si>
  <si>
    <t>NSX / ZeusS 3015UW Gimbal Bracket</t>
  </si>
  <si>
    <t>NSX, ZeusS 3015UW Gimbal Bracket.</t>
  </si>
  <si>
    <t>000-16217-001</t>
  </si>
  <si>
    <t>NSX / ZeusS UW  Gimbal bracket</t>
  </si>
  <si>
    <t>NSX / ZeusS UW Gimbal Bracket</t>
  </si>
  <si>
    <t>000-15823-001</t>
  </si>
  <si>
    <t>NSX 3007 Dash mount kit</t>
  </si>
  <si>
    <t>NSX 3007 Dash mount kit. Contains gasket and four screws and cutout template</t>
  </si>
  <si>
    <t>000-15215-001</t>
  </si>
  <si>
    <t>NSX 3007 No Transducer. ROW</t>
  </si>
  <si>
    <t>NSX 3007 - Smart Chartplotter / fishfinder. No Transducer. No Chart. 7-inch SolarMAX™ high definition display, Built-in echosounder, GPS, and WIFI. A next-generation C-MAP® DISCOVER™ X or REVEAL X™ chart card is required.</t>
  </si>
  <si>
    <t>000-15816-001</t>
  </si>
  <si>
    <t>NSX 3007 Suncover</t>
  </si>
  <si>
    <t>000-15824-001</t>
  </si>
  <si>
    <t>NSX 3009 Dash mount kit</t>
  </si>
  <si>
    <t>NSX 3009 Dash mount kit. Contains gasket and four screws and cutout template</t>
  </si>
  <si>
    <t>000-15219-001</t>
  </si>
  <si>
    <t>NSX 3009 No Transducer. ROW</t>
  </si>
  <si>
    <t>NSX 3009 - Smart Chartplotter / fishfinder. No Transducer. No Chart. 9-inch SolarMAX™ high definition display, Built-in echosounder, GPS, and WIFI. A next-generation C-MAP® DISCOVER™ X or REVEAL X™ chart card is required.</t>
  </si>
  <si>
    <t>000-15817-001</t>
  </si>
  <si>
    <t>NSX 3009 Suncover</t>
  </si>
  <si>
    <t>000-15825-001</t>
  </si>
  <si>
    <t>NSX 3012 Dash mount kit</t>
  </si>
  <si>
    <t>NSX 3012 Dash mount kit. Contains gasket and four screws and cutout template</t>
  </si>
  <si>
    <t>000-15223-001</t>
  </si>
  <si>
    <t>NSX 3012 No Transducer. ROW</t>
  </si>
  <si>
    <t>NSX 3012 - Smart Chartplotter / fishfinder. No Transducer. No Chart. 12-inch SolarMAX™ high definition display, Built-in echosounder, GPS, and WIFI. A next-generation C-MAP® DISCOVER™ X or REVEAL X™ chart card is required.</t>
  </si>
  <si>
    <t>000-15818-001</t>
  </si>
  <si>
    <t>NSX 3012 Suncover</t>
  </si>
  <si>
    <t>000-16215-001</t>
  </si>
  <si>
    <t>NSX 3012UW NO XDCR ROW</t>
  </si>
  <si>
    <t>NSX 3012UW, Smart chartplotter / fishfinder. 12-inch ultrawide high-definition display. Built-in  echosounder, GPS, and WIFI. A C-MAP® DISCOVER™ X or REVEAL X™ chart card is required. No transducer.</t>
  </si>
  <si>
    <t>000-16218-001</t>
  </si>
  <si>
    <t>NSX 3012UW Suncover</t>
  </si>
  <si>
    <t>000-16279-001</t>
  </si>
  <si>
    <t>NSX 3012UW,AI3-IN-1,ROW</t>
  </si>
  <si>
    <t>NSX 3012UW, Smart chartplotter / fishfinder. 12-inch ultrawide high-definition display. Built-in  echosounder, GPS, and WIFI. With Active Imaging™ 3-in-1 transducer. A C-MAP® DISCOVER™ X or REVEAL X™ chart card is required.</t>
  </si>
  <si>
    <t>000-16212-001</t>
  </si>
  <si>
    <t>NSX 3015UW NO XDCR ROW</t>
  </si>
  <si>
    <t>NSX 3015UW, Smart chartplotter / fishfinder. 15-inch ultrawide high-definition display. Built-in  echosounder, GPS, and WIFI. A C-MAP® DISCOVER™ X or REVEAL X™ chart card is required. No transducer.</t>
  </si>
  <si>
    <t>000-16221-001</t>
  </si>
  <si>
    <t>NSX 3015UW Suncover</t>
  </si>
  <si>
    <t>000-16222-001</t>
  </si>
  <si>
    <t>NSX 3015UW, ZeusS Rear mount kit</t>
  </si>
  <si>
    <t>Simrad NSX 3015UW , B&amp;G ZeusS UW Rear mount kit. Includes 2x powder-coated brackets, 2x threaded studs, 8x thumb nuts, and a foam gasket.</t>
  </si>
  <si>
    <t>000-16278-001</t>
  </si>
  <si>
    <t>NSX 3015UW,AI3-IN-1,ROW</t>
  </si>
  <si>
    <t>NSX 3015UW, Smart chartplotter / fishfinder. 15-inch ultrawide high-definition display. Built-in  echosounder, GPS, and WIFI. With Active Imaging™ 3-in-1 transducer.A DISCOVER™ X or REVEAL X™ chart card is required.</t>
  </si>
  <si>
    <t>000-15822-001</t>
  </si>
  <si>
    <t>NSX CORNER CLIP ACCESSORY</t>
  </si>
  <si>
    <t>Corner bezel clips for NSX range of displays. Set of four corner clips</t>
  </si>
  <si>
    <t>AA000223</t>
  </si>
  <si>
    <t>Nylon Quick-Fit Antenna Mount</t>
  </si>
  <si>
    <t>Heavy-Duty Nylon VHF Antenna mount. Quick-Fit with 5m (16ft) cable</t>
  </si>
  <si>
    <t>000-14606-001</t>
  </si>
  <si>
    <t>O2000 Power Supply Kit</t>
  </si>
  <si>
    <t>O2000 Power Supply Kit - Provides 12V DC to the N2K Backbone between the O2000 Radar Controller and R5000 Processor.</t>
  </si>
  <si>
    <t>000-13958-001</t>
  </si>
  <si>
    <t>O2000 Radar Controller</t>
  </si>
  <si>
    <t>O2000 Radar remote controller for R2009, R3016 and R5000 PRO radars. NMEA2000 connectivity.</t>
  </si>
  <si>
    <t>000-14278-001</t>
  </si>
  <si>
    <t>O5000 Trackball Mouse</t>
  </si>
  <si>
    <t>O5000 Trackball Mouse. Connects via standard USB2 Type A plug. Heavy base so it doesn't move around even in rough weather.
Can also be used with R5000, Maris MK15B, NSSevo3S 16'', NSOevo3S MPU and MFD systems.</t>
  </si>
  <si>
    <t>000-13287-001</t>
  </si>
  <si>
    <t>OP12 Autopilot Controller</t>
  </si>
  <si>
    <t>OP12 Autopilot Controller - Autopilot Remote keypad with intuitive keys for course change and Standby/AUTO modes. Integrates seemlessly with NAC-2 and NAC-3 based Autopilot systems.</t>
  </si>
  <si>
    <t>000-12524-001</t>
  </si>
  <si>
    <t>OP3000 keyboard - desktop</t>
  </si>
  <si>
    <t>OP3000 IEC60945 marine silicone rubber keyboard in housing for desktop use. IP67 sealed Compact layout, 92 full travel keys, Removable 25 mm laser trackball, Backlit, USB output.</t>
  </si>
  <si>
    <t>000-12525-001</t>
  </si>
  <si>
    <t>OP3000 Keyboard - panel mount</t>
  </si>
  <si>
    <t>OP3000 panel mount Keyboard, compact layout, 92 full travel keys, removable 25 mm laser trackball, Backlit, USB output. No adapter frame</t>
  </si>
  <si>
    <t>000-12744-001</t>
  </si>
  <si>
    <t>OP50 / ZC2 Dash Mounting Kit</t>
  </si>
  <si>
    <t>000-12745-001</t>
  </si>
  <si>
    <t>OP50 / ZC2 Flush Mounting Bracket Kit</t>
  </si>
  <si>
    <t>000-12743-001</t>
  </si>
  <si>
    <t>OP50 / ZC2 Suncover</t>
  </si>
  <si>
    <t>000-12512-001</t>
  </si>
  <si>
    <t>OP50 Remote - Landscape</t>
  </si>
  <si>
    <t>OP50 wired MFD remote controller. (Landscape mount) For use with Simrad NSS and NSO MFD systems and brings simple and precise MFD control in even the roughest sea conditions.</t>
  </si>
  <si>
    <t>000-12364-001</t>
  </si>
  <si>
    <t>OP50 Remote - Portrait</t>
  </si>
  <si>
    <t>OP50 wired MFD remote controller. (Portrait mount) For use with Simrad NSS and NSO MFD systems and brings simple and precise MFD control in even the roughest sea conditions.</t>
  </si>
  <si>
    <t>000-11749-001</t>
  </si>
  <si>
    <t>Outboard Pilot Cable Steer Pack</t>
  </si>
  <si>
    <t>Outboard Pilot Cable steer Pack: Includes Point-1 Heading and GPS Sensor, NAC-1 Autopilot Computer, HELM-1 cable-steer helm drive unit , Standby-Auto button and Micro-C network components.</t>
  </si>
  <si>
    <t>000-12565-001</t>
  </si>
  <si>
    <t>Overland UPC 3002 (NMEA Splitter)</t>
  </si>
  <si>
    <t>UPC 3002-SLS is a serial line splitter with two separate inputs and six outputs. Dual power input with auto-switch.</t>
  </si>
  <si>
    <t>000-14127-001</t>
  </si>
  <si>
    <t>P2005 GPS Display</t>
  </si>
  <si>
    <t>P2005 is a GPS Display with Position, Navigation, Heading and Triplog pages, as well as an auxillary AIS page. Combine with a variety of GPS Antennas and GPS Compasses for a GPS or Heading System for the vessel. For type approved systems use P3007.</t>
  </si>
  <si>
    <t>000-14129-001</t>
  </si>
  <si>
    <t>P2005 GPS System w/GS70</t>
  </si>
  <si>
    <t>P2005 + GS70 GPS System is a small yet accurate GPS System for non-SOLAS application. The P2005 features Position, Navigation and Triplog pages, as well as an auxillary AIS page and Heading pages if data is available. Comes with GS70 NMEA2000 antenna and N2K parts required for installation.</t>
  </si>
  <si>
    <t>000-14128-001</t>
  </si>
  <si>
    <t>P3007 GPS Display</t>
  </si>
  <si>
    <t>P3007 is a Type Approved GPS Display with Position, Navigation, Heading and Triplog pages, as well as an auxillary AIS page (not approved). Combine with a variety of approved GPS Antennas and GPS Compasses for a type approved GPS System for the vessel.</t>
  </si>
  <si>
    <t>000-14130-001</t>
  </si>
  <si>
    <t>P3007 GPS System w/GS70</t>
  </si>
  <si>
    <t>P3007 + GS70 GPS System is a small yet accurate IMO compliant GPS System. The P3007 features Position, Navigation and Triplog pages, as well as an auxillary AIS page and Heading pages if data is available. Comes with GS70 NMEA2000 antenna and N2K parts required for installation.</t>
  </si>
  <si>
    <t>000-10567-001</t>
  </si>
  <si>
    <t>P617V DST HSG VLV KIT</t>
  </si>
  <si>
    <t>000-10388-001</t>
  </si>
  <si>
    <t>Paddlewheel spares kit for DST800</t>
  </si>
  <si>
    <t>SEN-SPRS-SPD</t>
  </si>
  <si>
    <t>Paddlewheel Speed Sensor Spare (1996 &gt;)</t>
  </si>
  <si>
    <t>27107622</t>
  </si>
  <si>
    <t>Panorama Rudder Indicator 45°-0-45°</t>
  </si>
  <si>
    <t>Panorama Rudder Indicator - for overhead mounting on the bridge. Contains 3 identical 45°-0-45° backlit scales to read the rudder angle from any position in the wheelhouse.</t>
  </si>
  <si>
    <t>PB30</t>
  </si>
  <si>
    <t>Pedestal bracket 30 mm (1.2 in)</t>
  </si>
  <si>
    <t>PB60</t>
  </si>
  <si>
    <t>Pedestal bracket 60 mm (2.4 in)</t>
  </si>
  <si>
    <t>PB90</t>
  </si>
  <si>
    <t>Pedestal bracket 90 mm (3.6 in)</t>
  </si>
  <si>
    <t>000-0099-83</t>
  </si>
  <si>
    <t>PC-24U</t>
  </si>
  <si>
    <t>Power Cable for Elite-5m</t>
  </si>
  <si>
    <t>000-0127-08</t>
  </si>
  <si>
    <t>PC-27BL</t>
  </si>
  <si>
    <t>Power Cable for LCX, LMS</t>
  </si>
  <si>
    <t>000-0106-89</t>
  </si>
  <si>
    <t>PDRT-WBL 83/200 kHz Pod-Style Transducer w/ Remote Temp Sensor</t>
  </si>
  <si>
    <t>PDRT-WBL 83/200 kHz shoot-thru or trolling-motor mount Skimmer® with remote temp sensor with blue connector. Cable Length 6 m (20 ft)</t>
  </si>
  <si>
    <t>000-0106-74</t>
  </si>
  <si>
    <t>PDT-WBL 83/200 kHz Pod-Style Transducer w/ Temp Sensor</t>
  </si>
  <si>
    <t>PDT-WBL 83/200 kHz Pod-Style / Trolling-Motor mount with built-in tempsensor and 7-pin blue connector. 6m (20ft) cable.</t>
  </si>
  <si>
    <t>000-0106-73</t>
  </si>
  <si>
    <t>PD-WBL 83/200 kHz Pod-Style Transducer</t>
  </si>
  <si>
    <t>PD-WBL 83/200 kHz shoot-thru or trolling-motor mount transducer. Depth only. Cable Length 6m (20ft)</t>
  </si>
  <si>
    <t>SP-305274A1-001</t>
  </si>
  <si>
    <t>Performance Monitor Diode</t>
  </si>
  <si>
    <t>000-12930-002</t>
  </si>
  <si>
    <t>POINT-1 AP Autopilot GPS Antenna</t>
  </si>
  <si>
    <t>Point-1 AP GPS and Heading antenna provides extremely accurate and rapid boat position and speed updates to the network. Built in magnetic compass with accuracy and tuning specific for Lowrance Autopilots also provides chart stabilization and radar overlay, plus accurate course over ground even at low speeds.</t>
  </si>
  <si>
    <t>000-11047-002</t>
  </si>
  <si>
    <t>POINT-1 GPS Antenna</t>
  </si>
  <si>
    <t>Point-1 GPS antenna provides extremely accurate and rapid boat position and speed updates to the network. Built in magnetic compass provides chart stabilization and radar overlay, plus accurate course over ground even at low speeds. Note: For Autopilot, use Point-1AP or Precision9!</t>
  </si>
  <si>
    <t>000-11148-001</t>
  </si>
  <si>
    <t>Pole Mount for GS25 / ZG100 / POINT-1</t>
  </si>
  <si>
    <t>000-14172-001</t>
  </si>
  <si>
    <t>Power Cable for Hook2, Hook Reveal &amp; Cruise</t>
  </si>
  <si>
    <t>000-16145-001</t>
  </si>
  <si>
    <t>Power Harness Cable for Explorer Series Pack with Elite FS 9</t>
  </si>
  <si>
    <t>SP-90A856P001-001</t>
  </si>
  <si>
    <t>Power Supply 48VDC 480W</t>
  </si>
  <si>
    <t>000-10689-001</t>
  </si>
  <si>
    <t>POWER SUPPLY ELECTRONIC UNIT</t>
  </si>
  <si>
    <t>PRE120</t>
  </si>
  <si>
    <t>Pushrod extension 120 mm (4.8 in)</t>
  </si>
  <si>
    <t>PRE150</t>
  </si>
  <si>
    <t>Pushrod extension 150 mm (6.0 in)</t>
  </si>
  <si>
    <t>PRE30</t>
  </si>
  <si>
    <t>Pushrod extension 30 mm (1.2 in)</t>
  </si>
  <si>
    <t>PRE300</t>
  </si>
  <si>
    <t>Pushrod extension 300 mm (12.0 in)</t>
  </si>
  <si>
    <t>PRE60</t>
  </si>
  <si>
    <t>Pushrod extension 60 mm (2.4 in)</t>
  </si>
  <si>
    <t>PRE90</t>
  </si>
  <si>
    <t>Pushrod extension 90 mm (3.6 in)</t>
  </si>
  <si>
    <t>000-12607-001</t>
  </si>
  <si>
    <t>Precision-9 Compass</t>
  </si>
  <si>
    <t>Precision-9 Compass - Outputs Heading, Rate Of Turn, Roll and Pitch over the NMEA 2000® network.</t>
  </si>
  <si>
    <t>000-11523-001</t>
  </si>
  <si>
    <t>Pressure Sensor</t>
  </si>
  <si>
    <t>Pressure Sensor - Configurable Pressure Sensor for various engine pressures. Max pressure 100PSI.</t>
  </si>
  <si>
    <t>SP-68F149P004-001</t>
  </si>
  <si>
    <t>PS Line Filter</t>
  </si>
  <si>
    <t>000-0106-94</t>
  </si>
  <si>
    <t>PTI-WBL Ice transducer</t>
  </si>
  <si>
    <t>PTI-WBL - Ice transducer with 7-pin blue connector. 7ft Cable.</t>
  </si>
  <si>
    <t>000-0106-68</t>
  </si>
  <si>
    <t>PTI-WSU - 83/200kHz Ice Transducer</t>
  </si>
  <si>
    <t>PTI-WSU - 83/200kHz Ice Transducer with 7ft cable and UniPlug connector.</t>
  </si>
  <si>
    <t>000-11770-002</t>
  </si>
  <si>
    <t>PUMP-1 - 12V 0.8L For outboard pilot</t>
  </si>
  <si>
    <t>PUMP-1: Hydraulic Pump – 0.8L reversible hydraulic pump, compatible with SeaStar manual helm pumps up to 14ci. Includes 3 x ORB-5 to 9/16 UNF fittings.</t>
  </si>
  <si>
    <t>000-15444-002</t>
  </si>
  <si>
    <t>PUMP-2 - 12V 0.8L</t>
  </si>
  <si>
    <t>PUMP-2: 12V DC: Reversible hydraulic gear pump. 0.8L (49 cu.in) / min. For cylinder displacement of 80 cc - 250 cc (4.9 - 15.2 cu.in). O-Ring Boss (ORB) connections. Includes 3 x ORB-5 to 9/16 UNF fittings. SteadySteer compatible. (NAC-2 / AC12 required).</t>
  </si>
  <si>
    <t>000-15445-002</t>
  </si>
  <si>
    <t>PUMP-3 - 12V 1.6L</t>
  </si>
  <si>
    <t>PUMP-3: 12V DC: Reversible hydraulic gear pump. 1.6L (98 cu.in) / min. For cylinder displacement of 160-550 cc (9.8 - 33.5 cu.in). O-Ring Boss (ORB) connections. Includes 3 x ORB-5 to 9/16 UNF fittings. SteadySteer compatible. (NAC-3 / AC42 required).</t>
  </si>
  <si>
    <t>000-15446-002</t>
  </si>
  <si>
    <t>PUMP-4 - 12V 3.0L</t>
  </si>
  <si>
    <t>PUMP-4: 12V DC: Reversible hydraulic gear pump. 3.0L (183 cui) / min. For cylinder displacement of 290 - 960 cc (17.7 - 58.5 cu. in.). O-Ring Boss (ORB) connections. Includes 3 x ORB-5 to 9/16 UNF fittings. SteadySteer compatible. (NAC-3 / AC42 required).</t>
  </si>
  <si>
    <t>000-15447-002</t>
  </si>
  <si>
    <t>PUMP-5 - 24V 3.0L</t>
  </si>
  <si>
    <t>PUMP-5: 24V DC: Reversible hydraulic gear pump. 3.0L (183 cui) / min. For cylinder displacement of 290 - 960 cc (17.7 - 58.5 cu. in.). O-Ring Boss (ORB) connections. Includes 3 x ORB-5 to 9/16 UNF fittings. SteadySteer compatible. (NAC-3 / AC42 required).</t>
  </si>
  <si>
    <t>000-15858-001</t>
  </si>
  <si>
    <t>PUMP-X Motor Brushes</t>
  </si>
  <si>
    <t>PUMP-X Motor Brushes - Autopilot pump brush kit for PUMP-2,3,4 &amp; 5. 2Pcs. 
Note: Not for Pump-1</t>
  </si>
  <si>
    <t>000-0127-54</t>
  </si>
  <si>
    <t>Pwr cable 4 pin kit</t>
  </si>
  <si>
    <t>Power cable for BSM-1,  LSS-2 2 m (6.5 ft)</t>
  </si>
  <si>
    <t>000-10184-001</t>
  </si>
  <si>
    <t>QS80 Quick-Stick Steering Lever</t>
  </si>
  <si>
    <t>QS80 Quick-Stick NFU remote unit with display. Take command and Mode buttons. Provides course change in Auto mode.</t>
  </si>
  <si>
    <t>000-10027-001</t>
  </si>
  <si>
    <t>Quick Release Bracket</t>
  </si>
  <si>
    <t>Quick Release Bracket - GO5 / Vulcan5 / P2005 / I3005 / Mark / Elite</t>
  </si>
  <si>
    <t>000-15717-001</t>
  </si>
  <si>
    <t>R2009 &amp; HALO20+ Bundle</t>
  </si>
  <si>
    <t>Simrad R2009 HALO20+ kit is a dedicated 9" portrait Radar Control Unit and HALO20+ Pulse Compression Radar. Kit includes R2009 radar control unit, HALO20+ Radome and  Interconnection cable 20m (66 ft).</t>
  </si>
  <si>
    <t>000-12401-001</t>
  </si>
  <si>
    <t>R2009 &amp; R3016 Keypad Kit</t>
  </si>
  <si>
    <t>000-16105-001</t>
  </si>
  <si>
    <t>R2009 and HALO 2003</t>
  </si>
  <si>
    <t>Simrad R2009 HALO™2003 kit is a dedicated 9" portrait Radar Control Unit and HALO 2003 Pulse Compression Radar. The kit includes an R2009 radar control unit, Halo 200X pedestal with 3ft antenna, RI-50 interface, Interconnection cable 20m (66 ft), and 1.8 m (6 ft) Ethernet cable.</t>
  </si>
  <si>
    <t>000-12186-001</t>
  </si>
  <si>
    <t>R2009 Radar Control Unit</t>
  </si>
  <si>
    <t>R2009 is a dedicated control unit for Simrad Radars and features an integrated 9'' portrait display. R2009 offers versatile flush or bracket-mount installation options and intuitive keypad-based operation for reliable control in all conditions.</t>
  </si>
  <si>
    <t>000-12384-001</t>
  </si>
  <si>
    <t>R3000 Radar Power Supply</t>
  </si>
  <si>
    <t>R3000 Radar power supply unit. Converts ships 24V DC to 50V DC to power the Radar transceiver or optional heater.</t>
  </si>
  <si>
    <t>000-16106-001</t>
  </si>
  <si>
    <t>R3016 and HALO 2003</t>
  </si>
  <si>
    <t>Simrad R3016 HALO 2003 kit is a dedicated 16" widescreen Radar Control Unit and HALO 2003 Pulse Compression Radar. Kit includes R3016 radar control unit, Halo 200X pedestal and 3ft antenna, RI-50  interface, Interconnection cable 20m (66 ft), and 1.8 m (6 ft) Ethernet cable.</t>
  </si>
  <si>
    <t>000-16107-001</t>
  </si>
  <si>
    <t>R3016 and HALO 2004</t>
  </si>
  <si>
    <t>Simrad R3016 HALO 2004 kit is a dedicated 16" widescreen Radar Control Unit and HALO 2004 Pulse Compression Radar. Kit includes R3016 radar control unit, HALO 200X pedestal and 4 ft antenna, RI-50 interface, Interconnection cable 20m (66 ft), 1.8 m (6 ft) Ethernet cable.</t>
  </si>
  <si>
    <t>000-16108-001</t>
  </si>
  <si>
    <t>R3016 and HALO 3004</t>
  </si>
  <si>
    <t>Simrad R3016 HALO 3004 kit is a dedicated 16" widescreen Radar Control Unit and HALO 3004 Pulse Compression Radar. Kit includes R3016 radar control unit, Halo 300X pedestal and 4ft antenna, RI-50 interface, Interconnection cable 20m (66 ft), 1.8 m (6 ft) Ethernet cable.</t>
  </si>
  <si>
    <t>000-16109-001</t>
  </si>
  <si>
    <t>R3016 and HALO 3006</t>
  </si>
  <si>
    <t>Simrad R3016 HALO 3006 kit is a dedicated 16" widescreen Radar Control Unit and HALO 3006 Pulse Compression Radar. Kit includes R3016 radar control unit, Halo 300X pedestal with 6 ft antenna, RI-50 interface, Interconnection cable 20m (66 ft), 1.8 m (6 ft) Ethernet cable.</t>
  </si>
  <si>
    <t>000-12188-001</t>
  </si>
  <si>
    <t>R3016 Radar Control Unit</t>
  </si>
  <si>
    <t>R3016 is a dedicated control unit for Simrad Radars and features an integrated 16'' widescreen display. R3016 offers versatile flush or bracket-mount installation options and intuitive keypad-based operation for reliable control in all conditions.</t>
  </si>
  <si>
    <t>000-12450-001</t>
  </si>
  <si>
    <t>R5000 Multi-Functional Keyboard, USB</t>
  </si>
  <si>
    <t>R5000 Multi-Functional Keyboard, Dual USB. Trackball and dedicated keyboard for radar controls.</t>
  </si>
  <si>
    <t>000-13225-001</t>
  </si>
  <si>
    <t>R5000 Radar Power Supply</t>
  </si>
  <si>
    <t>R5000 Power Supply - 110/220V AC input, and powers the entire R5000 system. Provides 50V DC to the Radar array and 24V DC to the R5000 Processor, M5000 Monitor and O2000 Controller through the O2000 Power Supply Unit.</t>
  </si>
  <si>
    <t>000-13216-001</t>
  </si>
  <si>
    <t>R5000 Radar Processor</t>
  </si>
  <si>
    <t>R5000 Radar Processor - The core of the R5000 system. 24V DC in from the R5000 Power Supply, Ethernet to the Pedestal, and DVI-D output to M5000 Monitor and VDR.</t>
  </si>
  <si>
    <t>000-14829-001</t>
  </si>
  <si>
    <t>R5000 SRT LAN - Down-Adapter PCB</t>
  </si>
  <si>
    <t>000-14827-001</t>
  </si>
  <si>
    <t>R5000 SRT LAN - Spare CPU PCB</t>
  </si>
  <si>
    <t>000-14826-001</t>
  </si>
  <si>
    <t>R5000 SRT LAN - Spare MINI-PSU PCB</t>
  </si>
  <si>
    <t>000-14618-001</t>
  </si>
  <si>
    <t>R5024 12U/6X 12kW 6ft X-Band Radar for CAT2</t>
  </si>
  <si>
    <t>SIMRAD R5024 12U/6X X-band radar system with 12 kW up-mast transceiver, 6-foot antenna &amp; 24-inch display.</t>
  </si>
  <si>
    <t>000-15599-001</t>
  </si>
  <si>
    <t>R5024 12U/6X 12kW 6ft X-Band Radar for CAT2 HSC</t>
  </si>
  <si>
    <t>SIMRAD R5024 12U/6X HSC X-band radar system with 12 kW up-mast transceiver, 6-foot antenna &amp; 24-inch display.</t>
  </si>
  <si>
    <t>000-15600-001</t>
  </si>
  <si>
    <t>R5024 12U/9X 12kW 9ft X-Band Radar for CAT2 HSC</t>
  </si>
  <si>
    <t>SIMRAD R5024 12U/9X HSC X-band radar system with 12 kW up-mast transceiver, 9-foot antenna &amp; 24-inch display.</t>
  </si>
  <si>
    <t>000-14619-001</t>
  </si>
  <si>
    <t>R5024 25U/6X 25kW 6ft X-Band Radar for CAT2</t>
  </si>
  <si>
    <t>SIMRAD R5024 25U/6X : X-band radar system with 25 kW up-mast transceiver, 6-foot antenna &amp; 24-inch display.</t>
  </si>
  <si>
    <t>000-14622-001</t>
  </si>
  <si>
    <t>R5024 30U/12S 30kW 12ft S-Band Radar for CAT2</t>
  </si>
  <si>
    <t>SIMRAD R5024 30U/12S: S-band radar system with 30 kW up-mast transceiver, 12-foot antenna &amp; 24-inch display.</t>
  </si>
  <si>
    <t>000-16103-001</t>
  </si>
  <si>
    <t>R5024 HALO 5004 CAT2(H) Radar w/30 m cable 110 / 230 V AC</t>
  </si>
  <si>
    <t>SIMRAD R5024 HALO 5004 X-band radar system with 130W pulse compression up-mast transceiver suitable also for HSC, 30 m (98.5 ft) cable, 4-foot antenna, and 24-inch monitor: 110 / 230 V AC input.</t>
  </si>
  <si>
    <t>000-16102-001</t>
  </si>
  <si>
    <t>R5024 HALO 5004 CAT2(H) Radar w/30 m cable 24 V DC</t>
  </si>
  <si>
    <t>SIMRAD R5024 HALO 5004 X-band radar system with 130W pulse compression up-mast transceiver suitable also for HSC, 30 m (98.5 ft) cable, 4-foot antenna, and 24-inch monitor: 24 Volt DC.</t>
  </si>
  <si>
    <t>000-16104-001</t>
  </si>
  <si>
    <t>R5024 HALO 5006 CAT2(H) Radar w/30 m cable 110 / 230 V AC</t>
  </si>
  <si>
    <t>SIMRAD R5024 HALO 5006 X-band radar system with 130W pulse compression up-mast transceiver suitable also for HSC, 30 m (98.5 ft) cable, 6-foot antenna, and 24-inch monitor: 110 / 230 V AC input.</t>
  </si>
  <si>
    <t>000-15400-001</t>
  </si>
  <si>
    <t>R5027 12U/6X 12kW 6ft X-Band Radar for CAT1</t>
  </si>
  <si>
    <t>SIMRAD R5027 12U/6X X-band radar system with 12 kW up-mast transceiver, 6-foot antenna &amp; 27-inch display.</t>
  </si>
  <si>
    <t>000-14620-001</t>
  </si>
  <si>
    <t>R5027 25U/6X 25kW 6ft X-Band Radar for CAT1</t>
  </si>
  <si>
    <t>SIMRAD R5027 25U/6X: X-band radar system with 25 kW up-mast transceiver, 6-foot antenna &amp; 27-inch display.</t>
  </si>
  <si>
    <t>000-14621-001</t>
  </si>
  <si>
    <t>R5027 25U/9X 25kW 9ft X-Band Radar for CAT1</t>
  </si>
  <si>
    <t>SIMRAD R5027 25U/9X: X-band radar system with 25 kW up-mast transceiver, 9-foot antenna &amp; 27-inch display.</t>
  </si>
  <si>
    <t>000-14623-001</t>
  </si>
  <si>
    <t>R5027 30U/12S 30kW 12ft S-Band Radar for CAT1</t>
  </si>
  <si>
    <t>SIMRAD R5027 30U/12S:  S-band radar system with 30 kW up-mast transceiver, 12-foot antenna &amp; 27-inch display</t>
  </si>
  <si>
    <t>000-0124-75</t>
  </si>
  <si>
    <t>RAM MB-36</t>
  </si>
  <si>
    <t>MB-36 - RAM heavy-duty 2-1/4" ball-mounting bracket with short arm for 10" units</t>
  </si>
  <si>
    <t>000-0101-63</t>
  </si>
  <si>
    <t>RAM MB-8</t>
  </si>
  <si>
    <t>MB-8 - RAM 1-1/2" ball-mounting bracket with 8" arm for 5" to 8" units</t>
  </si>
  <si>
    <t>RAM-SPRS-T1</t>
  </si>
  <si>
    <t>Ram spares kit, T1/T2 drives</t>
  </si>
  <si>
    <t>RAM-SPRS-T3</t>
  </si>
  <si>
    <t>Ram spares kit, T3 drive</t>
  </si>
  <si>
    <t>000-16219-001</t>
  </si>
  <si>
    <t>Rear mount kit NSX/ZeusS 3012UW</t>
  </si>
  <si>
    <t>NSX/ZeusS 3012UW Rear mount kit. Includes 2x powder-coated brackets, 2x threaded studs, 8x thumb nuts, and a foam gasket.</t>
  </si>
  <si>
    <t>000-15771-001</t>
  </si>
  <si>
    <t>Replacement - ActiveTarget  FWD/Down Motor Mount Kit</t>
  </si>
  <si>
    <t>ActiveTarget trolling motor mounting kit. Forward / down view</t>
  </si>
  <si>
    <t>000-15770-001</t>
  </si>
  <si>
    <t>Replacement - ActiveTarget Trolling Motor Shaft Mount Kit</t>
  </si>
  <si>
    <t>ActiveTarget trolling motor shaft mounting kit</t>
  </si>
  <si>
    <t>RAM-BRSH-T2</t>
  </si>
  <si>
    <t>Replacement Brushes</t>
  </si>
  <si>
    <t>Replacement Brushes, T3/T4 drives (order 2 pairs for T4)</t>
  </si>
  <si>
    <t>MOTOR-SPARE-1</t>
  </si>
  <si>
    <t>Replacement Motor, T1/T2 12V</t>
  </si>
  <si>
    <t>000-10262-001</t>
  </si>
  <si>
    <t>Replacement top mount</t>
  </si>
  <si>
    <t>Replacement mount for Skimmer and top housing.</t>
  </si>
  <si>
    <t>M-IN-Y201-MS</t>
  </si>
  <si>
    <t>REVEAL - INDIA, SRI LANKA, MALDIVES</t>
  </si>
  <si>
    <t>REVEAL:  M-IN-Y201-MS  India, Sri Lanka, Maldives</t>
  </si>
  <si>
    <t>M-AN-Y242-MS</t>
  </si>
  <si>
    <t>REVEAL - JIESHI BAY TO ZHOUNSHAN ISLAND</t>
  </si>
  <si>
    <t>REVEAL:  M-AN-Y242-MS  Jieshi Bay to Zhounshan Island</t>
  </si>
  <si>
    <t>M-IN-Y210-MS</t>
  </si>
  <si>
    <t>REVEAL - MALDIVES</t>
  </si>
  <si>
    <t>REVEAL:  M-IN-Y210-MS    Maldives</t>
  </si>
  <si>
    <t>M-AN-Y204-MS</t>
  </si>
  <si>
    <t>REVEAL -JAPAN, AND NORTH AND SOUTH KOREA</t>
  </si>
  <si>
    <t>REVEAL:  M-AN-Y204-MS  Japan, North &amp; South Korea</t>
  </si>
  <si>
    <t>M-IN-T-201-R-MS</t>
  </si>
  <si>
    <t>REVEAL X - INDIA, SRI LANKA, MALDIVES</t>
  </si>
  <si>
    <t>IN-T-201-R-MS - REVEAL X India, Sri Lanka, Maldives</t>
  </si>
  <si>
    <t>M-AN-T-204-R-MS</t>
  </si>
  <si>
    <t>REVEAL X - JAPAN, NORTH AND SOUTH KOREA</t>
  </si>
  <si>
    <t>AN-T-204-R-MS - REVEAL X Japan, North and South Korea</t>
  </si>
  <si>
    <t>M-IN-T-400-R-MS</t>
  </si>
  <si>
    <t>REVEAL-X INDONESIA, MALAYSIA</t>
  </si>
  <si>
    <t>M-AS-T-250-R-MS</t>
  </si>
  <si>
    <t>REVEAL-X PHILIPPINES, PALAU,GUAM</t>
  </si>
  <si>
    <t>22501605</t>
  </si>
  <si>
    <t>RF14XU Electronics Module</t>
  </si>
  <si>
    <t>RF14XU Complete spare Electronics Module</t>
  </si>
  <si>
    <t>22506950</t>
  </si>
  <si>
    <t>RF14XU Rudder Feedback - Frequency &amp; Voltage</t>
  </si>
  <si>
    <t>RF14XU Heavy Duty Feedback Unit; Long life feedback unit with transmission linkage. Separate output for rudder angle indicators. Double set of limit switches. Requires 24 V DC supply voltage</t>
  </si>
  <si>
    <t>44118388</t>
  </si>
  <si>
    <t>RF14XU Spare Potentiometer</t>
  </si>
  <si>
    <t>22014286</t>
  </si>
  <si>
    <t>RF25 Rudder Feedback - SimNet</t>
  </si>
  <si>
    <t>RF25 Rudder Feedback Unit: With transmission link and 5.5 m (18 ft) SimNet cable.</t>
  </si>
  <si>
    <t>000-10756-001</t>
  </si>
  <si>
    <t>RF25N Rudder Feedback - NMEA2000</t>
  </si>
  <si>
    <t>RF25N Rudder Feedback Unit
With transmission link and 5 m (16.5 ft) NMEA2000 Micro-C cable and T joiner.</t>
  </si>
  <si>
    <t>20193744</t>
  </si>
  <si>
    <t>RF300 Rudder Feedback - Frequency</t>
  </si>
  <si>
    <t>RF300 Frequency Rudder Feedback - 10m cable and transmission link assembly.</t>
  </si>
  <si>
    <t>000-14439-001</t>
  </si>
  <si>
    <t>RF40 Rudder Feedback - Resistance</t>
  </si>
  <si>
    <t>NAC-1 / NAC-2 ONLY. The RF40 is a medium-duty rudder feedback unit designed specific for use with NAC-1 and NAC-2 autopilot computers. 3pin 15m (50ft) cable.</t>
  </si>
  <si>
    <t>22011258</t>
  </si>
  <si>
    <t>RF45X PCB w/Potentiometer</t>
  </si>
  <si>
    <t>22011415</t>
  </si>
  <si>
    <t>RF45X Rudder Feedback - Frequency &amp; Current</t>
  </si>
  <si>
    <t>RF45X - Medium duty rudder feedback unit. Current and Frequency, comes with transmission link and junction box and 2m cable.</t>
  </si>
  <si>
    <t>000-15757-001</t>
  </si>
  <si>
    <t>RI-50 HALO Radar Power Supply</t>
  </si>
  <si>
    <t>RI-50: HALO Radar Power Supply for HALO 2000 &amp; 3000 series radars</t>
  </si>
  <si>
    <t>000-14552-001</t>
  </si>
  <si>
    <t>RJ45 F to 5pin Ethernet Adapter - 1.5m</t>
  </si>
  <si>
    <t>Ethernet adapter cable, RJ45 F to 5 Pin male, 1.5 m (4.9 ft). Ships with water proof boot.</t>
  </si>
  <si>
    <t>000-0127-56</t>
  </si>
  <si>
    <t>RJ45 F to 5pin M Ethernet Adapter</t>
  </si>
  <si>
    <t>Adapter cable: Ethernet yellow 5 pin male to RJ45 female, 2m (6.5ft)</t>
  </si>
  <si>
    <t>000-11246-001</t>
  </si>
  <si>
    <t>RJ45 M to 5 pin F Ethernet Adapter</t>
  </si>
  <si>
    <t>RJ45-Yellow Round Ethernet adapter cable RJ45 Male / 5 Pin Female 10 cm (6")</t>
  </si>
  <si>
    <t>000-10438-001</t>
  </si>
  <si>
    <t>RJ45 M to 5pin F Ethernet Adapter (Waterproof)</t>
  </si>
  <si>
    <t>RJ45-Yellow Round Ethernet adapter cable RJ45M / 5PinF for products with waterproof RJ45 socket.</t>
  </si>
  <si>
    <t>000-13960-001</t>
  </si>
  <si>
    <t>RPU Motor Brushes - Parvalux</t>
  </si>
  <si>
    <t>Brush replacements for RPU80, RPU160 and RPU300 pumps with Parvalux motors.</t>
  </si>
  <si>
    <t>21118682</t>
  </si>
  <si>
    <t>RPU300 Motor Brushes - Lemac (Long)</t>
  </si>
  <si>
    <t>RPU Motor Brushes - Lemac (Long) for RPU300</t>
  </si>
  <si>
    <t>21118617</t>
  </si>
  <si>
    <t>RPU80 Motor Brushes - Framco</t>
  </si>
  <si>
    <t>21118666</t>
  </si>
  <si>
    <t>RPU80/160 Motor Brushes - Lemac</t>
  </si>
  <si>
    <t>RPU Motor Brushes - Lemac for RPU80/160</t>
  </si>
  <si>
    <t>000-15643-001</t>
  </si>
  <si>
    <t>RS100 Marine VHF System</t>
  </si>
  <si>
    <t>Simrad RS100 Blackbox VHF radio system. Kit includes NRS-1 VHF Blackbox module, one HS100 wired handset, and one SP100 speaker.</t>
  </si>
  <si>
    <t>000-15792-001</t>
  </si>
  <si>
    <t>RS100-B Marine VHF System w/ AIS RXTX</t>
  </si>
  <si>
    <t>Simrad RS100-B Blackbox VHF Radio with integrated Class-B AIS transceiver and GPS. Kit includes NRS-2 VHF Blackbox module with Class B  AIS built-in, GPS-500 antenna, one HS100 wired handset, and one SP100 speaker.</t>
  </si>
  <si>
    <t>000-14262-001</t>
  </si>
  <si>
    <t>RS20/V20 Fist Mic Clip</t>
  </si>
  <si>
    <t>000-14059-001</t>
  </si>
  <si>
    <t>RS20/V20 Flush Mount Kit</t>
  </si>
  <si>
    <t>000-14261-001</t>
  </si>
  <si>
    <t>RS20/V20 Mounting Bracket</t>
  </si>
  <si>
    <t>000-14263-001</t>
  </si>
  <si>
    <t>RS20/V20 Mounting Bracket Knobs</t>
  </si>
  <si>
    <t>000-14491-001</t>
  </si>
  <si>
    <t>RS20S Marine VHF Radio w/ DSC</t>
  </si>
  <si>
    <t>Simrad RS20S Class D DSC VHF Radio - The versatile RS20S is ideal for a variety of boats from small RIBs to larger cruisers, and is designed to match the low-profile style of our glass bridge displays and accessories.</t>
  </si>
  <si>
    <t>000-14055-001</t>
  </si>
  <si>
    <t>RS20S Suncover</t>
  </si>
  <si>
    <t>000-11567-001</t>
  </si>
  <si>
    <t>RS35 Suncover</t>
  </si>
  <si>
    <t>000-14470-001</t>
  </si>
  <si>
    <t>RS40 Marine VHF Radio w/ DSC and AIS-RX</t>
  </si>
  <si>
    <t>RS40 Marine VHF Radio - Stay safe and connected with this VHF marine radio featuring removable fist mic, Class D DSC functionality, and built-in GPS. Keep track of nearby AIS-equipped vessels with an integrated AIS receiver, and add up to two optional wireless handsets.</t>
  </si>
  <si>
    <t>000-14921-001</t>
  </si>
  <si>
    <t>RS40 VHF Fist Mic</t>
  </si>
  <si>
    <t>Simrad RS40 Remote Mountable Fist Mic. Can be connected to the front or rear of the radio, and optional extension cable allows the radio and mic to be mounted in seperate locations.</t>
  </si>
  <si>
    <t>000-14912-001</t>
  </si>
  <si>
    <t>RS40 VHF Suncover</t>
  </si>
  <si>
    <t>000-14919-001</t>
  </si>
  <si>
    <t>RS40/V60 Fist Mic Clip</t>
  </si>
  <si>
    <t>RS40/V60 Bulkhead Fist Mic Mounting Clip</t>
  </si>
  <si>
    <t>000-14915-001</t>
  </si>
  <si>
    <t>RS40/V60 VHF Flush Mounting kit</t>
  </si>
  <si>
    <t>RS40/V60 VHF Flush Mounting kit.:Includes teplate, Gasket, Bezels and screws</t>
  </si>
  <si>
    <t>000-14917-001</t>
  </si>
  <si>
    <t>RS40/V60 VHF Mounting Bracket</t>
  </si>
  <si>
    <t>RS40/V60 VHF Mounting bracket with Knobs and Screws</t>
  </si>
  <si>
    <t>000-14473-001</t>
  </si>
  <si>
    <t>RS40-B Marine VHF Radio w/ DSC and AIS RXTX</t>
  </si>
  <si>
    <t>Simrad RS40-B Marine VHF Radio - Stay safer on the water with this VHF Marine Radio. See and be seen by nearby AIS-equipped vessels thanks the integrated Class B AIS transceiver, and add up to two optional wireless handsets.</t>
  </si>
  <si>
    <t>000-14818-001</t>
  </si>
  <si>
    <t>RS40-B Marine VHF Radio w/ DSC and AIS RXTX + GPS500</t>
  </si>
  <si>
    <t>Simrad RS40-B Marine VHF Radio - Stay safer on the water with this VHF Marine Radio. See and be seen by nearby AIS-equipped vessels thanks the integrated Class B AIS transceiver, and add up to two optional wireless handsets. Includes with GPS500 GPS antenna.</t>
  </si>
  <si>
    <t>000-11727-001</t>
  </si>
  <si>
    <t>RS90/V90 20m Handset cable</t>
  </si>
  <si>
    <t>RS90/V90 20m (65 ft) Handset cable. Includes phoenix connector and bulkhead mount</t>
  </si>
  <si>
    <t>000-12185-001</t>
  </si>
  <si>
    <t>S2009 Fish Finder</t>
  </si>
  <si>
    <t>Simrad S2009 Dedicated Fish Finder. 9'' portrait display. Single 7-pin Sonar port, supporting a large variety of transducers up to 1kW. For expanded features and higher power transducers, S5100 sonar module can be added.</t>
  </si>
  <si>
    <t>000-12398-001</t>
  </si>
  <si>
    <t>S2009, R2009 &amp; S3009 Front Case Kit</t>
  </si>
  <si>
    <t>S2009, R2009 &amp; S3009 Front Case Service Kit</t>
  </si>
  <si>
    <t>000-12413-001</t>
  </si>
  <si>
    <t>S2009, R2009 Suncover</t>
  </si>
  <si>
    <t>Suncover for S2009, and R2009</t>
  </si>
  <si>
    <t>000-12411-001</t>
  </si>
  <si>
    <t>S2009, S3009 &amp; R2009 Bracket Kit</t>
  </si>
  <si>
    <t>S2009, S3009 &amp; R2009 Bracket mount kit: Includes bracket, 2 x Knobs and Screws</t>
  </si>
  <si>
    <t>000-12409-001</t>
  </si>
  <si>
    <t>S2009, S3009 &amp; R2009 Dash Mounting Kit</t>
  </si>
  <si>
    <t>S2009, S3009 &amp; R2009 Dashmount kit: Includes gasket, cutout template and screws.</t>
  </si>
  <si>
    <t>000-12519-001</t>
  </si>
  <si>
    <t>S2009, S3009 &amp; R2009 Edge Bezels</t>
  </si>
  <si>
    <t>S2009, S3009 &amp; R2009 Spare Edge Bezels</t>
  </si>
  <si>
    <t>000-12412-001</t>
  </si>
  <si>
    <t>S2016 &amp; R3016 Bracket Mounting Kit</t>
  </si>
  <si>
    <t>S2016 &amp; R3016 Bracket mounting kit.</t>
  </si>
  <si>
    <t>000-12410-001</t>
  </si>
  <si>
    <t>S2016 &amp; R3016 Dash Mounting Kit</t>
  </si>
  <si>
    <t>000-12520-001</t>
  </si>
  <si>
    <t>S2016 &amp; R3016 Edge Bezels</t>
  </si>
  <si>
    <t>000-12414-001</t>
  </si>
  <si>
    <t>S2016 &amp; R3016 Suncover</t>
  </si>
  <si>
    <t>000-14217-001</t>
  </si>
  <si>
    <t>S3009 &amp; S5100 Nav Sounder - Dual Transducer Kit</t>
  </si>
  <si>
    <t>Simrad S3009+S5100 Expanded Navigation Sounder System for dual transducer installations. Kit includes S3009 9" Navigation Echo Sounder and S5100 Echosounder module. Choose between 50kHz and 200kHz transducers in the Accessories tab.</t>
  </si>
  <si>
    <t>000-14215-001</t>
  </si>
  <si>
    <t>S3009 Navigation Echosounder</t>
  </si>
  <si>
    <t>The Simrad S3009 Navigational Echosounder meets the requirement for reliable and accurate bottom tracking and depth recording on a wide range of commercial vessels. Exceeding the latest performance standards for IMO compliance, the S3009 features modern controls for easy operation.</t>
  </si>
  <si>
    <t>000-15918-002</t>
  </si>
  <si>
    <t>S3100H Sonar Module with Heave compensation</t>
  </si>
  <si>
    <t>S3100H High-performance sonar module with HEAVE compensation. Two independent 1kW channels supporting 1 kW Low, Med, High, and High-Wide transducers. Support for high-frequency ActiveImaging HD transducers. MFDs will need compatible software.</t>
  </si>
  <si>
    <t>23241227</t>
  </si>
  <si>
    <t>S35 NFU Steering Lever</t>
  </si>
  <si>
    <t>S35 Non Follow Up Steering Lever
Designed for indoor and outdoor mounting. Proven industrial and ruggedized design for use in harsh working conditions on deck.</t>
  </si>
  <si>
    <t>000-11149-001</t>
  </si>
  <si>
    <t>S35 PCB - Round Button</t>
  </si>
  <si>
    <t>S35 PCB, for Round Button version</t>
  </si>
  <si>
    <t>000-11151-001</t>
  </si>
  <si>
    <t>S35 Service Kit - Round Button</t>
  </si>
  <si>
    <t>S35 Service Kit for Round Button version.</t>
  </si>
  <si>
    <t>000-13260-001</t>
  </si>
  <si>
    <t>S5100 Sonar Module</t>
  </si>
  <si>
    <t>S5100 High-performance CHIRP sonar module. Three fully independent channels able to deliver high-resolution sonar coverage across multiple depth ranges, precision-focused for offshore sportfishing anglers.</t>
  </si>
  <si>
    <t>000-15974-001</t>
  </si>
  <si>
    <t>SAIL PERFORMANCE SENSOR PACK</t>
  </si>
  <si>
    <t>Sail Performance sensor pack. Includes WS320 wind pack, IDST-850 transducer, ZG100 GPS antenna, and Micro-C backbone kit and cables.</t>
  </si>
  <si>
    <t>000-14053-001</t>
  </si>
  <si>
    <t>SAL R1 Easy Tank Bottom Flange (Aluminium)</t>
  </si>
  <si>
    <t>000-14052-001</t>
  </si>
  <si>
    <t>SAL R1 Easy Tank Bottom Flange (Steel)</t>
  </si>
  <si>
    <t>000-14051-001</t>
  </si>
  <si>
    <t>SAL R1 Easy Tank Transducer</t>
  </si>
  <si>
    <t>SAL R1 Easy Tank Speed Transducer with 10m (33ft) cable. The SAL R1 is an IMO type-approved speed log for measuring longitudinal speed through water (STW), based on proven Acoustic Correlation technology.</t>
  </si>
  <si>
    <t>000-14049-001</t>
  </si>
  <si>
    <t>SAL R1 Speed &amp; Distance Display</t>
  </si>
  <si>
    <t>SAL R1 Spare Speed &amp; Distance Display</t>
  </si>
  <si>
    <t>000-14050-001</t>
  </si>
  <si>
    <t>SAL R1 Speed Log Main Unit</t>
  </si>
  <si>
    <t>SAL R1 Speed Log Main Electronics Unit</t>
  </si>
  <si>
    <t>000-13322-001</t>
  </si>
  <si>
    <t>S-Band Down-Mast SRT Core Unit 30kW</t>
  </si>
  <si>
    <t>Down-Mast S-Band SRT Core Unit 30kW</t>
  </si>
  <si>
    <t>000-12509-001</t>
  </si>
  <si>
    <t>S-Band Down-Mast Waveguide Kit 30m (Coaxial)</t>
  </si>
  <si>
    <t>000-14252-001</t>
  </si>
  <si>
    <t>S-Band Heater Upgrade Kit for Down-Mast SRT LAN</t>
  </si>
  <si>
    <t>Optional heater upgrade kit for S-Band Down-Mast Pedestals to ensure reliable operation down to -40 °C (-40 °F).</t>
  </si>
  <si>
    <t>000-13224-001</t>
  </si>
  <si>
    <t>S-Band Heater Upgrade Kit for Up-Mast SRT LAN</t>
  </si>
  <si>
    <t>Optional heater upgrade kit for S-Band Up-Mast Pedestals to ensure reliable operation down to -40 °C (-40 °F).</t>
  </si>
  <si>
    <t>000-13320-001</t>
  </si>
  <si>
    <t>S-Band Pedestal for Down-Mast Core Unit (12ft, 30kW)</t>
  </si>
  <si>
    <t>000-13321-001</t>
  </si>
  <si>
    <t>S-Band Pedestal for Down-Mast Core Unit (12ft, 30kW) HSC</t>
  </si>
  <si>
    <t>S-Band Pedestal for Down-Mast Core Unit (12ft, 30kW) for High Speed Craft</t>
  </si>
  <si>
    <t>000-10795-001</t>
  </si>
  <si>
    <t>SC20 Mast Mount for HALO 20/20+</t>
  </si>
  <si>
    <t>SC20 Mast mount kit for HALO 20/20+ and Broadband Dome Radars.</t>
  </si>
  <si>
    <t>000-15960-001</t>
  </si>
  <si>
    <t>Scout + Scout wide bracket</t>
  </si>
  <si>
    <t>The ActiveTarget® 2 Scout™ wide bracket</t>
  </si>
  <si>
    <t>000-13697-001</t>
  </si>
  <si>
    <t>SD10 Mechanical Drive</t>
  </si>
  <si>
    <t>SD10 Mechanical Drive unit for NAC-2 Autopilot computers. The Dive will suit sailboats 25’-37’ with 6’ steering cable with electromagnetic clutch with override function, built in Rudder feedback and 12 V power supply</t>
  </si>
  <si>
    <t>000-10192-001</t>
  </si>
  <si>
    <t>SD80 Solenoid Drive Module</t>
  </si>
  <si>
    <t>SD80 Solenoid Drive Module for on/off or proportional control of rudder or thruster using galvanic isolated solenoids or high level current.</t>
  </si>
  <si>
    <t>000-10587-001</t>
  </si>
  <si>
    <t>SD80 Solenoid Drive PCB</t>
  </si>
  <si>
    <t>SD80 Solenoid Drive PCB  for on/off or proportional control of rudder or thruster using galvanic isolated solenoids or high level current. To be mounted in AC85 Autopilot Computer Cabinet.</t>
  </si>
  <si>
    <t>44174449</t>
  </si>
  <si>
    <t>Sensitive Element - Fixing Jigs (SET)</t>
  </si>
  <si>
    <t>Fixing jig set for mounting the GC80/85/RGC12 sensitive element into the master compass. Set with one each of 3.2mm and 3.4mm jigs.</t>
  </si>
  <si>
    <t>44134872</t>
  </si>
  <si>
    <t>Sensitive Element - Transport Box</t>
  </si>
  <si>
    <t>GC80 / GC85 Sensitive Element - Cardboard Transportation Box. Required for secure transportation of the sensitive element. Also for RGC12 elements.</t>
  </si>
  <si>
    <t>151-10333-001</t>
  </si>
  <si>
    <t>SERVICE SONARHUB</t>
  </si>
  <si>
    <t>000-11483-001</t>
  </si>
  <si>
    <t>SG05 Pro+AC80A</t>
  </si>
  <si>
    <t>SG05 Pro IMO KIT CAN BUS Auto Pilot Computer with AC80A</t>
  </si>
  <si>
    <t>000-10425-001</t>
  </si>
  <si>
    <t>SI80 Signal Interface Module</t>
  </si>
  <si>
    <t>SI80 Signal Interface - Four channel NMEA 0183 interface computer board and voltage supply for CAN bus.</t>
  </si>
  <si>
    <t>000-10588-001</t>
  </si>
  <si>
    <t>SI80 Signal Interface PCB</t>
  </si>
  <si>
    <t>SI80 Signal Interface PCB with 4 NMEA 0183 RX/TX ports, built-in 12V N2K Network supply. Power input 12-24V DC.</t>
  </si>
  <si>
    <t>000-10628-001</t>
  </si>
  <si>
    <t>SIMKIT 3</t>
  </si>
  <si>
    <t>SIMKIT-3. Micro-C to SimNet.</t>
  </si>
  <si>
    <t>SIMKIT-1</t>
  </si>
  <si>
    <t>SimNet Starter Kit-1</t>
  </si>
  <si>
    <t>24005860</t>
  </si>
  <si>
    <t>SimNet 3-Way Joiner</t>
  </si>
  <si>
    <t>SimNet 3 Prong Multi-joiner</t>
  </si>
  <si>
    <t>24006298</t>
  </si>
  <si>
    <t>SimNet 7-Way Joiner</t>
  </si>
  <si>
    <t>SimNet 7 Prong Multi-joiner</t>
  </si>
  <si>
    <t>24005829</t>
  </si>
  <si>
    <t>Simnet Cab 0.3 m (1 ft)</t>
  </si>
  <si>
    <t>SimNet cable 0.3 m (1 ft)</t>
  </si>
  <si>
    <t>24005837</t>
  </si>
  <si>
    <t>SimNet Cable - 2m (6.6 ft)</t>
  </si>
  <si>
    <t>SimNet cable 2 m (6.6 ft)</t>
  </si>
  <si>
    <t>24005845</t>
  </si>
  <si>
    <t>SimNet Cable - 5 m (16 ft)</t>
  </si>
  <si>
    <t>SimNet cable 5 m (16 ft)</t>
  </si>
  <si>
    <t>24005852</t>
  </si>
  <si>
    <t>SimNet Cable -10 m (33 ft)</t>
  </si>
  <si>
    <t>SimNet cable 10 m (33 ft)
note: for simNet backbone only</t>
  </si>
  <si>
    <t>24005729</t>
  </si>
  <si>
    <t>SimNet Device to Micro-C 0.5m</t>
  </si>
  <si>
    <t>SimNet to Micro-C (male) cable that connects a SimNet product to a NMEA 2000® backbone. 0.5 m (1.6 ft)</t>
  </si>
  <si>
    <t>44172260</t>
  </si>
  <si>
    <t>SimNet joiner yellow</t>
  </si>
  <si>
    <t>SimNet joiner yellow without terminator</t>
  </si>
  <si>
    <t>000-0127-45</t>
  </si>
  <si>
    <t>SimNet to N2K Adapter Kit</t>
  </si>
  <si>
    <t>SimNet to N2K Adapter Kit - Connect a SimNet device with a fixed SimNet cable to a NMEA 2000® network; includes SimNet to N2k male adaptor, Simnet inline Joiner, NMEA2000® T connector.</t>
  </si>
  <si>
    <t>000-13168-001</t>
  </si>
  <si>
    <t>Simrad 5'' Suncover</t>
  </si>
  <si>
    <t>Suncover for Simrad GO5, I3005 and P2005.</t>
  </si>
  <si>
    <t>000-14227-001</t>
  </si>
  <si>
    <t>Simrad 7'' Suncover</t>
  </si>
  <si>
    <t>Suncover for GO7 XSR, P3007 and I3007.</t>
  </si>
  <si>
    <t>000-12328-001</t>
  </si>
  <si>
    <t>SIMRAD AIS 37pin Cable</t>
  </si>
  <si>
    <t>V50xx AIS 37pin Cable - Data cable from AIS Main unit to Junction Box.</t>
  </si>
  <si>
    <t>000-12329-001</t>
  </si>
  <si>
    <t>SIMRAD AIS 3pin Power Cable</t>
  </si>
  <si>
    <t>V50xx AIS 3pin Power Cable</t>
  </si>
  <si>
    <t>000-16300-001</t>
  </si>
  <si>
    <t>SIMRAD AIS ETHERNET CABLE</t>
  </si>
  <si>
    <t>000-12326-001</t>
  </si>
  <si>
    <t>SIMRAD AIS GPS Antenna</t>
  </si>
  <si>
    <t>V50xx AIS GPS Antenna - 10 m (33 ft) cable</t>
  </si>
  <si>
    <t>000-12324-001</t>
  </si>
  <si>
    <t>SIMRAD AIS Junction Box</t>
  </si>
  <si>
    <t>SIMRAD V50xx AIS Junction Box</t>
  </si>
  <si>
    <t>000-12325-001</t>
  </si>
  <si>
    <t>SIMRAD AIS Pilot Plug</t>
  </si>
  <si>
    <t>SIMRAD V50xx AIS Pilot Plug</t>
  </si>
  <si>
    <t>000-12528-002</t>
  </si>
  <si>
    <t>SIMRAD ECDIS 900 MK15B 24” 4S</t>
  </si>
  <si>
    <t>SIMRAD ECDIS 900 MK15B 24” 4 - Flat Panel PC - IMO-type approved navigation system, designed for use aboard SOLAS vessels. Delivers precise navigation with comprehensive route planning tools, integrated chart management and ordering, and radar overlay.</t>
  </si>
  <si>
    <t>000-16243-001</t>
  </si>
  <si>
    <t>SIMRAD ECDIS 900 MK15B 27” 4S</t>
  </si>
  <si>
    <t>SIMRAD ECDIS 900 MK15B 27” 4 - Flat Panel PC - IMO-type approved navigation system, designed for use aboard SOLAS vessels. Delivers precise navigation with comprehensive route planning tools, integrated chart management and ordering, and radar overlay.</t>
  </si>
  <si>
    <t>000-12552-002</t>
  </si>
  <si>
    <t>SIMRAD ECDIS900 MK15B 19” 4S</t>
  </si>
  <si>
    <t>SIMRAD ECDIS 900 MK15B 19” 4 - Flat Panel PC - IMO-type approved navigation system, designed for use aboard SOLAS vessels. Delivers precise navigation with comprehensive route planning tools, integrated chart management and ordering, and radar overlay.</t>
  </si>
  <si>
    <t>000-15435-001</t>
  </si>
  <si>
    <t>SIMRAD ECDIS900 MK5A Upgrade Kit</t>
  </si>
  <si>
    <t>000-14487-002</t>
  </si>
  <si>
    <t>SIMRAD ECDIS900 MK5B Processor</t>
  </si>
  <si>
    <t>SIMRAD ECDIS900 MK5B Processor Only</t>
  </si>
  <si>
    <t>000-12553-003</t>
  </si>
  <si>
    <t>SIMRAD ECDIS900 MK5B W/ M5024</t>
  </si>
  <si>
    <t>SIMRAD ECDIS900 MK5B w/ M5024 - IMO-type approved navigation system, designed for use aboard SOLAS vessels. Delivers precise navigation with comprehensive route planning and optimization tools, integrated chart management, radar overlay and more.</t>
  </si>
  <si>
    <t>000-13708-003</t>
  </si>
  <si>
    <t>SIMRAD ECDIS900 MK5B W/ M5027</t>
  </si>
  <si>
    <t>SIMRAD ECDIS900 MK5B w/ M5027 - IMO-type approved navigation system, designed for use aboard SOLAS vessels. Delivers precise navigation with comprehensive route planning and optimization tools, integrated chart management, radar overlay, and more.</t>
  </si>
  <si>
    <t>000-14537-001</t>
  </si>
  <si>
    <t>SIMRAD HALO20 Radar</t>
  </si>
  <si>
    <t>HALO20 Radar - A cost-effective compact 20'' Radar dome. 24 NM range and 24 RPM. The perfect radar solution for budget-conscious boaters with small sportfishing vessels and dayboats.</t>
  </si>
  <si>
    <t>000-14536-001</t>
  </si>
  <si>
    <t>SIMRAD HALO20+ Radar</t>
  </si>
  <si>
    <t>HALO20+ Radar - A compact 20'' powerful 25 W Solid-State Radar, delivering 60 RPM at short range and up to 36 NM range. Identify hazards in an instant with VelocityTrack™ Doppler technology and can run dual scale to identify hazards both at close and long ranges simultaneously.</t>
  </si>
  <si>
    <t>000-14535-001</t>
  </si>
  <si>
    <t>SIMRAD HALO24 Radar</t>
  </si>
  <si>
    <t>HALO24 Radar - A 24'' powerful 25 W Solid-State Radar, delivering 60 RPM at short range and up to 48 NM range. Identify hazards in an instant with VelocityTrack™ Doppler technology and can run dual scale to identify hazards both at close and long ranges simultaneously.</t>
  </si>
  <si>
    <t>000-12256-001</t>
  </si>
  <si>
    <t>Simrad M5024 Adapter Frame Kit</t>
  </si>
  <si>
    <t>000-14106-002</t>
  </si>
  <si>
    <t>SIMRAD PLECDIS 900 MK15B 19" 4S</t>
  </si>
  <si>
    <t>SIMRAD PLECDIS 900 MK15 19" 4S - Flat Panel PC - IMO-type approved navigation system, designed for use aboard SOLAS vessels. Delivers precise navigation with comprehensive route planning tools, integrated chart management and ordering, and radar overlay.</t>
  </si>
  <si>
    <t>000-12554-002</t>
  </si>
  <si>
    <t>SIMRAD PLECDIS 900 MK15B 24" 4S</t>
  </si>
  <si>
    <t>SIMRAD PLECDIS 900 MK15 24" 4S - Flat Panel PC - IMO-type approved navigation system, designed for use aboard SOLAS vessels. Delivers precise navigation with comprehensive route planning tools, integrated chart management and ordering, and radar overlay.</t>
  </si>
  <si>
    <t>000-16244-001</t>
  </si>
  <si>
    <t>SIMRAD PLECDIS 900 MK15B 27" 4S</t>
  </si>
  <si>
    <t>SIMRAD PLECDIS 900 MK15 27" 4S - Flat Panel PC - IMO-type approved navigation system, designed for use aboard SOLAS vessels. Delivers precise navigation with comprehensive route planning tools, integrated chart management and ordering, and radar overlay.</t>
  </si>
  <si>
    <t>000-12557-003</t>
  </si>
  <si>
    <t>SIMRAD PLECDIS900 MK5B W/ M5024</t>
  </si>
  <si>
    <t>SIMRAD PLECDIS900 MK5B w/ M5024 - IMO-type approved navigation system, designed for use aboard SOLAS vessels. Delivers precise navigation with comprehensive route planning and optimization tools, integrated chart management, radar overlay and more.</t>
  </si>
  <si>
    <t>000-13709-003</t>
  </si>
  <si>
    <t>SIMRAD PLECDIS900 MK5B W/ M5027</t>
  </si>
  <si>
    <t>SIMRAD PLECDIS900 MK5A w/ M5027 - IMO-type approved navigation system, designed for use aboard SOLAS vessels. Delivers precise navigation with comprehensive route planning and optimization tools, integrated chart management, radar overlay and more.</t>
  </si>
  <si>
    <t>000-14315-001</t>
  </si>
  <si>
    <t>Simrad Professional Console - Adapter plate for O2000 Radar Keyboard and Trackball</t>
  </si>
  <si>
    <t>Adapter plate for O2000 Radar Keyboard and Trackball - For R5000 radar installations.</t>
  </si>
  <si>
    <t>000-14314-001</t>
  </si>
  <si>
    <t>Simrad Professional Console - Argus Adapter</t>
  </si>
  <si>
    <t>Comes in a set of four.  Designed to be used with the Argus Radar Core Unit (PNs 000-10330-001 and 000-10883-001).</t>
  </si>
  <si>
    <t>000-13981-001</t>
  </si>
  <si>
    <t>Simrad Professional Console - Blind Plate for Keyboard with Housing</t>
  </si>
  <si>
    <t>Package consist of the blind plate and fixing screws to fit the frame on desk-top cabinet.</t>
  </si>
  <si>
    <t>000-14360-001</t>
  </si>
  <si>
    <t>Simrad Professional Console - Blind Plate with E0102 Alarm Panel Adapter</t>
  </si>
  <si>
    <t>This accessory is designed to be used with the ECDIS900 Cherry or OP3000 (with housing) keyboards and the E0102 alarm panel (required when using the M5024 Monitor).  This accessory include a small plate to cover over the E0102 Alarm adapter if the alarm is ever removed.</t>
  </si>
  <si>
    <t>000-14312-001</t>
  </si>
  <si>
    <t>Simrad Professional Console - Left Adapter</t>
  </si>
  <si>
    <t>Adapter fits inside the pedestal chassis of the Simrad Professional Console.  Designed to be used with the E50XX processor, R5000 PSU, Simrad-Maris ECDIS900 MK5A (Hatteland B30 Processor - certificate pending), and ECDIS Network Switch.</t>
  </si>
  <si>
    <t>000-14313-001</t>
  </si>
  <si>
    <t>Simrad Professional Console - Right Adapter</t>
  </si>
  <si>
    <t>Designed to be used with R5000 Processor and Phoenix Contact UPS and Power Supply for ECDIS900 MK15 and ECDIS E50XX.</t>
  </si>
  <si>
    <t>000-14375-001</t>
  </si>
  <si>
    <t>Simrad Professional Console - Top Cover</t>
  </si>
  <si>
    <t>Designed to be used with the Simrad-Maris ECDIS900 OP3000 Keyboard (PN 11197. Comes started with all ECDIS900 kits) or OP3000 desktop keyboard (PN 000-12524-001).</t>
  </si>
  <si>
    <t>000-14311-001</t>
  </si>
  <si>
    <t>Simrad Professional Console (SPC)</t>
  </si>
  <si>
    <t>The Simrad Professional Console is a flexible, one-design mounting system for Simrad IMO radar and ECDIS solutions.</t>
  </si>
  <si>
    <t>000-14048-001</t>
  </si>
  <si>
    <t>SIMRAD SAL R1 Easy Tank Speed Log (Aluminium)</t>
  </si>
  <si>
    <t>SIMRAD SAL R1 Easy tank, Speed Log. Speed and Distance Measuring Equipment (SDME)- Speed through water as required for SOLAS vessels (300GT+ &amp; passenger vessels).</t>
  </si>
  <si>
    <t>000-14047-001</t>
  </si>
  <si>
    <t>SIMRAD SAL R1 Easy Tank Speed Log (Steel)</t>
  </si>
  <si>
    <t>000-12549-001</t>
  </si>
  <si>
    <t>Simrad-Maris ECDIS900 CT&amp;A Cable</t>
  </si>
  <si>
    <t>This cable is required when using the Simrad-Maris ECDIS900 MK5 with the Simrad M5024 or M5027 Professional Monitors for proper color calibration.</t>
  </si>
  <si>
    <t>000-12567-001</t>
  </si>
  <si>
    <t>Single ECDIS Installation Kit</t>
  </si>
  <si>
    <t>This kit consists of certified products for the installation of the Simrad-Maris ECDIS900 and the Simrad ECDIS E50XX.</t>
  </si>
  <si>
    <t>11346</t>
  </si>
  <si>
    <t>SIS4000 MK2 - 8CH Serial to LAN</t>
  </si>
  <si>
    <t>24006306</t>
  </si>
  <si>
    <t>Snet BulkH T Con.</t>
  </si>
  <si>
    <t>SimNet bulkhead T-connector</t>
  </si>
  <si>
    <t>44172278</t>
  </si>
  <si>
    <t>Snet Joiner Red</t>
  </si>
  <si>
    <t>SimNet joiner red with terminator</t>
  </si>
  <si>
    <t>24005886</t>
  </si>
  <si>
    <t>Snet Protection Plg.</t>
  </si>
  <si>
    <t>SimNet protection plug</t>
  </si>
  <si>
    <t>24005902</t>
  </si>
  <si>
    <t>Snet Pwr Cab Red</t>
  </si>
  <si>
    <t>SimNet power cable with terminator 2 m (6.6 ft) -red tip</t>
  </si>
  <si>
    <t>24005910</t>
  </si>
  <si>
    <t>Snet Pwr Cab Yell</t>
  </si>
  <si>
    <t>SimNet power cable without terminator 2 m (6.6 ft) -yellow tip</t>
  </si>
  <si>
    <t>24005894</t>
  </si>
  <si>
    <t>Snet Terminator</t>
  </si>
  <si>
    <t>SimNet termination plug</t>
  </si>
  <si>
    <t>000-11142-001</t>
  </si>
  <si>
    <t>SonarHub Module</t>
  </si>
  <si>
    <t>SonarHub Module, with power cable and Ethernet cable 4.5m (15ft). Requires adapter 000-12571-001 or 000-13977-001 adapter cable to use Airmar Non-Chirp or Chirp 9-pin transducers.</t>
  </si>
  <si>
    <t>000-15651-001</t>
  </si>
  <si>
    <t>SP100 External VHFspeaker.</t>
  </si>
  <si>
    <t>SP100: External VHF speaker. 10W @ 4 Ohms. Comes with an attached twin core 2 m (6.5 ft) cable.</t>
  </si>
  <si>
    <t>000-11519-001</t>
  </si>
  <si>
    <t>Speed Sensor</t>
  </si>
  <si>
    <t>Speed Though Water Sensor - Transom-mount paddle wheel sensor, ideal for slow trolling speeds where GPS is not as accurate. 3.1m (10ft) cable with Micro-C connector.</t>
  </si>
  <si>
    <t>SEN-INSRT-SP2</t>
  </si>
  <si>
    <t>Speed Sensor Valve (screw version)</t>
  </si>
  <si>
    <t>SP-973531A2-001</t>
  </si>
  <si>
    <t>SPINT PCB</t>
  </si>
  <si>
    <t>000-14411-001</t>
  </si>
  <si>
    <t>SPLITSHOT INLINE TEMP SENSOR</t>
  </si>
  <si>
    <t>SPLITSHOT Inline temperature sensor: Hook2/Reveal</t>
  </si>
  <si>
    <t>000-14028-001</t>
  </si>
  <si>
    <t>SplitShot Skimmer Transducer</t>
  </si>
  <si>
    <t>SP-973361A2-001</t>
  </si>
  <si>
    <t>SRT ADAPTER PCB</t>
  </si>
  <si>
    <t>000-10878-001</t>
  </si>
  <si>
    <t>SRT ADAPTERBOX (PWR FOR ADD SCANNER) ETC</t>
  </si>
  <si>
    <t>000-11561-001</t>
  </si>
  <si>
    <t>SS502 Stainless Through-Hull 50/200kHz ASIA</t>
  </si>
  <si>
    <t>The SS502 is a compact, impact resistant, stainless steel stem for use on all hulls. Blue 7 pin connector: Cable length 10 m (33.0 ft)</t>
  </si>
  <si>
    <t>000-00020-001</t>
  </si>
  <si>
    <t>ST-10 SimNet/N2K to USB Programming Tool</t>
  </si>
  <si>
    <t>ST10 Simnet programing Toolkit</t>
  </si>
  <si>
    <t>000-16153-001</t>
  </si>
  <si>
    <t>ST300 Low profile, short series</t>
  </si>
  <si>
    <t>The ST300, speed, and temperature sensor. Short series, designed for boats with limited headroom. Boat Builder only.</t>
  </si>
  <si>
    <t>22098586</t>
  </si>
  <si>
    <t>ST850 Speed/Temp Sensor (Plastic) - Connects to D800 sensor only.</t>
  </si>
  <si>
    <t>ST850 passive S/T sensor TH plastic with 1 m (7 ft) Pigtail (Connects speed to D800 (22098560)</t>
  </si>
  <si>
    <t>AA000224</t>
  </si>
  <si>
    <t>Stainless Steel Quick-Fit Antenna Mount</t>
  </si>
  <si>
    <t>Stainless Steel VHF Antenna mount. Quick-Fit with 5m (16ft) cable</t>
  </si>
  <si>
    <t>000-15734-001</t>
  </si>
  <si>
    <t>SteadySteer™ Flow Switch</t>
  </si>
  <si>
    <t>SteadySteer™ Flow Switch Only. Enjoy increased convenience without sacrificing safety with SteadySteer - a new functionality for autopilot systems that enables immediate, manual control of a vessel through turns without disengaging the autopilot.</t>
  </si>
  <si>
    <t>000-15804-002</t>
  </si>
  <si>
    <t>STEER-BY-WIRE AUTOPILOT KIT FOR VOLVO</t>
  </si>
  <si>
    <t>Steer-by-wire Volvo EVC Kit for IPS (includes NAC-D, Precision 9, Volvo Gateway)</t>
  </si>
  <si>
    <t>000-15805-001</t>
  </si>
  <si>
    <t>STEER-BY-WIRE AUTOPILOT KIT FOR YAMAHA</t>
  </si>
  <si>
    <t>Steer-by-wire Autopilot Pack for Yamaha Helm Master (includes NAC-D, Yamaha gateway and Precision 9 heading sensor). Compatible with Helm Master, but not Helm Master Ex</t>
  </si>
  <si>
    <t>000-13581-001</t>
  </si>
  <si>
    <t>StructureScan 3D Fairing Block</t>
  </si>
  <si>
    <t>Fairing Block only for StructureScan 3D Through-Hull transducers.</t>
  </si>
  <si>
    <t>000-12396-001</t>
  </si>
  <si>
    <t>StructureScan 3D Transducer Only</t>
  </si>
  <si>
    <t>StructureScan 3D Transducer Only - The StructureScan 3D transducer produces three-dimensional scans of underwater terrain and fish-holding structure to create a high-resolution view. Cable length 6.0 m (20 ft)</t>
  </si>
  <si>
    <t>000-11460-001</t>
  </si>
  <si>
    <t>StructureScan Dual Thru-Hull (Stainless Steel)</t>
  </si>
  <si>
    <t>Stainless steel StructureScan™ HD Sonar thru-hull transducer with Y-cable. (pair). Cable length 7.6 m (25 ft)</t>
  </si>
  <si>
    <t>000-11459-001</t>
  </si>
  <si>
    <t>StructureScan Single Thru-Hull (Stainless Steel)</t>
  </si>
  <si>
    <t>Stainless steel StructureScan™ HD Sonar thru-hull transducer. (Single). Cable length 7.6 m (25 ft)</t>
  </si>
  <si>
    <t>000-10802-001</t>
  </si>
  <si>
    <t>StructureScan Skimmer</t>
  </si>
  <si>
    <t>StructureScan™ HD Skimmer Transom Mount Transducer</t>
  </si>
  <si>
    <t>000-13560-001</t>
  </si>
  <si>
    <t>StructureScan® 3D Dual Stainless Steel Thru-Hull Transducers</t>
  </si>
  <si>
    <t>StructureScan 3D Dual Stainless Steel Thru-Hull Transducers. Cable length 7.6 m (25 ft)</t>
  </si>
  <si>
    <t>000-14256-001</t>
  </si>
  <si>
    <t>StructureScan® 3D L/H and M/H - Fairing Block Only</t>
  </si>
  <si>
    <t>Replacement fairing block for combined StructureScan® 3D L/H and M/H Through-Hull Transducers.</t>
  </si>
  <si>
    <t>000-14254-001</t>
  </si>
  <si>
    <t>StructureScan® 3D L/H Through-Hull Transducer</t>
  </si>
  <si>
    <t>StructureScan 3D Through-Hull Transducer with Low and High CHIRP in one transducer. 7.6 m (25ft) cable. Requires StructureScan® 3D Module sold separately.</t>
  </si>
  <si>
    <t>000-14255-001</t>
  </si>
  <si>
    <t>StructureScan® 3D M/H Through-Hull Transducer</t>
  </si>
  <si>
    <t>StructureScan® 3D Through-Hull Transducer with Medium and High CHIRP in one transducer. 6m (20ft) cable. Requires StructureScan® 3D Module sold separately.</t>
  </si>
  <si>
    <t>000-12395-001</t>
  </si>
  <si>
    <t>StructureScan® 3D Module and Transducer</t>
  </si>
  <si>
    <t>StructureScan® 3D Module and Transom mount Transducer kit.</t>
  </si>
  <si>
    <t>000-12397-001</t>
  </si>
  <si>
    <t>StructureScan® 3D Module Only</t>
  </si>
  <si>
    <t>StructureScan® 3D module only. Transom mount and Through-Hull transducers available separately.</t>
  </si>
  <si>
    <t>000-13559-001</t>
  </si>
  <si>
    <t>StructureScan® 3D Single Stainless Steel Thru-Hull Transducer</t>
  </si>
  <si>
    <t>StructureScan 3D Single Stainless Steel Thru-Hull Transducer. Cable length 7.6 m (25 ft)</t>
  </si>
  <si>
    <t>000-12752-001</t>
  </si>
  <si>
    <t>StructureScan® 3D Transducer Extension Cables (Pair) 12 Pin</t>
  </si>
  <si>
    <t>Transducer Extension Cables for StructureScan® 3D - 10ft (3m)</t>
  </si>
  <si>
    <t>000-0051-52</t>
  </si>
  <si>
    <t>SUCTION CUP KIT</t>
  </si>
  <si>
    <t>Suction Cup Kit - Suction cup kit for portable skimmer transducers</t>
  </si>
  <si>
    <t>000-12892-001</t>
  </si>
  <si>
    <t>SUN COVER,H5000 DISPLAYS</t>
  </si>
  <si>
    <t>000-12893-001</t>
  </si>
  <si>
    <t>SUN COVER,H5000 PILOT KEYPAD</t>
  </si>
  <si>
    <t>000-13692-001</t>
  </si>
  <si>
    <t>SUNCOVER ELITE-9 TI</t>
  </si>
  <si>
    <t>000-13722-001</t>
  </si>
  <si>
    <t>Suncover, Triton² Display</t>
  </si>
  <si>
    <t>Suncover for B&amp;G Triton² Display</t>
  </si>
  <si>
    <t>000-13724-001</t>
  </si>
  <si>
    <t>SUNCOVER,AP44 DISPLAY</t>
  </si>
  <si>
    <t>000-13923-001</t>
  </si>
  <si>
    <t>SUNCOVER,ELITE-12 TI</t>
  </si>
  <si>
    <t>000-11307-001</t>
  </si>
  <si>
    <t>SUNCOVER:  4" MARK/ELITE/HOOK</t>
  </si>
  <si>
    <t>000-12240-001</t>
  </si>
  <si>
    <t>SUNCOVER:  9" ELITE/HOOK</t>
  </si>
  <si>
    <t>000-11069-001</t>
  </si>
  <si>
    <t>SUNCOVER: 7" ELITE/HOOK</t>
  </si>
  <si>
    <t>000-15778-001</t>
  </si>
  <si>
    <t>SUNCOVER: ELITE-7 FS</t>
  </si>
  <si>
    <t>000-12749-001</t>
  </si>
  <si>
    <t>SUNCOVER: ELITE-7 TI</t>
  </si>
  <si>
    <t>000-15779-001</t>
  </si>
  <si>
    <t>SUNCOVER: ELITE-9 FS</t>
  </si>
  <si>
    <t>TB120</t>
  </si>
  <si>
    <t>Tiller bracket 120 mm (4.8 in)</t>
  </si>
  <si>
    <t>TB30</t>
  </si>
  <si>
    <t>Tiller bracket 30 mm (1.2 in)</t>
  </si>
  <si>
    <t>TB60</t>
  </si>
  <si>
    <t>Tiller bracket 60 mm (2.4 in)</t>
  </si>
  <si>
    <t>TB90</t>
  </si>
  <si>
    <t>Tiller bracket 90 mm (3.6 in)</t>
  </si>
  <si>
    <t>000-11520-001</t>
  </si>
  <si>
    <t>Temperature Sensor</t>
  </si>
  <si>
    <t>Temperature Sensor - Can be mounted anywhere you want to monitor the temperature. Can be configured to output a variety of different temperature types.</t>
  </si>
  <si>
    <t>000-14219-001</t>
  </si>
  <si>
    <t>TGM50-200-20L 200kHz Transducer for S3009</t>
  </si>
  <si>
    <t>TGM50-200-20L 200KHZ Navigation Transducer for use with S3009 Navigation Echosounder System. Comes with 20m cable. Max depth 400m.</t>
  </si>
  <si>
    <t>000-14218-001</t>
  </si>
  <si>
    <t>TGM60-50-20L 50kHz Transducer for S3009</t>
  </si>
  <si>
    <t>TGM60-50-20L 50KHZ Navigation Transducer for use with S3009 Navigation Echosounder System. Comes with 20m cable. Max depth 1500m.</t>
  </si>
  <si>
    <t>000-11494-001</t>
  </si>
  <si>
    <t>TILLER BOLT FOR T1/T2 BLACK RAMS</t>
  </si>
  <si>
    <t>000-0051-45</t>
  </si>
  <si>
    <t>TMB-S</t>
  </si>
  <si>
    <t>TMB-S Trolling-motor mount bracket for standard Skimmer® transducer</t>
  </si>
  <si>
    <t>000-13522-001</t>
  </si>
  <si>
    <t>TotalScan and StructureScan 3D Plastic Replacement Bracket</t>
  </si>
  <si>
    <t>000-14260-001</t>
  </si>
  <si>
    <t>TotalScan™ Fairing Block Only</t>
  </si>
  <si>
    <t>TotalScan™ Through-Hull Transducer Fairing Block Only</t>
  </si>
  <si>
    <t>000-14259-001</t>
  </si>
  <si>
    <t>TotalScan™ L/H 455/800 Through-Hull Transducer</t>
  </si>
  <si>
    <t>TotalScan™ Through-Hull Transducer with Low/High Chirp and 455/800kHz Down and SideScan.</t>
  </si>
  <si>
    <t>000-14257-001</t>
  </si>
  <si>
    <t>TotalScan™ M/H 455/800 Through-Hull Transducer</t>
  </si>
  <si>
    <t>TotalScan™ Through-Hull Transducer with Medium/High Chirp and 455/800kHz Down and SideScan.</t>
  </si>
  <si>
    <t>000-12568-001</t>
  </si>
  <si>
    <t>TotalScan™ M/H 455/800 Transducer w/7m (24ft) Cable</t>
  </si>
  <si>
    <t>TotalScan™ Transducer with Medium/High Chirp and 455/800kHz Down and SideScan. 7m (24ft) Cable.</t>
  </si>
  <si>
    <t>TPPK21</t>
  </si>
  <si>
    <t>TP10 MAIN PCB</t>
  </si>
  <si>
    <t>TP10</t>
  </si>
  <si>
    <t>TP10 Tillerpilot</t>
  </si>
  <si>
    <t>TP10 Tillerpilot - The TP range delivers reliable auto steering for boats with tillers up to 32ft in length.</t>
  </si>
  <si>
    <t>TP22</t>
  </si>
  <si>
    <t>TP22 Tillerpilot</t>
  </si>
  <si>
    <t>The TP22 is a reliable and robust autopilot for tiller steered boats up to 34ft in length. Low power draw and precise steering capabilities couple together with minimal noise, allowing you to enjoy some smooth sailing. Comes with SimNet cable, requires 000-0127-45 SimNet to NMEA2000 Adapter for N2K Networking.</t>
  </si>
  <si>
    <t>TP32</t>
  </si>
  <si>
    <t>TP32 Tillerpilot</t>
  </si>
  <si>
    <t>The TP32 is a reliable and robust autopilot, which has been optimised to draw as little power as possible and operate extremely quietly, making it ideal for sailboats up to 37ft. Comes with SimNet cable, requires 000-0127-45 SimNet to NMEA2000 Adapter for N2K Networking.</t>
  </si>
  <si>
    <t>TPPK321</t>
  </si>
  <si>
    <t>TP32/22 PLUG, SOCKET &amp; MOUTNING PIN</t>
  </si>
  <si>
    <t>TPPK7</t>
  </si>
  <si>
    <t>TPXX MOUNT PIN &amp; ROD END</t>
  </si>
  <si>
    <t>22504005</t>
  </si>
  <si>
    <t>TRANS. LINK FOR RF14XI/U</t>
  </si>
  <si>
    <t>Heavy Duty Transmission Link for RF14XU</t>
  </si>
  <si>
    <t>000-12603-001</t>
  </si>
  <si>
    <t>Transducer Replacement Bracket - Metal</t>
  </si>
  <si>
    <t>Replacement Metal Bracket for Active Imaging, TotalScan, StructureScan 3D and HD skimmer transducers.</t>
  </si>
  <si>
    <t>000-16295-001</t>
  </si>
  <si>
    <t>TRANSDUCER/NETWORK CABLE PULLING TOOLS</t>
  </si>
  <si>
    <t>Transducer, Network cable pulling tools</t>
  </si>
  <si>
    <t>000-14029-001</t>
  </si>
  <si>
    <t>TripleShot Skimmer Transducer</t>
  </si>
  <si>
    <t>TripleShot Skimmer Transducer. With 6 m (19.7 ft) cable.</t>
  </si>
  <si>
    <t>000-14193-001</t>
  </si>
  <si>
    <t>TripleShot Transom  Bracket</t>
  </si>
  <si>
    <t>000-16317-001</t>
  </si>
  <si>
    <t>TripleShot™ HD Transom mount bracket</t>
  </si>
  <si>
    <t>Transom mount bracket for Eagle TripleShot™ HD Transducer</t>
  </si>
  <si>
    <t>000-13296-001</t>
  </si>
  <si>
    <t>Triton² Autopilot Controller</t>
  </si>
  <si>
    <t>Triton² Pilot Controller. This intuitive keypad can be combined with a B&amp;G Triton² Display to create a fully-featured autopilot controller.</t>
  </si>
  <si>
    <t>000-13561-001</t>
  </si>
  <si>
    <t>Triton² Autopilot Controller &amp; Display Pack</t>
  </si>
  <si>
    <t>Triton² Autopilot controller and Triton² Display Pack.</t>
  </si>
  <si>
    <t>000-13294-001</t>
  </si>
  <si>
    <t>Triton² Digital Instrument Display</t>
  </si>
  <si>
    <t>Triton² Digital Display - Multi-purpose 4.1 inch colour sailing instrument and autopilot display.</t>
  </si>
  <si>
    <t>000-14957-002</t>
  </si>
  <si>
    <t>Triton² Dual Display Speed / Depth / Wind Instrument pack (Wireless)</t>
  </si>
  <si>
    <t>Dual Triton² Speed / Depth /Wireless Wind Instrument pack. Includes 2x Triton² Instrument Display, DST810 Depth/Speed/Temperature transducer, WS320 Wireless Wind Sensor and a NMEA2000 starter kit.</t>
  </si>
  <si>
    <t>000-13952-001</t>
  </si>
  <si>
    <t>Triton2 Pilot &amp; OP12 Installation Kit</t>
  </si>
  <si>
    <t>000-13725-001</t>
  </si>
  <si>
    <t>Triton² Pilot &amp; OP12 Suncover</t>
  </si>
  <si>
    <t>Suncover for Simrad OP12 and B&amp;G Triton² Pilot controllers</t>
  </si>
  <si>
    <t>000-14955-002</t>
  </si>
  <si>
    <t>Triton² Speed / Depth / Wind Instrument pack (Wired)</t>
  </si>
  <si>
    <t>Triton² Speed / Depth / Wind Instrument pack. Includes Triton² Instrument Display, DST810 Depth/Speed/Temperature sensor, WS310 Wired Wind Sensor and a NMEA 2000® starter kit.</t>
  </si>
  <si>
    <t>000-14956-002</t>
  </si>
  <si>
    <t>Triton² Speed / Depth / Wind Instrument pack (Wireless)</t>
  </si>
  <si>
    <t>Triton² Speed / Depth / Wireless Wind Instrument pack. Includes Triton² Instrument Display, DST810 Depth/Speed/Temperature transducer, WS320 Wireless Wind Sensor and a NMEA2000 starter kit.</t>
  </si>
  <si>
    <t>000-13298-002</t>
  </si>
  <si>
    <t>Triton² Speed / Depth Instrument Pack</t>
  </si>
  <si>
    <t>Triton² Speed / Depth instrument pack. Pack includes Triton² Instrument Display, DST810 Depth/Speed/Temperature transducer and a NMEA2000 starter kit.</t>
  </si>
  <si>
    <t>000-15134-001</t>
  </si>
  <si>
    <t>Triton™ Edge Sailing Processor</t>
  </si>
  <si>
    <t>Triton™ Edge Sailing Processor with NMEA 2000®, Ethernet and built-in Wi-Fi.</t>
  </si>
  <si>
    <t>000-11548-002</t>
  </si>
  <si>
    <t>Triton™ Edge Sailing Processor Base Pack</t>
  </si>
  <si>
    <t>Triton™ Edge Sailing Processor Base Pack, Comes with Triton™ Edge Sailing Processor, Triton2 Instrument display, and Micro-C Backbone kit.</t>
  </si>
  <si>
    <t>000-14148-001</t>
  </si>
  <si>
    <t>U-BRACKET 12" GO, VULCAN, NSX, ZEUS S</t>
  </si>
  <si>
    <t>305172A4</t>
  </si>
  <si>
    <t>USB DONGLE FOR ICE DETECTION SW</t>
  </si>
  <si>
    <t>305172A8</t>
  </si>
  <si>
    <t>USB DONGLE FOR ICE-SMALL TARGET DET. SW</t>
  </si>
  <si>
    <t>305172A3</t>
  </si>
  <si>
    <t>USB DONGLE FOR OIL SPILL DETECTION SW</t>
  </si>
  <si>
    <t>305172A7</t>
  </si>
  <si>
    <t>USB DONGLE FOR OIL/SMALL TARGET DETEC SW</t>
  </si>
  <si>
    <t>305172A2</t>
  </si>
  <si>
    <t>USB DONGLE FOR OIL-ICE-SMALL TARGET D.SW</t>
  </si>
  <si>
    <t>305172A5</t>
  </si>
  <si>
    <t>USB DONGLE FOR SMALL TARGET DETECTION SW</t>
  </si>
  <si>
    <t>000-11802-001</t>
  </si>
  <si>
    <t>USB PANEL MNT EXTENSION CABLE,1M</t>
  </si>
  <si>
    <t>USB panel mount extension cable, 1 m (3 ft)</t>
  </si>
  <si>
    <t>000-12899-001</t>
  </si>
  <si>
    <t>USB PORT COVER,H5000 GRAPHIC DISPLAY</t>
  </si>
  <si>
    <t>000-16461-001</t>
  </si>
  <si>
    <t>USB VIDEO OUT CABLE, SUITS NSS4 &amp; ZEUS SR</t>
  </si>
  <si>
    <t>USB Video out (female) Video cable for NSS 4, Zeus SR</t>
  </si>
  <si>
    <t>000-14380-001</t>
  </si>
  <si>
    <t>V3100 Class B SOTDMA AIS w/ GPS500</t>
  </si>
  <si>
    <t>The V3100 Class B AIS incorporates SOTDMA technology and increased transmission power to enhance transmission frequency, reliability, and range compared to standard Class B AIS. This ‘black-box’ solution integrates with MFD displays, and features industry-standard connectivity.</t>
  </si>
  <si>
    <t>000-14807-001</t>
  </si>
  <si>
    <t>V3100 NMEA0183 Cable</t>
  </si>
  <si>
    <t>V3100 NMEA 0183 Cable 1.8 m (6ft)</t>
  </si>
  <si>
    <t>000-14806-001</t>
  </si>
  <si>
    <t>V3100 Power Cable</t>
  </si>
  <si>
    <t>V3100 Power cable, 1.8 m (6ft)</t>
  </si>
  <si>
    <t>000-14922-001</t>
  </si>
  <si>
    <t>V60 VHF Fist Mic</t>
  </si>
  <si>
    <t>B&amp;G V60 Remote Mountable Fist Mic. Can be connected to the front or rear of the radio, and optional extension cable allows the radio and mic to be mounted in seperate locations.</t>
  </si>
  <si>
    <t>000-14913-001</t>
  </si>
  <si>
    <t>V60 VHF Suncover</t>
  </si>
  <si>
    <t>000-14072-001</t>
  </si>
  <si>
    <t>VELOCITYTRACK UNLOCK</t>
  </si>
  <si>
    <t>VelocityTrack™ technology provides instant visual feedback on the motion of moving radar targets in relation to your boat. This powerful add-on offers yet another way for Halo™ radar to improve your situational awareness and reduce your risk of collision. Using the Doppler effect, the VelocityTrack™ feature is able to detect motion on the first radar sweep for a useful view straight from standby. This feature is available for any new or existing Halo™ radar system via the purchase of a one-time unlock code.
Radar system requires a heading sensor with 10 Hz output or greater. This needs to be connected to the RI12</t>
  </si>
  <si>
    <t>21116272</t>
  </si>
  <si>
    <t>Verado Fittings Kit</t>
  </si>
  <si>
    <t>AA000400</t>
  </si>
  <si>
    <t>VHF Ext.Cable</t>
  </si>
  <si>
    <t>VHF extension cable 5 m (16 ft)</t>
  </si>
  <si>
    <t>000-16055-001</t>
  </si>
  <si>
    <t>VHF F/DN MNT S/S HD FASTFIT W/ 7M CBL</t>
  </si>
  <si>
    <t>VHF antenna mount. Heavy-duty stainless steel fold-down antenna mount. With attached 7 m (23 ft) cable. Fastfit connector</t>
  </si>
  <si>
    <t>000-14924-001</t>
  </si>
  <si>
    <t>VHF Fist Mic and Handset Extention Cable 10m (33 ft)</t>
  </si>
  <si>
    <t>10m Extension Cable for RS40, RS40-B, V60, V60B and Link-9 VHF Fist Mics, and H100/HS100 Handsets.</t>
  </si>
  <si>
    <t>000-14923-001</t>
  </si>
  <si>
    <t>VHF Fist Mic and Handset Extention Cable 5m (16.5 ft)</t>
  </si>
  <si>
    <t>5m Extension Cable for RS40, RS40-B, V60, V60B and Link-9 VHF Fist Mics, and H100/HS100 Handsets.</t>
  </si>
  <si>
    <t>000-15656-001</t>
  </si>
  <si>
    <t>VHF Handset Cable 20m (65.5ft) w/Bulkhead Mount</t>
  </si>
  <si>
    <t>HS100/H100 Handset cable with bulkhead mount 20m (65.5 ft)</t>
  </si>
  <si>
    <t>000-14066-001</t>
  </si>
  <si>
    <t>VHF Interface - Type 6</t>
  </si>
  <si>
    <t>VHF Interface - Type 6. For Simrad RS20/RS40, B&amp;G V20/V60</t>
  </si>
  <si>
    <t>000-14819-001</t>
  </si>
  <si>
    <t>VHF MARINE KIT V60-B+GPS-500</t>
  </si>
  <si>
    <t>B&amp;G V60-B Marine VHF Radio - Stay safer on the water with this VHF marine radio featuring a built-in GPS and a full Class B AIS transmitter and receiver, which allows you to see and be seen by nearby AIS-equipped vessels. Includes GPS-500 GPS antenna for situations where the internal GPS don't get reception.</t>
  </si>
  <si>
    <t>000-14474-001</t>
  </si>
  <si>
    <t>VHF MARINE RADIO, DSC, AIS-RXTX, V60-B</t>
  </si>
  <si>
    <t>B&amp;G V60-B Marine VHF Radio - Stay safer on the water with this VHF marine radio featuring a built-in GPS and a full Class B AIS transmitter and receiver, which allows you to see and be seen by nearby AIS-equipped vessels.</t>
  </si>
  <si>
    <t>000-14471-001</t>
  </si>
  <si>
    <t>VHF MARINE RADIO,DSC, AIS-RX,V60</t>
  </si>
  <si>
    <t>B&amp;G V60 fixed-mount DSC VHF Radio - Stay safe and connected with this VHF marine radio featuring a sleek design with removable fist mic, Class D DSC functionality, and built-in GPS.</t>
  </si>
  <si>
    <t>000-14492-001</t>
  </si>
  <si>
    <t>VHF MARINE RADIO,DSC,V20S</t>
  </si>
  <si>
    <t>B&amp;G V20S Class D DSC VHF Radio - The versatile V20S is ideal for a variety of boats from small yachts to larger cruisers and racing boats, and is designed to match the low-profile style of our chartplotters and accessories.</t>
  </si>
  <si>
    <t>AA000401</t>
  </si>
  <si>
    <t>VHF Mast Mount Antenna Cable</t>
  </si>
  <si>
    <t>VHF mast cable 30 m (98 ft) for 1720 whip antenna.
With Quick Fit Connector one end and Masthead connector on the other.</t>
  </si>
  <si>
    <t>000-15644-001</t>
  </si>
  <si>
    <t>VHF RADIO,V100 SYSTEM,B&amp;G</t>
  </si>
  <si>
    <t>B&amp;G V100 Blackbox VHF Radio System - Stay safer on the water with the B&amp;G V100 VHF marine radio. With up to 8 connected handsets (4 wired and 4 wireless) and 4 external speakers, stay connected from anywhere on board.</t>
  </si>
  <si>
    <t>000-15793-001</t>
  </si>
  <si>
    <t>VHF RADIO,V100-B SYSTEM,AIS+GPS-500</t>
  </si>
  <si>
    <t>B&amp;G V100-B Blackbox VHF Radio System - featuring a built-in GPS and Class B AIS transceiver, which allows you to see and be seen by AIS-equipped vessels. Stay connected from anywhere on board with up to 8 handsets (4 wired and 4 wireless) and 4 external speakers.</t>
  </si>
  <si>
    <t>000-14476-001</t>
  </si>
  <si>
    <t>VHF W/L HANDSET,DSC,H60</t>
  </si>
  <si>
    <t>B&amp;G H60 Wireless Handset - Take remote control of your B&amp;G V60 VHF radio, and enjoy the power of a fixed-mount system with the convenience of a handheld. Easily carried and simple to use, this wireless handset gives you total freedom of movement on board your yacht.</t>
  </si>
  <si>
    <t>000-00129-001</t>
  </si>
  <si>
    <t>Video &amp; 0183 Serial Cable for NSS/Zeus</t>
  </si>
  <si>
    <t>Video/Data Cable - Provides 2x Analog Composite Video Inputs (RCA Female) and a NMEA 0183 Interface.</t>
  </si>
  <si>
    <t>000-14107-001</t>
  </si>
  <si>
    <t>Vineland 1 TO 4 NMEA Expander</t>
  </si>
  <si>
    <t>See drawings for dimensions.</t>
  </si>
  <si>
    <t>000-14108-001</t>
  </si>
  <si>
    <t>Vineland 1 TO 8 NMEA Expander</t>
  </si>
  <si>
    <t>See drawing for dimensions</t>
  </si>
  <si>
    <t>000-13257-001</t>
  </si>
  <si>
    <t>VL-SMT 1000I 230VAC UPS</t>
  </si>
  <si>
    <t>VL.SMT1000I 230V AC UPS</t>
  </si>
  <si>
    <t>BGH031002</t>
  </si>
  <si>
    <t>VMHU 1050mm</t>
  </si>
  <si>
    <t>Vertical Masthead Unit 1050mm Only. Analog Wind Sensor for WPT3, H3000 and H5000.</t>
  </si>
  <si>
    <t>BGH031003</t>
  </si>
  <si>
    <t>VMHU 1450mm</t>
  </si>
  <si>
    <t>Vertical Masthead Unit 1450mm Only. Analog Wind Sensor for WPT3, H3000 and H5000.</t>
  </si>
  <si>
    <t>BGH031010</t>
  </si>
  <si>
    <t>VMHU 1800mm</t>
  </si>
  <si>
    <t>Vertical Masthead Unit 1800mm Only. Analog Wind Sensor for WPT3, H3000 and H5000.</t>
  </si>
  <si>
    <t>BGH031001</t>
  </si>
  <si>
    <t>VMHU 810mm</t>
  </si>
  <si>
    <t>Vertical Masthead Unit 810mm Only. Analog Wind Sensor for WPT3, H3000 and H5000.</t>
  </si>
  <si>
    <t>BGH030009</t>
  </si>
  <si>
    <t>VMHU Face Mount Bracket</t>
  </si>
  <si>
    <t>BGH030006</t>
  </si>
  <si>
    <t>VMHU Mast Cable 36m</t>
  </si>
  <si>
    <t>000-12265-001</t>
  </si>
  <si>
    <t>VMHU MAST CABLE 80M</t>
  </si>
  <si>
    <t>BGH031002/S</t>
  </si>
  <si>
    <t>VMHU Ocean Spec 1050mm</t>
  </si>
  <si>
    <t>Vertical Masthead Unit Ocean Spec 1050mm Only. Analog Wind Sensor for WPT3, H3000 and H5000.</t>
  </si>
  <si>
    <t>BGH031003/S</t>
  </si>
  <si>
    <t>VMHU Ocean Spec 1450mm</t>
  </si>
  <si>
    <t>Vertical Masthead Unit Ocean Spec 1450mm Only. Analog Wind Sensor for WPT3, H3000 and H5000.</t>
  </si>
  <si>
    <t>BGH030008</t>
  </si>
  <si>
    <t>VMHU Top Mount Bracket</t>
  </si>
  <si>
    <t>000-14082-001</t>
  </si>
  <si>
    <t>Vulcan 7R</t>
  </si>
  <si>
    <t>B&amp;G Vulcan 7R 7-inch chartplotter and radar display with global basemap</t>
  </si>
  <si>
    <t>000-14228-001</t>
  </si>
  <si>
    <t>Vulcan 7R Suncover</t>
  </si>
  <si>
    <t>000-13701-001</t>
  </si>
  <si>
    <t>Vulcan 9 Suncover</t>
  </si>
  <si>
    <t>000-13214-001</t>
  </si>
  <si>
    <t>Vulcan 9FS</t>
  </si>
  <si>
    <t>B&amp;G Vulcan 9 FS: 9' Multifunction display.  Super high-bright multi touch screen with  built in NMEA 2000, GPS, Wi-Fi and ForwardScan (optional transducer required). Integrates to 3G/4G or Halo20/20+ radars. No transducer included. Global basemap chart</t>
  </si>
  <si>
    <t>000-15620-001</t>
  </si>
  <si>
    <t>Vulcan 9FS + HALO20 Bundle</t>
  </si>
  <si>
    <t>B&amp;G Vulcan9 FS and Halo20 radar bundle. Global base map chart</t>
  </si>
  <si>
    <t>000-14268-001</t>
  </si>
  <si>
    <t>Waterproof 4-core Cable Joiner</t>
  </si>
  <si>
    <t>Waterproof 4-core cable joiner for NAC-1, 2 and 3 Autopilot installations. Convenient way to connect your computer to the drive unit and ensure a waterproof connection.</t>
  </si>
  <si>
    <t>000-12741-001</t>
  </si>
  <si>
    <t>Waterproof HDMI Cable to Standard - 10m</t>
  </si>
  <si>
    <t>HDMI Cable with vibration resistant and waterproof connector on one end to connect to Navico MFDs with HDMI port.</t>
  </si>
  <si>
    <t>000-12742-001</t>
  </si>
  <si>
    <t>Waterproof HDMI Cable to Standard - 3m</t>
  </si>
  <si>
    <t>24006405</t>
  </si>
  <si>
    <t>Wind Mast cable 20 m</t>
  </si>
  <si>
    <t>20 m (66 ft) SimNet Wind vane cable</t>
  </si>
  <si>
    <t>24006421</t>
  </si>
  <si>
    <t>Wind Mast cable 35 m</t>
  </si>
  <si>
    <t>35 m (115 ft) SimNet Wind Vane cable</t>
  </si>
  <si>
    <t>000-13715-001</t>
  </si>
  <si>
    <t>WIND SENSOR SPARE PCB, 608</t>
  </si>
  <si>
    <t>608 Wind Sensor spare PCB assembly. Compatible with 608 and 508 Wind Sensors</t>
  </si>
  <si>
    <t>000-14970-001</t>
  </si>
  <si>
    <t>WM-4 SIRIUS SAT WEATHER &amp; RADIO RECEIVER</t>
  </si>
  <si>
    <t>WM-4 SIRIUS satellite weather and radio receiver module. Includes antenna and cables.</t>
  </si>
  <si>
    <t>000-12359-001</t>
  </si>
  <si>
    <t>WR10 BT-1 Base Station Only</t>
  </si>
  <si>
    <t>000-12358-001</t>
  </si>
  <si>
    <t>WR10 Remote Only</t>
  </si>
  <si>
    <t>WR10 Wireless Remote for Autopilot.</t>
  </si>
  <si>
    <t>000-12316-001</t>
  </si>
  <si>
    <t>WR10 Wireless Autopilot Remote</t>
  </si>
  <si>
    <t>WR10 Wireless Autopilot Remote. Includes NMEA2000 connected Bluetooth base station.</t>
  </si>
  <si>
    <t>000-15143-001</t>
  </si>
  <si>
    <t>WS300/700 Support Moulding</t>
  </si>
  <si>
    <t>WS300/700 Support Moulding inc. O-Ring</t>
  </si>
  <si>
    <t>000-15142-001</t>
  </si>
  <si>
    <t>WS300/700 Wind Angle Bearing</t>
  </si>
  <si>
    <t>Replacement wind angle bearing for the WS300/700 series wind sensors.</t>
  </si>
  <si>
    <t>000-15144-001</t>
  </si>
  <si>
    <t>WS300/700 Wind Vane Assembly</t>
  </si>
  <si>
    <t>Wind vane assembly spare for WS300/700 series wind sensors. Inc. mounting nut.</t>
  </si>
  <si>
    <t>000-14389-001</t>
  </si>
  <si>
    <t>WS310 Wired Interface</t>
  </si>
  <si>
    <t>WS310 Wired Interface. Converts NMEA 0183 wind data from the Masthead Unit to NMEA 2000®.</t>
  </si>
  <si>
    <t>000-14382-001</t>
  </si>
  <si>
    <t>WS310 Wired Wind Pack. Includes 20m mast cable and Interface</t>
  </si>
  <si>
    <t>WS310 Wired Wind Sensor with 20m (65.5ft) mast cable and interface for connection to the NMEA 2000® network.</t>
  </si>
  <si>
    <t>000-14843-001</t>
  </si>
  <si>
    <t>WS310 Wired Wind Pack. Includes 35m mast cable and Interface</t>
  </si>
  <si>
    <t>WS310 Wired Wind Sensor with 35m (115ft) mast cable and interface for connection to the NMEA 2000® network.</t>
  </si>
  <si>
    <t>000-14391-001</t>
  </si>
  <si>
    <t>WS310 Wired Wind Sensor</t>
  </si>
  <si>
    <t>WS310 Wired Wind Sensor only.</t>
  </si>
  <si>
    <t>000-14396-001</t>
  </si>
  <si>
    <t>WS310/700 20m (65') Mast Cable</t>
  </si>
  <si>
    <t>20m (65’) mast cable with pre-molded connectors for the WS310 and WS700 series wired wind sensors.</t>
  </si>
  <si>
    <t>000-14397-001</t>
  </si>
  <si>
    <t>WS310/700 35m (115') Mast Cable</t>
  </si>
  <si>
    <t>35m (115’) mast cable with pre-molded connectors for the WS310 and WS700 series wired wind sensors.</t>
  </si>
  <si>
    <t>000-14398-001</t>
  </si>
  <si>
    <t>WS310/700 50m (164') Mast Cable</t>
  </si>
  <si>
    <t>50m (164') mast cable with pre-molded connectors for the WS310 and WS700 series wired wind sensors.</t>
  </si>
  <si>
    <t>000-14399-001</t>
  </si>
  <si>
    <t>WS310/700 80m (262') Mast Cable</t>
  </si>
  <si>
    <t>80m (262') mast cable with pre-molded connectors for the WS310 and WS700 series wired wind sensors.</t>
  </si>
  <si>
    <t>000-15139-001</t>
  </si>
  <si>
    <t>WS310/700 Spare PCBA</t>
  </si>
  <si>
    <t>Replacement PCB for WS700/310 series wind sensors.</t>
  </si>
  <si>
    <t>000-15141-001</t>
  </si>
  <si>
    <t>WS320 Spare Battery</t>
  </si>
  <si>
    <t>Replacement battery for WS320 wireless wind sensor.</t>
  </si>
  <si>
    <t>000-15615-001</t>
  </si>
  <si>
    <t>WS320 Spare PCBA</t>
  </si>
  <si>
    <t>Replacement PCB for the WS320 wind sensor.</t>
  </si>
  <si>
    <t>000-14388-001</t>
  </si>
  <si>
    <t>WS320 Wireless Receiver Interface Only</t>
  </si>
  <si>
    <t>The WS320 Wireless Interface: Spare Wireless Interface for the WS320 Wind Sensor system. Receives wireless signals from the WS320 and converts to NMEA 2000.</t>
  </si>
  <si>
    <t>000-14383-001</t>
  </si>
  <si>
    <t>WS320 Wireless Wind Pack. Includes Interface</t>
  </si>
  <si>
    <t>WS320 Wireless Wind Sensor including Wireless Interface for connection to NMEA 2000® networks. For masts up to 25m in height.</t>
  </si>
  <si>
    <t>000-14390-001</t>
  </si>
  <si>
    <t>WS320 Wireless Wind Sensor.</t>
  </si>
  <si>
    <t>WS320 Wireless Wind Sensor only.</t>
  </si>
  <si>
    <t>000-15090-001</t>
  </si>
  <si>
    <t>WS700 Wired Interface</t>
  </si>
  <si>
    <t>WS700 Wired Interface. Converts NMEA 0183 wind data from the Masthead Unit to NMEA 2000®.</t>
  </si>
  <si>
    <t>000-14392-001</t>
  </si>
  <si>
    <t>WS710 Vertical Wind Sensor (0.8m)</t>
  </si>
  <si>
    <t>WS710 Vertical Wind Sensor Only (0.8m)</t>
  </si>
  <si>
    <t>000-14384-001</t>
  </si>
  <si>
    <t>WS710 Wind Sensor Pack</t>
  </si>
  <si>
    <t>WS710 (0.8m) Vertical Wind Sensor Pack:  Comes with 35m mast cable and junction box.</t>
  </si>
  <si>
    <t>000-14393-001</t>
  </si>
  <si>
    <t>WS720 Vertical Wind Sensor (1050mm)</t>
  </si>
  <si>
    <t>WS720 Vertical Wind Sensor Only (1050mm)</t>
  </si>
  <si>
    <t>000-14385-001</t>
  </si>
  <si>
    <t>WS720 Wind Sensor Pack</t>
  </si>
  <si>
    <t>WS720 (1050mm) Vertical Wind Sensor Pack: Comes with 35m mast cable and junction box</t>
  </si>
  <si>
    <t>000-14983-001</t>
  </si>
  <si>
    <t>WS720S Ocean Spec Vertical Wind Sensor (1050mm)</t>
  </si>
  <si>
    <t>WS720S Ocean Spec Vertical Wind Sensor Only (1050mm)</t>
  </si>
  <si>
    <t>000-14394-001</t>
  </si>
  <si>
    <t>WS730 Vertical Wind Sensor (1450mm)</t>
  </si>
  <si>
    <t>WS730 Vertical Wind Sensor Only (1450mm)</t>
  </si>
  <si>
    <t>000-14386-001</t>
  </si>
  <si>
    <t>WS730 Wind Sensor Pack</t>
  </si>
  <si>
    <t>WS730 (1450mm) Vertical Wind Sensor Pack. Comes with 35m mast cable and junction box.</t>
  </si>
  <si>
    <t>000-14984-001</t>
  </si>
  <si>
    <t>WS730S Ocean Spec Vertical Wind Sensor (1450mm)</t>
  </si>
  <si>
    <t>WS730S Ocean Spec Vertical Wind Sensor Only (1450mm)</t>
  </si>
  <si>
    <t>000-14395-001</t>
  </si>
  <si>
    <t>WS740S Ocean Spec Vertical Wind Sensor (1800mm)</t>
  </si>
  <si>
    <t>WS740S Ocean Spec Vertical Wind Sensor Only (1800mm)</t>
  </si>
  <si>
    <t>000-10163-001</t>
  </si>
  <si>
    <t>WS80 Ultrasonic Wind Sensor</t>
  </si>
  <si>
    <t>WS80 Ultrasonic Wind Sensor. Providing wind data in an NMEA0183 data format via RS485 (RS422) data interface. Built to IP66 Rating.</t>
  </si>
  <si>
    <t>000-10316-001</t>
  </si>
  <si>
    <t>WTP3 Analogue Module</t>
  </si>
  <si>
    <t>WTP3 Analogue Module - Provides analogue data acquisition, and includes a range of input and output options to support a wide variety of sensors.</t>
  </si>
  <si>
    <t>000-10308-001</t>
  </si>
  <si>
    <t>WTP3 Serial Module</t>
  </si>
  <si>
    <t>WTP3 Serial Module - Provides serial data acquisition, and includes a range of input and output options to support a wide variety of sensors.</t>
  </si>
  <si>
    <t>000-13319-001</t>
  </si>
  <si>
    <t>X-Band Down-Mast SRT Core Unit 25kW</t>
  </si>
  <si>
    <t>Down-Mast X-Band SRT Core Unit 25kW</t>
  </si>
  <si>
    <t>000-12507-001</t>
  </si>
  <si>
    <t>X-Band Down-Mast Waveguide Kit 20m</t>
  </si>
  <si>
    <t>000-12508-001</t>
  </si>
  <si>
    <t>X-Band Down-Mast Waveguide Kit 30m</t>
  </si>
  <si>
    <t>000-14624-001</t>
  </si>
  <si>
    <t>X-Band Dummy Load - For Service</t>
  </si>
  <si>
    <t>X-Band Dummy Load - For Servicing X-Band radars of R3000, R5000 and ARGUS class systems.</t>
  </si>
  <si>
    <t>000-14316-001</t>
  </si>
  <si>
    <t>X-Band Heater Upgrade Kit for Down-Mast SRT LAN</t>
  </si>
  <si>
    <t>Optional heater upgrade kit for X-Band Down-Mast Pedestals to ensure reliable operation down to -40 °C (-40 °F).</t>
  </si>
  <si>
    <t>000-13318-001</t>
  </si>
  <si>
    <t>X-Band Pedestal for Down-Mast Core Unit (12ft, 25kW) (R5000)</t>
  </si>
  <si>
    <t>X-Band Pedestal for Down-Mast Core Unit (12ft, 25kW) for R5000</t>
  </si>
  <si>
    <t>000-13316-001</t>
  </si>
  <si>
    <t>X-Band Pedestal for Down-Mast Core Unit (6/9ft, 25kW) (R5000)</t>
  </si>
  <si>
    <t>X-Band Pedestal for Down-Mast Core Unit (6/9ft, 25kW)</t>
  </si>
  <si>
    <t>000-13317-001</t>
  </si>
  <si>
    <t>X-Band Pedestal for Down-Mast Core Unit (6/9ft,25kW) HSC (R5000)</t>
  </si>
  <si>
    <t>X-Band Pedestal for Down-Mast Core Unit (6/9ft,25kW) for High Speed Craft</t>
  </si>
  <si>
    <t>000-13905-001</t>
  </si>
  <si>
    <t>XSONIC 50/200 HDI Transducer (0°)</t>
  </si>
  <si>
    <t>Through-Hull Bronze HDI Transducer. 50/200kHz 455/800 kHz DownScan. Black 9 Pin pin connector and 10m (33ft) cable.</t>
  </si>
  <si>
    <t>000-13906-001</t>
  </si>
  <si>
    <t>XSONIC 50/200 HDI Transducer (12°)</t>
  </si>
  <si>
    <t>000-13907-001</t>
  </si>
  <si>
    <t>XSONIC 50/200 HDI Transducer (20°)</t>
  </si>
  <si>
    <t>000-13920-001</t>
  </si>
  <si>
    <t>XSONIC Airmar B150M (0°)</t>
  </si>
  <si>
    <t>B150M - Bronze 300W Medium-Chirp Thru-Hull Depth/TemperatureTransducer. 9pin connector with 10m (33ft) cable.</t>
  </si>
  <si>
    <t>000-13921-001</t>
  </si>
  <si>
    <t>XSONIC Airmar B150M (12°)</t>
  </si>
  <si>
    <t>000-13922-001</t>
  </si>
  <si>
    <t>XSONIC Airmar B150M (20°)</t>
  </si>
  <si>
    <t>000-16196-001</t>
  </si>
  <si>
    <t>XSONIC Airmar B175H-W (0°)</t>
  </si>
  <si>
    <t>B175H-W (0°) - Bronze 1kW High-Wide-CHIRP Through Hull Depth/Temperature Transducer. 9pin connector and 10m (33ft) cable.</t>
  </si>
  <si>
    <t>000-16195-001</t>
  </si>
  <si>
    <t>XSONIC Airmar B175H-W (0°) (6ft - Boatbuilder)</t>
  </si>
  <si>
    <t>B175H-W (0°) - Bronze 1kW High-Wide-CHIRP Through Hull Depth/Temperature Transducer. 9pin connector and 1.8m (6ft) cable.</t>
  </si>
  <si>
    <t>000-16198-001</t>
  </si>
  <si>
    <t>XSONIC Airmar B175H-W (12°)</t>
  </si>
  <si>
    <t>B175H-W (12°) - Bronze 1kW High-Wide-CHIRP Through Hull Depth/Temperature Transducer. 9pin connector and 10m (33ft) cable.</t>
  </si>
  <si>
    <t>000-16197-001</t>
  </si>
  <si>
    <t>XSONIC Airmar B175H-W (12°) (6ft - Boatbuilder)</t>
  </si>
  <si>
    <t>B175H-W (12°) - Bronze 1kW High-Wide-CHIRP Through Hull Depth/Temperature Transducer. 9pin connector and 1.8m (6ft) cable.</t>
  </si>
  <si>
    <t>000-16200-001</t>
  </si>
  <si>
    <t>XSONIC Airmar B175H-W (20°)</t>
  </si>
  <si>
    <t>B175H-W (20°) - Bronze 1kW High-Wide-CHIRP Through Hull Depth/Temperature Transducer. 9pin connector and 10m (33ft) cable.</t>
  </si>
  <si>
    <t>000-16199-001</t>
  </si>
  <si>
    <t>XSONIC Airmar B175H-W (20°) (6ft - Boatbuilder)</t>
  </si>
  <si>
    <t>B175H-W (20°) - Bronze 1kW High-Wide-CHIRP Through Hull Depth/Temperature Transducer. 9pin connector and 1.8m (6ft) cable.</t>
  </si>
  <si>
    <t>000-16206-001</t>
  </si>
  <si>
    <t>XSONIC Airmar B175L (0°)</t>
  </si>
  <si>
    <t>B175L (0°) - Bronze 1kW Low-CHIRP Through Hull Depth/Temperature Transducer. 9pin connector and 10m (33ft) cable.</t>
  </si>
  <si>
    <t>000-16207-001</t>
  </si>
  <si>
    <t>XSONIC Airmar B175L (12°)</t>
  </si>
  <si>
    <t>B175L (12°) - Bronze 1kW Low-CHIRP Through Hull Depth/Temperature Transducer. 9pin connector and 10m (33ft) cable.</t>
  </si>
  <si>
    <t>000-16208-001</t>
  </si>
  <si>
    <t>XSONIC Airmar B175L (20°)</t>
  </si>
  <si>
    <t>B175L (20°) - Bronze 1kW Low-CHIRP Through Hull Depth/Temperature Transducer. 9pin connector and 10m (33ft) cable.</t>
  </si>
  <si>
    <t>000-16202-001</t>
  </si>
  <si>
    <t>XSONIC Airmar B175M (0°)</t>
  </si>
  <si>
    <t>B175M (0°) - Bronze 1kW Medium-CHIRP Through Hull Depth/Temperature Transducer. 9pin connector and 10m (33ft) cable.</t>
  </si>
  <si>
    <t>000-16201-001</t>
  </si>
  <si>
    <t>XSONIC Airmar B175M (0°) (6ft - Boatbuilder)</t>
  </si>
  <si>
    <t>B175M (0°) - Bronze 1kW Medium-CHIRP Through Hull Depth/Temperature Transducer. 9pin connector and 1.8m (6ft) cable.</t>
  </si>
  <si>
    <t>000-16203-001</t>
  </si>
  <si>
    <t>XSONIC Airmar B175M (12°)</t>
  </si>
  <si>
    <t>B175M (12°) - Bronze 1kW Medium-CHIRP Through Hull Depth/Temperature Transducer. 9pin connector and 10m (33ft) cable.</t>
  </si>
  <si>
    <t>000-16205-001</t>
  </si>
  <si>
    <t>XSONIC Airmar B175M (20°)</t>
  </si>
  <si>
    <t>B175M (20°) - Bronze 1kW Medium-CHIRP Through Hull Depth/Temperature Transducer. 9pin connector and 10m (33ft) cable.</t>
  </si>
  <si>
    <t>000-16204-001</t>
  </si>
  <si>
    <t>XSONIC Airmar B175M (20°) (6ft - Boatbuilder)</t>
  </si>
  <si>
    <t>B175M (20°) - Bronze 1kW Medium-CHIRP Through Hull Depth/Temperature Transducer. 9pin connector and 1.8m (6ft) cable.</t>
  </si>
  <si>
    <t>000-13964-001</t>
  </si>
  <si>
    <t>XSONIC Airmar B258</t>
  </si>
  <si>
    <t>B258 - Bronze 1kW Fairing-Block Through-Hull 50/200 kHz Depth/Temperature Transducer. Black 9pin connector and 10m (33ft) cable.</t>
  </si>
  <si>
    <t>000-13771-001</t>
  </si>
  <si>
    <t>XSONIC Airmar B275LH-W</t>
  </si>
  <si>
    <t>B275LH-W - Bronze 1kW Through Hull Low/High-Wide Chirp Depth and Temperature transducer. Dual 9-pin connectors and 10m cable.</t>
  </si>
  <si>
    <t>000-14561-001</t>
  </si>
  <si>
    <t>XSONIC Airmar B285M</t>
  </si>
  <si>
    <t>B285M - Bronze 1kW Through Hull Medium-Chirp Depth and Temperature transducer. 9-pin connector and 10m cable.</t>
  </si>
  <si>
    <t>000-13946-001</t>
  </si>
  <si>
    <t>XSONIC Airmar B45</t>
  </si>
  <si>
    <t>B45 - Bronze 600W Through-Hull 50/200 kHz Depth and Temperature transducer. Black 9 pin connector with 10m cable. (33ft)</t>
  </si>
  <si>
    <t>000-16184-001</t>
  </si>
  <si>
    <t>XSONIC Airmar B60 (0°) (6ft BoatBuilder)</t>
  </si>
  <si>
    <t>B60 (0°) - Bronze 600 W Through-Hull 50/200 kHz Depth/Temperature Sonar Transducer. Black 9pin connector and 1.8m (6 ft) cable.</t>
  </si>
  <si>
    <t>000-16186-001</t>
  </si>
  <si>
    <t>XSONIC Airmar B60 (12°)</t>
  </si>
  <si>
    <t>B60 (12°) - Bronze 600 W Through-Hull 50/200 kHz Depth/Temperature Sonar Transducer. Black 9pin connector and 10m (33ft) cable.</t>
  </si>
  <si>
    <t>000-16188-001</t>
  </si>
  <si>
    <t>XSONIC Airmar B60 (20°)</t>
  </si>
  <si>
    <t>B60 (20°) - Bronze 600 W Through-Hull 50/200 kHz Depth/Temperature Sonar Transducer. Black 9pin connector and 10m (33ft) cable.</t>
  </si>
  <si>
    <t>000-16187-001</t>
  </si>
  <si>
    <t>XSONIC Airmar B60 (20°) (6ft BoatBuilder)</t>
  </si>
  <si>
    <t>B60 (20°) - Bronze 600 W Through-Hull 50/200 kHz Depth/Temperature Sonar Transducer. Black 9pin connector and 1.8m (6ft) cable. Boatbuilder only.</t>
  </si>
  <si>
    <t>000-16185-001</t>
  </si>
  <si>
    <t>XSONIC AIRMAR B60 0 DEG</t>
  </si>
  <si>
    <t>B60 (0°) - Bronze 600 W Through-Hull 50/200 kHz Depth/Temperature Sonar Transducer. Black 9pin connector and 10m (33ft) cable.</t>
  </si>
  <si>
    <t>000-14804-001</t>
  </si>
  <si>
    <t>XSONIC Airmar B744V w/ N2K Speed &amp; Temp</t>
  </si>
  <si>
    <t>B744V - Bronze 600W Smart Thru Hull 50/200 Khz Depth/Temperature Transducer. 9pin sonar connector and 10m cable. NMEA2000 Speed/Temperature paddle wheel insert.</t>
  </si>
  <si>
    <t>000-16189-001</t>
  </si>
  <si>
    <t>XSONIC Airmar B75H (0°)</t>
  </si>
  <si>
    <t>B75H (0°) - Bronze 600W Thru Hull High CHIRP (130-210kHz) Depth/Temperature Transducer. 9pin connector with 10m (33ft) cable.</t>
  </si>
  <si>
    <t>000-16190-001</t>
  </si>
  <si>
    <t>XSONIC Airmar B75H (12°)</t>
  </si>
  <si>
    <t>B75H (12°) - Bronze 600W Thru Hull High CHIRP (130-210kHz) Depth/Temperature Transducer. 9pin connector with 10m (33ft) cable.</t>
  </si>
  <si>
    <t>000-16191-001</t>
  </si>
  <si>
    <t>XSONIC Airmar B75H (20°)</t>
  </si>
  <si>
    <t>B75H (20°) - Bronze 600W Thru Hull High CHIRP (130-210kHz) Depth/Temperature Transducer. 9pin connector with 10m (33ft) cable.</t>
  </si>
  <si>
    <t>000-16192-001</t>
  </si>
  <si>
    <t>XSONIC Airmar B75M (0°)</t>
  </si>
  <si>
    <t>B75M (0°) - Bronze 600W Thru Hull Medium-CHIRP (80-130kHz) Depth/Temperature Transducer. 9pin connector and 10m (33ft) cable.</t>
  </si>
  <si>
    <t>000-16193-001</t>
  </si>
  <si>
    <t>XSONIC Airmar B75M (12°)</t>
  </si>
  <si>
    <t>B75M (12°) - Bronze 600W Thru Hull Medium-CHIRP (80-130kHz) Depth/Temperature Transducer. 9pin connector and 10m (33ft) cable.</t>
  </si>
  <si>
    <t>000-16194-001</t>
  </si>
  <si>
    <t>XSONIC Airmar B75M (20°)</t>
  </si>
  <si>
    <t>B75M (20°) - Bronze 600W Thru Hull Medium-CHIRP (80-130kHz) Depth/Temperature Transducer. 9pin connector and 10m (33ft) cable.</t>
  </si>
  <si>
    <t>000-13772-001</t>
  </si>
  <si>
    <t>XSONIC Airmar CM275LH-W</t>
  </si>
  <si>
    <t>CM275LH-W - 1kW Cavity-Mount Low/High-Wide Chirp Depth/Temperature Transducer. Dual black 9pin connectors and 10m (33ft) cable. NSSevo3S or S5100 Sonar Module required.</t>
  </si>
  <si>
    <t>000-13941-001</t>
  </si>
  <si>
    <t>XSONIC Airmar CM599LH-W</t>
  </si>
  <si>
    <t>CM599LH-W - 3kW Low Chirp / 1kW High Chirp Depth/Temperature Transducer. Dual 9pin connector and 10m (33ft) cable. NSSevo3S or S5100 Sonar module required.</t>
  </si>
  <si>
    <t>000-13914-001</t>
  </si>
  <si>
    <t>XSONIC Airmar M260</t>
  </si>
  <si>
    <t>M260 - 1kW In-Hull Tank Mount 50/200 kHz Depth Transducer. Black 9pin connector and 10m (33ft) cable.</t>
  </si>
  <si>
    <t>000-13915-001</t>
  </si>
  <si>
    <t>XSONIC Airmar P319 (0°)</t>
  </si>
  <si>
    <t>P319 - Plastic 600W Thru-Hull 50/200kHz Depth/Temperature. Black 9-pin connector and 10m (33ft) cable.</t>
  </si>
  <si>
    <t>000-13919-001</t>
  </si>
  <si>
    <t>XSONIC Airmar P66</t>
  </si>
  <si>
    <t>P66 - Plastic 600W 50/200kHz Transom Mount Depth and Temperature transducer. 9pin connector and 6 m (19.6 ft) cable.</t>
  </si>
  <si>
    <t>000-13942-001</t>
  </si>
  <si>
    <t>XSONIC Airmar P79</t>
  </si>
  <si>
    <t>P79 - Plastic 600 W In-Hull 50/200 kHz Depth Only. Black 9 pin connector with 10m cable. (33ft)</t>
  </si>
  <si>
    <t>000-13940-001</t>
  </si>
  <si>
    <t>XSONIC Airmar PM275LH-W</t>
  </si>
  <si>
    <t>PM275LH-W - 1kW Pocket-Mount Low/High-Wide Chirp Depth/Temperature Transducer. Dual black 9pin connectors and 10m (33ft) cable. NSSevo3S or S5100 Sonar Module required.</t>
  </si>
  <si>
    <t>000-13773-001</t>
  </si>
  <si>
    <t>XSONIC Airmar R509LH-W</t>
  </si>
  <si>
    <t>R509LH-W - 3kW Low Chirp / 1kW High Chirp Depth/Temperature Transducer. Dual 9pin connector and 10m (33ft) cable. NSSevo3S or S5100 Sonar module required.</t>
  </si>
  <si>
    <t>000-13916-001</t>
  </si>
  <si>
    <t>XSONIC Airmar SS164 (0°)</t>
  </si>
  <si>
    <t>SS164 (0°) - Stainless Steel 1kW Through-Hull 50/200 kHz Depth/Temperature Sonar Transducer. Black 9pin connector and 10m (33ft) cable.</t>
  </si>
  <si>
    <t>000-13917-001</t>
  </si>
  <si>
    <t>XSONIC Airmar SS164 (12°)</t>
  </si>
  <si>
    <t>SS164 (12°) - Stainless Steel 1kW Through-Hull 50/200 kHz Depth/Temperature Sonar Transducer. Black 9pin connector and 10m (33ft) cable.</t>
  </si>
  <si>
    <t>000-13918-001</t>
  </si>
  <si>
    <t>XSONIC Airmar SS164 (20°)</t>
  </si>
  <si>
    <t>SS164 (20°) - Stainless Steel 1kW Through-Hull 50/200 kHz Depth/Temperature Sonar Transducer. Black 9pin connector and 10m (33ft) cable.</t>
  </si>
  <si>
    <t>000-13780-001</t>
  </si>
  <si>
    <t>XSONIC Airmar SS175H-W (0°)</t>
  </si>
  <si>
    <t>SS175H-W - Stainless Steel 1kW High-Wide-CHIRP Through Hull Depth/Temperature Transducer. 9pin connector and 10m (33ft) cable.</t>
  </si>
  <si>
    <t>000-13781-001</t>
  </si>
  <si>
    <t>XSONIC Airmar SS175H-W (12°)</t>
  </si>
  <si>
    <t>000-13782-001</t>
  </si>
  <si>
    <t>XSONIC Airmar SS175H-W (20°)</t>
  </si>
  <si>
    <t>000-13774-001</t>
  </si>
  <si>
    <t>XSONIC Airmar SS175L (0°)</t>
  </si>
  <si>
    <t>SS175L - Stainless Steel 1kW Low-CHIRP Through Hull Depth/Temperature Transducer. 9pin connector and 10m (33ft) cable.</t>
  </si>
  <si>
    <t>000-13775-001</t>
  </si>
  <si>
    <t>XSONIC Airmar SS175L (12°)</t>
  </si>
  <si>
    <t>000-13776-001</t>
  </si>
  <si>
    <t>XSONIC Airmar SS175L (20°)</t>
  </si>
  <si>
    <t>000-13777-001</t>
  </si>
  <si>
    <t>XSONIC Airmar SS175M (0°)</t>
  </si>
  <si>
    <t>SS175M - Stainless Steel 1kW Medium-CHIRP Through Hull Depth/Temperature Transducer. 9pin connector and 10m (33ft) cable.</t>
  </si>
  <si>
    <t>000-13778-001</t>
  </si>
  <si>
    <t>XSONIC Airmar SS175M (12°)</t>
  </si>
  <si>
    <t>000-13779-001</t>
  </si>
  <si>
    <t>XSONIC Airmar SS175M (20°)</t>
  </si>
  <si>
    <t>000-13783-001</t>
  </si>
  <si>
    <t>XSONIC Airmar SS260</t>
  </si>
  <si>
    <t>SS260 - Stainless Steel 1kW Fairing-Block Through-Hull 50/200 kHz Depth/Temperature Transducer. Black 9pin connector and 10m (33ft) cable.</t>
  </si>
  <si>
    <t>000-13784-001</t>
  </si>
  <si>
    <t>XSONIC Airmar SS60 (0°)</t>
  </si>
  <si>
    <t>SS60 (0°) - Stainless Steel 600 W Through-Hull 50/200 kHz Depth/Temperature Sonar Transducer. Black 9pin connector and 10m (33ft) cable.</t>
  </si>
  <si>
    <t>000-13785-001</t>
  </si>
  <si>
    <t>XSONIC Airmar SS60 (12°)</t>
  </si>
  <si>
    <t>SS60 (12°) - Stainless Steel 600 W Through-Hull 50/200 kHz Depth/Temperature Sonar Transducer. Black 9pin connector and 10m (33ft) cable.</t>
  </si>
  <si>
    <t>000-13786-001</t>
  </si>
  <si>
    <t>XSONIC Airmar SS60 (20°)</t>
  </si>
  <si>
    <t>SS60 (20°) - Stainless Steel 600 W Through-Hull 50/200 kHz Depth/Temperature Sonar Transducer. Black 9pin connector and 10m (33ft) cable.</t>
  </si>
  <si>
    <t>000-13911-001</t>
  </si>
  <si>
    <t>XSONIC Airmar SS75H (0°)</t>
  </si>
  <si>
    <t>SS75H - Stainless Steel 600W Thru Hull High CHIRP (130-210kHz) Depth/Temperature Transducer. 
9pin connector with 10m (33ft) cable.</t>
  </si>
  <si>
    <t>000-13912-001</t>
  </si>
  <si>
    <t>XSONIC Airmar SS75H (12°)</t>
  </si>
  <si>
    <t>000-13913-001</t>
  </si>
  <si>
    <t>XSONIC Airmar SS75H (20°)</t>
  </si>
  <si>
    <t>000-13908-001</t>
  </si>
  <si>
    <t>XSONIC Airmar SS75M (0°)</t>
  </si>
  <si>
    <t>SS75M - Stainless Steel 600W Thru Hull Medium-CHIRP (80-130kHz) Depth/Temperature Transducer. 9pin connector and 10m (33ft) cable.</t>
  </si>
  <si>
    <t>000-13909-001</t>
  </si>
  <si>
    <t>XSONIC Airmar SS75M (12°)</t>
  </si>
  <si>
    <t>000-13910-001</t>
  </si>
  <si>
    <t>XSONIC Airmar SS75M (20°)</t>
  </si>
  <si>
    <t>000-13944-001</t>
  </si>
  <si>
    <t>XSONIC Airmar TM150M</t>
  </si>
  <si>
    <t>TM150M - Plastic 300W Transom Mount Medium-Chirp Transducer. 9pin connector and 10m cable.</t>
  </si>
  <si>
    <t>000-15482-001</t>
  </si>
  <si>
    <t>XSONIC Airmar TM165HW</t>
  </si>
  <si>
    <t>TM165HW - Plastic 600W Transom-Mounted High-Wide Chirp Depth and Temperature transducer. 9-pin connector and 9m cable.</t>
  </si>
  <si>
    <t>000-13997-001</t>
  </si>
  <si>
    <t>XSONIC Airmar TM185HW</t>
  </si>
  <si>
    <t>TM185HW - Plastic 1kW Transom-Mounted High-Wide Chirp Depth and Temperature transducer. 9-pin connector and 10m cable.</t>
  </si>
  <si>
    <t>000-13998-001</t>
  </si>
  <si>
    <t>XSONIC Airmar TM185M</t>
  </si>
  <si>
    <t>TM185M - Plastic 1kW Transom-Mounted Medium Chirp Depth and Temperature transducer. 9-pin connector and 10m cable.</t>
  </si>
  <si>
    <t>000-13904-001</t>
  </si>
  <si>
    <t>XSONIC Airmar TM260</t>
  </si>
  <si>
    <t>TM260 - Plastic 1kW Transom-Mounted 50/200kHz Depth and Temperature transducer. 9-pin connector and 10m cable.</t>
  </si>
  <si>
    <t>000-13770-001</t>
  </si>
  <si>
    <t>XSONIC Airmar TM275LH-W</t>
  </si>
  <si>
    <t>TM275LH-W - Plastic 1kW Transom-Mounted Low/High-Wide Depth and Temperature transducer. Dual 9-pin connectors and 10m cable.</t>
  </si>
  <si>
    <t>000-0120-37</t>
  </si>
  <si>
    <t>Yamaha Engine Interface</t>
  </si>
  <si>
    <t>Yamaha engine interface cable 4.5 m (15 ft) and T-connector</t>
  </si>
  <si>
    <t>000-12513-001</t>
  </si>
  <si>
    <t>ZC2 Remote - Landscape</t>
  </si>
  <si>
    <t>B&amp;G ZC2 Remote controller. (Landscape mount) For use with ZEUS²/³,ZEUS²/³ Glass Helm and Vulcan MFD systems and brings simple and precise MFD control in even the roughest sea conditions..</t>
  </si>
  <si>
    <t>000-12365-001</t>
  </si>
  <si>
    <t>ZC2 Remote - Portrait</t>
  </si>
  <si>
    <t>B&amp;G ZC2 Remote controller. (Portrait mount). For use with ZEUS²/³,ZEUS²/³ Glass Helm and Vulcan MFD systems and brings simple and precise MFD control in even the roughest sea conditions.</t>
  </si>
  <si>
    <t>000-15225-001</t>
  </si>
  <si>
    <t>Zeus S 12 GLOBAL</t>
  </si>
  <si>
    <t>B&amp;G Zeus S 12 Chartplotter GLOBAL. 12-inch SolarMAX™ high definition display. Built-in GPS, and WIFI, Built-in echosounder. Unique Sailing Modes and enhanced sailing features. A next-generation C-MAP® DISCOVER™ X or REVEAL X™ chart card is required.</t>
  </si>
  <si>
    <t>000-15217-001</t>
  </si>
  <si>
    <t>Zeus S 7 GLOBAL</t>
  </si>
  <si>
    <t>B&amp;G Zeus S 7 Chartplotter GLOBAL. 7-inch SolarMAX™ high definition display. Built-in GPS, and WIFI, Built-in echosounder. Unique Sailing Modes and enhanced sailing features. A next-generation C-MAP® DISCOVER™ X or REVEAL X™ chart card is required.</t>
  </si>
  <si>
    <t>000-15221-001</t>
  </si>
  <si>
    <t>Zeus S 9 GLOBAL</t>
  </si>
  <si>
    <t>B&amp;G Zeus S 9 Chartplotter GLOBAL. 9-inch SolarMAX™ high definition display. Built-in GPS, and WIFI, Built-in echosounder. Unique Sailing Modes and enhanced sailing features. A next-generation C-MAP® DISCOVER™ X or REVEAL X™ chart card is required.</t>
  </si>
  <si>
    <t>000-16454-001</t>
  </si>
  <si>
    <t>Zeus SR-10 Suncover</t>
  </si>
  <si>
    <t>ZEUS SR 10 SUNCOVER</t>
  </si>
  <si>
    <t>000-16022-001</t>
  </si>
  <si>
    <t>Zeus SR-10, WORLD BASEMAP</t>
  </si>
  <si>
    <t>Zeus SR-10 MFD, World basemap. 10-inch SolarMAX™ high-definition display. Qualcomm® 8-core processor. Built-in GPS, Gigabit and 10/100 Ethernet, Video Out, WIFI. A next-generation C-MAP® DISCOVER™ X or REVEAL X™ chart card is required.</t>
  </si>
  <si>
    <t>000-16453-001</t>
  </si>
  <si>
    <t>Zeus SR-12 Suncover</t>
  </si>
  <si>
    <t>ZEUS SR 12 SUNCOVER</t>
  </si>
  <si>
    <t>000-16025-001</t>
  </si>
  <si>
    <t>Zeus SR-12, WORLD BASEMAP</t>
  </si>
  <si>
    <t>Zeus SR-12 MFD, World basemap. 12-inch SolarMAX™ high-definition display. Qualcomm® 8-core processor. Built-in GPS, Gigabit and 10/100 Ethernet, Video Out, WIFI. A next-generation C-MAP® DISCOVER™ X or REVEAL X™ chart card is required.</t>
  </si>
  <si>
    <t>000-16452-001</t>
  </si>
  <si>
    <t>Zeus SR-16 Suncover</t>
  </si>
  <si>
    <t>ZEUS SR 16 SUNCOVER</t>
  </si>
  <si>
    <t>000-16028-001</t>
  </si>
  <si>
    <t>Zeus SR-16, WORLD BASEMAP</t>
  </si>
  <si>
    <t>Zeus SR-16 MFD, World basemap. 16-inch SolarMAX™ high-definition display. Qualcomm® 8-core processor. Built-in GPS, Gigabit and 10/100 Ethernet, Video Out, WIFI. A next-generation C-MAP® DISCOVER™ X or REVEAL X™ chart card is required.</t>
  </si>
  <si>
    <t>000-16354-001</t>
  </si>
  <si>
    <t>Zeus® S 3012 Ultrawide ROW</t>
  </si>
  <si>
    <t>Zeus® S 3012 Ultrawide chartplotter ROW. 12-inch ultrawide SolarMAX™ IPS HD Display. Built-in GPS, WIFI. A C-MAP® DISCOVER™ X or REVEAL X™ chart card is required.</t>
  </si>
  <si>
    <t>000-16356-001</t>
  </si>
  <si>
    <t>Zeus® S 3015 Ultrawide ROW</t>
  </si>
  <si>
    <t>Zeus® S 3015 Ultrawide chartplotter ROW. 15-inch ultrawide SolarMAX™ IPS HD Display. Built-in GPS, WIFI. A C-MAP® DISCOVER™ X or REVEAL X™ chart card is required</t>
  </si>
  <si>
    <t>000-16358-001</t>
  </si>
  <si>
    <t>Zeus® S Ultrawide-12 Suncover</t>
  </si>
  <si>
    <t>000-16359-001</t>
  </si>
  <si>
    <t>Zeus® S Ultrawide-15 Suncover</t>
  </si>
  <si>
    <t>000-13245-001</t>
  </si>
  <si>
    <t>Zeus³-7 MFD with World Basemap</t>
  </si>
  <si>
    <t>B&amp;G Zeus³-7 is an easy-to-use chartplotter navigation system for blue water cruisers and regatta racers, incorporating a 7-inch touchscreen display, high-performance electronics, and a wide range of functionality designed specifically for sailors. Includes World basemap chart.</t>
  </si>
  <si>
    <t>000-15125-001</t>
  </si>
  <si>
    <t>Zeus³S 1x16'' System Base Kit</t>
  </si>
  <si>
    <t>Zeus³S MPU 1 x 16" Multi-Touch Monitor System base kit. Expand and integrate to build your preferred system including instrumentation, navigation, radar, sonar, autopilot, and more. Includes MPU, ZC2 Remote, MI10 Card Reader &amp; ZG100 GPS Antenna.</t>
  </si>
  <si>
    <t>000-15129-001</t>
  </si>
  <si>
    <t>Zeus³S Glass Helm 16" System Pack</t>
  </si>
  <si>
    <t>B&amp;G Zeus³S Glass Helm 16" System Pack. Includes Zeus³S 16'' Multifunction display, MI10 card reader and ZC2 controller: Designed specifically for blue water sailing, multihulls and superyachts, this premium, super-fast, large-screen, multifunction display sits at the heart of your fully integrated navigation system, and provides easy-to-use touchscreen and remote control options.</t>
  </si>
  <si>
    <t>000-15130-001</t>
  </si>
  <si>
    <t>Zeus³S Glass Helm 19" System Pack</t>
  </si>
  <si>
    <t>B&amp;G Zeus³S Glass Helm 19" System Pack. Includes Zeus³S 19'' Multifunction display, MI10 card reader and ZC2 controller: Designed specifically for blue water sailing, multihulls and superyachts, this premium, super-fast, large-screen, multifunction display sits at the heart of your fully integrated navigation system, and provides easy-to-use touchscreen and remote control options.</t>
  </si>
  <si>
    <t>000-15131-001</t>
  </si>
  <si>
    <t>Zeus³S Glass Helm 24" System Pack</t>
  </si>
  <si>
    <t>B&amp;G Zeus³S Glass Helm 24" System Pack. Includes Zeus³S 24'' Multifunction display, MI10 card reader and ZC2 controller: Designed specifically for blue water sailing, multihulls and superyachts, this premium, super-fast, large-screen, multifunction display sits at the heart of your fully integrated navigation system, and provides easy-to-use touchscreen and remote control options.</t>
  </si>
  <si>
    <t>000-15048-001</t>
  </si>
  <si>
    <t>Zeus³S Glass Helm MFD 16" Display Only</t>
  </si>
  <si>
    <t>B&amp;G Zeus³S GH 16" Display Only: Designed specifically for blue water sailing, multihulls and superyachts, this premium, super-fast, large-screen, multifunction display sits at the heart of your fully integrated navigation system, and provides easy-to-use touchscreen and remote control options.</t>
  </si>
  <si>
    <t>000-15050-001</t>
  </si>
  <si>
    <t>Zeus³S Glass Helm MFD 19" Display Only</t>
  </si>
  <si>
    <t>B&amp;G Zeus³S GH 19" Display Only: Designed specifically for blue water sailing, multihulls and superyachts, this premium, super-fast, large-screen, multifunction display sits at the heart of your fully integrated navigation system, and provides easy-to-use touchscreen and remote control options.</t>
  </si>
  <si>
    <t>000-15052-001</t>
  </si>
  <si>
    <t>Zeus³S Glass Helm MFD 24" Display Only</t>
  </si>
  <si>
    <t>B&amp;G Zeus³S GH 24" Display Only: Designed specifically for blue water sailing, multihulls and superyachts, this premium, super-fast, large-screen, multifunction display sits at the heart of your fully integrated navigation system, and provides easy-to-use touchscreen and remote control options.</t>
  </si>
  <si>
    <t>000-15046-001</t>
  </si>
  <si>
    <t>Zeus³S MPU Only - w/ Global Basemap</t>
  </si>
  <si>
    <t>Zeus³S MPU - Expand and integrate to build your preferred system including instrumentation, navigation, radar, sonar, autopilot, and more.</t>
  </si>
  <si>
    <t>000-15413-001</t>
  </si>
  <si>
    <t>Zeus³S-16 MFD with World Basemap</t>
  </si>
  <si>
    <t>B&amp;G Zeus³S-16 is an easy-to-use chartplotter navigation system for blue water cruisers and regatta racers, incorporating a 16-inch touchscreen display, high-performance electronics, and a wide range of functionality designed specifically for sailors. World base map.</t>
  </si>
  <si>
    <t>000-15411-001</t>
  </si>
  <si>
    <t>Zeus³S-9 MFD with World Basemap</t>
  </si>
  <si>
    <t>B&amp;G Zeus³S-9 is an easy-to-use chartplotter navigation system for blue water cruisers and regatta racers, incorporating a 9-inch touchscreen display, high-performance electronics, and a wide range of functionality designed specifically for sailors. world base map charts.</t>
  </si>
  <si>
    <t>000-11736-001</t>
  </si>
  <si>
    <t>ZM16-T Touch Monitor</t>
  </si>
  <si>
    <t>B&amp;G ZM16-T 15.6" Multi-Touch monitor with 1366x768 resolution. The 1000 nit peak brightness gives you a clear display even in direct sunlight, and the minimum brightness is extremely dim for night operation without blinding. Multiple video inputs and low-profile glass bridge design.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</si>
</sst>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2">
    <font>
      <sz val="11"/>
      <color theme="1"/>
      <name val="宋体"/>
      <charset val="134"/>
      <scheme val="minor"/>
    </font>
    <font>
      <sz val="10"/>
      <name val="Arial"/>
      <charset val="0"/>
    </font>
    <font>
      <sz val="10"/>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8">
    <xf numFmtId="0" fontId="0" fillId="0" borderId="0" xfId="0" applyAlignment="1">
      <alignment vertical="center"/>
    </xf>
    <xf numFmtId="0" fontId="1" fillId="0" borderId="0" xfId="0" applyFont="1" applyFill="1" applyBorder="1" applyAlignment="1">
      <alignment horizontal="left" vertical="center" wrapText="1"/>
    </xf>
    <xf numFmtId="0" fontId="0" fillId="0" borderId="0" xfId="0" applyAlignment="1">
      <alignment horizontal="left" vertical="center"/>
    </xf>
    <xf numFmtId="0" fontId="1" fillId="0" borderId="0" xfId="0" applyFont="1" applyFill="1" applyBorder="1" applyAlignment="1">
      <alignment horizontal="left" vertical="center"/>
    </xf>
    <xf numFmtId="176" fontId="1" fillId="0" borderId="0" xfId="0" applyNumberFormat="1" applyFont="1" applyFill="1" applyBorder="1" applyAlignment="1">
      <alignment horizontal="left" vertical="center"/>
    </xf>
    <xf numFmtId="176" fontId="1" fillId="0" borderId="0" xfId="0" applyNumberFormat="1" applyFont="1" applyFill="1" applyBorder="1" applyAlignment="1">
      <alignment horizontal="left" vertical="center" wrapText="1"/>
    </xf>
    <xf numFmtId="0" fontId="2" fillId="0" borderId="0" xfId="0" applyNumberFormat="1" applyFont="1" applyFill="1" applyBorder="1" applyAlignment="1" applyProtection="1">
      <alignment horizontal="left" vertical="top" wrapText="1"/>
    </xf>
    <xf numFmtId="2" fontId="2" fillId="0" borderId="0" xfId="0" applyNumberFormat="1" applyFont="1" applyFill="1" applyBorder="1" applyAlignment="1" applyProtection="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09"/>
  <sheetViews>
    <sheetView tabSelected="1" zoomScale="85" zoomScaleNormal="85" workbookViewId="0">
      <pane ySplit="1" topLeftCell="A2" activePane="bottomLeft" state="frozen"/>
      <selection/>
      <selection pane="bottomLeft" activeCell="O14" sqref="O14"/>
    </sheetView>
  </sheetViews>
  <sheetFormatPr defaultColWidth="9" defaultRowHeight="13.5"/>
  <cols>
    <col min="1" max="1" width="16.75" style="2" customWidth="1"/>
    <col min="2" max="2" width="13.25" style="2" customWidth="1"/>
    <col min="3" max="3" width="32.25" style="2" customWidth="1"/>
    <col min="4" max="4" width="11.375" style="2" customWidth="1"/>
    <col min="5" max="5" width="47.125" style="2" customWidth="1"/>
    <col min="6" max="6" width="10.5" style="2" customWidth="1"/>
    <col min="7" max="7" width="13.25" style="2" customWidth="1"/>
    <col min="8" max="8" width="13.875" style="2" customWidth="1"/>
    <col min="9" max="9" width="13.5" style="2" customWidth="1"/>
    <col min="10" max="10" width="14" style="2" customWidth="1"/>
    <col min="11" max="16384" width="9" style="2"/>
  </cols>
  <sheetData>
    <row r="1" s="1" customFormat="1" ht="33" customHeight="1" spans="1:14">
      <c r="A1" s="3" t="s">
        <v>0</v>
      </c>
      <c r="B1" s="3" t="s">
        <v>1</v>
      </c>
      <c r="C1" s="1" t="s">
        <v>2</v>
      </c>
      <c r="D1" s="1" t="s">
        <v>3</v>
      </c>
      <c r="E1" s="1" t="s">
        <v>4</v>
      </c>
      <c r="F1" s="1" t="s">
        <v>5</v>
      </c>
      <c r="G1" s="4" t="s">
        <v>6</v>
      </c>
      <c r="H1" s="5" t="s">
        <v>7</v>
      </c>
      <c r="I1" s="5" t="s">
        <v>8</v>
      </c>
      <c r="J1" s="5" t="s">
        <v>9</v>
      </c>
      <c r="K1" s="5" t="s">
        <v>10</v>
      </c>
      <c r="L1" s="3" t="s">
        <v>11</v>
      </c>
      <c r="M1" s="1" t="s">
        <v>12</v>
      </c>
      <c r="N1" s="3" t="s">
        <v>13</v>
      </c>
    </row>
    <row r="2" ht="25.5" spans="1:14">
      <c r="A2" s="6" t="s">
        <v>14</v>
      </c>
      <c r="B2" s="6" t="s">
        <v>15</v>
      </c>
      <c r="C2" s="6" t="s">
        <v>16</v>
      </c>
      <c r="E2" s="6" t="s">
        <v>17</v>
      </c>
      <c r="G2" s="7">
        <v>39</v>
      </c>
      <c r="H2" s="7">
        <v>44.07</v>
      </c>
      <c r="I2" s="7">
        <f t="shared" ref="I2:I65" si="0">G2*0.62</f>
        <v>24.18</v>
      </c>
      <c r="J2" s="7">
        <f t="shared" ref="J2:J65" si="1">G2*0.65</f>
        <v>25.35</v>
      </c>
      <c r="K2" s="7">
        <f t="shared" ref="K2:K65" si="2">G2*0.67</f>
        <v>26.13</v>
      </c>
      <c r="L2" s="7">
        <f t="shared" ref="L2:L65" si="3">G2*0.7</f>
        <v>27.3</v>
      </c>
      <c r="M2" s="7">
        <f t="shared" ref="M2:M65" si="4">G2*0.72</f>
        <v>28.08</v>
      </c>
    </row>
    <row r="3" ht="25.5" spans="1:14">
      <c r="A3" s="6" t="s">
        <v>18</v>
      </c>
      <c r="B3" s="6" t="s">
        <v>19</v>
      </c>
      <c r="C3" s="6" t="s">
        <v>20</v>
      </c>
      <c r="E3" s="6" t="s">
        <v>21</v>
      </c>
      <c r="G3" s="7">
        <v>119</v>
      </c>
      <c r="H3" s="7">
        <v>134.47</v>
      </c>
      <c r="I3" s="7">
        <f t="shared" si="0"/>
        <v>73.78</v>
      </c>
      <c r="J3" s="7">
        <f t="shared" si="1"/>
        <v>77.35</v>
      </c>
      <c r="K3" s="7">
        <f t="shared" si="2"/>
        <v>79.73</v>
      </c>
      <c r="L3" s="7">
        <f t="shared" si="3"/>
        <v>83.3</v>
      </c>
      <c r="M3" s="7">
        <f t="shared" si="4"/>
        <v>85.68</v>
      </c>
    </row>
    <row r="4" spans="1:14">
      <c r="A4" s="6" t="s">
        <v>22</v>
      </c>
      <c r="B4" s="6" t="s">
        <v>23</v>
      </c>
      <c r="C4" s="6" t="s">
        <v>24</v>
      </c>
      <c r="E4" s="6" t="s">
        <v>24</v>
      </c>
      <c r="G4" s="7">
        <v>39</v>
      </c>
      <c r="H4" s="7">
        <v>44.07</v>
      </c>
      <c r="I4" s="7">
        <f t="shared" si="0"/>
        <v>24.18</v>
      </c>
      <c r="J4" s="7">
        <f t="shared" si="1"/>
        <v>25.35</v>
      </c>
      <c r="K4" s="7">
        <f t="shared" si="2"/>
        <v>26.13</v>
      </c>
      <c r="L4" s="7">
        <f t="shared" si="3"/>
        <v>27.3</v>
      </c>
      <c r="M4" s="7">
        <f t="shared" si="4"/>
        <v>28.08</v>
      </c>
    </row>
    <row r="5" spans="1:14">
      <c r="A5" s="6" t="s">
        <v>25</v>
      </c>
      <c r="B5" s="6" t="s">
        <v>26</v>
      </c>
      <c r="C5" s="6" t="s">
        <v>27</v>
      </c>
      <c r="E5" s="6" t="s">
        <v>27</v>
      </c>
      <c r="G5" s="7">
        <v>53</v>
      </c>
      <c r="H5" s="7">
        <v>59.89</v>
      </c>
      <c r="I5" s="7">
        <f t="shared" si="0"/>
        <v>32.86</v>
      </c>
      <c r="J5" s="7">
        <f t="shared" si="1"/>
        <v>34.45</v>
      </c>
      <c r="K5" s="7">
        <f t="shared" si="2"/>
        <v>35.51</v>
      </c>
      <c r="L5" s="7">
        <f t="shared" si="3"/>
        <v>37.1</v>
      </c>
      <c r="M5" s="7">
        <f t="shared" si="4"/>
        <v>38.16</v>
      </c>
    </row>
    <row r="6" spans="1:14">
      <c r="A6" s="6" t="s">
        <v>18</v>
      </c>
      <c r="B6" s="6" t="s">
        <v>28</v>
      </c>
      <c r="C6" s="6" t="s">
        <v>29</v>
      </c>
      <c r="E6" s="6" t="s">
        <v>30</v>
      </c>
      <c r="G6" s="7">
        <v>55</v>
      </c>
      <c r="H6" s="7">
        <v>62.15</v>
      </c>
      <c r="I6" s="7">
        <f t="shared" si="0"/>
        <v>34.1</v>
      </c>
      <c r="J6" s="7">
        <f t="shared" si="1"/>
        <v>35.75</v>
      </c>
      <c r="K6" s="7">
        <f t="shared" si="2"/>
        <v>36.85</v>
      </c>
      <c r="L6" s="7">
        <f t="shared" si="3"/>
        <v>38.5</v>
      </c>
      <c r="M6" s="7">
        <f t="shared" si="4"/>
        <v>39.6</v>
      </c>
    </row>
    <row r="7" spans="1:14">
      <c r="A7" s="6" t="s">
        <v>18</v>
      </c>
      <c r="B7" s="6" t="s">
        <v>31</v>
      </c>
      <c r="C7" s="6" t="s">
        <v>32</v>
      </c>
      <c r="E7" s="6" t="s">
        <v>33</v>
      </c>
      <c r="G7" s="7">
        <v>55</v>
      </c>
      <c r="H7" s="7">
        <v>62.15</v>
      </c>
      <c r="I7" s="7">
        <f t="shared" si="0"/>
        <v>34.1</v>
      </c>
      <c r="J7" s="7">
        <f t="shared" si="1"/>
        <v>35.75</v>
      </c>
      <c r="K7" s="7">
        <f t="shared" si="2"/>
        <v>36.85</v>
      </c>
      <c r="L7" s="7">
        <f t="shared" si="3"/>
        <v>38.5</v>
      </c>
      <c r="M7" s="7">
        <f t="shared" si="4"/>
        <v>39.6</v>
      </c>
    </row>
    <row r="8" spans="1:14">
      <c r="A8" s="6" t="s">
        <v>25</v>
      </c>
      <c r="B8" s="6" t="s">
        <v>34</v>
      </c>
      <c r="C8" s="6" t="s">
        <v>35</v>
      </c>
      <c r="E8" s="6" t="s">
        <v>35</v>
      </c>
      <c r="G8" s="7">
        <v>39</v>
      </c>
      <c r="H8" s="7">
        <v>44.07</v>
      </c>
      <c r="I8" s="7">
        <f t="shared" si="0"/>
        <v>24.18</v>
      </c>
      <c r="J8" s="7">
        <f t="shared" si="1"/>
        <v>25.35</v>
      </c>
      <c r="K8" s="7">
        <f t="shared" si="2"/>
        <v>26.13</v>
      </c>
      <c r="L8" s="7">
        <f t="shared" si="3"/>
        <v>27.3</v>
      </c>
      <c r="M8" s="7">
        <f t="shared" si="4"/>
        <v>28.08</v>
      </c>
    </row>
    <row r="9" spans="1:14">
      <c r="A9" s="6" t="s">
        <v>18</v>
      </c>
      <c r="B9" s="6" t="s">
        <v>36</v>
      </c>
      <c r="C9" s="6" t="s">
        <v>37</v>
      </c>
      <c r="E9" s="6" t="s">
        <v>38</v>
      </c>
      <c r="G9" s="7">
        <v>849</v>
      </c>
      <c r="H9" s="7">
        <v>959.37</v>
      </c>
      <c r="I9" s="7">
        <f t="shared" si="0"/>
        <v>526.38</v>
      </c>
      <c r="J9" s="7">
        <f t="shared" si="1"/>
        <v>551.85</v>
      </c>
      <c r="K9" s="7">
        <f t="shared" si="2"/>
        <v>568.83</v>
      </c>
      <c r="L9" s="7">
        <f t="shared" si="3"/>
        <v>594.3</v>
      </c>
      <c r="M9" s="7">
        <f t="shared" si="4"/>
        <v>611.28</v>
      </c>
    </row>
    <row r="10" spans="1:14">
      <c r="A10" s="6" t="s">
        <v>39</v>
      </c>
      <c r="B10" s="6" t="s">
        <v>40</v>
      </c>
      <c r="C10" s="6" t="s">
        <v>41</v>
      </c>
      <c r="E10" s="6" t="s">
        <v>42</v>
      </c>
      <c r="G10" s="7">
        <v>849</v>
      </c>
      <c r="H10" s="7">
        <v>959.37</v>
      </c>
      <c r="I10" s="7">
        <f t="shared" si="0"/>
        <v>526.38</v>
      </c>
      <c r="J10" s="7">
        <f t="shared" si="1"/>
        <v>551.85</v>
      </c>
      <c r="K10" s="7">
        <f t="shared" si="2"/>
        <v>568.83</v>
      </c>
      <c r="L10" s="7">
        <f t="shared" si="3"/>
        <v>594.3</v>
      </c>
      <c r="M10" s="7">
        <f t="shared" si="4"/>
        <v>611.28</v>
      </c>
    </row>
    <row r="11" spans="1:14">
      <c r="A11" s="6" t="s">
        <v>25</v>
      </c>
      <c r="B11" s="6" t="s">
        <v>43</v>
      </c>
      <c r="C11" s="6" t="s">
        <v>44</v>
      </c>
      <c r="E11" s="6" t="s">
        <v>44</v>
      </c>
      <c r="G11" s="7">
        <v>39</v>
      </c>
      <c r="H11" s="7">
        <v>44.07</v>
      </c>
      <c r="I11" s="7">
        <f t="shared" si="0"/>
        <v>24.18</v>
      </c>
      <c r="J11" s="7">
        <f t="shared" si="1"/>
        <v>25.35</v>
      </c>
      <c r="K11" s="7">
        <f t="shared" si="2"/>
        <v>26.13</v>
      </c>
      <c r="L11" s="7">
        <f t="shared" si="3"/>
        <v>27.3</v>
      </c>
      <c r="M11" s="7">
        <f t="shared" si="4"/>
        <v>28.08</v>
      </c>
    </row>
    <row r="12" ht="25.5" spans="1:14">
      <c r="A12" s="6" t="s">
        <v>45</v>
      </c>
      <c r="B12" s="6" t="s">
        <v>46</v>
      </c>
      <c r="C12" s="6" t="s">
        <v>47</v>
      </c>
      <c r="E12" s="6" t="s">
        <v>48</v>
      </c>
      <c r="G12" s="7">
        <v>139</v>
      </c>
      <c r="H12" s="7">
        <v>157.07</v>
      </c>
      <c r="I12" s="7">
        <f t="shared" si="0"/>
        <v>86.18</v>
      </c>
      <c r="J12" s="7">
        <f t="shared" si="1"/>
        <v>90.35</v>
      </c>
      <c r="K12" s="7">
        <f t="shared" si="2"/>
        <v>93.13</v>
      </c>
      <c r="L12" s="7">
        <f t="shared" si="3"/>
        <v>97.3</v>
      </c>
      <c r="M12" s="7">
        <f t="shared" si="4"/>
        <v>100.08</v>
      </c>
    </row>
    <row r="13" ht="25.5" spans="1:14">
      <c r="A13" s="6" t="s">
        <v>22</v>
      </c>
      <c r="B13" s="6" t="s">
        <v>49</v>
      </c>
      <c r="C13" s="6" t="s">
        <v>50</v>
      </c>
      <c r="E13" s="6" t="s">
        <v>51</v>
      </c>
      <c r="G13" s="7">
        <v>88</v>
      </c>
      <c r="H13" s="7">
        <v>99.44</v>
      </c>
      <c r="I13" s="7">
        <f t="shared" si="0"/>
        <v>54.56</v>
      </c>
      <c r="J13" s="7">
        <f t="shared" si="1"/>
        <v>57.2</v>
      </c>
      <c r="K13" s="7">
        <f t="shared" si="2"/>
        <v>58.96</v>
      </c>
      <c r="L13" s="7">
        <f t="shared" si="3"/>
        <v>61.6</v>
      </c>
      <c r="M13" s="7">
        <f t="shared" si="4"/>
        <v>63.36</v>
      </c>
    </row>
    <row r="14" spans="1:14">
      <c r="A14" s="6" t="s">
        <v>18</v>
      </c>
      <c r="B14" s="6" t="s">
        <v>52</v>
      </c>
      <c r="C14" s="6" t="s">
        <v>53</v>
      </c>
      <c r="E14" s="6" t="s">
        <v>54</v>
      </c>
      <c r="G14" s="7">
        <v>139</v>
      </c>
      <c r="H14" s="7">
        <v>157.07</v>
      </c>
      <c r="I14" s="7">
        <f t="shared" si="0"/>
        <v>86.18</v>
      </c>
      <c r="J14" s="7">
        <f t="shared" si="1"/>
        <v>90.35</v>
      </c>
      <c r="K14" s="7">
        <f t="shared" si="2"/>
        <v>93.13</v>
      </c>
      <c r="L14" s="7">
        <f t="shared" si="3"/>
        <v>97.3</v>
      </c>
      <c r="M14" s="7">
        <f t="shared" si="4"/>
        <v>100.08</v>
      </c>
    </row>
    <row r="15" spans="1:14">
      <c r="A15" s="6" t="s">
        <v>18</v>
      </c>
      <c r="B15" s="6" t="s">
        <v>55</v>
      </c>
      <c r="C15" s="6" t="s">
        <v>56</v>
      </c>
      <c r="E15" s="6" t="s">
        <v>57</v>
      </c>
      <c r="G15" s="7">
        <v>73</v>
      </c>
      <c r="H15" s="7">
        <v>82.49</v>
      </c>
      <c r="I15" s="7">
        <f t="shared" si="0"/>
        <v>45.26</v>
      </c>
      <c r="J15" s="7">
        <f t="shared" si="1"/>
        <v>47.45</v>
      </c>
      <c r="K15" s="7">
        <f t="shared" si="2"/>
        <v>48.91</v>
      </c>
      <c r="L15" s="7">
        <f t="shared" si="3"/>
        <v>51.1</v>
      </c>
      <c r="M15" s="7">
        <f t="shared" si="4"/>
        <v>52.56</v>
      </c>
    </row>
    <row r="16" spans="1:14">
      <c r="A16" s="6" t="s">
        <v>18</v>
      </c>
      <c r="B16" s="6" t="s">
        <v>58</v>
      </c>
      <c r="C16" s="6" t="s">
        <v>59</v>
      </c>
      <c r="E16" s="6" t="s">
        <v>60</v>
      </c>
      <c r="G16" s="7">
        <v>73</v>
      </c>
      <c r="H16" s="7">
        <v>82.49</v>
      </c>
      <c r="I16" s="7">
        <f t="shared" si="0"/>
        <v>45.26</v>
      </c>
      <c r="J16" s="7">
        <f t="shared" si="1"/>
        <v>47.45</v>
      </c>
      <c r="K16" s="7">
        <f t="shared" si="2"/>
        <v>48.91</v>
      </c>
      <c r="L16" s="7">
        <f t="shared" si="3"/>
        <v>51.1</v>
      </c>
      <c r="M16" s="7">
        <f t="shared" si="4"/>
        <v>52.56</v>
      </c>
    </row>
    <row r="17" spans="1:13">
      <c r="A17" s="6" t="s">
        <v>18</v>
      </c>
      <c r="B17" s="6" t="s">
        <v>61</v>
      </c>
      <c r="C17" s="6" t="s">
        <v>62</v>
      </c>
      <c r="E17" s="6" t="s">
        <v>63</v>
      </c>
      <c r="G17" s="7">
        <v>12380</v>
      </c>
      <c r="H17" s="7">
        <v>13989.4</v>
      </c>
      <c r="I17" s="7">
        <f t="shared" si="0"/>
        <v>7675.6</v>
      </c>
      <c r="J17" s="7">
        <f t="shared" si="1"/>
        <v>8047</v>
      </c>
      <c r="K17" s="7">
        <f t="shared" si="2"/>
        <v>8294.6</v>
      </c>
      <c r="L17" s="7">
        <f t="shared" si="3"/>
        <v>8666</v>
      </c>
      <c r="M17" s="7">
        <f t="shared" si="4"/>
        <v>8913.6</v>
      </c>
    </row>
    <row r="18" spans="1:13">
      <c r="A18" s="6" t="s">
        <v>18</v>
      </c>
      <c r="B18" s="6" t="s">
        <v>64</v>
      </c>
      <c r="C18" s="6" t="s">
        <v>65</v>
      </c>
      <c r="E18" s="6" t="s">
        <v>66</v>
      </c>
      <c r="G18" s="7">
        <v>10799</v>
      </c>
      <c r="H18" s="7">
        <v>12202.87</v>
      </c>
      <c r="I18" s="7">
        <f t="shared" si="0"/>
        <v>6695.38</v>
      </c>
      <c r="J18" s="7">
        <f t="shared" si="1"/>
        <v>7019.35</v>
      </c>
      <c r="K18" s="7">
        <f t="shared" si="2"/>
        <v>7235.33</v>
      </c>
      <c r="L18" s="7">
        <f t="shared" si="3"/>
        <v>7559.3</v>
      </c>
      <c r="M18" s="7">
        <f t="shared" si="4"/>
        <v>7775.28</v>
      </c>
    </row>
    <row r="19" spans="1:13">
      <c r="A19" s="6" t="s">
        <v>22</v>
      </c>
      <c r="B19" s="6" t="s">
        <v>67</v>
      </c>
      <c r="C19" s="6" t="s">
        <v>68</v>
      </c>
      <c r="E19" s="6" t="s">
        <v>69</v>
      </c>
      <c r="G19" s="7">
        <v>6499</v>
      </c>
      <c r="H19" s="7">
        <v>7343.87</v>
      </c>
      <c r="I19" s="7">
        <f t="shared" si="0"/>
        <v>4029.38</v>
      </c>
      <c r="J19" s="7">
        <f t="shared" si="1"/>
        <v>4224.35</v>
      </c>
      <c r="K19" s="7">
        <f t="shared" si="2"/>
        <v>4354.33</v>
      </c>
      <c r="L19" s="7">
        <f t="shared" si="3"/>
        <v>4549.3</v>
      </c>
      <c r="M19" s="7">
        <f t="shared" si="4"/>
        <v>4679.28</v>
      </c>
    </row>
    <row r="20" ht="25.5" spans="1:13">
      <c r="A20" s="6" t="s">
        <v>22</v>
      </c>
      <c r="B20" s="6" t="s">
        <v>70</v>
      </c>
      <c r="C20" s="6" t="s">
        <v>71</v>
      </c>
      <c r="E20" s="6" t="s">
        <v>72</v>
      </c>
      <c r="G20" s="7">
        <v>4899</v>
      </c>
      <c r="H20" s="7">
        <v>5535.87</v>
      </c>
      <c r="I20" s="7">
        <f t="shared" si="0"/>
        <v>3037.38</v>
      </c>
      <c r="J20" s="7">
        <f t="shared" si="1"/>
        <v>3184.35</v>
      </c>
      <c r="K20" s="7">
        <f t="shared" si="2"/>
        <v>3282.33</v>
      </c>
      <c r="L20" s="7">
        <f t="shared" si="3"/>
        <v>3429.3</v>
      </c>
      <c r="M20" s="7">
        <f t="shared" si="4"/>
        <v>3527.28</v>
      </c>
    </row>
    <row r="21" ht="25.5" spans="1:13">
      <c r="A21" s="6" t="s">
        <v>18</v>
      </c>
      <c r="B21" s="6" t="s">
        <v>73</v>
      </c>
      <c r="C21" s="6" t="s">
        <v>74</v>
      </c>
      <c r="E21" s="6" t="s">
        <v>75</v>
      </c>
      <c r="G21" s="7">
        <v>359</v>
      </c>
      <c r="H21" s="7">
        <v>405.67</v>
      </c>
      <c r="I21" s="7">
        <f t="shared" si="0"/>
        <v>222.58</v>
      </c>
      <c r="J21" s="7">
        <f t="shared" si="1"/>
        <v>233.35</v>
      </c>
      <c r="K21" s="7">
        <f t="shared" si="2"/>
        <v>240.53</v>
      </c>
      <c r="L21" s="7">
        <f t="shared" si="3"/>
        <v>251.3</v>
      </c>
      <c r="M21" s="7">
        <f t="shared" si="4"/>
        <v>258.48</v>
      </c>
    </row>
    <row r="22" spans="1:13">
      <c r="A22" s="6" t="s">
        <v>18</v>
      </c>
      <c r="B22" s="6" t="s">
        <v>76</v>
      </c>
      <c r="C22" s="6" t="s">
        <v>77</v>
      </c>
      <c r="E22" s="6" t="s">
        <v>78</v>
      </c>
      <c r="G22" s="7">
        <v>749</v>
      </c>
      <c r="H22" s="7">
        <v>846.37</v>
      </c>
      <c r="I22" s="7">
        <f t="shared" si="0"/>
        <v>464.38</v>
      </c>
      <c r="J22" s="7">
        <f t="shared" si="1"/>
        <v>486.85</v>
      </c>
      <c r="K22" s="7">
        <f t="shared" si="2"/>
        <v>501.83</v>
      </c>
      <c r="L22" s="7">
        <f t="shared" si="3"/>
        <v>524.3</v>
      </c>
      <c r="M22" s="7">
        <f t="shared" si="4"/>
        <v>539.28</v>
      </c>
    </row>
    <row r="23" spans="1:13">
      <c r="A23" s="6" t="s">
        <v>18</v>
      </c>
      <c r="B23" s="6" t="s">
        <v>79</v>
      </c>
      <c r="C23" s="6" t="s">
        <v>80</v>
      </c>
      <c r="E23" s="6" t="s">
        <v>81</v>
      </c>
      <c r="G23" s="7">
        <v>749</v>
      </c>
      <c r="H23" s="7">
        <v>846.37</v>
      </c>
      <c r="I23" s="7">
        <f t="shared" si="0"/>
        <v>464.38</v>
      </c>
      <c r="J23" s="7">
        <f t="shared" si="1"/>
        <v>486.85</v>
      </c>
      <c r="K23" s="7">
        <f t="shared" si="2"/>
        <v>501.83</v>
      </c>
      <c r="L23" s="7">
        <f t="shared" si="3"/>
        <v>524.3</v>
      </c>
      <c r="M23" s="7">
        <f t="shared" si="4"/>
        <v>539.28</v>
      </c>
    </row>
    <row r="24" ht="25.5" spans="1:13">
      <c r="A24" s="6" t="s">
        <v>18</v>
      </c>
      <c r="B24" s="6" t="s">
        <v>82</v>
      </c>
      <c r="C24" s="6" t="s">
        <v>83</v>
      </c>
      <c r="E24" s="6" t="s">
        <v>84</v>
      </c>
      <c r="G24" s="7">
        <v>2749</v>
      </c>
      <c r="H24" s="7">
        <v>3106.37</v>
      </c>
      <c r="I24" s="7">
        <f t="shared" si="0"/>
        <v>1704.38</v>
      </c>
      <c r="J24" s="7">
        <f t="shared" si="1"/>
        <v>1786.85</v>
      </c>
      <c r="K24" s="7">
        <f t="shared" si="2"/>
        <v>1841.83</v>
      </c>
      <c r="L24" s="7">
        <f t="shared" si="3"/>
        <v>1924.3</v>
      </c>
      <c r="M24" s="7">
        <f t="shared" si="4"/>
        <v>1979.28</v>
      </c>
    </row>
    <row r="25" ht="25.5" spans="1:13">
      <c r="A25" s="6" t="s">
        <v>18</v>
      </c>
      <c r="B25" s="6" t="s">
        <v>85</v>
      </c>
      <c r="C25" s="6" t="s">
        <v>86</v>
      </c>
      <c r="E25" s="6" t="s">
        <v>86</v>
      </c>
      <c r="G25" s="7">
        <v>1199</v>
      </c>
      <c r="H25" s="7">
        <v>1354.87</v>
      </c>
      <c r="I25" s="7">
        <f t="shared" si="0"/>
        <v>743.38</v>
      </c>
      <c r="J25" s="7">
        <f t="shared" si="1"/>
        <v>779.35</v>
      </c>
      <c r="K25" s="7">
        <f t="shared" si="2"/>
        <v>803.33</v>
      </c>
      <c r="L25" s="7">
        <f t="shared" si="3"/>
        <v>839.3</v>
      </c>
      <c r="M25" s="7">
        <f t="shared" si="4"/>
        <v>863.28</v>
      </c>
    </row>
    <row r="26" spans="1:13">
      <c r="A26" s="6" t="s">
        <v>18</v>
      </c>
      <c r="B26" s="6" t="s">
        <v>87</v>
      </c>
      <c r="C26" s="6" t="s">
        <v>88</v>
      </c>
      <c r="E26" s="6" t="s">
        <v>88</v>
      </c>
      <c r="G26" s="7">
        <v>1586</v>
      </c>
      <c r="H26" s="7">
        <v>1792.18</v>
      </c>
      <c r="I26" s="7">
        <f t="shared" si="0"/>
        <v>983.32</v>
      </c>
      <c r="J26" s="7">
        <f t="shared" si="1"/>
        <v>1030.9</v>
      </c>
      <c r="K26" s="7">
        <f t="shared" si="2"/>
        <v>1062.62</v>
      </c>
      <c r="L26" s="7">
        <f t="shared" si="3"/>
        <v>1110.2</v>
      </c>
      <c r="M26" s="7">
        <f t="shared" si="4"/>
        <v>1141.92</v>
      </c>
    </row>
    <row r="27" spans="1:13">
      <c r="A27" s="6" t="s">
        <v>18</v>
      </c>
      <c r="B27" s="6" t="s">
        <v>89</v>
      </c>
      <c r="C27" s="6" t="s">
        <v>90</v>
      </c>
      <c r="E27" s="6" t="s">
        <v>91</v>
      </c>
      <c r="G27" s="7">
        <v>1599</v>
      </c>
      <c r="H27" s="7">
        <v>1806.87</v>
      </c>
      <c r="I27" s="7">
        <f t="shared" si="0"/>
        <v>991.38</v>
      </c>
      <c r="J27" s="7">
        <f t="shared" si="1"/>
        <v>1039.35</v>
      </c>
      <c r="K27" s="7">
        <f t="shared" si="2"/>
        <v>1071.33</v>
      </c>
      <c r="L27" s="7">
        <f t="shared" si="3"/>
        <v>1119.3</v>
      </c>
      <c r="M27" s="7">
        <f t="shared" si="4"/>
        <v>1151.28</v>
      </c>
    </row>
    <row r="28" spans="1:13">
      <c r="A28" s="6" t="s">
        <v>18</v>
      </c>
      <c r="B28" s="6" t="s">
        <v>92</v>
      </c>
      <c r="C28" s="6" t="s">
        <v>93</v>
      </c>
      <c r="E28" s="6" t="s">
        <v>93</v>
      </c>
      <c r="G28" s="7">
        <v>1699</v>
      </c>
      <c r="H28" s="7">
        <v>1919.87</v>
      </c>
      <c r="I28" s="7">
        <f t="shared" si="0"/>
        <v>1053.38</v>
      </c>
      <c r="J28" s="7">
        <f t="shared" si="1"/>
        <v>1104.35</v>
      </c>
      <c r="K28" s="7">
        <f t="shared" si="2"/>
        <v>1138.33</v>
      </c>
      <c r="L28" s="7">
        <f t="shared" si="3"/>
        <v>1189.3</v>
      </c>
      <c r="M28" s="7">
        <f t="shared" si="4"/>
        <v>1223.28</v>
      </c>
    </row>
    <row r="29" ht="25.5" spans="1:13">
      <c r="A29" s="6" t="s">
        <v>18</v>
      </c>
      <c r="B29" s="6" t="s">
        <v>94</v>
      </c>
      <c r="C29" s="6" t="s">
        <v>95</v>
      </c>
      <c r="E29" s="6" t="s">
        <v>95</v>
      </c>
      <c r="G29" s="7">
        <v>2449</v>
      </c>
      <c r="H29" s="7">
        <v>2767.37</v>
      </c>
      <c r="I29" s="7">
        <f t="shared" si="0"/>
        <v>1518.38</v>
      </c>
      <c r="J29" s="7">
        <f t="shared" si="1"/>
        <v>1591.85</v>
      </c>
      <c r="K29" s="7">
        <f t="shared" si="2"/>
        <v>1640.83</v>
      </c>
      <c r="L29" s="7">
        <f t="shared" si="3"/>
        <v>1714.3</v>
      </c>
      <c r="M29" s="7">
        <f t="shared" si="4"/>
        <v>1763.28</v>
      </c>
    </row>
    <row r="30" spans="1:13">
      <c r="A30" s="6" t="s">
        <v>18</v>
      </c>
      <c r="B30" s="6" t="s">
        <v>96</v>
      </c>
      <c r="C30" s="6" t="s">
        <v>97</v>
      </c>
      <c r="E30" s="6" t="s">
        <v>97</v>
      </c>
      <c r="G30" s="7">
        <v>1586</v>
      </c>
      <c r="H30" s="7">
        <v>1792.18</v>
      </c>
      <c r="I30" s="7">
        <f t="shared" si="0"/>
        <v>983.32</v>
      </c>
      <c r="J30" s="7">
        <f t="shared" si="1"/>
        <v>1030.9</v>
      </c>
      <c r="K30" s="7">
        <f t="shared" si="2"/>
        <v>1062.62</v>
      </c>
      <c r="L30" s="7">
        <f t="shared" si="3"/>
        <v>1110.2</v>
      </c>
      <c r="M30" s="7">
        <f t="shared" si="4"/>
        <v>1141.92</v>
      </c>
    </row>
    <row r="31" spans="1:13">
      <c r="A31" s="6" t="s">
        <v>18</v>
      </c>
      <c r="B31" s="6" t="s">
        <v>98</v>
      </c>
      <c r="C31" s="6" t="s">
        <v>99</v>
      </c>
      <c r="E31" s="6" t="s">
        <v>99</v>
      </c>
      <c r="G31" s="7">
        <v>1491</v>
      </c>
      <c r="H31" s="7">
        <v>1684.83</v>
      </c>
      <c r="I31" s="7">
        <f t="shared" si="0"/>
        <v>924.42</v>
      </c>
      <c r="J31" s="7">
        <f t="shared" si="1"/>
        <v>969.15</v>
      </c>
      <c r="K31" s="7">
        <f t="shared" si="2"/>
        <v>998.97</v>
      </c>
      <c r="L31" s="7">
        <f t="shared" si="3"/>
        <v>1043.7</v>
      </c>
      <c r="M31" s="7">
        <f t="shared" si="4"/>
        <v>1073.52</v>
      </c>
    </row>
    <row r="32" spans="1:13">
      <c r="A32" s="6" t="s">
        <v>18</v>
      </c>
      <c r="B32" s="6" t="s">
        <v>100</v>
      </c>
      <c r="C32" s="6" t="s">
        <v>101</v>
      </c>
      <c r="E32" s="6" t="s">
        <v>102</v>
      </c>
      <c r="G32" s="7">
        <v>599</v>
      </c>
      <c r="H32" s="7">
        <v>676.87</v>
      </c>
      <c r="I32" s="7">
        <f t="shared" si="0"/>
        <v>371.38</v>
      </c>
      <c r="J32" s="7">
        <f t="shared" si="1"/>
        <v>389.35</v>
      </c>
      <c r="K32" s="7">
        <f t="shared" si="2"/>
        <v>401.33</v>
      </c>
      <c r="L32" s="7">
        <f t="shared" si="3"/>
        <v>419.3</v>
      </c>
      <c r="M32" s="7">
        <f t="shared" si="4"/>
        <v>431.28</v>
      </c>
    </row>
    <row r="33" spans="1:13">
      <c r="A33" s="6" t="s">
        <v>18</v>
      </c>
      <c r="B33" s="6" t="s">
        <v>103</v>
      </c>
      <c r="C33" s="6" t="s">
        <v>104</v>
      </c>
      <c r="E33" s="6" t="s">
        <v>105</v>
      </c>
      <c r="G33" s="7">
        <v>1499</v>
      </c>
      <c r="H33" s="7">
        <v>1693.87</v>
      </c>
      <c r="I33" s="7">
        <f t="shared" si="0"/>
        <v>929.38</v>
      </c>
      <c r="J33" s="7">
        <f t="shared" si="1"/>
        <v>974.35</v>
      </c>
      <c r="K33" s="7">
        <f t="shared" si="2"/>
        <v>1004.33</v>
      </c>
      <c r="L33" s="7">
        <f t="shared" si="3"/>
        <v>1049.3</v>
      </c>
      <c r="M33" s="7">
        <f t="shared" si="4"/>
        <v>1079.28</v>
      </c>
    </row>
    <row r="34" ht="25.5" spans="1:13">
      <c r="A34" s="6" t="s">
        <v>18</v>
      </c>
      <c r="B34" s="6" t="s">
        <v>106</v>
      </c>
      <c r="C34" s="6" t="s">
        <v>107</v>
      </c>
      <c r="E34" s="6" t="s">
        <v>107</v>
      </c>
      <c r="G34" s="7">
        <v>1499</v>
      </c>
      <c r="H34" s="7">
        <v>1693.87</v>
      </c>
      <c r="I34" s="7">
        <f t="shared" si="0"/>
        <v>929.38</v>
      </c>
      <c r="J34" s="7">
        <f t="shared" si="1"/>
        <v>974.35</v>
      </c>
      <c r="K34" s="7">
        <f t="shared" si="2"/>
        <v>1004.33</v>
      </c>
      <c r="L34" s="7">
        <f t="shared" si="3"/>
        <v>1049.3</v>
      </c>
      <c r="M34" s="7">
        <f t="shared" si="4"/>
        <v>1079.28</v>
      </c>
    </row>
    <row r="35" spans="1:13">
      <c r="A35" s="6" t="s">
        <v>18</v>
      </c>
      <c r="B35" s="6" t="s">
        <v>108</v>
      </c>
      <c r="C35" s="6" t="s">
        <v>109</v>
      </c>
      <c r="E35" s="6" t="s">
        <v>110</v>
      </c>
      <c r="G35" s="7">
        <v>949</v>
      </c>
      <c r="H35" s="7">
        <v>1072.37</v>
      </c>
      <c r="I35" s="7">
        <f t="shared" si="0"/>
        <v>588.38</v>
      </c>
      <c r="J35" s="7">
        <f t="shared" si="1"/>
        <v>616.85</v>
      </c>
      <c r="K35" s="7">
        <f t="shared" si="2"/>
        <v>635.83</v>
      </c>
      <c r="L35" s="7">
        <f t="shared" si="3"/>
        <v>664.3</v>
      </c>
      <c r="M35" s="7">
        <f t="shared" si="4"/>
        <v>683.28</v>
      </c>
    </row>
    <row r="36" spans="1:13">
      <c r="A36" s="6" t="s">
        <v>18</v>
      </c>
      <c r="B36" s="6" t="s">
        <v>111</v>
      </c>
      <c r="C36" s="6" t="s">
        <v>112</v>
      </c>
      <c r="E36" s="6" t="s">
        <v>113</v>
      </c>
      <c r="G36" s="7">
        <v>949</v>
      </c>
      <c r="H36" s="7">
        <v>1072.37</v>
      </c>
      <c r="I36" s="7">
        <f t="shared" si="0"/>
        <v>588.38</v>
      </c>
      <c r="J36" s="7">
        <f t="shared" si="1"/>
        <v>616.85</v>
      </c>
      <c r="K36" s="7">
        <f t="shared" si="2"/>
        <v>635.83</v>
      </c>
      <c r="L36" s="7">
        <f t="shared" si="3"/>
        <v>664.3</v>
      </c>
      <c r="M36" s="7">
        <f t="shared" si="4"/>
        <v>683.28</v>
      </c>
    </row>
    <row r="37" spans="1:13">
      <c r="A37" s="6" t="s">
        <v>18</v>
      </c>
      <c r="B37" s="6" t="s">
        <v>114</v>
      </c>
      <c r="C37" s="6" t="s">
        <v>115</v>
      </c>
      <c r="E37" s="6" t="s">
        <v>116</v>
      </c>
      <c r="G37" s="7">
        <v>2199</v>
      </c>
      <c r="H37" s="7">
        <v>2484.87</v>
      </c>
      <c r="I37" s="7">
        <f t="shared" si="0"/>
        <v>1363.38</v>
      </c>
      <c r="J37" s="7">
        <f t="shared" si="1"/>
        <v>1429.35</v>
      </c>
      <c r="K37" s="7">
        <f t="shared" si="2"/>
        <v>1473.33</v>
      </c>
      <c r="L37" s="7">
        <f t="shared" si="3"/>
        <v>1539.3</v>
      </c>
      <c r="M37" s="7">
        <f t="shared" si="4"/>
        <v>1583.28</v>
      </c>
    </row>
    <row r="38" spans="1:13">
      <c r="A38" s="6" t="s">
        <v>18</v>
      </c>
      <c r="B38" s="6" t="s">
        <v>117</v>
      </c>
      <c r="C38" s="6" t="s">
        <v>118</v>
      </c>
      <c r="E38" s="6" t="s">
        <v>119</v>
      </c>
      <c r="G38" s="7">
        <v>9649</v>
      </c>
      <c r="H38" s="7">
        <v>10903.37</v>
      </c>
      <c r="I38" s="7">
        <f t="shared" si="0"/>
        <v>5982.38</v>
      </c>
      <c r="J38" s="7">
        <f t="shared" si="1"/>
        <v>6271.85</v>
      </c>
      <c r="K38" s="7">
        <f t="shared" si="2"/>
        <v>6464.83</v>
      </c>
      <c r="L38" s="7">
        <f t="shared" si="3"/>
        <v>6754.3</v>
      </c>
      <c r="M38" s="7">
        <f t="shared" si="4"/>
        <v>6947.28</v>
      </c>
    </row>
    <row r="39" spans="1:13">
      <c r="A39" s="6" t="s">
        <v>18</v>
      </c>
      <c r="B39" s="6" t="s">
        <v>120</v>
      </c>
      <c r="C39" s="6" t="s">
        <v>121</v>
      </c>
      <c r="E39" s="6" t="s">
        <v>121</v>
      </c>
      <c r="G39" s="7">
        <v>9261</v>
      </c>
      <c r="H39" s="7">
        <v>10464.93</v>
      </c>
      <c r="I39" s="7">
        <f t="shared" si="0"/>
        <v>5741.82</v>
      </c>
      <c r="J39" s="7">
        <f t="shared" si="1"/>
        <v>6019.65</v>
      </c>
      <c r="K39" s="7">
        <f t="shared" si="2"/>
        <v>6204.87</v>
      </c>
      <c r="L39" s="7">
        <f t="shared" si="3"/>
        <v>6482.7</v>
      </c>
      <c r="M39" s="7">
        <f t="shared" si="4"/>
        <v>6667.92</v>
      </c>
    </row>
    <row r="40" spans="1:13">
      <c r="A40" s="6" t="s">
        <v>18</v>
      </c>
      <c r="B40" s="6" t="s">
        <v>122</v>
      </c>
      <c r="C40" s="6" t="s">
        <v>123</v>
      </c>
      <c r="E40" s="6" t="s">
        <v>124</v>
      </c>
      <c r="G40" s="7">
        <v>7172</v>
      </c>
      <c r="H40" s="7">
        <v>8104.36</v>
      </c>
      <c r="I40" s="7">
        <f t="shared" si="0"/>
        <v>4446.64</v>
      </c>
      <c r="J40" s="7">
        <f t="shared" si="1"/>
        <v>4661.8</v>
      </c>
      <c r="K40" s="7">
        <f t="shared" si="2"/>
        <v>4805.24</v>
      </c>
      <c r="L40" s="7">
        <f t="shared" si="3"/>
        <v>5020.4</v>
      </c>
      <c r="M40" s="7">
        <f t="shared" si="4"/>
        <v>5163.84</v>
      </c>
    </row>
    <row r="41" spans="1:13">
      <c r="A41" s="6" t="s">
        <v>22</v>
      </c>
      <c r="B41" s="6" t="s">
        <v>125</v>
      </c>
      <c r="C41" s="6" t="s">
        <v>126</v>
      </c>
      <c r="E41" s="6" t="s">
        <v>126</v>
      </c>
      <c r="G41" s="7">
        <v>10599</v>
      </c>
      <c r="H41" s="7">
        <v>11976.87</v>
      </c>
      <c r="I41" s="7">
        <f t="shared" si="0"/>
        <v>6571.38</v>
      </c>
      <c r="J41" s="7">
        <f t="shared" si="1"/>
        <v>6889.35</v>
      </c>
      <c r="K41" s="7">
        <f t="shared" si="2"/>
        <v>7101.33</v>
      </c>
      <c r="L41" s="7">
        <f t="shared" si="3"/>
        <v>7419.3</v>
      </c>
      <c r="M41" s="7">
        <f t="shared" si="4"/>
        <v>7631.28</v>
      </c>
    </row>
    <row r="42" spans="1:13">
      <c r="A42" s="6" t="s">
        <v>22</v>
      </c>
      <c r="B42" s="6" t="s">
        <v>127</v>
      </c>
      <c r="C42" s="6" t="s">
        <v>128</v>
      </c>
      <c r="E42" s="6" t="s">
        <v>128</v>
      </c>
      <c r="G42" s="7">
        <v>11549</v>
      </c>
      <c r="H42" s="7">
        <v>13050.37</v>
      </c>
      <c r="I42" s="7">
        <f t="shared" si="0"/>
        <v>7160.38</v>
      </c>
      <c r="J42" s="7">
        <f t="shared" si="1"/>
        <v>7506.85</v>
      </c>
      <c r="K42" s="7">
        <f t="shared" si="2"/>
        <v>7737.83</v>
      </c>
      <c r="L42" s="7">
        <f t="shared" si="3"/>
        <v>8084.3</v>
      </c>
      <c r="M42" s="7">
        <f t="shared" si="4"/>
        <v>8315.28</v>
      </c>
    </row>
    <row r="43" ht="25.5" spans="1:13">
      <c r="A43" s="6" t="s">
        <v>22</v>
      </c>
      <c r="B43" s="6" t="s">
        <v>129</v>
      </c>
      <c r="C43" s="6" t="s">
        <v>130</v>
      </c>
      <c r="E43" s="6" t="s">
        <v>130</v>
      </c>
      <c r="G43" s="7">
        <v>12527</v>
      </c>
      <c r="H43" s="7">
        <v>14155.51</v>
      </c>
      <c r="I43" s="7">
        <f t="shared" si="0"/>
        <v>7766.74</v>
      </c>
      <c r="J43" s="7">
        <f t="shared" si="1"/>
        <v>8142.55</v>
      </c>
      <c r="K43" s="7">
        <f t="shared" si="2"/>
        <v>8393.09</v>
      </c>
      <c r="L43" s="7">
        <f t="shared" si="3"/>
        <v>8768.9</v>
      </c>
      <c r="M43" s="7">
        <f t="shared" si="4"/>
        <v>9019.44</v>
      </c>
    </row>
    <row r="44" ht="25.5" spans="1:13">
      <c r="A44" s="6" t="s">
        <v>22</v>
      </c>
      <c r="B44" s="6" t="s">
        <v>131</v>
      </c>
      <c r="C44" s="6" t="s">
        <v>132</v>
      </c>
      <c r="E44" s="6" t="s">
        <v>132</v>
      </c>
      <c r="G44" s="7">
        <v>12499</v>
      </c>
      <c r="H44" s="7">
        <v>14123.87</v>
      </c>
      <c r="I44" s="7">
        <f t="shared" si="0"/>
        <v>7749.38</v>
      </c>
      <c r="J44" s="7">
        <f t="shared" si="1"/>
        <v>8124.35</v>
      </c>
      <c r="K44" s="7">
        <f t="shared" si="2"/>
        <v>8374.33</v>
      </c>
      <c r="L44" s="7">
        <f t="shared" si="3"/>
        <v>8749.3</v>
      </c>
      <c r="M44" s="7">
        <f t="shared" si="4"/>
        <v>8999.28</v>
      </c>
    </row>
    <row r="45" ht="25.5" spans="1:13">
      <c r="A45" s="6" t="s">
        <v>18</v>
      </c>
      <c r="B45" s="6" t="s">
        <v>133</v>
      </c>
      <c r="C45" s="6" t="s">
        <v>134</v>
      </c>
      <c r="E45" s="6" t="s">
        <v>135</v>
      </c>
      <c r="G45" s="7">
        <v>159</v>
      </c>
      <c r="H45" s="7">
        <v>179.67</v>
      </c>
      <c r="I45" s="7">
        <f t="shared" si="0"/>
        <v>98.58</v>
      </c>
      <c r="J45" s="7">
        <f t="shared" si="1"/>
        <v>103.35</v>
      </c>
      <c r="K45" s="7">
        <f t="shared" si="2"/>
        <v>106.53</v>
      </c>
      <c r="L45" s="7">
        <f t="shared" si="3"/>
        <v>111.3</v>
      </c>
      <c r="M45" s="7">
        <f t="shared" si="4"/>
        <v>114.48</v>
      </c>
    </row>
    <row r="46" spans="1:13">
      <c r="A46" s="6" t="s">
        <v>18</v>
      </c>
      <c r="B46" s="6" t="s">
        <v>136</v>
      </c>
      <c r="C46" s="6" t="s">
        <v>137</v>
      </c>
      <c r="E46" s="6" t="s">
        <v>138</v>
      </c>
      <c r="G46" s="7">
        <v>1599</v>
      </c>
      <c r="H46" s="7">
        <v>1806.87</v>
      </c>
      <c r="I46" s="7">
        <f t="shared" si="0"/>
        <v>991.38</v>
      </c>
      <c r="J46" s="7">
        <f t="shared" si="1"/>
        <v>1039.35</v>
      </c>
      <c r="K46" s="7">
        <f t="shared" si="2"/>
        <v>1071.33</v>
      </c>
      <c r="L46" s="7">
        <f t="shared" si="3"/>
        <v>1119.3</v>
      </c>
      <c r="M46" s="7">
        <f t="shared" si="4"/>
        <v>1151.28</v>
      </c>
    </row>
    <row r="47" ht="25.5" spans="1:13">
      <c r="A47" s="6" t="s">
        <v>18</v>
      </c>
      <c r="B47" s="6" t="s">
        <v>139</v>
      </c>
      <c r="C47" s="6" t="s">
        <v>140</v>
      </c>
      <c r="E47" s="6" t="s">
        <v>141</v>
      </c>
      <c r="G47" s="7">
        <v>1499</v>
      </c>
      <c r="H47" s="7">
        <v>1693.87</v>
      </c>
      <c r="I47" s="7">
        <f t="shared" si="0"/>
        <v>929.38</v>
      </c>
      <c r="J47" s="7">
        <f t="shared" si="1"/>
        <v>974.35</v>
      </c>
      <c r="K47" s="7">
        <f t="shared" si="2"/>
        <v>1004.33</v>
      </c>
      <c r="L47" s="7">
        <f t="shared" si="3"/>
        <v>1049.3</v>
      </c>
      <c r="M47" s="7">
        <f t="shared" si="4"/>
        <v>1079.28</v>
      </c>
    </row>
    <row r="48" spans="1:13">
      <c r="A48" s="6" t="s">
        <v>18</v>
      </c>
      <c r="B48" s="6" t="s">
        <v>142</v>
      </c>
      <c r="C48" s="6" t="s">
        <v>143</v>
      </c>
      <c r="E48" s="6" t="s">
        <v>143</v>
      </c>
      <c r="G48" s="7">
        <v>546</v>
      </c>
      <c r="H48" s="7">
        <v>616.98</v>
      </c>
      <c r="I48" s="7">
        <f t="shared" si="0"/>
        <v>338.52</v>
      </c>
      <c r="J48" s="7">
        <f t="shared" si="1"/>
        <v>354.9</v>
      </c>
      <c r="K48" s="7">
        <f t="shared" si="2"/>
        <v>365.82</v>
      </c>
      <c r="L48" s="7">
        <f t="shared" si="3"/>
        <v>382.2</v>
      </c>
      <c r="M48" s="7">
        <f t="shared" si="4"/>
        <v>393.12</v>
      </c>
    </row>
    <row r="49" ht="25.5" spans="1:13">
      <c r="A49" s="6" t="s">
        <v>22</v>
      </c>
      <c r="B49" s="6" t="s">
        <v>144</v>
      </c>
      <c r="C49" s="6" t="s">
        <v>145</v>
      </c>
      <c r="E49" s="6" t="s">
        <v>146</v>
      </c>
      <c r="G49" s="7">
        <v>239</v>
      </c>
      <c r="H49" s="7">
        <v>270.07</v>
      </c>
      <c r="I49" s="7">
        <f t="shared" si="0"/>
        <v>148.18</v>
      </c>
      <c r="J49" s="7">
        <f t="shared" si="1"/>
        <v>155.35</v>
      </c>
      <c r="K49" s="7">
        <f t="shared" si="2"/>
        <v>160.13</v>
      </c>
      <c r="L49" s="7">
        <f t="shared" si="3"/>
        <v>167.3</v>
      </c>
      <c r="M49" s="7">
        <f t="shared" si="4"/>
        <v>172.08</v>
      </c>
    </row>
    <row r="50" ht="25.5" spans="1:13">
      <c r="A50" s="6" t="s">
        <v>22</v>
      </c>
      <c r="B50" s="6" t="s">
        <v>147</v>
      </c>
      <c r="C50" s="6" t="s">
        <v>148</v>
      </c>
      <c r="E50" s="6" t="s">
        <v>149</v>
      </c>
      <c r="G50" s="7">
        <v>200</v>
      </c>
      <c r="H50" s="7">
        <v>226</v>
      </c>
      <c r="I50" s="7">
        <f t="shared" si="0"/>
        <v>124</v>
      </c>
      <c r="J50" s="7">
        <f t="shared" si="1"/>
        <v>130</v>
      </c>
      <c r="K50" s="7">
        <f t="shared" si="2"/>
        <v>134</v>
      </c>
      <c r="L50" s="7">
        <f t="shared" si="3"/>
        <v>140</v>
      </c>
      <c r="M50" s="7">
        <f t="shared" si="4"/>
        <v>144</v>
      </c>
    </row>
    <row r="51" ht="25.5" spans="1:13">
      <c r="A51" s="6" t="s">
        <v>22</v>
      </c>
      <c r="B51" s="6" t="s">
        <v>150</v>
      </c>
      <c r="C51" s="6" t="s">
        <v>151</v>
      </c>
      <c r="E51" s="6" t="s">
        <v>152</v>
      </c>
      <c r="G51" s="7">
        <v>179</v>
      </c>
      <c r="H51" s="7">
        <v>202.27</v>
      </c>
      <c r="I51" s="7">
        <f t="shared" si="0"/>
        <v>110.98</v>
      </c>
      <c r="J51" s="7">
        <f t="shared" si="1"/>
        <v>116.35</v>
      </c>
      <c r="K51" s="7">
        <f t="shared" si="2"/>
        <v>119.93</v>
      </c>
      <c r="L51" s="7">
        <f t="shared" si="3"/>
        <v>125.3</v>
      </c>
      <c r="M51" s="7">
        <f t="shared" si="4"/>
        <v>128.88</v>
      </c>
    </row>
    <row r="52" spans="1:13">
      <c r="A52" s="6" t="s">
        <v>18</v>
      </c>
      <c r="B52" s="6" t="s">
        <v>153</v>
      </c>
      <c r="C52" s="6" t="s">
        <v>154</v>
      </c>
      <c r="E52" s="6" t="s">
        <v>155</v>
      </c>
      <c r="G52" s="7">
        <v>77</v>
      </c>
      <c r="H52" s="7">
        <v>87.01</v>
      </c>
      <c r="I52" s="7">
        <f t="shared" si="0"/>
        <v>47.74</v>
      </c>
      <c r="J52" s="7">
        <f t="shared" si="1"/>
        <v>50.05</v>
      </c>
      <c r="K52" s="7">
        <f t="shared" si="2"/>
        <v>51.59</v>
      </c>
      <c r="L52" s="7">
        <f t="shared" si="3"/>
        <v>53.9</v>
      </c>
      <c r="M52" s="7">
        <f t="shared" si="4"/>
        <v>55.44</v>
      </c>
    </row>
    <row r="53" spans="1:13">
      <c r="A53" s="6" t="s">
        <v>18</v>
      </c>
      <c r="B53" s="6" t="s">
        <v>156</v>
      </c>
      <c r="C53" s="6" t="s">
        <v>157</v>
      </c>
      <c r="E53" s="6" t="s">
        <v>158</v>
      </c>
      <c r="G53" s="7">
        <v>77</v>
      </c>
      <c r="H53" s="7">
        <v>87.01</v>
      </c>
      <c r="I53" s="7">
        <f t="shared" si="0"/>
        <v>47.74</v>
      </c>
      <c r="J53" s="7">
        <f t="shared" si="1"/>
        <v>50.05</v>
      </c>
      <c r="K53" s="7">
        <f t="shared" si="2"/>
        <v>51.59</v>
      </c>
      <c r="L53" s="7">
        <f t="shared" si="3"/>
        <v>53.9</v>
      </c>
      <c r="M53" s="7">
        <f t="shared" si="4"/>
        <v>55.44</v>
      </c>
    </row>
    <row r="54" spans="1:13">
      <c r="A54" s="6" t="s">
        <v>18</v>
      </c>
      <c r="B54" s="6" t="s">
        <v>159</v>
      </c>
      <c r="C54" s="6" t="s">
        <v>160</v>
      </c>
      <c r="E54" s="6" t="s">
        <v>161</v>
      </c>
      <c r="G54" s="7">
        <v>179</v>
      </c>
      <c r="H54" s="7">
        <v>202.27</v>
      </c>
      <c r="I54" s="7">
        <f t="shared" si="0"/>
        <v>110.98</v>
      </c>
      <c r="J54" s="7">
        <f t="shared" si="1"/>
        <v>116.35</v>
      </c>
      <c r="K54" s="7">
        <f t="shared" si="2"/>
        <v>119.93</v>
      </c>
      <c r="L54" s="7">
        <f t="shared" si="3"/>
        <v>125.3</v>
      </c>
      <c r="M54" s="7">
        <f t="shared" si="4"/>
        <v>128.88</v>
      </c>
    </row>
    <row r="55" ht="25.5" spans="1:13">
      <c r="A55" s="6" t="s">
        <v>18</v>
      </c>
      <c r="B55" s="6" t="s">
        <v>162</v>
      </c>
      <c r="C55" s="6" t="s">
        <v>163</v>
      </c>
      <c r="E55" s="6" t="s">
        <v>164</v>
      </c>
      <c r="G55" s="7">
        <v>39</v>
      </c>
      <c r="H55" s="7">
        <v>44.07</v>
      </c>
      <c r="I55" s="7">
        <f t="shared" si="0"/>
        <v>24.18</v>
      </c>
      <c r="J55" s="7">
        <f t="shared" si="1"/>
        <v>25.35</v>
      </c>
      <c r="K55" s="7">
        <f t="shared" si="2"/>
        <v>26.13</v>
      </c>
      <c r="L55" s="7">
        <f t="shared" si="3"/>
        <v>27.3</v>
      </c>
      <c r="M55" s="7">
        <f t="shared" si="4"/>
        <v>28.08</v>
      </c>
    </row>
    <row r="56" ht="25.5" spans="1:13">
      <c r="A56" s="6" t="s">
        <v>18</v>
      </c>
      <c r="B56" s="6" t="s">
        <v>165</v>
      </c>
      <c r="C56" s="6" t="s">
        <v>166</v>
      </c>
      <c r="E56" s="6" t="s">
        <v>167</v>
      </c>
      <c r="G56" s="7">
        <v>39</v>
      </c>
      <c r="H56" s="7">
        <v>44.07</v>
      </c>
      <c r="I56" s="7">
        <f t="shared" si="0"/>
        <v>24.18</v>
      </c>
      <c r="J56" s="7">
        <f t="shared" si="1"/>
        <v>25.35</v>
      </c>
      <c r="K56" s="7">
        <f t="shared" si="2"/>
        <v>26.13</v>
      </c>
      <c r="L56" s="7">
        <f t="shared" si="3"/>
        <v>27.3</v>
      </c>
      <c r="M56" s="7">
        <f t="shared" si="4"/>
        <v>28.08</v>
      </c>
    </row>
    <row r="57" ht="25.5" spans="1:13">
      <c r="A57" s="6" t="s">
        <v>18</v>
      </c>
      <c r="B57" s="6" t="s">
        <v>168</v>
      </c>
      <c r="C57" s="6" t="s">
        <v>169</v>
      </c>
      <c r="E57" s="6" t="s">
        <v>170</v>
      </c>
      <c r="G57" s="7">
        <v>119</v>
      </c>
      <c r="H57" s="7">
        <v>134.47</v>
      </c>
      <c r="I57" s="7">
        <f t="shared" si="0"/>
        <v>73.78</v>
      </c>
      <c r="J57" s="7">
        <f t="shared" si="1"/>
        <v>77.35</v>
      </c>
      <c r="K57" s="7">
        <f t="shared" si="2"/>
        <v>79.73</v>
      </c>
      <c r="L57" s="7">
        <f t="shared" si="3"/>
        <v>83.3</v>
      </c>
      <c r="M57" s="7">
        <f t="shared" si="4"/>
        <v>85.68</v>
      </c>
    </row>
    <row r="58" ht="25.5" spans="1:13">
      <c r="A58" s="6" t="s">
        <v>18</v>
      </c>
      <c r="B58" s="6" t="s">
        <v>171</v>
      </c>
      <c r="C58" s="6" t="s">
        <v>172</v>
      </c>
      <c r="E58" s="6" t="s">
        <v>173</v>
      </c>
      <c r="G58" s="7">
        <v>59</v>
      </c>
      <c r="H58" s="7">
        <v>66.67</v>
      </c>
      <c r="I58" s="7">
        <f t="shared" si="0"/>
        <v>36.58</v>
      </c>
      <c r="J58" s="7">
        <f t="shared" si="1"/>
        <v>38.35</v>
      </c>
      <c r="K58" s="7">
        <f t="shared" si="2"/>
        <v>39.53</v>
      </c>
      <c r="L58" s="7">
        <f t="shared" si="3"/>
        <v>41.3</v>
      </c>
      <c r="M58" s="7">
        <f t="shared" si="4"/>
        <v>42.48</v>
      </c>
    </row>
    <row r="59" ht="25.5" spans="1:13">
      <c r="A59" s="6" t="s">
        <v>18</v>
      </c>
      <c r="B59" s="6" t="s">
        <v>174</v>
      </c>
      <c r="C59" s="6" t="s">
        <v>175</v>
      </c>
      <c r="E59" s="6" t="s">
        <v>176</v>
      </c>
      <c r="G59" s="7">
        <v>99</v>
      </c>
      <c r="H59" s="7">
        <v>111.87</v>
      </c>
      <c r="I59" s="7">
        <f t="shared" si="0"/>
        <v>61.38</v>
      </c>
      <c r="J59" s="7">
        <f t="shared" si="1"/>
        <v>64.35</v>
      </c>
      <c r="K59" s="7">
        <f t="shared" si="2"/>
        <v>66.33</v>
      </c>
      <c r="L59" s="7">
        <f t="shared" si="3"/>
        <v>69.3</v>
      </c>
      <c r="M59" s="7">
        <f t="shared" si="4"/>
        <v>71.28</v>
      </c>
    </row>
    <row r="60" ht="25.5" spans="1:13">
      <c r="A60" s="6" t="s">
        <v>18</v>
      </c>
      <c r="B60" s="6" t="s">
        <v>177</v>
      </c>
      <c r="C60" s="6" t="s">
        <v>178</v>
      </c>
      <c r="E60" s="6" t="s">
        <v>179</v>
      </c>
      <c r="G60" s="7">
        <v>119</v>
      </c>
      <c r="H60" s="7">
        <v>134.47</v>
      </c>
      <c r="I60" s="7">
        <f t="shared" si="0"/>
        <v>73.78</v>
      </c>
      <c r="J60" s="7">
        <f t="shared" si="1"/>
        <v>77.35</v>
      </c>
      <c r="K60" s="7">
        <f t="shared" si="2"/>
        <v>79.73</v>
      </c>
      <c r="L60" s="7">
        <f t="shared" si="3"/>
        <v>83.3</v>
      </c>
      <c r="M60" s="7">
        <f t="shared" si="4"/>
        <v>85.68</v>
      </c>
    </row>
    <row r="61" spans="1:13">
      <c r="A61" s="6" t="s">
        <v>25</v>
      </c>
      <c r="B61" s="6" t="s">
        <v>180</v>
      </c>
      <c r="C61" s="6" t="s">
        <v>181</v>
      </c>
      <c r="E61" s="6" t="s">
        <v>182</v>
      </c>
      <c r="G61" s="7">
        <v>199</v>
      </c>
      <c r="H61" s="7">
        <v>224.87</v>
      </c>
      <c r="I61" s="7">
        <f t="shared" si="0"/>
        <v>123.38</v>
      </c>
      <c r="J61" s="7">
        <f t="shared" si="1"/>
        <v>129.35</v>
      </c>
      <c r="K61" s="7">
        <f t="shared" si="2"/>
        <v>133.33</v>
      </c>
      <c r="L61" s="7">
        <f t="shared" si="3"/>
        <v>139.3</v>
      </c>
      <c r="M61" s="7">
        <f t="shared" si="4"/>
        <v>143.28</v>
      </c>
    </row>
    <row r="62" spans="1:13">
      <c r="A62" s="6" t="s">
        <v>25</v>
      </c>
      <c r="B62" s="6" t="s">
        <v>183</v>
      </c>
      <c r="C62" s="6" t="s">
        <v>184</v>
      </c>
      <c r="E62" s="6" t="s">
        <v>184</v>
      </c>
      <c r="G62" s="7">
        <v>59</v>
      </c>
      <c r="H62" s="7">
        <v>66.67</v>
      </c>
      <c r="I62" s="7">
        <f t="shared" si="0"/>
        <v>36.58</v>
      </c>
      <c r="J62" s="7">
        <f t="shared" si="1"/>
        <v>38.35</v>
      </c>
      <c r="K62" s="7">
        <f t="shared" si="2"/>
        <v>39.53</v>
      </c>
      <c r="L62" s="7">
        <f t="shared" si="3"/>
        <v>41.3</v>
      </c>
      <c r="M62" s="7">
        <f t="shared" si="4"/>
        <v>42.48</v>
      </c>
    </row>
    <row r="63" spans="1:13">
      <c r="A63" s="6" t="s">
        <v>18</v>
      </c>
      <c r="B63" s="6" t="s">
        <v>185</v>
      </c>
      <c r="C63" s="6" t="s">
        <v>186</v>
      </c>
      <c r="E63" s="6" t="s">
        <v>187</v>
      </c>
      <c r="G63" s="7">
        <v>1949</v>
      </c>
      <c r="H63" s="7">
        <v>2202.37</v>
      </c>
      <c r="I63" s="7">
        <f t="shared" si="0"/>
        <v>1208.38</v>
      </c>
      <c r="J63" s="7">
        <f t="shared" si="1"/>
        <v>1266.85</v>
      </c>
      <c r="K63" s="7">
        <f t="shared" si="2"/>
        <v>1305.83</v>
      </c>
      <c r="L63" s="7">
        <f t="shared" si="3"/>
        <v>1364.3</v>
      </c>
      <c r="M63" s="7">
        <f t="shared" si="4"/>
        <v>1403.28</v>
      </c>
    </row>
    <row r="64" spans="1:13">
      <c r="A64" s="6" t="s">
        <v>39</v>
      </c>
      <c r="B64" s="6" t="s">
        <v>188</v>
      </c>
      <c r="C64" s="6" t="s">
        <v>189</v>
      </c>
      <c r="E64" s="6" t="s">
        <v>190</v>
      </c>
      <c r="G64" s="7">
        <v>1299</v>
      </c>
      <c r="H64" s="7">
        <v>1467.87</v>
      </c>
      <c r="I64" s="7">
        <f t="shared" si="0"/>
        <v>805.38</v>
      </c>
      <c r="J64" s="7">
        <f t="shared" si="1"/>
        <v>844.35</v>
      </c>
      <c r="K64" s="7">
        <f t="shared" si="2"/>
        <v>870.33</v>
      </c>
      <c r="L64" s="7">
        <f t="shared" si="3"/>
        <v>909.3</v>
      </c>
      <c r="M64" s="7">
        <f t="shared" si="4"/>
        <v>935.28</v>
      </c>
    </row>
    <row r="65" spans="1:13">
      <c r="A65" s="6" t="s">
        <v>25</v>
      </c>
      <c r="B65" s="6" t="s">
        <v>191</v>
      </c>
      <c r="C65" s="6" t="s">
        <v>192</v>
      </c>
      <c r="E65" s="6" t="s">
        <v>192</v>
      </c>
      <c r="G65" s="7">
        <v>319</v>
      </c>
      <c r="H65" s="7">
        <v>360.47</v>
      </c>
      <c r="I65" s="7">
        <f t="shared" si="0"/>
        <v>197.78</v>
      </c>
      <c r="J65" s="7">
        <f t="shared" si="1"/>
        <v>207.35</v>
      </c>
      <c r="K65" s="7">
        <f t="shared" si="2"/>
        <v>213.73</v>
      </c>
      <c r="L65" s="7">
        <f t="shared" si="3"/>
        <v>223.3</v>
      </c>
      <c r="M65" s="7">
        <f t="shared" si="4"/>
        <v>229.68</v>
      </c>
    </row>
    <row r="66" spans="1:13">
      <c r="A66" s="6" t="s">
        <v>25</v>
      </c>
      <c r="B66" s="6" t="s">
        <v>193</v>
      </c>
      <c r="C66" s="6" t="s">
        <v>194</v>
      </c>
      <c r="E66" s="6" t="s">
        <v>194</v>
      </c>
      <c r="G66" s="7">
        <v>369</v>
      </c>
      <c r="H66" s="7">
        <v>416.97</v>
      </c>
      <c r="I66" s="7">
        <f t="shared" ref="I66:I129" si="5">G66*0.62</f>
        <v>228.78</v>
      </c>
      <c r="J66" s="7">
        <f t="shared" ref="J66:J129" si="6">G66*0.65</f>
        <v>239.85</v>
      </c>
      <c r="K66" s="7">
        <f t="shared" ref="K66:K129" si="7">G66*0.67</f>
        <v>247.23</v>
      </c>
      <c r="L66" s="7">
        <f t="shared" ref="L66:L129" si="8">G66*0.7</f>
        <v>258.3</v>
      </c>
      <c r="M66" s="7">
        <f t="shared" ref="M66:M129" si="9">G66*0.72</f>
        <v>265.68</v>
      </c>
    </row>
    <row r="67" spans="1:13">
      <c r="A67" s="6" t="s">
        <v>18</v>
      </c>
      <c r="B67" s="6" t="s">
        <v>195</v>
      </c>
      <c r="C67" s="6" t="s">
        <v>196</v>
      </c>
      <c r="E67" s="6" t="s">
        <v>197</v>
      </c>
      <c r="G67" s="7">
        <v>239</v>
      </c>
      <c r="H67" s="7">
        <v>270.07</v>
      </c>
      <c r="I67" s="7">
        <f t="shared" si="5"/>
        <v>148.18</v>
      </c>
      <c r="J67" s="7">
        <f t="shared" si="6"/>
        <v>155.35</v>
      </c>
      <c r="K67" s="7">
        <f t="shared" si="7"/>
        <v>160.13</v>
      </c>
      <c r="L67" s="7">
        <f t="shared" si="8"/>
        <v>167.3</v>
      </c>
      <c r="M67" s="7">
        <f t="shared" si="9"/>
        <v>172.08</v>
      </c>
    </row>
    <row r="68" spans="1:13">
      <c r="A68" s="6" t="s">
        <v>18</v>
      </c>
      <c r="B68" s="6" t="s">
        <v>198</v>
      </c>
      <c r="C68" s="6" t="s">
        <v>199</v>
      </c>
      <c r="E68" s="6" t="s">
        <v>200</v>
      </c>
      <c r="G68" s="7">
        <v>199</v>
      </c>
      <c r="H68" s="7">
        <v>224.87</v>
      </c>
      <c r="I68" s="7">
        <f t="shared" si="5"/>
        <v>123.38</v>
      </c>
      <c r="J68" s="7">
        <f t="shared" si="6"/>
        <v>129.35</v>
      </c>
      <c r="K68" s="7">
        <f t="shared" si="7"/>
        <v>133.33</v>
      </c>
      <c r="L68" s="7">
        <f t="shared" si="8"/>
        <v>139.3</v>
      </c>
      <c r="M68" s="7">
        <f t="shared" si="9"/>
        <v>143.28</v>
      </c>
    </row>
    <row r="69" ht="25.5" spans="1:13">
      <c r="A69" s="6" t="s">
        <v>45</v>
      </c>
      <c r="B69" s="6" t="s">
        <v>201</v>
      </c>
      <c r="C69" s="6" t="s">
        <v>202</v>
      </c>
      <c r="E69" s="6" t="s">
        <v>203</v>
      </c>
      <c r="G69" s="7">
        <v>199</v>
      </c>
      <c r="H69" s="7">
        <v>224.87</v>
      </c>
      <c r="I69" s="7">
        <f t="shared" si="5"/>
        <v>123.38</v>
      </c>
      <c r="J69" s="7">
        <f t="shared" si="6"/>
        <v>129.35</v>
      </c>
      <c r="K69" s="7">
        <f t="shared" si="7"/>
        <v>133.33</v>
      </c>
      <c r="L69" s="7">
        <f t="shared" si="8"/>
        <v>139.3</v>
      </c>
      <c r="M69" s="7">
        <f t="shared" si="9"/>
        <v>143.28</v>
      </c>
    </row>
    <row r="70" spans="1:13">
      <c r="A70" s="6" t="s">
        <v>22</v>
      </c>
      <c r="B70" s="6" t="s">
        <v>204</v>
      </c>
      <c r="C70" s="6" t="s">
        <v>205</v>
      </c>
      <c r="E70" s="6" t="s">
        <v>206</v>
      </c>
      <c r="G70" s="7">
        <v>670</v>
      </c>
      <c r="H70" s="7">
        <v>757.1</v>
      </c>
      <c r="I70" s="7">
        <f t="shared" si="5"/>
        <v>415.4</v>
      </c>
      <c r="J70" s="7">
        <f t="shared" si="6"/>
        <v>435.5</v>
      </c>
      <c r="K70" s="7">
        <f t="shared" si="7"/>
        <v>448.9</v>
      </c>
      <c r="L70" s="7">
        <f t="shared" si="8"/>
        <v>469</v>
      </c>
      <c r="M70" s="7">
        <f t="shared" si="9"/>
        <v>482.4</v>
      </c>
    </row>
    <row r="71" spans="1:13">
      <c r="A71" s="6" t="s">
        <v>25</v>
      </c>
      <c r="B71" s="6" t="s">
        <v>207</v>
      </c>
      <c r="C71" s="6" t="s">
        <v>208</v>
      </c>
      <c r="E71" s="6" t="s">
        <v>208</v>
      </c>
      <c r="G71" s="7">
        <v>99</v>
      </c>
      <c r="H71" s="7">
        <v>111.87</v>
      </c>
      <c r="I71" s="7">
        <f t="shared" si="5"/>
        <v>61.38</v>
      </c>
      <c r="J71" s="7">
        <f t="shared" si="6"/>
        <v>64.35</v>
      </c>
      <c r="K71" s="7">
        <f t="shared" si="7"/>
        <v>66.33</v>
      </c>
      <c r="L71" s="7">
        <f t="shared" si="8"/>
        <v>69.3</v>
      </c>
      <c r="M71" s="7">
        <f t="shared" si="9"/>
        <v>71.28</v>
      </c>
    </row>
    <row r="72" spans="1:13">
      <c r="A72" s="6" t="s">
        <v>25</v>
      </c>
      <c r="B72" s="6" t="s">
        <v>209</v>
      </c>
      <c r="C72" s="6" t="s">
        <v>210</v>
      </c>
      <c r="E72" s="6" t="s">
        <v>210</v>
      </c>
      <c r="G72" s="7">
        <v>439</v>
      </c>
      <c r="H72" s="7">
        <v>496.07</v>
      </c>
      <c r="I72" s="7">
        <f t="shared" si="5"/>
        <v>272.18</v>
      </c>
      <c r="J72" s="7">
        <f t="shared" si="6"/>
        <v>285.35</v>
      </c>
      <c r="K72" s="7">
        <f t="shared" si="7"/>
        <v>294.13</v>
      </c>
      <c r="L72" s="7">
        <f t="shared" si="8"/>
        <v>307.3</v>
      </c>
      <c r="M72" s="7">
        <f t="shared" si="9"/>
        <v>316.08</v>
      </c>
    </row>
    <row r="73" spans="1:13">
      <c r="A73" s="6" t="s">
        <v>25</v>
      </c>
      <c r="B73" s="6" t="s">
        <v>211</v>
      </c>
      <c r="C73" s="6" t="s">
        <v>212</v>
      </c>
      <c r="E73" s="6" t="s">
        <v>212</v>
      </c>
      <c r="G73" s="7">
        <v>599</v>
      </c>
      <c r="H73" s="7">
        <v>676.87</v>
      </c>
      <c r="I73" s="7">
        <f t="shared" si="5"/>
        <v>371.38</v>
      </c>
      <c r="J73" s="7">
        <f t="shared" si="6"/>
        <v>389.35</v>
      </c>
      <c r="K73" s="7">
        <f t="shared" si="7"/>
        <v>401.33</v>
      </c>
      <c r="L73" s="7">
        <f t="shared" si="8"/>
        <v>419.3</v>
      </c>
      <c r="M73" s="7">
        <f t="shared" si="9"/>
        <v>431.28</v>
      </c>
    </row>
    <row r="74" spans="1:13">
      <c r="A74" s="6" t="s">
        <v>25</v>
      </c>
      <c r="B74" s="6" t="s">
        <v>213</v>
      </c>
      <c r="C74" s="6" t="s">
        <v>214</v>
      </c>
      <c r="E74" s="6" t="s">
        <v>214</v>
      </c>
      <c r="G74" s="7">
        <v>749</v>
      </c>
      <c r="H74" s="7">
        <v>846.37</v>
      </c>
      <c r="I74" s="7">
        <f t="shared" si="5"/>
        <v>464.38</v>
      </c>
      <c r="J74" s="7">
        <f t="shared" si="6"/>
        <v>486.85</v>
      </c>
      <c r="K74" s="7">
        <f t="shared" si="7"/>
        <v>501.83</v>
      </c>
      <c r="L74" s="7">
        <f t="shared" si="8"/>
        <v>524.3</v>
      </c>
      <c r="M74" s="7">
        <f t="shared" si="9"/>
        <v>539.28</v>
      </c>
    </row>
    <row r="75" spans="1:13">
      <c r="A75" s="6" t="s">
        <v>18</v>
      </c>
      <c r="B75" s="6" t="s">
        <v>215</v>
      </c>
      <c r="C75" s="6" t="s">
        <v>216</v>
      </c>
      <c r="E75" s="6" t="s">
        <v>216</v>
      </c>
      <c r="G75" s="7">
        <v>1249</v>
      </c>
      <c r="H75" s="7">
        <v>1411.37</v>
      </c>
      <c r="I75" s="7">
        <f t="shared" si="5"/>
        <v>774.38</v>
      </c>
      <c r="J75" s="7">
        <f t="shared" si="6"/>
        <v>811.85</v>
      </c>
      <c r="K75" s="7">
        <f t="shared" si="7"/>
        <v>836.83</v>
      </c>
      <c r="L75" s="7">
        <f t="shared" si="8"/>
        <v>874.3</v>
      </c>
      <c r="M75" s="7">
        <f t="shared" si="9"/>
        <v>899.28</v>
      </c>
    </row>
    <row r="76" ht="38.25" spans="1:13">
      <c r="A76" s="6" t="s">
        <v>217</v>
      </c>
      <c r="B76" s="6" t="s">
        <v>218</v>
      </c>
      <c r="C76" s="6" t="s">
        <v>219</v>
      </c>
      <c r="E76" s="6" t="s">
        <v>220</v>
      </c>
      <c r="G76" s="7">
        <v>1449</v>
      </c>
      <c r="H76" s="7">
        <v>1637.37</v>
      </c>
      <c r="I76" s="7">
        <f t="shared" si="5"/>
        <v>898.38</v>
      </c>
      <c r="J76" s="7">
        <f t="shared" si="6"/>
        <v>941.85</v>
      </c>
      <c r="K76" s="7">
        <f t="shared" si="7"/>
        <v>970.83</v>
      </c>
      <c r="L76" s="7">
        <f t="shared" si="8"/>
        <v>1014.3</v>
      </c>
      <c r="M76" s="7">
        <f t="shared" si="9"/>
        <v>1043.28</v>
      </c>
    </row>
    <row r="77" spans="1:13">
      <c r="A77" s="6" t="s">
        <v>25</v>
      </c>
      <c r="B77" s="6" t="s">
        <v>221</v>
      </c>
      <c r="C77" s="6" t="s">
        <v>222</v>
      </c>
      <c r="E77" s="6" t="s">
        <v>222</v>
      </c>
      <c r="G77" s="7">
        <v>549</v>
      </c>
      <c r="H77" s="7">
        <v>620.37</v>
      </c>
      <c r="I77" s="7">
        <f t="shared" si="5"/>
        <v>340.38</v>
      </c>
      <c r="J77" s="7">
        <f t="shared" si="6"/>
        <v>356.85</v>
      </c>
      <c r="K77" s="7">
        <f t="shared" si="7"/>
        <v>367.83</v>
      </c>
      <c r="L77" s="7">
        <f t="shared" si="8"/>
        <v>384.3</v>
      </c>
      <c r="M77" s="7">
        <f t="shared" si="9"/>
        <v>395.28</v>
      </c>
    </row>
    <row r="78" spans="1:13">
      <c r="A78" s="6" t="s">
        <v>18</v>
      </c>
      <c r="B78" s="6" t="s">
        <v>223</v>
      </c>
      <c r="C78" s="6" t="s">
        <v>224</v>
      </c>
      <c r="E78" s="6" t="s">
        <v>224</v>
      </c>
      <c r="G78" s="7">
        <v>599</v>
      </c>
      <c r="H78" s="7">
        <v>676.87</v>
      </c>
      <c r="I78" s="7">
        <f t="shared" si="5"/>
        <v>371.38</v>
      </c>
      <c r="J78" s="7">
        <f t="shared" si="6"/>
        <v>389.35</v>
      </c>
      <c r="K78" s="7">
        <f t="shared" si="7"/>
        <v>401.33</v>
      </c>
      <c r="L78" s="7">
        <f t="shared" si="8"/>
        <v>419.3</v>
      </c>
      <c r="M78" s="7">
        <f t="shared" si="9"/>
        <v>431.28</v>
      </c>
    </row>
    <row r="79" ht="25.5" spans="1:13">
      <c r="A79" s="6" t="s">
        <v>18</v>
      </c>
      <c r="B79" s="6" t="s">
        <v>225</v>
      </c>
      <c r="C79" s="6" t="s">
        <v>226</v>
      </c>
      <c r="E79" s="6" t="s">
        <v>227</v>
      </c>
      <c r="G79" s="7">
        <v>39</v>
      </c>
      <c r="H79" s="7">
        <v>44.07</v>
      </c>
      <c r="I79" s="7">
        <f t="shared" si="5"/>
        <v>24.18</v>
      </c>
      <c r="J79" s="7">
        <f t="shared" si="6"/>
        <v>25.35</v>
      </c>
      <c r="K79" s="7">
        <f t="shared" si="7"/>
        <v>26.13</v>
      </c>
      <c r="L79" s="7">
        <f t="shared" si="8"/>
        <v>27.3</v>
      </c>
      <c r="M79" s="7">
        <f t="shared" si="9"/>
        <v>28.08</v>
      </c>
    </row>
    <row r="80" ht="25.5" spans="1:13">
      <c r="A80" s="6" t="s">
        <v>228</v>
      </c>
      <c r="B80" s="6" t="s">
        <v>229</v>
      </c>
      <c r="C80" s="6" t="s">
        <v>230</v>
      </c>
      <c r="E80" s="6" t="s">
        <v>231</v>
      </c>
      <c r="G80" s="7">
        <v>662</v>
      </c>
      <c r="H80" s="7">
        <v>748.06</v>
      </c>
      <c r="I80" s="7">
        <f t="shared" si="5"/>
        <v>410.44</v>
      </c>
      <c r="J80" s="7">
        <f t="shared" si="6"/>
        <v>430.3</v>
      </c>
      <c r="K80" s="7">
        <f t="shared" si="7"/>
        <v>443.54</v>
      </c>
      <c r="L80" s="7">
        <f t="shared" si="8"/>
        <v>463.4</v>
      </c>
      <c r="M80" s="7">
        <f t="shared" si="9"/>
        <v>476.64</v>
      </c>
    </row>
    <row r="81" ht="25.5" spans="1:13">
      <c r="A81" s="6" t="s">
        <v>18</v>
      </c>
      <c r="B81" s="6" t="s">
        <v>232</v>
      </c>
      <c r="C81" s="6" t="s">
        <v>233</v>
      </c>
      <c r="E81" s="6" t="s">
        <v>234</v>
      </c>
      <c r="G81" s="7">
        <v>13699</v>
      </c>
      <c r="H81" s="7">
        <v>15479.87</v>
      </c>
      <c r="I81" s="7">
        <f t="shared" si="5"/>
        <v>8493.38</v>
      </c>
      <c r="J81" s="7">
        <f t="shared" si="6"/>
        <v>8904.35</v>
      </c>
      <c r="K81" s="7">
        <f t="shared" si="7"/>
        <v>9178.33</v>
      </c>
      <c r="L81" s="7">
        <f t="shared" si="8"/>
        <v>9589.3</v>
      </c>
      <c r="M81" s="7">
        <f t="shared" si="9"/>
        <v>9863.28</v>
      </c>
    </row>
    <row r="82" spans="1:13">
      <c r="A82" s="6" t="s">
        <v>18</v>
      </c>
      <c r="B82" s="6" t="s">
        <v>235</v>
      </c>
      <c r="C82" s="6" t="s">
        <v>236</v>
      </c>
      <c r="E82" s="6" t="s">
        <v>237</v>
      </c>
      <c r="G82" s="7">
        <v>15099</v>
      </c>
      <c r="H82" s="7">
        <v>17061.87</v>
      </c>
      <c r="I82" s="7">
        <f t="shared" si="5"/>
        <v>9361.38</v>
      </c>
      <c r="J82" s="7">
        <f t="shared" si="6"/>
        <v>9814.35</v>
      </c>
      <c r="K82" s="7">
        <f t="shared" si="7"/>
        <v>10116.33</v>
      </c>
      <c r="L82" s="7">
        <f t="shared" si="8"/>
        <v>10569.3</v>
      </c>
      <c r="M82" s="7">
        <f t="shared" si="9"/>
        <v>10871.28</v>
      </c>
    </row>
    <row r="83" spans="1:13">
      <c r="A83" s="6" t="s">
        <v>18</v>
      </c>
      <c r="B83" s="6" t="s">
        <v>238</v>
      </c>
      <c r="C83" s="6" t="s">
        <v>239</v>
      </c>
      <c r="E83" s="6" t="s">
        <v>240</v>
      </c>
      <c r="G83" s="7">
        <v>12999</v>
      </c>
      <c r="H83" s="7">
        <v>14688.87</v>
      </c>
      <c r="I83" s="7">
        <f t="shared" si="5"/>
        <v>8059.38</v>
      </c>
      <c r="J83" s="7">
        <f t="shared" si="6"/>
        <v>8449.35</v>
      </c>
      <c r="K83" s="7">
        <f t="shared" si="7"/>
        <v>8709.33</v>
      </c>
      <c r="L83" s="7">
        <f t="shared" si="8"/>
        <v>9099.3</v>
      </c>
      <c r="M83" s="7">
        <f t="shared" si="9"/>
        <v>9359.28</v>
      </c>
    </row>
    <row r="84" spans="1:13">
      <c r="A84" s="6" t="s">
        <v>18</v>
      </c>
      <c r="B84" s="6" t="s">
        <v>241</v>
      </c>
      <c r="C84" s="6" t="s">
        <v>242</v>
      </c>
      <c r="E84" s="6" t="s">
        <v>243</v>
      </c>
      <c r="G84" s="7">
        <v>2399</v>
      </c>
      <c r="H84" s="7">
        <v>2710.87</v>
      </c>
      <c r="I84" s="7">
        <f t="shared" si="5"/>
        <v>1487.38</v>
      </c>
      <c r="J84" s="7">
        <f t="shared" si="6"/>
        <v>1559.35</v>
      </c>
      <c r="K84" s="7">
        <f t="shared" si="7"/>
        <v>1607.33</v>
      </c>
      <c r="L84" s="7">
        <f t="shared" si="8"/>
        <v>1679.3</v>
      </c>
      <c r="M84" s="7">
        <f t="shared" si="9"/>
        <v>1727.28</v>
      </c>
    </row>
    <row r="85" spans="1:13">
      <c r="A85" s="6" t="s">
        <v>18</v>
      </c>
      <c r="B85" s="6" t="s">
        <v>244</v>
      </c>
      <c r="C85" s="6" t="s">
        <v>245</v>
      </c>
      <c r="E85" s="6" t="s">
        <v>246</v>
      </c>
      <c r="G85" s="7">
        <v>1149</v>
      </c>
      <c r="H85" s="7">
        <v>1298.37</v>
      </c>
      <c r="I85" s="7">
        <f t="shared" si="5"/>
        <v>712.38</v>
      </c>
      <c r="J85" s="7">
        <f t="shared" si="6"/>
        <v>746.85</v>
      </c>
      <c r="K85" s="7">
        <f t="shared" si="7"/>
        <v>769.83</v>
      </c>
      <c r="L85" s="7">
        <f t="shared" si="8"/>
        <v>804.3</v>
      </c>
      <c r="M85" s="7">
        <f t="shared" si="9"/>
        <v>827.28</v>
      </c>
    </row>
    <row r="86" spans="1:13">
      <c r="A86" s="6" t="s">
        <v>18</v>
      </c>
      <c r="B86" s="6" t="s">
        <v>247</v>
      </c>
      <c r="C86" s="6" t="s">
        <v>248</v>
      </c>
      <c r="E86" s="6" t="s">
        <v>249</v>
      </c>
      <c r="G86" s="7">
        <v>1499</v>
      </c>
      <c r="H86" s="7">
        <v>1693.87</v>
      </c>
      <c r="I86" s="7">
        <f t="shared" si="5"/>
        <v>929.38</v>
      </c>
      <c r="J86" s="7">
        <f t="shared" si="6"/>
        <v>974.35</v>
      </c>
      <c r="K86" s="7">
        <f t="shared" si="7"/>
        <v>1004.33</v>
      </c>
      <c r="L86" s="7">
        <f t="shared" si="8"/>
        <v>1049.3</v>
      </c>
      <c r="M86" s="7">
        <f t="shared" si="9"/>
        <v>1079.28</v>
      </c>
    </row>
    <row r="87" spans="1:13">
      <c r="A87" s="6" t="s">
        <v>18</v>
      </c>
      <c r="B87" s="6" t="s">
        <v>250</v>
      </c>
      <c r="C87" s="6" t="s">
        <v>251</v>
      </c>
      <c r="E87" s="6" t="s">
        <v>252</v>
      </c>
      <c r="G87" s="7">
        <v>9377</v>
      </c>
      <c r="H87" s="7">
        <v>10596.01</v>
      </c>
      <c r="I87" s="7">
        <f t="shared" si="5"/>
        <v>5813.74</v>
      </c>
      <c r="J87" s="7">
        <f t="shared" si="6"/>
        <v>6095.05</v>
      </c>
      <c r="K87" s="7">
        <f t="shared" si="7"/>
        <v>6282.59</v>
      </c>
      <c r="L87" s="7">
        <f t="shared" si="8"/>
        <v>6563.9</v>
      </c>
      <c r="M87" s="7">
        <f t="shared" si="9"/>
        <v>6751.44</v>
      </c>
    </row>
    <row r="88" spans="1:13">
      <c r="A88" s="6" t="s">
        <v>22</v>
      </c>
      <c r="B88" s="6" t="s">
        <v>253</v>
      </c>
      <c r="C88" s="6" t="s">
        <v>254</v>
      </c>
      <c r="E88" s="6" t="s">
        <v>254</v>
      </c>
      <c r="G88" s="7">
        <v>13899</v>
      </c>
      <c r="H88" s="7">
        <v>15705.87</v>
      </c>
      <c r="I88" s="7">
        <f t="shared" si="5"/>
        <v>8617.38</v>
      </c>
      <c r="J88" s="7">
        <f t="shared" si="6"/>
        <v>9034.35</v>
      </c>
      <c r="K88" s="7">
        <f t="shared" si="7"/>
        <v>9312.33</v>
      </c>
      <c r="L88" s="7">
        <f t="shared" si="8"/>
        <v>9729.3</v>
      </c>
      <c r="M88" s="7">
        <f t="shared" si="9"/>
        <v>10007.28</v>
      </c>
    </row>
    <row r="89" ht="25.5" spans="1:13">
      <c r="A89" s="6" t="s">
        <v>22</v>
      </c>
      <c r="B89" s="6" t="s">
        <v>255</v>
      </c>
      <c r="C89" s="6" t="s">
        <v>256</v>
      </c>
      <c r="E89" s="6" t="s">
        <v>256</v>
      </c>
      <c r="G89" s="7">
        <v>15449</v>
      </c>
      <c r="H89" s="7">
        <v>17457.37</v>
      </c>
      <c r="I89" s="7">
        <f t="shared" si="5"/>
        <v>9578.38</v>
      </c>
      <c r="J89" s="7">
        <f t="shared" si="6"/>
        <v>10041.85</v>
      </c>
      <c r="K89" s="7">
        <f t="shared" si="7"/>
        <v>10350.83</v>
      </c>
      <c r="L89" s="7">
        <f t="shared" si="8"/>
        <v>10814.3</v>
      </c>
      <c r="M89" s="7">
        <f t="shared" si="9"/>
        <v>11123.28</v>
      </c>
    </row>
    <row r="90" ht="25.5" spans="1:13">
      <c r="A90" s="6" t="s">
        <v>22</v>
      </c>
      <c r="B90" s="6" t="s">
        <v>257</v>
      </c>
      <c r="C90" s="6" t="s">
        <v>258</v>
      </c>
      <c r="E90" s="6" t="s">
        <v>258</v>
      </c>
      <c r="G90" s="7">
        <v>14417</v>
      </c>
      <c r="H90" s="7">
        <v>16291.21</v>
      </c>
      <c r="I90" s="7">
        <f t="shared" si="5"/>
        <v>8938.54</v>
      </c>
      <c r="J90" s="7">
        <f t="shared" si="6"/>
        <v>9371.05</v>
      </c>
      <c r="K90" s="7">
        <f t="shared" si="7"/>
        <v>9659.39</v>
      </c>
      <c r="L90" s="7">
        <f t="shared" si="8"/>
        <v>10091.9</v>
      </c>
      <c r="M90" s="7">
        <f t="shared" si="9"/>
        <v>10380.24</v>
      </c>
    </row>
    <row r="91" spans="1:13">
      <c r="A91" s="6" t="s">
        <v>18</v>
      </c>
      <c r="B91" s="6" t="s">
        <v>259</v>
      </c>
      <c r="C91" s="6" t="s">
        <v>260</v>
      </c>
      <c r="E91" s="6" t="s">
        <v>261</v>
      </c>
      <c r="G91" s="7">
        <v>23199</v>
      </c>
      <c r="H91" s="7">
        <v>26214.87</v>
      </c>
      <c r="I91" s="7">
        <f t="shared" si="5"/>
        <v>14383.38</v>
      </c>
      <c r="J91" s="7">
        <f t="shared" si="6"/>
        <v>15079.35</v>
      </c>
      <c r="K91" s="7">
        <f t="shared" si="7"/>
        <v>15543.33</v>
      </c>
      <c r="L91" s="7">
        <f t="shared" si="8"/>
        <v>16239.3</v>
      </c>
      <c r="M91" s="7">
        <f t="shared" si="9"/>
        <v>16703.28</v>
      </c>
    </row>
    <row r="92" spans="1:13">
      <c r="A92" s="6" t="s">
        <v>25</v>
      </c>
      <c r="B92" s="6" t="s">
        <v>262</v>
      </c>
      <c r="C92" s="6" t="s">
        <v>263</v>
      </c>
      <c r="E92" s="6" t="s">
        <v>263</v>
      </c>
      <c r="G92" s="7">
        <v>99</v>
      </c>
      <c r="H92" s="7">
        <v>111.87</v>
      </c>
      <c r="I92" s="7">
        <f t="shared" si="5"/>
        <v>61.38</v>
      </c>
      <c r="J92" s="7">
        <f t="shared" si="6"/>
        <v>64.35</v>
      </c>
      <c r="K92" s="7">
        <f t="shared" si="7"/>
        <v>66.33</v>
      </c>
      <c r="L92" s="7">
        <f t="shared" si="8"/>
        <v>69.3</v>
      </c>
      <c r="M92" s="7">
        <f t="shared" si="9"/>
        <v>71.28</v>
      </c>
    </row>
    <row r="93" spans="1:13">
      <c r="A93" s="6" t="s">
        <v>18</v>
      </c>
      <c r="B93" s="6" t="s">
        <v>264</v>
      </c>
      <c r="C93" s="6" t="s">
        <v>265</v>
      </c>
      <c r="E93" s="6" t="s">
        <v>266</v>
      </c>
      <c r="G93" s="7">
        <v>3899</v>
      </c>
      <c r="H93" s="7">
        <v>4405.87</v>
      </c>
      <c r="I93" s="7">
        <f t="shared" si="5"/>
        <v>2417.38</v>
      </c>
      <c r="J93" s="7">
        <f t="shared" si="6"/>
        <v>2534.35</v>
      </c>
      <c r="K93" s="7">
        <f t="shared" si="7"/>
        <v>2612.33</v>
      </c>
      <c r="L93" s="7">
        <f t="shared" si="8"/>
        <v>2729.3</v>
      </c>
      <c r="M93" s="7">
        <f t="shared" si="9"/>
        <v>2807.28</v>
      </c>
    </row>
    <row r="94" spans="1:13">
      <c r="A94" s="6" t="s">
        <v>39</v>
      </c>
      <c r="B94" s="6" t="s">
        <v>267</v>
      </c>
      <c r="C94" s="6" t="s">
        <v>268</v>
      </c>
      <c r="E94" s="6" t="s">
        <v>269</v>
      </c>
      <c r="G94" s="7">
        <v>2199</v>
      </c>
      <c r="H94" s="7">
        <v>2484.87</v>
      </c>
      <c r="I94" s="7">
        <f t="shared" si="5"/>
        <v>1363.38</v>
      </c>
      <c r="J94" s="7">
        <f t="shared" si="6"/>
        <v>1429.35</v>
      </c>
      <c r="K94" s="7">
        <f t="shared" si="7"/>
        <v>1473.33</v>
      </c>
      <c r="L94" s="7">
        <f t="shared" si="8"/>
        <v>1539.3</v>
      </c>
      <c r="M94" s="7">
        <f t="shared" si="9"/>
        <v>1583.28</v>
      </c>
    </row>
    <row r="95" spans="1:13">
      <c r="A95" s="6" t="s">
        <v>25</v>
      </c>
      <c r="B95" s="6" t="s">
        <v>270</v>
      </c>
      <c r="C95" s="6" t="s">
        <v>271</v>
      </c>
      <c r="E95" s="6" t="s">
        <v>271</v>
      </c>
      <c r="G95" s="7">
        <v>59</v>
      </c>
      <c r="H95" s="7">
        <v>66.67</v>
      </c>
      <c r="I95" s="7">
        <f t="shared" si="5"/>
        <v>36.58</v>
      </c>
      <c r="J95" s="7">
        <f t="shared" si="6"/>
        <v>38.35</v>
      </c>
      <c r="K95" s="7">
        <f t="shared" si="7"/>
        <v>39.53</v>
      </c>
      <c r="L95" s="7">
        <f t="shared" si="8"/>
        <v>41.3</v>
      </c>
      <c r="M95" s="7">
        <f t="shared" si="9"/>
        <v>42.48</v>
      </c>
    </row>
    <row r="96" ht="25.5" spans="1:13">
      <c r="A96" s="6" t="s">
        <v>18</v>
      </c>
      <c r="B96" s="6" t="s">
        <v>272</v>
      </c>
      <c r="C96" s="6" t="s">
        <v>273</v>
      </c>
      <c r="E96" s="6" t="s">
        <v>273</v>
      </c>
      <c r="G96" s="7">
        <v>1899</v>
      </c>
      <c r="H96" s="7">
        <v>2145.87</v>
      </c>
      <c r="I96" s="7">
        <f t="shared" si="5"/>
        <v>1177.38</v>
      </c>
      <c r="J96" s="7">
        <f t="shared" si="6"/>
        <v>1234.35</v>
      </c>
      <c r="K96" s="7">
        <f t="shared" si="7"/>
        <v>1272.33</v>
      </c>
      <c r="L96" s="7">
        <f t="shared" si="8"/>
        <v>1329.3</v>
      </c>
      <c r="M96" s="7">
        <f t="shared" si="9"/>
        <v>1367.28</v>
      </c>
    </row>
    <row r="97" ht="25.5" spans="1:13">
      <c r="A97" s="6" t="s">
        <v>18</v>
      </c>
      <c r="B97" s="6" t="s">
        <v>274</v>
      </c>
      <c r="C97" s="6" t="s">
        <v>275</v>
      </c>
      <c r="E97" s="6" t="s">
        <v>275</v>
      </c>
      <c r="G97" s="7">
        <v>3649</v>
      </c>
      <c r="H97" s="7">
        <v>4123.37</v>
      </c>
      <c r="I97" s="7">
        <f t="shared" si="5"/>
        <v>2262.38</v>
      </c>
      <c r="J97" s="7">
        <f t="shared" si="6"/>
        <v>2371.85</v>
      </c>
      <c r="K97" s="7">
        <f t="shared" si="7"/>
        <v>2444.83</v>
      </c>
      <c r="L97" s="7">
        <f t="shared" si="8"/>
        <v>2554.3</v>
      </c>
      <c r="M97" s="7">
        <f t="shared" si="9"/>
        <v>2627.28</v>
      </c>
    </row>
    <row r="98" ht="25.5" spans="1:13">
      <c r="A98" s="6" t="s">
        <v>18</v>
      </c>
      <c r="B98" s="6" t="s">
        <v>276</v>
      </c>
      <c r="C98" s="6" t="s">
        <v>277</v>
      </c>
      <c r="E98" s="6" t="s">
        <v>277</v>
      </c>
      <c r="G98" s="7">
        <v>2249</v>
      </c>
      <c r="H98" s="7">
        <v>2541.37</v>
      </c>
      <c r="I98" s="7">
        <f t="shared" si="5"/>
        <v>1394.38</v>
      </c>
      <c r="J98" s="7">
        <f t="shared" si="6"/>
        <v>1461.85</v>
      </c>
      <c r="K98" s="7">
        <f t="shared" si="7"/>
        <v>1506.83</v>
      </c>
      <c r="L98" s="7">
        <f t="shared" si="8"/>
        <v>1574.3</v>
      </c>
      <c r="M98" s="7">
        <f t="shared" si="9"/>
        <v>1619.28</v>
      </c>
    </row>
    <row r="99" spans="1:13">
      <c r="A99" s="6" t="s">
        <v>18</v>
      </c>
      <c r="B99" s="6" t="s">
        <v>278</v>
      </c>
      <c r="C99" s="6" t="s">
        <v>279</v>
      </c>
      <c r="E99" s="6" t="s">
        <v>280</v>
      </c>
      <c r="G99" s="7">
        <v>2799</v>
      </c>
      <c r="H99" s="7">
        <v>3162.87</v>
      </c>
      <c r="I99" s="7">
        <f t="shared" si="5"/>
        <v>1735.38</v>
      </c>
      <c r="J99" s="7">
        <f t="shared" si="6"/>
        <v>1819.35</v>
      </c>
      <c r="K99" s="7">
        <f t="shared" si="7"/>
        <v>1875.33</v>
      </c>
      <c r="L99" s="7">
        <f t="shared" si="8"/>
        <v>1959.3</v>
      </c>
      <c r="M99" s="7">
        <f t="shared" si="9"/>
        <v>2015.28</v>
      </c>
    </row>
    <row r="100" spans="1:13">
      <c r="A100" s="6" t="s">
        <v>18</v>
      </c>
      <c r="B100" s="6" t="s">
        <v>281</v>
      </c>
      <c r="C100" s="6" t="s">
        <v>282</v>
      </c>
      <c r="E100" s="6" t="s">
        <v>283</v>
      </c>
      <c r="G100" s="7">
        <v>1999</v>
      </c>
      <c r="H100" s="7">
        <v>2258.87</v>
      </c>
      <c r="I100" s="7">
        <f t="shared" si="5"/>
        <v>1239.38</v>
      </c>
      <c r="J100" s="7">
        <f t="shared" si="6"/>
        <v>1299.35</v>
      </c>
      <c r="K100" s="7">
        <f t="shared" si="7"/>
        <v>1339.33</v>
      </c>
      <c r="L100" s="7">
        <f t="shared" si="8"/>
        <v>1399.3</v>
      </c>
      <c r="M100" s="7">
        <f t="shared" si="9"/>
        <v>1439.28</v>
      </c>
    </row>
    <row r="101" spans="1:13">
      <c r="A101" s="6" t="s">
        <v>18</v>
      </c>
      <c r="B101" s="6" t="s">
        <v>284</v>
      </c>
      <c r="C101" s="6" t="s">
        <v>285</v>
      </c>
      <c r="E101" s="6" t="s">
        <v>285</v>
      </c>
      <c r="G101" s="7">
        <v>599</v>
      </c>
      <c r="H101" s="7">
        <v>676.87</v>
      </c>
      <c r="I101" s="7">
        <f t="shared" si="5"/>
        <v>371.38</v>
      </c>
      <c r="J101" s="7">
        <f t="shared" si="6"/>
        <v>389.35</v>
      </c>
      <c r="K101" s="7">
        <f t="shared" si="7"/>
        <v>401.33</v>
      </c>
      <c r="L101" s="7">
        <f t="shared" si="8"/>
        <v>419.3</v>
      </c>
      <c r="M101" s="7">
        <f t="shared" si="9"/>
        <v>431.28</v>
      </c>
    </row>
    <row r="102" spans="1:13">
      <c r="A102" s="6" t="s">
        <v>18</v>
      </c>
      <c r="B102" s="6" t="s">
        <v>286</v>
      </c>
      <c r="C102" s="6" t="s">
        <v>287</v>
      </c>
      <c r="E102" s="6" t="s">
        <v>287</v>
      </c>
      <c r="G102" s="7">
        <v>649</v>
      </c>
      <c r="H102" s="7">
        <v>733.37</v>
      </c>
      <c r="I102" s="7">
        <f t="shared" si="5"/>
        <v>402.38</v>
      </c>
      <c r="J102" s="7">
        <f t="shared" si="6"/>
        <v>421.85</v>
      </c>
      <c r="K102" s="7">
        <f t="shared" si="7"/>
        <v>434.83</v>
      </c>
      <c r="L102" s="7">
        <f t="shared" si="8"/>
        <v>454.3</v>
      </c>
      <c r="M102" s="7">
        <f t="shared" si="9"/>
        <v>467.28</v>
      </c>
    </row>
    <row r="103" spans="1:13">
      <c r="A103" s="6" t="s">
        <v>18</v>
      </c>
      <c r="B103" s="6" t="s">
        <v>288</v>
      </c>
      <c r="C103" s="6" t="s">
        <v>289</v>
      </c>
      <c r="E103" s="6" t="s">
        <v>289</v>
      </c>
      <c r="G103" s="7">
        <v>494</v>
      </c>
      <c r="H103" s="7">
        <v>558.22</v>
      </c>
      <c r="I103" s="7">
        <f t="shared" si="5"/>
        <v>306.28</v>
      </c>
      <c r="J103" s="7">
        <f t="shared" si="6"/>
        <v>321.1</v>
      </c>
      <c r="K103" s="7">
        <f t="shared" si="7"/>
        <v>330.98</v>
      </c>
      <c r="L103" s="7">
        <f t="shared" si="8"/>
        <v>345.8</v>
      </c>
      <c r="M103" s="7">
        <f t="shared" si="9"/>
        <v>355.68</v>
      </c>
    </row>
    <row r="104" spans="1:13">
      <c r="A104" s="6" t="s">
        <v>18</v>
      </c>
      <c r="B104" s="6" t="s">
        <v>290</v>
      </c>
      <c r="C104" s="6" t="s">
        <v>291</v>
      </c>
      <c r="E104" s="6" t="s">
        <v>291</v>
      </c>
      <c r="G104" s="7">
        <v>6849</v>
      </c>
      <c r="H104" s="7">
        <v>7739.37</v>
      </c>
      <c r="I104" s="7">
        <f t="shared" si="5"/>
        <v>4246.38</v>
      </c>
      <c r="J104" s="7">
        <f t="shared" si="6"/>
        <v>4451.85</v>
      </c>
      <c r="K104" s="7">
        <f t="shared" si="7"/>
        <v>4588.83</v>
      </c>
      <c r="L104" s="7">
        <f t="shared" si="8"/>
        <v>4794.3</v>
      </c>
      <c r="M104" s="7">
        <f t="shared" si="9"/>
        <v>4931.28</v>
      </c>
    </row>
    <row r="105" spans="1:13">
      <c r="A105" s="6" t="s">
        <v>18</v>
      </c>
      <c r="B105" s="6" t="s">
        <v>292</v>
      </c>
      <c r="C105" s="6" t="s">
        <v>293</v>
      </c>
      <c r="E105" s="6" t="s">
        <v>293</v>
      </c>
      <c r="G105" s="7">
        <v>2749</v>
      </c>
      <c r="H105" s="7">
        <v>3106.37</v>
      </c>
      <c r="I105" s="7">
        <f t="shared" si="5"/>
        <v>1704.38</v>
      </c>
      <c r="J105" s="7">
        <f t="shared" si="6"/>
        <v>1786.85</v>
      </c>
      <c r="K105" s="7">
        <f t="shared" si="7"/>
        <v>1841.83</v>
      </c>
      <c r="L105" s="7">
        <f t="shared" si="8"/>
        <v>1924.3</v>
      </c>
      <c r="M105" s="7">
        <f t="shared" si="9"/>
        <v>1979.28</v>
      </c>
    </row>
    <row r="106" spans="1:13">
      <c r="A106" s="6" t="s">
        <v>18</v>
      </c>
      <c r="B106" s="6" t="s">
        <v>294</v>
      </c>
      <c r="C106" s="6" t="s">
        <v>295</v>
      </c>
      <c r="E106" s="6" t="s">
        <v>296</v>
      </c>
      <c r="G106" s="7">
        <v>3599</v>
      </c>
      <c r="H106" s="7">
        <v>4066.87</v>
      </c>
      <c r="I106" s="7">
        <f t="shared" si="5"/>
        <v>2231.38</v>
      </c>
      <c r="J106" s="7">
        <f t="shared" si="6"/>
        <v>2339.35</v>
      </c>
      <c r="K106" s="7">
        <f t="shared" si="7"/>
        <v>2411.33</v>
      </c>
      <c r="L106" s="7">
        <f t="shared" si="8"/>
        <v>2519.3</v>
      </c>
      <c r="M106" s="7">
        <f t="shared" si="9"/>
        <v>2591.28</v>
      </c>
    </row>
    <row r="107" spans="1:13">
      <c r="A107" s="6" t="s">
        <v>22</v>
      </c>
      <c r="B107" s="6" t="s">
        <v>297</v>
      </c>
      <c r="C107" s="6" t="s">
        <v>298</v>
      </c>
      <c r="E107" s="6" t="s">
        <v>298</v>
      </c>
      <c r="G107" s="7">
        <v>25449</v>
      </c>
      <c r="H107" s="7">
        <v>28757.37</v>
      </c>
      <c r="I107" s="7">
        <f t="shared" si="5"/>
        <v>15778.38</v>
      </c>
      <c r="J107" s="7">
        <f t="shared" si="6"/>
        <v>16541.85</v>
      </c>
      <c r="K107" s="7">
        <f t="shared" si="7"/>
        <v>17050.83</v>
      </c>
      <c r="L107" s="7">
        <f t="shared" si="8"/>
        <v>17814.3</v>
      </c>
      <c r="M107" s="7">
        <f t="shared" si="9"/>
        <v>18323.28</v>
      </c>
    </row>
    <row r="108" ht="25.5" spans="1:13">
      <c r="A108" s="6" t="s">
        <v>22</v>
      </c>
      <c r="B108" s="6" t="s">
        <v>299</v>
      </c>
      <c r="C108" s="6" t="s">
        <v>300</v>
      </c>
      <c r="E108" s="6" t="s">
        <v>300</v>
      </c>
      <c r="G108" s="7">
        <v>26299</v>
      </c>
      <c r="H108" s="7">
        <v>29717.87</v>
      </c>
      <c r="I108" s="7">
        <f t="shared" si="5"/>
        <v>16305.38</v>
      </c>
      <c r="J108" s="7">
        <f t="shared" si="6"/>
        <v>17094.35</v>
      </c>
      <c r="K108" s="7">
        <f t="shared" si="7"/>
        <v>17620.33</v>
      </c>
      <c r="L108" s="7">
        <f t="shared" si="8"/>
        <v>18409.3</v>
      </c>
      <c r="M108" s="7">
        <f t="shared" si="9"/>
        <v>18935.28</v>
      </c>
    </row>
    <row r="109" spans="1:13">
      <c r="A109" s="6" t="s">
        <v>18</v>
      </c>
      <c r="B109" s="6" t="s">
        <v>301</v>
      </c>
      <c r="C109" s="6" t="s">
        <v>302</v>
      </c>
      <c r="E109" s="6" t="s">
        <v>302</v>
      </c>
      <c r="G109" s="7">
        <v>3599</v>
      </c>
      <c r="H109" s="7">
        <v>4066.87</v>
      </c>
      <c r="I109" s="7">
        <f t="shared" si="5"/>
        <v>2231.38</v>
      </c>
      <c r="J109" s="7">
        <f t="shared" si="6"/>
        <v>2339.35</v>
      </c>
      <c r="K109" s="7">
        <f t="shared" si="7"/>
        <v>2411.33</v>
      </c>
      <c r="L109" s="7">
        <f t="shared" si="8"/>
        <v>2519.3</v>
      </c>
      <c r="M109" s="7">
        <f t="shared" si="9"/>
        <v>2591.28</v>
      </c>
    </row>
    <row r="110" spans="1:13">
      <c r="A110" s="6" t="s">
        <v>18</v>
      </c>
      <c r="B110" s="6" t="s">
        <v>303</v>
      </c>
      <c r="C110" s="6" t="s">
        <v>304</v>
      </c>
      <c r="E110" s="6" t="s">
        <v>304</v>
      </c>
      <c r="G110" s="7">
        <v>819</v>
      </c>
      <c r="H110" s="7">
        <v>925.47</v>
      </c>
      <c r="I110" s="7">
        <f t="shared" si="5"/>
        <v>507.78</v>
      </c>
      <c r="J110" s="7">
        <f t="shared" si="6"/>
        <v>532.35</v>
      </c>
      <c r="K110" s="7">
        <f t="shared" si="7"/>
        <v>548.73</v>
      </c>
      <c r="L110" s="7">
        <f t="shared" si="8"/>
        <v>573.3</v>
      </c>
      <c r="M110" s="7">
        <f t="shared" si="9"/>
        <v>589.68</v>
      </c>
    </row>
    <row r="111" ht="25.5" spans="1:13">
      <c r="A111" s="6" t="s">
        <v>45</v>
      </c>
      <c r="B111" s="6" t="s">
        <v>305</v>
      </c>
      <c r="C111" s="6" t="s">
        <v>306</v>
      </c>
      <c r="E111" s="6" t="s">
        <v>307</v>
      </c>
      <c r="G111" s="7">
        <v>279</v>
      </c>
      <c r="H111" s="7">
        <v>315.27</v>
      </c>
      <c r="I111" s="7">
        <f t="shared" si="5"/>
        <v>172.98</v>
      </c>
      <c r="J111" s="7">
        <f t="shared" si="6"/>
        <v>181.35</v>
      </c>
      <c r="K111" s="7">
        <f t="shared" si="7"/>
        <v>186.93</v>
      </c>
      <c r="L111" s="7">
        <f t="shared" si="8"/>
        <v>195.3</v>
      </c>
      <c r="M111" s="7">
        <f t="shared" si="9"/>
        <v>200.88</v>
      </c>
    </row>
    <row r="112" spans="1:13">
      <c r="A112" s="6" t="s">
        <v>22</v>
      </c>
      <c r="B112" s="6" t="s">
        <v>308</v>
      </c>
      <c r="C112" s="6" t="s">
        <v>309</v>
      </c>
      <c r="E112" s="6" t="s">
        <v>310</v>
      </c>
      <c r="G112" s="7">
        <v>999</v>
      </c>
      <c r="H112" s="7">
        <v>1128.87</v>
      </c>
      <c r="I112" s="7">
        <f t="shared" si="5"/>
        <v>619.38</v>
      </c>
      <c r="J112" s="7">
        <f t="shared" si="6"/>
        <v>649.35</v>
      </c>
      <c r="K112" s="7">
        <f t="shared" si="7"/>
        <v>669.33</v>
      </c>
      <c r="L112" s="7">
        <f t="shared" si="8"/>
        <v>699.3</v>
      </c>
      <c r="M112" s="7">
        <f t="shared" si="9"/>
        <v>719.28</v>
      </c>
    </row>
    <row r="113" ht="25.5" spans="1:13">
      <c r="A113" s="6" t="s">
        <v>22</v>
      </c>
      <c r="B113" s="6" t="s">
        <v>311</v>
      </c>
      <c r="C113" s="6" t="s">
        <v>312</v>
      </c>
      <c r="E113" s="6" t="s">
        <v>313</v>
      </c>
      <c r="G113" s="7">
        <v>319</v>
      </c>
      <c r="H113" s="7">
        <v>360.47</v>
      </c>
      <c r="I113" s="7">
        <f t="shared" si="5"/>
        <v>197.78</v>
      </c>
      <c r="J113" s="7">
        <f t="shared" si="6"/>
        <v>207.35</v>
      </c>
      <c r="K113" s="7">
        <f t="shared" si="7"/>
        <v>213.73</v>
      </c>
      <c r="L113" s="7">
        <f t="shared" si="8"/>
        <v>223.3</v>
      </c>
      <c r="M113" s="7">
        <f t="shared" si="9"/>
        <v>229.68</v>
      </c>
    </row>
    <row r="114" ht="25.5" spans="1:13">
      <c r="A114" s="6" t="s">
        <v>22</v>
      </c>
      <c r="B114" s="6" t="s">
        <v>314</v>
      </c>
      <c r="C114" s="6" t="s">
        <v>315</v>
      </c>
      <c r="E114" s="6" t="s">
        <v>316</v>
      </c>
      <c r="G114" s="7">
        <v>359</v>
      </c>
      <c r="H114" s="7">
        <v>405.67</v>
      </c>
      <c r="I114" s="7">
        <f t="shared" si="5"/>
        <v>222.58</v>
      </c>
      <c r="J114" s="7">
        <f t="shared" si="6"/>
        <v>233.35</v>
      </c>
      <c r="K114" s="7">
        <f t="shared" si="7"/>
        <v>240.53</v>
      </c>
      <c r="L114" s="7">
        <f t="shared" si="8"/>
        <v>251.3</v>
      </c>
      <c r="M114" s="7">
        <f t="shared" si="9"/>
        <v>258.48</v>
      </c>
    </row>
    <row r="115" spans="1:13">
      <c r="A115" s="6" t="s">
        <v>18</v>
      </c>
      <c r="B115" s="6" t="s">
        <v>317</v>
      </c>
      <c r="C115" s="6" t="s">
        <v>318</v>
      </c>
      <c r="E115" s="6" t="s">
        <v>318</v>
      </c>
      <c r="G115" s="7">
        <v>379</v>
      </c>
      <c r="H115" s="7">
        <v>428.27</v>
      </c>
      <c r="I115" s="7">
        <f t="shared" si="5"/>
        <v>234.98</v>
      </c>
      <c r="J115" s="7">
        <f t="shared" si="6"/>
        <v>246.35</v>
      </c>
      <c r="K115" s="7">
        <f t="shared" si="7"/>
        <v>253.93</v>
      </c>
      <c r="L115" s="7">
        <f t="shared" si="8"/>
        <v>265.3</v>
      </c>
      <c r="M115" s="7">
        <f t="shared" si="9"/>
        <v>272.88</v>
      </c>
    </row>
    <row r="116" spans="1:13">
      <c r="A116" s="6" t="s">
        <v>18</v>
      </c>
      <c r="B116" s="6" t="s">
        <v>319</v>
      </c>
      <c r="C116" s="6" t="s">
        <v>320</v>
      </c>
      <c r="E116" s="6" t="s">
        <v>321</v>
      </c>
      <c r="G116" s="7">
        <v>119</v>
      </c>
      <c r="H116" s="7">
        <v>134.47</v>
      </c>
      <c r="I116" s="7">
        <f t="shared" si="5"/>
        <v>73.78</v>
      </c>
      <c r="J116" s="7">
        <f t="shared" si="6"/>
        <v>77.35</v>
      </c>
      <c r="K116" s="7">
        <f t="shared" si="7"/>
        <v>79.73</v>
      </c>
      <c r="L116" s="7">
        <f t="shared" si="8"/>
        <v>83.3</v>
      </c>
      <c r="M116" s="7">
        <f t="shared" si="9"/>
        <v>85.68</v>
      </c>
    </row>
    <row r="117" spans="1:13">
      <c r="A117" s="6" t="s">
        <v>18</v>
      </c>
      <c r="B117" s="6" t="s">
        <v>322</v>
      </c>
      <c r="C117" s="6" t="s">
        <v>323</v>
      </c>
      <c r="E117" s="6" t="s">
        <v>324</v>
      </c>
      <c r="G117" s="7">
        <v>79</v>
      </c>
      <c r="H117" s="7">
        <v>89.27</v>
      </c>
      <c r="I117" s="7">
        <f t="shared" si="5"/>
        <v>48.98</v>
      </c>
      <c r="J117" s="7">
        <f t="shared" si="6"/>
        <v>51.35</v>
      </c>
      <c r="K117" s="7">
        <f t="shared" si="7"/>
        <v>52.93</v>
      </c>
      <c r="L117" s="7">
        <f t="shared" si="8"/>
        <v>55.3</v>
      </c>
      <c r="M117" s="7">
        <f t="shared" si="9"/>
        <v>56.88</v>
      </c>
    </row>
    <row r="118" spans="1:13">
      <c r="A118" s="6" t="s">
        <v>25</v>
      </c>
      <c r="B118" s="6" t="s">
        <v>325</v>
      </c>
      <c r="C118" s="6" t="s">
        <v>326</v>
      </c>
      <c r="E118" s="6" t="s">
        <v>326</v>
      </c>
      <c r="G118" s="7">
        <v>89.99</v>
      </c>
      <c r="H118" s="7">
        <v>101.6887</v>
      </c>
      <c r="I118" s="7">
        <f t="shared" si="5"/>
        <v>55.7938</v>
      </c>
      <c r="J118" s="7">
        <f t="shared" si="6"/>
        <v>58.4935</v>
      </c>
      <c r="K118" s="7">
        <f t="shared" si="7"/>
        <v>60.2933</v>
      </c>
      <c r="L118" s="7">
        <f t="shared" si="8"/>
        <v>62.993</v>
      </c>
      <c r="M118" s="7">
        <f t="shared" si="9"/>
        <v>64.7928</v>
      </c>
    </row>
    <row r="119" spans="1:13">
      <c r="A119" s="6" t="s">
        <v>18</v>
      </c>
      <c r="B119" s="6" t="s">
        <v>327</v>
      </c>
      <c r="C119" s="6" t="s">
        <v>328</v>
      </c>
      <c r="E119" s="6" t="s">
        <v>329</v>
      </c>
      <c r="G119" s="7">
        <v>6299</v>
      </c>
      <c r="H119" s="7">
        <v>7117.87</v>
      </c>
      <c r="I119" s="7">
        <f t="shared" si="5"/>
        <v>3905.38</v>
      </c>
      <c r="J119" s="7">
        <f t="shared" si="6"/>
        <v>4094.35</v>
      </c>
      <c r="K119" s="7">
        <f t="shared" si="7"/>
        <v>4220.33</v>
      </c>
      <c r="L119" s="7">
        <f t="shared" si="8"/>
        <v>4409.3</v>
      </c>
      <c r="M119" s="7">
        <f t="shared" si="9"/>
        <v>4535.28</v>
      </c>
    </row>
    <row r="120" spans="1:13">
      <c r="A120" s="6" t="s">
        <v>39</v>
      </c>
      <c r="B120" s="6" t="s">
        <v>330</v>
      </c>
      <c r="C120" s="6" t="s">
        <v>331</v>
      </c>
      <c r="E120" s="6" t="s">
        <v>332</v>
      </c>
      <c r="G120" s="7">
        <v>3899</v>
      </c>
      <c r="H120" s="7">
        <v>4405.87</v>
      </c>
      <c r="I120" s="7">
        <f t="shared" si="5"/>
        <v>2417.38</v>
      </c>
      <c r="J120" s="7">
        <f t="shared" si="6"/>
        <v>2534.35</v>
      </c>
      <c r="K120" s="7">
        <f t="shared" si="7"/>
        <v>2612.33</v>
      </c>
      <c r="L120" s="7">
        <f t="shared" si="8"/>
        <v>2729.3</v>
      </c>
      <c r="M120" s="7">
        <f t="shared" si="9"/>
        <v>2807.28</v>
      </c>
    </row>
    <row r="121" spans="1:13">
      <c r="A121" s="6" t="s">
        <v>25</v>
      </c>
      <c r="B121" s="6" t="s">
        <v>333</v>
      </c>
      <c r="C121" s="6" t="s">
        <v>334</v>
      </c>
      <c r="E121" s="6" t="s">
        <v>334</v>
      </c>
      <c r="G121" s="7">
        <v>59</v>
      </c>
      <c r="H121" s="7">
        <v>66.67</v>
      </c>
      <c r="I121" s="7">
        <f t="shared" si="5"/>
        <v>36.58</v>
      </c>
      <c r="J121" s="7">
        <f t="shared" si="6"/>
        <v>38.35</v>
      </c>
      <c r="K121" s="7">
        <f t="shared" si="7"/>
        <v>39.53</v>
      </c>
      <c r="L121" s="7">
        <f t="shared" si="8"/>
        <v>41.3</v>
      </c>
      <c r="M121" s="7">
        <f t="shared" si="9"/>
        <v>42.48</v>
      </c>
    </row>
    <row r="122" spans="1:13">
      <c r="A122" s="6" t="s">
        <v>18</v>
      </c>
      <c r="B122" s="6" t="s">
        <v>335</v>
      </c>
      <c r="C122" s="6" t="s">
        <v>336</v>
      </c>
      <c r="E122" s="6" t="s">
        <v>337</v>
      </c>
      <c r="G122" s="7">
        <v>379</v>
      </c>
      <c r="H122" s="7">
        <v>428.27</v>
      </c>
      <c r="I122" s="7">
        <f t="shared" si="5"/>
        <v>234.98</v>
      </c>
      <c r="J122" s="7">
        <f t="shared" si="6"/>
        <v>246.35</v>
      </c>
      <c r="K122" s="7">
        <f t="shared" si="7"/>
        <v>253.93</v>
      </c>
      <c r="L122" s="7">
        <f t="shared" si="8"/>
        <v>265.3</v>
      </c>
      <c r="M122" s="7">
        <f t="shared" si="9"/>
        <v>272.88</v>
      </c>
    </row>
    <row r="123" spans="1:13">
      <c r="A123" s="6" t="s">
        <v>18</v>
      </c>
      <c r="B123" s="6" t="s">
        <v>338</v>
      </c>
      <c r="C123" s="6" t="s">
        <v>339</v>
      </c>
      <c r="E123" s="6" t="s">
        <v>340</v>
      </c>
      <c r="G123" s="7">
        <v>279</v>
      </c>
      <c r="H123" s="7">
        <v>315.27</v>
      </c>
      <c r="I123" s="7">
        <f t="shared" si="5"/>
        <v>172.98</v>
      </c>
      <c r="J123" s="7">
        <f t="shared" si="6"/>
        <v>181.35</v>
      </c>
      <c r="K123" s="7">
        <f t="shared" si="7"/>
        <v>186.93</v>
      </c>
      <c r="L123" s="7">
        <f t="shared" si="8"/>
        <v>195.3</v>
      </c>
      <c r="M123" s="7">
        <f t="shared" si="9"/>
        <v>200.88</v>
      </c>
    </row>
    <row r="124" spans="1:13">
      <c r="A124" s="6" t="s">
        <v>18</v>
      </c>
      <c r="B124" s="6" t="s">
        <v>341</v>
      </c>
      <c r="C124" s="6" t="s">
        <v>342</v>
      </c>
      <c r="E124" s="6" t="s">
        <v>343</v>
      </c>
      <c r="G124" s="7">
        <v>79</v>
      </c>
      <c r="H124" s="7">
        <v>89.27</v>
      </c>
      <c r="I124" s="7">
        <f t="shared" si="5"/>
        <v>48.98</v>
      </c>
      <c r="J124" s="7">
        <f t="shared" si="6"/>
        <v>51.35</v>
      </c>
      <c r="K124" s="7">
        <f t="shared" si="7"/>
        <v>52.93</v>
      </c>
      <c r="L124" s="7">
        <f t="shared" si="8"/>
        <v>55.3</v>
      </c>
      <c r="M124" s="7">
        <f t="shared" si="9"/>
        <v>56.88</v>
      </c>
    </row>
    <row r="125" spans="1:13">
      <c r="A125" s="6" t="s">
        <v>18</v>
      </c>
      <c r="B125" s="6" t="s">
        <v>344</v>
      </c>
      <c r="C125" s="6" t="s">
        <v>345</v>
      </c>
      <c r="E125" s="6" t="s">
        <v>346</v>
      </c>
      <c r="G125" s="7">
        <v>39</v>
      </c>
      <c r="H125" s="7">
        <v>44.07</v>
      </c>
      <c r="I125" s="7">
        <f t="shared" si="5"/>
        <v>24.18</v>
      </c>
      <c r="J125" s="7">
        <f t="shared" si="6"/>
        <v>25.35</v>
      </c>
      <c r="K125" s="7">
        <f t="shared" si="7"/>
        <v>26.13</v>
      </c>
      <c r="L125" s="7">
        <f t="shared" si="8"/>
        <v>27.3</v>
      </c>
      <c r="M125" s="7">
        <f t="shared" si="9"/>
        <v>28.08</v>
      </c>
    </row>
    <row r="126" ht="25.5" spans="1:13">
      <c r="A126" s="6" t="s">
        <v>45</v>
      </c>
      <c r="B126" s="6" t="s">
        <v>347</v>
      </c>
      <c r="C126" s="6" t="s">
        <v>348</v>
      </c>
      <c r="E126" s="6" t="s">
        <v>349</v>
      </c>
      <c r="G126" s="7">
        <v>99</v>
      </c>
      <c r="H126" s="7">
        <v>111.87</v>
      </c>
      <c r="I126" s="7">
        <f t="shared" si="5"/>
        <v>61.38</v>
      </c>
      <c r="J126" s="7">
        <f t="shared" si="6"/>
        <v>64.35</v>
      </c>
      <c r="K126" s="7">
        <f t="shared" si="7"/>
        <v>66.33</v>
      </c>
      <c r="L126" s="7">
        <f t="shared" si="8"/>
        <v>69.3</v>
      </c>
      <c r="M126" s="7">
        <f t="shared" si="9"/>
        <v>71.28</v>
      </c>
    </row>
    <row r="127" ht="25.5" spans="1:13">
      <c r="A127" s="6" t="s">
        <v>18</v>
      </c>
      <c r="B127" s="6" t="s">
        <v>350</v>
      </c>
      <c r="C127" s="6" t="s">
        <v>351</v>
      </c>
      <c r="E127" s="6" t="s">
        <v>352</v>
      </c>
      <c r="G127" s="7">
        <v>749</v>
      </c>
      <c r="H127" s="7">
        <v>846.37</v>
      </c>
      <c r="I127" s="7">
        <f t="shared" si="5"/>
        <v>464.38</v>
      </c>
      <c r="J127" s="7">
        <f t="shared" si="6"/>
        <v>486.85</v>
      </c>
      <c r="K127" s="7">
        <f t="shared" si="7"/>
        <v>501.83</v>
      </c>
      <c r="L127" s="7">
        <f t="shared" si="8"/>
        <v>524.3</v>
      </c>
      <c r="M127" s="7">
        <f t="shared" si="9"/>
        <v>539.28</v>
      </c>
    </row>
    <row r="128" spans="1:13">
      <c r="A128" s="6" t="s">
        <v>18</v>
      </c>
      <c r="B128" s="6" t="s">
        <v>353</v>
      </c>
      <c r="C128" s="6" t="s">
        <v>354</v>
      </c>
      <c r="E128" s="6" t="s">
        <v>355</v>
      </c>
      <c r="G128" s="7">
        <v>549</v>
      </c>
      <c r="H128" s="7">
        <v>620.37</v>
      </c>
      <c r="I128" s="7">
        <f t="shared" si="5"/>
        <v>340.38</v>
      </c>
      <c r="J128" s="7">
        <f t="shared" si="6"/>
        <v>356.85</v>
      </c>
      <c r="K128" s="7">
        <f t="shared" si="7"/>
        <v>367.83</v>
      </c>
      <c r="L128" s="7">
        <f t="shared" si="8"/>
        <v>384.3</v>
      </c>
      <c r="M128" s="7">
        <f t="shared" si="9"/>
        <v>395.28</v>
      </c>
    </row>
    <row r="129" spans="1:13">
      <c r="A129" s="6" t="s">
        <v>18</v>
      </c>
      <c r="B129" s="6" t="s">
        <v>356</v>
      </c>
      <c r="C129" s="6" t="s">
        <v>357</v>
      </c>
      <c r="E129" s="6" t="s">
        <v>358</v>
      </c>
      <c r="G129" s="7">
        <v>459</v>
      </c>
      <c r="H129" s="7">
        <v>518.67</v>
      </c>
      <c r="I129" s="7">
        <f t="shared" si="5"/>
        <v>284.58</v>
      </c>
      <c r="J129" s="7">
        <f t="shared" si="6"/>
        <v>298.35</v>
      </c>
      <c r="K129" s="7">
        <f t="shared" si="7"/>
        <v>307.53</v>
      </c>
      <c r="L129" s="7">
        <f t="shared" si="8"/>
        <v>321.3</v>
      </c>
      <c r="M129" s="7">
        <f t="shared" si="9"/>
        <v>330.48</v>
      </c>
    </row>
    <row r="130" spans="1:13">
      <c r="A130" s="6" t="s">
        <v>18</v>
      </c>
      <c r="B130" s="6" t="s">
        <v>359</v>
      </c>
      <c r="C130" s="6" t="s">
        <v>360</v>
      </c>
      <c r="E130" s="6" t="s">
        <v>360</v>
      </c>
      <c r="G130" s="7">
        <v>1355</v>
      </c>
      <c r="H130" s="7">
        <v>1531.15</v>
      </c>
      <c r="I130" s="7">
        <f t="shared" ref="I130:I193" si="10">G130*0.62</f>
        <v>840.1</v>
      </c>
      <c r="J130" s="7">
        <f t="shared" ref="J130:J193" si="11">G130*0.65</f>
        <v>880.75</v>
      </c>
      <c r="K130" s="7">
        <f t="shared" ref="K130:K193" si="12">G130*0.67</f>
        <v>907.85</v>
      </c>
      <c r="L130" s="7">
        <f t="shared" ref="L130:L193" si="13">G130*0.7</f>
        <v>948.5</v>
      </c>
      <c r="M130" s="7">
        <f t="shared" ref="M130:M193" si="14">G130*0.72</f>
        <v>975.6</v>
      </c>
    </row>
    <row r="131" ht="25.5" spans="1:13">
      <c r="A131" s="6" t="s">
        <v>22</v>
      </c>
      <c r="B131" s="6" t="s">
        <v>361</v>
      </c>
      <c r="C131" s="6" t="s">
        <v>362</v>
      </c>
      <c r="E131" s="6" t="s">
        <v>363</v>
      </c>
      <c r="G131" s="7">
        <v>672</v>
      </c>
      <c r="H131" s="7">
        <v>759.36</v>
      </c>
      <c r="I131" s="7">
        <f t="shared" si="10"/>
        <v>416.64</v>
      </c>
      <c r="J131" s="7">
        <f t="shared" si="11"/>
        <v>436.8</v>
      </c>
      <c r="K131" s="7">
        <f t="shared" si="12"/>
        <v>450.24</v>
      </c>
      <c r="L131" s="7">
        <f t="shared" si="13"/>
        <v>470.4</v>
      </c>
      <c r="M131" s="7">
        <f t="shared" si="14"/>
        <v>483.84</v>
      </c>
    </row>
    <row r="132" ht="25.5" spans="1:13">
      <c r="A132" s="6" t="s">
        <v>22</v>
      </c>
      <c r="B132" s="6" t="s">
        <v>364</v>
      </c>
      <c r="C132" s="6" t="s">
        <v>365</v>
      </c>
      <c r="E132" s="6" t="s">
        <v>366</v>
      </c>
      <c r="G132" s="7">
        <v>599</v>
      </c>
      <c r="H132" s="7">
        <v>676.87</v>
      </c>
      <c r="I132" s="7">
        <f t="shared" si="10"/>
        <v>371.38</v>
      </c>
      <c r="J132" s="7">
        <f t="shared" si="11"/>
        <v>389.35</v>
      </c>
      <c r="K132" s="7">
        <f t="shared" si="12"/>
        <v>401.33</v>
      </c>
      <c r="L132" s="7">
        <f t="shared" si="13"/>
        <v>419.3</v>
      </c>
      <c r="M132" s="7">
        <f t="shared" si="14"/>
        <v>431.28</v>
      </c>
    </row>
    <row r="133" ht="25.5" spans="1:13">
      <c r="A133" s="6" t="s">
        <v>22</v>
      </c>
      <c r="B133" s="6" t="s">
        <v>367</v>
      </c>
      <c r="C133" s="6" t="s">
        <v>368</v>
      </c>
      <c r="E133" s="6" t="s">
        <v>369</v>
      </c>
      <c r="G133" s="7">
        <v>749</v>
      </c>
      <c r="H133" s="7">
        <v>846.37</v>
      </c>
      <c r="I133" s="7">
        <f t="shared" si="10"/>
        <v>464.38</v>
      </c>
      <c r="J133" s="7">
        <f t="shared" si="11"/>
        <v>486.85</v>
      </c>
      <c r="K133" s="7">
        <f t="shared" si="12"/>
        <v>501.83</v>
      </c>
      <c r="L133" s="7">
        <f t="shared" si="13"/>
        <v>524.3</v>
      </c>
      <c r="M133" s="7">
        <f t="shared" si="14"/>
        <v>539.28</v>
      </c>
    </row>
    <row r="134" spans="1:13">
      <c r="A134" s="6" t="s">
        <v>370</v>
      </c>
      <c r="B134" s="6" t="s">
        <v>371</v>
      </c>
      <c r="C134" s="6" t="s">
        <v>372</v>
      </c>
      <c r="E134" s="6" t="s">
        <v>372</v>
      </c>
      <c r="G134" s="7">
        <v>59</v>
      </c>
      <c r="H134" s="7">
        <v>66.67</v>
      </c>
      <c r="I134" s="7">
        <f t="shared" si="10"/>
        <v>36.58</v>
      </c>
      <c r="J134" s="7">
        <f t="shared" si="11"/>
        <v>38.35</v>
      </c>
      <c r="K134" s="7">
        <f t="shared" si="12"/>
        <v>39.53</v>
      </c>
      <c r="L134" s="7">
        <f t="shared" si="13"/>
        <v>41.3</v>
      </c>
      <c r="M134" s="7">
        <f t="shared" si="14"/>
        <v>42.48</v>
      </c>
    </row>
    <row r="135" ht="25.5" spans="1:13">
      <c r="A135" s="6" t="s">
        <v>22</v>
      </c>
      <c r="B135" s="6" t="s">
        <v>373</v>
      </c>
      <c r="C135" s="6" t="s">
        <v>374</v>
      </c>
      <c r="E135" s="6" t="s">
        <v>375</v>
      </c>
      <c r="G135" s="7">
        <v>3199</v>
      </c>
      <c r="H135" s="7">
        <v>3614.87</v>
      </c>
      <c r="I135" s="7">
        <f t="shared" si="10"/>
        <v>1983.38</v>
      </c>
      <c r="J135" s="7">
        <f t="shared" si="11"/>
        <v>2079.35</v>
      </c>
      <c r="K135" s="7">
        <f t="shared" si="12"/>
        <v>2143.33</v>
      </c>
      <c r="L135" s="7">
        <f t="shared" si="13"/>
        <v>2239.3</v>
      </c>
      <c r="M135" s="7">
        <f t="shared" si="14"/>
        <v>2303.28</v>
      </c>
    </row>
    <row r="136" ht="25.5" spans="1:13">
      <c r="A136" s="6" t="s">
        <v>376</v>
      </c>
      <c r="B136" s="6" t="s">
        <v>377</v>
      </c>
      <c r="C136" s="6" t="s">
        <v>378</v>
      </c>
      <c r="E136" s="6" t="s">
        <v>379</v>
      </c>
      <c r="G136" s="7">
        <v>59</v>
      </c>
      <c r="H136" s="7">
        <v>66.67</v>
      </c>
      <c r="I136" s="7">
        <f t="shared" si="10"/>
        <v>36.58</v>
      </c>
      <c r="J136" s="7">
        <f t="shared" si="11"/>
        <v>38.35</v>
      </c>
      <c r="K136" s="7">
        <f t="shared" si="12"/>
        <v>39.53</v>
      </c>
      <c r="L136" s="7">
        <f t="shared" si="13"/>
        <v>41.3</v>
      </c>
      <c r="M136" s="7">
        <f t="shared" si="14"/>
        <v>42.48</v>
      </c>
    </row>
    <row r="137" ht="25.5" spans="1:13">
      <c r="A137" s="6" t="s">
        <v>376</v>
      </c>
      <c r="B137" s="6" t="s">
        <v>380</v>
      </c>
      <c r="C137" s="6" t="s">
        <v>381</v>
      </c>
      <c r="E137" s="6" t="s">
        <v>382</v>
      </c>
      <c r="G137" s="7">
        <v>39</v>
      </c>
      <c r="H137" s="7">
        <v>44.07</v>
      </c>
      <c r="I137" s="7">
        <f t="shared" si="10"/>
        <v>24.18</v>
      </c>
      <c r="J137" s="7">
        <f t="shared" si="11"/>
        <v>25.35</v>
      </c>
      <c r="K137" s="7">
        <f t="shared" si="12"/>
        <v>26.13</v>
      </c>
      <c r="L137" s="7">
        <f t="shared" si="13"/>
        <v>27.3</v>
      </c>
      <c r="M137" s="7">
        <f t="shared" si="14"/>
        <v>28.08</v>
      </c>
    </row>
    <row r="138" ht="25.5" spans="1:13">
      <c r="A138" s="6" t="s">
        <v>376</v>
      </c>
      <c r="B138" s="6" t="s">
        <v>383</v>
      </c>
      <c r="C138" s="6" t="s">
        <v>384</v>
      </c>
      <c r="E138" s="6" t="s">
        <v>385</v>
      </c>
      <c r="G138" s="7">
        <v>79</v>
      </c>
      <c r="H138" s="7">
        <v>89.27</v>
      </c>
      <c r="I138" s="7">
        <f t="shared" si="10"/>
        <v>48.98</v>
      </c>
      <c r="J138" s="7">
        <f t="shared" si="11"/>
        <v>51.35</v>
      </c>
      <c r="K138" s="7">
        <f t="shared" si="12"/>
        <v>52.93</v>
      </c>
      <c r="L138" s="7">
        <f t="shared" si="13"/>
        <v>55.3</v>
      </c>
      <c r="M138" s="7">
        <f t="shared" si="14"/>
        <v>56.88</v>
      </c>
    </row>
    <row r="139" spans="1:13">
      <c r="A139" s="6" t="s">
        <v>376</v>
      </c>
      <c r="B139" s="6" t="s">
        <v>386</v>
      </c>
      <c r="C139" s="6" t="s">
        <v>387</v>
      </c>
      <c r="E139" s="6" t="s">
        <v>388</v>
      </c>
      <c r="G139" s="7">
        <v>79</v>
      </c>
      <c r="H139" s="7">
        <v>89.27</v>
      </c>
      <c r="I139" s="7">
        <f t="shared" si="10"/>
        <v>48.98</v>
      </c>
      <c r="J139" s="7">
        <f t="shared" si="11"/>
        <v>51.35</v>
      </c>
      <c r="K139" s="7">
        <f t="shared" si="12"/>
        <v>52.93</v>
      </c>
      <c r="L139" s="7">
        <f t="shared" si="13"/>
        <v>55.3</v>
      </c>
      <c r="M139" s="7">
        <f t="shared" si="14"/>
        <v>56.88</v>
      </c>
    </row>
    <row r="140" ht="25.5" spans="1:13">
      <c r="A140" s="6" t="s">
        <v>376</v>
      </c>
      <c r="B140" s="6" t="s">
        <v>389</v>
      </c>
      <c r="C140" s="6" t="s">
        <v>390</v>
      </c>
      <c r="E140" s="6" t="s">
        <v>391</v>
      </c>
      <c r="G140" s="7">
        <v>59</v>
      </c>
      <c r="H140" s="7">
        <v>66.67</v>
      </c>
      <c r="I140" s="7">
        <f t="shared" si="10"/>
        <v>36.58</v>
      </c>
      <c r="J140" s="7">
        <f t="shared" si="11"/>
        <v>38.35</v>
      </c>
      <c r="K140" s="7">
        <f t="shared" si="12"/>
        <v>39.53</v>
      </c>
      <c r="L140" s="7">
        <f t="shared" si="13"/>
        <v>41.3</v>
      </c>
      <c r="M140" s="7">
        <f t="shared" si="14"/>
        <v>42.48</v>
      </c>
    </row>
    <row r="141" ht="25.5" spans="1:13">
      <c r="A141" s="6" t="s">
        <v>228</v>
      </c>
      <c r="B141" s="6" t="s">
        <v>392</v>
      </c>
      <c r="C141" s="6" t="s">
        <v>393</v>
      </c>
      <c r="E141" s="6" t="s">
        <v>394</v>
      </c>
      <c r="G141" s="7">
        <v>441</v>
      </c>
      <c r="H141" s="7">
        <v>498.33</v>
      </c>
      <c r="I141" s="7">
        <f t="shared" si="10"/>
        <v>273.42</v>
      </c>
      <c r="J141" s="7">
        <f t="shared" si="11"/>
        <v>286.65</v>
      </c>
      <c r="K141" s="7">
        <f t="shared" si="12"/>
        <v>295.47</v>
      </c>
      <c r="L141" s="7">
        <f t="shared" si="13"/>
        <v>308.7</v>
      </c>
      <c r="M141" s="7">
        <f t="shared" si="14"/>
        <v>317.52</v>
      </c>
    </row>
    <row r="142" spans="1:13">
      <c r="A142" s="6" t="s">
        <v>18</v>
      </c>
      <c r="B142" s="6" t="s">
        <v>395</v>
      </c>
      <c r="C142" s="6" t="s">
        <v>396</v>
      </c>
      <c r="E142" s="6" t="s">
        <v>397</v>
      </c>
      <c r="G142" s="7">
        <v>649</v>
      </c>
      <c r="H142" s="7">
        <v>733.37</v>
      </c>
      <c r="I142" s="7">
        <f t="shared" si="10"/>
        <v>402.38</v>
      </c>
      <c r="J142" s="7">
        <f t="shared" si="11"/>
        <v>421.85</v>
      </c>
      <c r="K142" s="7">
        <f t="shared" si="12"/>
        <v>434.83</v>
      </c>
      <c r="L142" s="7">
        <f t="shared" si="13"/>
        <v>454.3</v>
      </c>
      <c r="M142" s="7">
        <f t="shared" si="14"/>
        <v>467.28</v>
      </c>
    </row>
    <row r="143" ht="38.25" spans="1:13">
      <c r="A143" s="6" t="s">
        <v>376</v>
      </c>
      <c r="B143" s="6" t="s">
        <v>398</v>
      </c>
      <c r="C143" s="6" t="s">
        <v>399</v>
      </c>
      <c r="E143" s="6" t="s">
        <v>400</v>
      </c>
      <c r="G143" s="7">
        <v>59</v>
      </c>
      <c r="H143" s="7">
        <v>66.67</v>
      </c>
      <c r="I143" s="7">
        <f t="shared" si="10"/>
        <v>36.58</v>
      </c>
      <c r="J143" s="7">
        <f t="shared" si="11"/>
        <v>38.35</v>
      </c>
      <c r="K143" s="7">
        <f t="shared" si="12"/>
        <v>39.53</v>
      </c>
      <c r="L143" s="7">
        <f t="shared" si="13"/>
        <v>41.3</v>
      </c>
      <c r="M143" s="7">
        <f t="shared" si="14"/>
        <v>42.48</v>
      </c>
    </row>
    <row r="144" ht="38.25" spans="1:13">
      <c r="A144" s="6" t="s">
        <v>376</v>
      </c>
      <c r="B144" s="6" t="s">
        <v>401</v>
      </c>
      <c r="C144" s="6" t="s">
        <v>402</v>
      </c>
      <c r="E144" s="6" t="s">
        <v>403</v>
      </c>
      <c r="G144" s="7">
        <v>59</v>
      </c>
      <c r="H144" s="7">
        <v>66.67</v>
      </c>
      <c r="I144" s="7">
        <f t="shared" si="10"/>
        <v>36.58</v>
      </c>
      <c r="J144" s="7">
        <f t="shared" si="11"/>
        <v>38.35</v>
      </c>
      <c r="K144" s="7">
        <f t="shared" si="12"/>
        <v>39.53</v>
      </c>
      <c r="L144" s="7">
        <f t="shared" si="13"/>
        <v>41.3</v>
      </c>
      <c r="M144" s="7">
        <f t="shared" si="14"/>
        <v>42.48</v>
      </c>
    </row>
    <row r="145" ht="25.5" spans="1:13">
      <c r="A145" s="6" t="s">
        <v>376</v>
      </c>
      <c r="B145" s="6" t="s">
        <v>404</v>
      </c>
      <c r="C145" s="6" t="s">
        <v>405</v>
      </c>
      <c r="E145" s="6" t="s">
        <v>406</v>
      </c>
      <c r="G145" s="7">
        <v>79</v>
      </c>
      <c r="H145" s="7">
        <v>89.27</v>
      </c>
      <c r="I145" s="7">
        <f t="shared" si="10"/>
        <v>48.98</v>
      </c>
      <c r="J145" s="7">
        <f t="shared" si="11"/>
        <v>51.35</v>
      </c>
      <c r="K145" s="7">
        <f t="shared" si="12"/>
        <v>52.93</v>
      </c>
      <c r="L145" s="7">
        <f t="shared" si="13"/>
        <v>55.3</v>
      </c>
      <c r="M145" s="7">
        <f t="shared" si="14"/>
        <v>56.88</v>
      </c>
    </row>
    <row r="146" spans="1:13">
      <c r="A146" s="6" t="s">
        <v>18</v>
      </c>
      <c r="B146" s="6" t="s">
        <v>407</v>
      </c>
      <c r="C146" s="6" t="s">
        <v>408</v>
      </c>
      <c r="E146" s="6" t="s">
        <v>408</v>
      </c>
      <c r="G146" s="7">
        <v>26</v>
      </c>
      <c r="H146" s="7">
        <v>29.38</v>
      </c>
      <c r="I146" s="7">
        <f t="shared" si="10"/>
        <v>16.12</v>
      </c>
      <c r="J146" s="7">
        <f t="shared" si="11"/>
        <v>16.9</v>
      </c>
      <c r="K146" s="7">
        <f t="shared" si="12"/>
        <v>17.42</v>
      </c>
      <c r="L146" s="7">
        <f t="shared" si="13"/>
        <v>18.2</v>
      </c>
      <c r="M146" s="7">
        <f t="shared" si="14"/>
        <v>18.72</v>
      </c>
    </row>
    <row r="147" spans="1:13">
      <c r="A147" s="6" t="s">
        <v>22</v>
      </c>
      <c r="B147" s="6" t="s">
        <v>409</v>
      </c>
      <c r="C147" s="6" t="s">
        <v>410</v>
      </c>
      <c r="E147" s="6" t="s">
        <v>411</v>
      </c>
      <c r="G147" s="7">
        <v>4599</v>
      </c>
      <c r="H147" s="7">
        <v>5196.87</v>
      </c>
      <c r="I147" s="7">
        <f t="shared" si="10"/>
        <v>2851.38</v>
      </c>
      <c r="J147" s="7">
        <f t="shared" si="11"/>
        <v>2989.35</v>
      </c>
      <c r="K147" s="7">
        <f t="shared" si="12"/>
        <v>3081.33</v>
      </c>
      <c r="L147" s="7">
        <f t="shared" si="13"/>
        <v>3219.3</v>
      </c>
      <c r="M147" s="7">
        <f t="shared" si="14"/>
        <v>3311.28</v>
      </c>
    </row>
    <row r="148" ht="25.5" spans="1:13">
      <c r="A148" s="6" t="s">
        <v>376</v>
      </c>
      <c r="B148" s="6" t="s">
        <v>412</v>
      </c>
      <c r="C148" s="6" t="s">
        <v>413</v>
      </c>
      <c r="E148" s="6" t="s">
        <v>414</v>
      </c>
      <c r="G148" s="7">
        <v>99</v>
      </c>
      <c r="H148" s="7">
        <v>111.87</v>
      </c>
      <c r="I148" s="7">
        <f t="shared" si="10"/>
        <v>61.38</v>
      </c>
      <c r="J148" s="7">
        <f t="shared" si="11"/>
        <v>64.35</v>
      </c>
      <c r="K148" s="7">
        <f t="shared" si="12"/>
        <v>66.33</v>
      </c>
      <c r="L148" s="7">
        <f t="shared" si="13"/>
        <v>69.3</v>
      </c>
      <c r="M148" s="7">
        <f t="shared" si="14"/>
        <v>71.28</v>
      </c>
    </row>
    <row r="149" ht="25.5" spans="1:13">
      <c r="A149" s="6" t="s">
        <v>376</v>
      </c>
      <c r="B149" s="6" t="s">
        <v>415</v>
      </c>
      <c r="C149" s="6" t="s">
        <v>416</v>
      </c>
      <c r="E149" s="6" t="s">
        <v>417</v>
      </c>
      <c r="G149" s="7">
        <v>119</v>
      </c>
      <c r="H149" s="7">
        <v>134.47</v>
      </c>
      <c r="I149" s="7">
        <f t="shared" si="10"/>
        <v>73.78</v>
      </c>
      <c r="J149" s="7">
        <f t="shared" si="11"/>
        <v>77.35</v>
      </c>
      <c r="K149" s="7">
        <f t="shared" si="12"/>
        <v>79.73</v>
      </c>
      <c r="L149" s="7">
        <f t="shared" si="13"/>
        <v>83.3</v>
      </c>
      <c r="M149" s="7">
        <f t="shared" si="14"/>
        <v>85.68</v>
      </c>
    </row>
    <row r="150" ht="25.5" spans="1:13">
      <c r="A150" s="6" t="s">
        <v>418</v>
      </c>
      <c r="B150" s="6" t="s">
        <v>419</v>
      </c>
      <c r="C150" s="6" t="s">
        <v>420</v>
      </c>
      <c r="E150" s="6" t="s">
        <v>420</v>
      </c>
      <c r="G150" s="7">
        <v>119</v>
      </c>
      <c r="H150" s="7">
        <v>134.47</v>
      </c>
      <c r="I150" s="7">
        <f t="shared" si="10"/>
        <v>73.78</v>
      </c>
      <c r="J150" s="7">
        <f t="shared" si="11"/>
        <v>77.35</v>
      </c>
      <c r="K150" s="7">
        <f t="shared" si="12"/>
        <v>79.73</v>
      </c>
      <c r="L150" s="7">
        <f t="shared" si="13"/>
        <v>83.3</v>
      </c>
      <c r="M150" s="7">
        <f t="shared" si="14"/>
        <v>85.68</v>
      </c>
    </row>
    <row r="151" ht="25.5" spans="1:13">
      <c r="A151" s="6" t="s">
        <v>376</v>
      </c>
      <c r="B151" s="6" t="s">
        <v>421</v>
      </c>
      <c r="C151" s="6" t="s">
        <v>422</v>
      </c>
      <c r="E151" s="6" t="s">
        <v>423</v>
      </c>
      <c r="G151" s="7">
        <v>179</v>
      </c>
      <c r="H151" s="7">
        <v>202.27</v>
      </c>
      <c r="I151" s="7">
        <f t="shared" si="10"/>
        <v>110.98</v>
      </c>
      <c r="J151" s="7">
        <f t="shared" si="11"/>
        <v>116.35</v>
      </c>
      <c r="K151" s="7">
        <f t="shared" si="12"/>
        <v>119.93</v>
      </c>
      <c r="L151" s="7">
        <f t="shared" si="13"/>
        <v>125.3</v>
      </c>
      <c r="M151" s="7">
        <f t="shared" si="14"/>
        <v>128.88</v>
      </c>
    </row>
    <row r="152" ht="25.5" spans="1:13">
      <c r="A152" s="6" t="s">
        <v>376</v>
      </c>
      <c r="B152" s="6" t="s">
        <v>424</v>
      </c>
      <c r="C152" s="6" t="s">
        <v>425</v>
      </c>
      <c r="E152" s="6" t="s">
        <v>426</v>
      </c>
      <c r="G152" s="7">
        <v>119</v>
      </c>
      <c r="H152" s="7">
        <v>134.47</v>
      </c>
      <c r="I152" s="7">
        <f t="shared" si="10"/>
        <v>73.78</v>
      </c>
      <c r="J152" s="7">
        <f t="shared" si="11"/>
        <v>77.35</v>
      </c>
      <c r="K152" s="7">
        <f t="shared" si="12"/>
        <v>79.73</v>
      </c>
      <c r="L152" s="7">
        <f t="shared" si="13"/>
        <v>83.3</v>
      </c>
      <c r="M152" s="7">
        <f t="shared" si="14"/>
        <v>85.68</v>
      </c>
    </row>
    <row r="153" ht="25.5" spans="1:13">
      <c r="A153" s="6" t="s">
        <v>376</v>
      </c>
      <c r="B153" s="6" t="s">
        <v>427</v>
      </c>
      <c r="C153" s="6" t="s">
        <v>428</v>
      </c>
      <c r="E153" s="6" t="s">
        <v>429</v>
      </c>
      <c r="G153" s="7">
        <v>59</v>
      </c>
      <c r="H153" s="7">
        <v>66.67</v>
      </c>
      <c r="I153" s="7">
        <f t="shared" si="10"/>
        <v>36.58</v>
      </c>
      <c r="J153" s="7">
        <f t="shared" si="11"/>
        <v>38.35</v>
      </c>
      <c r="K153" s="7">
        <f t="shared" si="12"/>
        <v>39.53</v>
      </c>
      <c r="L153" s="7">
        <f t="shared" si="13"/>
        <v>41.3</v>
      </c>
      <c r="M153" s="7">
        <f t="shared" si="14"/>
        <v>42.48</v>
      </c>
    </row>
    <row r="154" spans="1:13">
      <c r="A154" s="6" t="s">
        <v>18</v>
      </c>
      <c r="B154" s="6" t="s">
        <v>430</v>
      </c>
      <c r="C154" s="6" t="s">
        <v>431</v>
      </c>
      <c r="E154" s="6" t="s">
        <v>431</v>
      </c>
      <c r="G154" s="7">
        <v>1050</v>
      </c>
      <c r="H154" s="7">
        <v>1186.5</v>
      </c>
      <c r="I154" s="7">
        <f t="shared" si="10"/>
        <v>651</v>
      </c>
      <c r="J154" s="7">
        <f t="shared" si="11"/>
        <v>682.5</v>
      </c>
      <c r="K154" s="7">
        <f t="shared" si="12"/>
        <v>703.5</v>
      </c>
      <c r="L154" s="7">
        <f t="shared" si="13"/>
        <v>735</v>
      </c>
      <c r="M154" s="7">
        <f t="shared" si="14"/>
        <v>756</v>
      </c>
    </row>
    <row r="155" ht="51" spans="1:13">
      <c r="A155" s="6" t="s">
        <v>432</v>
      </c>
      <c r="B155" s="6" t="s">
        <v>433</v>
      </c>
      <c r="C155" s="6" t="s">
        <v>434</v>
      </c>
      <c r="E155" s="6" t="s">
        <v>435</v>
      </c>
      <c r="G155" s="7">
        <v>1299</v>
      </c>
      <c r="H155" s="7">
        <v>1467.87</v>
      </c>
      <c r="I155" s="7">
        <f t="shared" si="10"/>
        <v>805.38</v>
      </c>
      <c r="J155" s="7">
        <f t="shared" si="11"/>
        <v>844.35</v>
      </c>
      <c r="K155" s="7">
        <f t="shared" si="12"/>
        <v>870.33</v>
      </c>
      <c r="L155" s="7">
        <f t="shared" si="13"/>
        <v>909.3</v>
      </c>
      <c r="M155" s="7">
        <f t="shared" si="14"/>
        <v>935.28</v>
      </c>
    </row>
    <row r="156" ht="63.75" spans="1:13">
      <c r="A156" s="6" t="s">
        <v>432</v>
      </c>
      <c r="B156" s="6" t="s">
        <v>436</v>
      </c>
      <c r="C156" s="6" t="s">
        <v>437</v>
      </c>
      <c r="E156" s="6" t="s">
        <v>438</v>
      </c>
      <c r="G156" s="7">
        <v>2799</v>
      </c>
      <c r="H156" s="7">
        <v>3162.87</v>
      </c>
      <c r="I156" s="7">
        <f t="shared" si="10"/>
        <v>1735.38</v>
      </c>
      <c r="J156" s="7">
        <f t="shared" si="11"/>
        <v>1819.35</v>
      </c>
      <c r="K156" s="7">
        <f t="shared" si="12"/>
        <v>1875.33</v>
      </c>
      <c r="L156" s="7">
        <f t="shared" si="13"/>
        <v>1959.3</v>
      </c>
      <c r="M156" s="7">
        <f t="shared" si="14"/>
        <v>2015.28</v>
      </c>
    </row>
    <row r="157" ht="63.75" spans="1:13">
      <c r="A157" s="6" t="s">
        <v>432</v>
      </c>
      <c r="B157" s="6" t="s">
        <v>439</v>
      </c>
      <c r="C157" s="6" t="s">
        <v>440</v>
      </c>
      <c r="E157" s="6" t="s">
        <v>441</v>
      </c>
      <c r="G157" s="7">
        <v>6249</v>
      </c>
      <c r="H157" s="7">
        <v>7061.37</v>
      </c>
      <c r="I157" s="7">
        <f t="shared" si="10"/>
        <v>3874.38</v>
      </c>
      <c r="J157" s="7">
        <f t="shared" si="11"/>
        <v>4061.85</v>
      </c>
      <c r="K157" s="7">
        <f t="shared" si="12"/>
        <v>4186.83</v>
      </c>
      <c r="L157" s="7">
        <f t="shared" si="13"/>
        <v>4374.3</v>
      </c>
      <c r="M157" s="7">
        <f t="shared" si="14"/>
        <v>4499.28</v>
      </c>
    </row>
    <row r="158" ht="63.75" spans="1:13">
      <c r="A158" s="6" t="s">
        <v>432</v>
      </c>
      <c r="B158" s="6" t="s">
        <v>442</v>
      </c>
      <c r="C158" s="6" t="s">
        <v>443</v>
      </c>
      <c r="E158" s="6" t="s">
        <v>444</v>
      </c>
      <c r="G158" s="7">
        <v>3549</v>
      </c>
      <c r="H158" s="7">
        <v>4010.37</v>
      </c>
      <c r="I158" s="7">
        <f t="shared" si="10"/>
        <v>2200.38</v>
      </c>
      <c r="J158" s="7">
        <f t="shared" si="11"/>
        <v>2306.85</v>
      </c>
      <c r="K158" s="7">
        <f t="shared" si="12"/>
        <v>2377.83</v>
      </c>
      <c r="L158" s="7">
        <f t="shared" si="13"/>
        <v>2484.3</v>
      </c>
      <c r="M158" s="7">
        <f t="shared" si="14"/>
        <v>2555.28</v>
      </c>
    </row>
    <row r="159" ht="25.5" spans="1:13">
      <c r="A159" s="6" t="s">
        <v>18</v>
      </c>
      <c r="B159" s="6" t="s">
        <v>445</v>
      </c>
      <c r="C159" s="6" t="s">
        <v>446</v>
      </c>
      <c r="E159" s="6" t="s">
        <v>447</v>
      </c>
      <c r="G159" s="7">
        <v>59</v>
      </c>
      <c r="H159" s="7">
        <v>66.67</v>
      </c>
      <c r="I159" s="7">
        <f t="shared" si="10"/>
        <v>36.58</v>
      </c>
      <c r="J159" s="7">
        <f t="shared" si="11"/>
        <v>38.35</v>
      </c>
      <c r="K159" s="7">
        <f t="shared" si="12"/>
        <v>39.53</v>
      </c>
      <c r="L159" s="7">
        <f t="shared" si="13"/>
        <v>41.3</v>
      </c>
      <c r="M159" s="7">
        <f t="shared" si="14"/>
        <v>42.48</v>
      </c>
    </row>
    <row r="160" spans="1:13">
      <c r="A160" s="6" t="s">
        <v>18</v>
      </c>
      <c r="B160" s="6" t="s">
        <v>448</v>
      </c>
      <c r="C160" s="6" t="s">
        <v>449</v>
      </c>
      <c r="E160" s="6" t="s">
        <v>449</v>
      </c>
      <c r="G160" s="7">
        <v>59</v>
      </c>
      <c r="H160" s="7">
        <v>66.67</v>
      </c>
      <c r="I160" s="7">
        <f t="shared" si="10"/>
        <v>36.58</v>
      </c>
      <c r="J160" s="7">
        <f t="shared" si="11"/>
        <v>38.35</v>
      </c>
      <c r="K160" s="7">
        <f t="shared" si="12"/>
        <v>39.53</v>
      </c>
      <c r="L160" s="7">
        <f t="shared" si="13"/>
        <v>41.3</v>
      </c>
      <c r="M160" s="7">
        <f t="shared" si="14"/>
        <v>42.48</v>
      </c>
    </row>
    <row r="161" spans="1:13">
      <c r="A161" s="6" t="s">
        <v>18</v>
      </c>
      <c r="B161" s="6" t="s">
        <v>450</v>
      </c>
      <c r="C161" s="6" t="s">
        <v>451</v>
      </c>
      <c r="E161" s="6" t="s">
        <v>452</v>
      </c>
      <c r="G161" s="7">
        <v>39</v>
      </c>
      <c r="H161" s="7">
        <v>44.07</v>
      </c>
      <c r="I161" s="7">
        <f t="shared" si="10"/>
        <v>24.18</v>
      </c>
      <c r="J161" s="7">
        <f t="shared" si="11"/>
        <v>25.35</v>
      </c>
      <c r="K161" s="7">
        <f t="shared" si="12"/>
        <v>26.13</v>
      </c>
      <c r="L161" s="7">
        <f t="shared" si="13"/>
        <v>27.3</v>
      </c>
      <c r="M161" s="7">
        <f t="shared" si="14"/>
        <v>28.08</v>
      </c>
    </row>
    <row r="162" ht="38.25" spans="1:13">
      <c r="A162" s="6" t="s">
        <v>432</v>
      </c>
      <c r="B162" s="6" t="s">
        <v>453</v>
      </c>
      <c r="C162" s="6" t="s">
        <v>454</v>
      </c>
      <c r="E162" s="6" t="s">
        <v>455</v>
      </c>
      <c r="G162" s="7">
        <v>1722</v>
      </c>
      <c r="H162" s="7">
        <v>1945.86</v>
      </c>
      <c r="I162" s="7">
        <f t="shared" si="10"/>
        <v>1067.64</v>
      </c>
      <c r="J162" s="7">
        <f t="shared" si="11"/>
        <v>1119.3</v>
      </c>
      <c r="K162" s="7">
        <f t="shared" si="12"/>
        <v>1153.74</v>
      </c>
      <c r="L162" s="7">
        <f t="shared" si="13"/>
        <v>1205.4</v>
      </c>
      <c r="M162" s="7">
        <f t="shared" si="14"/>
        <v>1239.84</v>
      </c>
    </row>
    <row r="163" ht="38.25" spans="1:13">
      <c r="A163" s="6" t="s">
        <v>18</v>
      </c>
      <c r="B163" s="6" t="s">
        <v>456</v>
      </c>
      <c r="C163" s="6" t="s">
        <v>457</v>
      </c>
      <c r="E163" s="6" t="s">
        <v>458</v>
      </c>
      <c r="G163" s="7">
        <v>1709</v>
      </c>
      <c r="H163" s="7">
        <v>1931.17</v>
      </c>
      <c r="I163" s="7">
        <f t="shared" si="10"/>
        <v>1059.58</v>
      </c>
      <c r="J163" s="7">
        <f t="shared" si="11"/>
        <v>1110.85</v>
      </c>
      <c r="K163" s="7">
        <f t="shared" si="12"/>
        <v>1145.03</v>
      </c>
      <c r="L163" s="7">
        <f t="shared" si="13"/>
        <v>1196.3</v>
      </c>
      <c r="M163" s="7">
        <f t="shared" si="14"/>
        <v>1230.48</v>
      </c>
    </row>
    <row r="164" ht="38.25" spans="1:13">
      <c r="A164" s="6" t="s">
        <v>459</v>
      </c>
      <c r="B164" s="6" t="s">
        <v>460</v>
      </c>
      <c r="C164" s="6" t="s">
        <v>461</v>
      </c>
      <c r="E164" s="6" t="s">
        <v>462</v>
      </c>
      <c r="G164" s="7">
        <v>2751</v>
      </c>
      <c r="H164" s="7">
        <v>3108.63</v>
      </c>
      <c r="I164" s="7">
        <f t="shared" si="10"/>
        <v>1705.62</v>
      </c>
      <c r="J164" s="7">
        <f t="shared" si="11"/>
        <v>1788.15</v>
      </c>
      <c r="K164" s="7">
        <f t="shared" si="12"/>
        <v>1843.17</v>
      </c>
      <c r="L164" s="7">
        <f t="shared" si="13"/>
        <v>1925.7</v>
      </c>
      <c r="M164" s="7">
        <f t="shared" si="14"/>
        <v>1980.72</v>
      </c>
    </row>
    <row r="165" ht="38.25" spans="1:13">
      <c r="A165" s="6" t="s">
        <v>459</v>
      </c>
      <c r="B165" s="6" t="s">
        <v>463</v>
      </c>
      <c r="C165" s="6" t="s">
        <v>464</v>
      </c>
      <c r="E165" s="6" t="s">
        <v>465</v>
      </c>
      <c r="G165" s="7">
        <v>2751</v>
      </c>
      <c r="H165" s="7">
        <v>3108.63</v>
      </c>
      <c r="I165" s="7">
        <f t="shared" si="10"/>
        <v>1705.62</v>
      </c>
      <c r="J165" s="7">
        <f t="shared" si="11"/>
        <v>1788.15</v>
      </c>
      <c r="K165" s="7">
        <f t="shared" si="12"/>
        <v>1843.17</v>
      </c>
      <c r="L165" s="7">
        <f t="shared" si="13"/>
        <v>1925.7</v>
      </c>
      <c r="M165" s="7">
        <f t="shared" si="14"/>
        <v>1980.72</v>
      </c>
    </row>
    <row r="166" ht="38.25" spans="1:13">
      <c r="A166" s="6" t="s">
        <v>459</v>
      </c>
      <c r="B166" s="6" t="s">
        <v>466</v>
      </c>
      <c r="C166" s="6" t="s">
        <v>467</v>
      </c>
      <c r="E166" s="6" t="s">
        <v>468</v>
      </c>
      <c r="G166" s="7">
        <v>1964</v>
      </c>
      <c r="H166" s="7">
        <v>2219.32</v>
      </c>
      <c r="I166" s="7">
        <f t="shared" si="10"/>
        <v>1217.68</v>
      </c>
      <c r="J166" s="7">
        <f t="shared" si="11"/>
        <v>1276.6</v>
      </c>
      <c r="K166" s="7">
        <f t="shared" si="12"/>
        <v>1315.88</v>
      </c>
      <c r="L166" s="7">
        <f t="shared" si="13"/>
        <v>1374.8</v>
      </c>
      <c r="M166" s="7">
        <f t="shared" si="14"/>
        <v>1414.08</v>
      </c>
    </row>
    <row r="167" spans="1:13">
      <c r="A167" s="6" t="s">
        <v>18</v>
      </c>
      <c r="B167" s="6" t="s">
        <v>469</v>
      </c>
      <c r="C167" s="6" t="s">
        <v>470</v>
      </c>
      <c r="E167" s="6" t="s">
        <v>471</v>
      </c>
      <c r="G167" s="7">
        <v>1134</v>
      </c>
      <c r="H167" s="7">
        <v>1281.42</v>
      </c>
      <c r="I167" s="7">
        <f t="shared" si="10"/>
        <v>703.08</v>
      </c>
      <c r="J167" s="7">
        <f t="shared" si="11"/>
        <v>737.1</v>
      </c>
      <c r="K167" s="7">
        <f t="shared" si="12"/>
        <v>759.78</v>
      </c>
      <c r="L167" s="7">
        <f t="shared" si="13"/>
        <v>793.8</v>
      </c>
      <c r="M167" s="7">
        <f t="shared" si="14"/>
        <v>816.48</v>
      </c>
    </row>
    <row r="168" ht="25.5" spans="1:13">
      <c r="A168" s="6" t="s">
        <v>18</v>
      </c>
      <c r="B168" s="6" t="s">
        <v>472</v>
      </c>
      <c r="C168" s="6" t="s">
        <v>473</v>
      </c>
      <c r="E168" s="6" t="s">
        <v>474</v>
      </c>
      <c r="G168" s="7">
        <v>1869</v>
      </c>
      <c r="H168" s="7">
        <v>2111.97</v>
      </c>
      <c r="I168" s="7">
        <f t="shared" si="10"/>
        <v>1158.78</v>
      </c>
      <c r="J168" s="7">
        <f t="shared" si="11"/>
        <v>1214.85</v>
      </c>
      <c r="K168" s="7">
        <f t="shared" si="12"/>
        <v>1252.23</v>
      </c>
      <c r="L168" s="7">
        <f t="shared" si="13"/>
        <v>1308.3</v>
      </c>
      <c r="M168" s="7">
        <f t="shared" si="14"/>
        <v>1345.68</v>
      </c>
    </row>
    <row r="169" ht="38.25" spans="1:13">
      <c r="A169" s="6" t="s">
        <v>18</v>
      </c>
      <c r="B169" s="6" t="s">
        <v>475</v>
      </c>
      <c r="C169" s="6" t="s">
        <v>476</v>
      </c>
      <c r="E169" s="6" t="s">
        <v>477</v>
      </c>
      <c r="G169" s="7">
        <v>3203</v>
      </c>
      <c r="H169" s="7">
        <v>3619.39</v>
      </c>
      <c r="I169" s="7">
        <f t="shared" si="10"/>
        <v>1985.86</v>
      </c>
      <c r="J169" s="7">
        <f t="shared" si="11"/>
        <v>2081.95</v>
      </c>
      <c r="K169" s="7">
        <f t="shared" si="12"/>
        <v>2146.01</v>
      </c>
      <c r="L169" s="7">
        <f t="shared" si="13"/>
        <v>2242.1</v>
      </c>
      <c r="M169" s="7">
        <f t="shared" si="14"/>
        <v>2306.16</v>
      </c>
    </row>
    <row r="170" spans="1:13">
      <c r="A170" s="6" t="s">
        <v>18</v>
      </c>
      <c r="B170" s="6" t="s">
        <v>478</v>
      </c>
      <c r="C170" s="6" t="s">
        <v>479</v>
      </c>
      <c r="E170" s="6" t="s">
        <v>479</v>
      </c>
      <c r="G170" s="7">
        <v>59</v>
      </c>
      <c r="H170" s="7">
        <v>66.67</v>
      </c>
      <c r="I170" s="7">
        <f t="shared" si="10"/>
        <v>36.58</v>
      </c>
      <c r="J170" s="7">
        <f t="shared" si="11"/>
        <v>38.35</v>
      </c>
      <c r="K170" s="7">
        <f t="shared" si="12"/>
        <v>39.53</v>
      </c>
      <c r="L170" s="7">
        <f t="shared" si="13"/>
        <v>41.3</v>
      </c>
      <c r="M170" s="7">
        <f t="shared" si="14"/>
        <v>42.48</v>
      </c>
    </row>
    <row r="171" ht="76.5" spans="1:13">
      <c r="A171" s="6" t="s">
        <v>376</v>
      </c>
      <c r="B171" s="6" t="s">
        <v>480</v>
      </c>
      <c r="C171" s="6" t="s">
        <v>481</v>
      </c>
      <c r="E171" s="6" t="s">
        <v>482</v>
      </c>
      <c r="G171" s="7">
        <v>2299</v>
      </c>
      <c r="H171" s="7">
        <v>2597.87</v>
      </c>
      <c r="I171" s="7">
        <f t="shared" si="10"/>
        <v>1425.38</v>
      </c>
      <c r="J171" s="7">
        <f t="shared" si="11"/>
        <v>1494.35</v>
      </c>
      <c r="K171" s="7">
        <f t="shared" si="12"/>
        <v>1540.33</v>
      </c>
      <c r="L171" s="7">
        <f t="shared" si="13"/>
        <v>1609.3</v>
      </c>
      <c r="M171" s="7">
        <f t="shared" si="14"/>
        <v>1655.28</v>
      </c>
    </row>
    <row r="172" ht="63.75" spans="1:13">
      <c r="A172" s="6" t="s">
        <v>376</v>
      </c>
      <c r="B172" s="6" t="s">
        <v>483</v>
      </c>
      <c r="C172" s="6" t="s">
        <v>484</v>
      </c>
      <c r="E172" s="6" t="s">
        <v>485</v>
      </c>
      <c r="G172" s="7">
        <v>1399</v>
      </c>
      <c r="H172" s="7">
        <v>1580.87</v>
      </c>
      <c r="I172" s="7">
        <f t="shared" si="10"/>
        <v>867.38</v>
      </c>
      <c r="J172" s="7">
        <f t="shared" si="11"/>
        <v>909.35</v>
      </c>
      <c r="K172" s="7">
        <f t="shared" si="12"/>
        <v>937.33</v>
      </c>
      <c r="L172" s="7">
        <f t="shared" si="13"/>
        <v>979.3</v>
      </c>
      <c r="M172" s="7">
        <f t="shared" si="14"/>
        <v>1007.28</v>
      </c>
    </row>
    <row r="173" ht="25.5" spans="1:13">
      <c r="A173" s="6" t="s">
        <v>376</v>
      </c>
      <c r="B173" s="6" t="s">
        <v>486</v>
      </c>
      <c r="C173" s="6" t="s">
        <v>487</v>
      </c>
      <c r="E173" s="6" t="s">
        <v>487</v>
      </c>
      <c r="G173" s="7">
        <v>1399</v>
      </c>
      <c r="H173" s="7">
        <v>1580.87</v>
      </c>
      <c r="I173" s="7">
        <f t="shared" si="10"/>
        <v>867.38</v>
      </c>
      <c r="J173" s="7">
        <f t="shared" si="11"/>
        <v>909.35</v>
      </c>
      <c r="K173" s="7">
        <f t="shared" si="12"/>
        <v>937.33</v>
      </c>
      <c r="L173" s="7">
        <f t="shared" si="13"/>
        <v>979.3</v>
      </c>
      <c r="M173" s="7">
        <f t="shared" si="14"/>
        <v>1007.28</v>
      </c>
    </row>
    <row r="174" ht="25.5" spans="1:13">
      <c r="A174" s="6" t="s">
        <v>376</v>
      </c>
      <c r="B174" s="6" t="s">
        <v>488</v>
      </c>
      <c r="C174" s="6" t="s">
        <v>489</v>
      </c>
      <c r="E174" s="6" t="s">
        <v>489</v>
      </c>
      <c r="G174" s="7">
        <v>1399</v>
      </c>
      <c r="H174" s="7">
        <v>1580.87</v>
      </c>
      <c r="I174" s="7">
        <f t="shared" si="10"/>
        <v>867.38</v>
      </c>
      <c r="J174" s="7">
        <f t="shared" si="11"/>
        <v>909.35</v>
      </c>
      <c r="K174" s="7">
        <f t="shared" si="12"/>
        <v>937.33</v>
      </c>
      <c r="L174" s="7">
        <f t="shared" si="13"/>
        <v>979.3</v>
      </c>
      <c r="M174" s="7">
        <f t="shared" si="14"/>
        <v>1007.28</v>
      </c>
    </row>
    <row r="175" ht="25.5" spans="1:13">
      <c r="A175" s="6" t="s">
        <v>418</v>
      </c>
      <c r="B175" s="6" t="s">
        <v>490</v>
      </c>
      <c r="C175" s="6" t="s">
        <v>491</v>
      </c>
      <c r="E175" s="6" t="s">
        <v>491</v>
      </c>
      <c r="G175" s="7">
        <v>449</v>
      </c>
      <c r="H175" s="7">
        <v>507.37</v>
      </c>
      <c r="I175" s="7">
        <f t="shared" si="10"/>
        <v>278.38</v>
      </c>
      <c r="J175" s="7">
        <f t="shared" si="11"/>
        <v>291.85</v>
      </c>
      <c r="K175" s="7">
        <f t="shared" si="12"/>
        <v>300.83</v>
      </c>
      <c r="L175" s="7">
        <f t="shared" si="13"/>
        <v>314.3</v>
      </c>
      <c r="M175" s="7">
        <f t="shared" si="14"/>
        <v>323.28</v>
      </c>
    </row>
    <row r="176" ht="25.5" spans="1:13">
      <c r="A176" s="6" t="s">
        <v>418</v>
      </c>
      <c r="B176" s="6" t="s">
        <v>492</v>
      </c>
      <c r="C176" s="6" t="s">
        <v>493</v>
      </c>
      <c r="E176" s="6" t="s">
        <v>494</v>
      </c>
      <c r="G176" s="7">
        <v>449</v>
      </c>
      <c r="H176" s="7">
        <v>507.37</v>
      </c>
      <c r="I176" s="7">
        <f t="shared" si="10"/>
        <v>278.38</v>
      </c>
      <c r="J176" s="7">
        <f t="shared" si="11"/>
        <v>291.85</v>
      </c>
      <c r="K176" s="7">
        <f t="shared" si="12"/>
        <v>300.83</v>
      </c>
      <c r="L176" s="7">
        <f t="shared" si="13"/>
        <v>314.3</v>
      </c>
      <c r="M176" s="7">
        <f t="shared" si="14"/>
        <v>323.28</v>
      </c>
    </row>
    <row r="177" ht="51" spans="1:13">
      <c r="A177" s="6" t="s">
        <v>376</v>
      </c>
      <c r="B177" s="6" t="s">
        <v>495</v>
      </c>
      <c r="C177" s="6" t="s">
        <v>496</v>
      </c>
      <c r="E177" s="6" t="s">
        <v>497</v>
      </c>
      <c r="G177" s="7">
        <v>399</v>
      </c>
      <c r="H177" s="7">
        <v>450.87</v>
      </c>
      <c r="I177" s="7">
        <f t="shared" si="10"/>
        <v>247.38</v>
      </c>
      <c r="J177" s="7">
        <f t="shared" si="11"/>
        <v>259.35</v>
      </c>
      <c r="K177" s="7">
        <f t="shared" si="12"/>
        <v>267.33</v>
      </c>
      <c r="L177" s="7">
        <f t="shared" si="13"/>
        <v>279.3</v>
      </c>
      <c r="M177" s="7">
        <f t="shared" si="14"/>
        <v>287.28</v>
      </c>
    </row>
    <row r="178" ht="38.25" spans="1:13">
      <c r="A178" s="6" t="s">
        <v>376</v>
      </c>
      <c r="B178" s="6" t="s">
        <v>498</v>
      </c>
      <c r="C178" s="6" t="s">
        <v>499</v>
      </c>
      <c r="E178" s="6" t="s">
        <v>500</v>
      </c>
      <c r="G178" s="7">
        <v>479</v>
      </c>
      <c r="H178" s="7">
        <v>541.27</v>
      </c>
      <c r="I178" s="7">
        <f t="shared" si="10"/>
        <v>296.98</v>
      </c>
      <c r="J178" s="7">
        <f t="shared" si="11"/>
        <v>311.35</v>
      </c>
      <c r="K178" s="7">
        <f t="shared" si="12"/>
        <v>320.93</v>
      </c>
      <c r="L178" s="7">
        <f t="shared" si="13"/>
        <v>335.3</v>
      </c>
      <c r="M178" s="7">
        <f t="shared" si="14"/>
        <v>344.88</v>
      </c>
    </row>
    <row r="179" ht="38.25" spans="1:13">
      <c r="A179" s="6" t="s">
        <v>376</v>
      </c>
      <c r="B179" s="6" t="s">
        <v>501</v>
      </c>
      <c r="C179" s="6" t="s">
        <v>502</v>
      </c>
      <c r="E179" s="6" t="s">
        <v>503</v>
      </c>
      <c r="G179" s="7">
        <v>479</v>
      </c>
      <c r="H179" s="7">
        <v>541.27</v>
      </c>
      <c r="I179" s="7">
        <f t="shared" si="10"/>
        <v>296.98</v>
      </c>
      <c r="J179" s="7">
        <f t="shared" si="11"/>
        <v>311.35</v>
      </c>
      <c r="K179" s="7">
        <f t="shared" si="12"/>
        <v>320.93</v>
      </c>
      <c r="L179" s="7">
        <f t="shared" si="13"/>
        <v>335.3</v>
      </c>
      <c r="M179" s="7">
        <f t="shared" si="14"/>
        <v>344.88</v>
      </c>
    </row>
    <row r="180" ht="102" spans="1:13">
      <c r="A180" s="6" t="s">
        <v>376</v>
      </c>
      <c r="B180" s="6" t="s">
        <v>504</v>
      </c>
      <c r="C180" s="6" t="s">
        <v>505</v>
      </c>
      <c r="E180" s="6" t="s">
        <v>506</v>
      </c>
      <c r="G180" s="7">
        <v>459</v>
      </c>
      <c r="H180" s="7">
        <v>518.67</v>
      </c>
      <c r="I180" s="7">
        <f t="shared" si="10"/>
        <v>284.58</v>
      </c>
      <c r="J180" s="7">
        <f t="shared" si="11"/>
        <v>298.35</v>
      </c>
      <c r="K180" s="7">
        <f t="shared" si="12"/>
        <v>307.53</v>
      </c>
      <c r="L180" s="7">
        <f t="shared" si="13"/>
        <v>321.3</v>
      </c>
      <c r="M180" s="7">
        <f t="shared" si="14"/>
        <v>330.48</v>
      </c>
    </row>
    <row r="181" ht="51" spans="1:13">
      <c r="A181" s="6" t="s">
        <v>376</v>
      </c>
      <c r="B181" s="6" t="s">
        <v>507</v>
      </c>
      <c r="C181" s="6" t="s">
        <v>508</v>
      </c>
      <c r="E181" s="6" t="s">
        <v>509</v>
      </c>
      <c r="G181" s="7">
        <v>699</v>
      </c>
      <c r="H181" s="7">
        <v>789.87</v>
      </c>
      <c r="I181" s="7">
        <f t="shared" si="10"/>
        <v>433.38</v>
      </c>
      <c r="J181" s="7">
        <f t="shared" si="11"/>
        <v>454.35</v>
      </c>
      <c r="K181" s="7">
        <f t="shared" si="12"/>
        <v>468.33</v>
      </c>
      <c r="L181" s="7">
        <f t="shared" si="13"/>
        <v>489.3</v>
      </c>
      <c r="M181" s="7">
        <f t="shared" si="14"/>
        <v>503.28</v>
      </c>
    </row>
    <row r="182" ht="51" spans="1:13">
      <c r="A182" s="6" t="s">
        <v>376</v>
      </c>
      <c r="B182" s="6" t="s">
        <v>510</v>
      </c>
      <c r="C182" s="6" t="s">
        <v>511</v>
      </c>
      <c r="E182" s="6" t="s">
        <v>512</v>
      </c>
      <c r="G182" s="7">
        <v>649</v>
      </c>
      <c r="H182" s="7">
        <v>733.37</v>
      </c>
      <c r="I182" s="7">
        <f t="shared" si="10"/>
        <v>402.38</v>
      </c>
      <c r="J182" s="7">
        <f t="shared" si="11"/>
        <v>421.85</v>
      </c>
      <c r="K182" s="7">
        <f t="shared" si="12"/>
        <v>434.83</v>
      </c>
      <c r="L182" s="7">
        <f t="shared" si="13"/>
        <v>454.3</v>
      </c>
      <c r="M182" s="7">
        <f t="shared" si="14"/>
        <v>467.28</v>
      </c>
    </row>
    <row r="183" ht="89.25" spans="1:13">
      <c r="A183" s="6" t="s">
        <v>376</v>
      </c>
      <c r="B183" s="6" t="s">
        <v>513</v>
      </c>
      <c r="C183" s="6" t="s">
        <v>514</v>
      </c>
      <c r="E183" s="6" t="s">
        <v>515</v>
      </c>
      <c r="G183" s="7">
        <v>549</v>
      </c>
      <c r="H183" s="7">
        <v>620.37</v>
      </c>
      <c r="I183" s="7">
        <f t="shared" si="10"/>
        <v>340.38</v>
      </c>
      <c r="J183" s="7">
        <f t="shared" si="11"/>
        <v>356.85</v>
      </c>
      <c r="K183" s="7">
        <f t="shared" si="12"/>
        <v>367.83</v>
      </c>
      <c r="L183" s="7">
        <f t="shared" si="13"/>
        <v>384.3</v>
      </c>
      <c r="M183" s="7">
        <f t="shared" si="14"/>
        <v>395.28</v>
      </c>
    </row>
    <row r="184" ht="25.5" spans="1:13">
      <c r="A184" s="6" t="s">
        <v>418</v>
      </c>
      <c r="B184" s="6" t="s">
        <v>516</v>
      </c>
      <c r="C184" s="6" t="s">
        <v>517</v>
      </c>
      <c r="E184" s="6" t="s">
        <v>518</v>
      </c>
      <c r="G184" s="7">
        <v>79</v>
      </c>
      <c r="H184" s="7">
        <v>89.27</v>
      </c>
      <c r="I184" s="7">
        <f t="shared" si="10"/>
        <v>48.98</v>
      </c>
      <c r="J184" s="7">
        <f t="shared" si="11"/>
        <v>51.35</v>
      </c>
      <c r="K184" s="7">
        <f t="shared" si="12"/>
        <v>52.93</v>
      </c>
      <c r="L184" s="7">
        <f t="shared" si="13"/>
        <v>55.3</v>
      </c>
      <c r="M184" s="7">
        <f t="shared" si="14"/>
        <v>56.88</v>
      </c>
    </row>
    <row r="185" ht="25.5" spans="1:13">
      <c r="A185" s="6" t="s">
        <v>18</v>
      </c>
      <c r="B185" s="6" t="s">
        <v>519</v>
      </c>
      <c r="C185" s="6" t="s">
        <v>520</v>
      </c>
      <c r="E185" s="6" t="s">
        <v>521</v>
      </c>
      <c r="G185" s="7">
        <v>79</v>
      </c>
      <c r="H185" s="7">
        <v>89.27</v>
      </c>
      <c r="I185" s="7">
        <f t="shared" si="10"/>
        <v>48.98</v>
      </c>
      <c r="J185" s="7">
        <f t="shared" si="11"/>
        <v>51.35</v>
      </c>
      <c r="K185" s="7">
        <f t="shared" si="12"/>
        <v>52.93</v>
      </c>
      <c r="L185" s="7">
        <f t="shared" si="13"/>
        <v>55.3</v>
      </c>
      <c r="M185" s="7">
        <f t="shared" si="14"/>
        <v>56.88</v>
      </c>
    </row>
    <row r="186" spans="1:13">
      <c r="A186" s="6" t="s">
        <v>18</v>
      </c>
      <c r="B186" s="6" t="s">
        <v>522</v>
      </c>
      <c r="C186" s="6" t="s">
        <v>523</v>
      </c>
      <c r="E186" s="6" t="s">
        <v>524</v>
      </c>
      <c r="G186" s="7">
        <v>1759</v>
      </c>
      <c r="H186" s="7">
        <v>1987.67</v>
      </c>
      <c r="I186" s="7">
        <f t="shared" si="10"/>
        <v>1090.58</v>
      </c>
      <c r="J186" s="7">
        <f t="shared" si="11"/>
        <v>1143.35</v>
      </c>
      <c r="K186" s="7">
        <f t="shared" si="12"/>
        <v>1178.53</v>
      </c>
      <c r="L186" s="7">
        <f t="shared" si="13"/>
        <v>1231.3</v>
      </c>
      <c r="M186" s="7">
        <f t="shared" si="14"/>
        <v>1266.48</v>
      </c>
    </row>
    <row r="187" ht="25.5" spans="1:13">
      <c r="A187" s="6" t="s">
        <v>18</v>
      </c>
      <c r="B187" s="6" t="s">
        <v>525</v>
      </c>
      <c r="C187" s="6" t="s">
        <v>526</v>
      </c>
      <c r="E187" s="6" t="s">
        <v>527</v>
      </c>
      <c r="G187" s="7">
        <v>57.99</v>
      </c>
      <c r="H187" s="7">
        <v>65.5287</v>
      </c>
      <c r="I187" s="7">
        <f t="shared" si="10"/>
        <v>35.9538</v>
      </c>
      <c r="J187" s="7">
        <f t="shared" si="11"/>
        <v>37.6935</v>
      </c>
      <c r="K187" s="7">
        <f t="shared" si="12"/>
        <v>38.8533</v>
      </c>
      <c r="L187" s="7">
        <f t="shared" si="13"/>
        <v>40.593</v>
      </c>
      <c r="M187" s="7">
        <f t="shared" si="14"/>
        <v>41.7528</v>
      </c>
    </row>
    <row r="188" ht="25.5" spans="1:13">
      <c r="A188" s="6" t="s">
        <v>376</v>
      </c>
      <c r="B188" s="6" t="s">
        <v>528</v>
      </c>
      <c r="C188" s="6" t="s">
        <v>529</v>
      </c>
      <c r="E188" s="6" t="s">
        <v>530</v>
      </c>
      <c r="G188" s="7">
        <v>2639</v>
      </c>
      <c r="H188" s="7">
        <v>2982.07</v>
      </c>
      <c r="I188" s="7">
        <f t="shared" si="10"/>
        <v>1636.18</v>
      </c>
      <c r="J188" s="7">
        <f t="shared" si="11"/>
        <v>1715.35</v>
      </c>
      <c r="K188" s="7">
        <f t="shared" si="12"/>
        <v>1768.13</v>
      </c>
      <c r="L188" s="7">
        <f t="shared" si="13"/>
        <v>1847.3</v>
      </c>
      <c r="M188" s="7">
        <f t="shared" si="14"/>
        <v>1900.08</v>
      </c>
    </row>
    <row r="189" spans="1:13">
      <c r="A189" s="6" t="s">
        <v>376</v>
      </c>
      <c r="B189" s="6" t="s">
        <v>531</v>
      </c>
      <c r="C189" s="6" t="s">
        <v>532</v>
      </c>
      <c r="E189" s="6" t="s">
        <v>533</v>
      </c>
      <c r="G189" s="7">
        <v>1249</v>
      </c>
      <c r="H189" s="7">
        <v>1411.37</v>
      </c>
      <c r="I189" s="7">
        <f t="shared" si="10"/>
        <v>774.38</v>
      </c>
      <c r="J189" s="7">
        <f t="shared" si="11"/>
        <v>811.85</v>
      </c>
      <c r="K189" s="7">
        <f t="shared" si="12"/>
        <v>836.83</v>
      </c>
      <c r="L189" s="7">
        <f t="shared" si="13"/>
        <v>874.3</v>
      </c>
      <c r="M189" s="7">
        <f t="shared" si="14"/>
        <v>899.28</v>
      </c>
    </row>
    <row r="190" spans="1:13">
      <c r="A190" s="6" t="s">
        <v>376</v>
      </c>
      <c r="B190" s="6" t="s">
        <v>534</v>
      </c>
      <c r="C190" s="6" t="s">
        <v>535</v>
      </c>
      <c r="E190" s="6" t="s">
        <v>536</v>
      </c>
      <c r="G190" s="7">
        <v>1759</v>
      </c>
      <c r="H190" s="7">
        <v>1987.67</v>
      </c>
      <c r="I190" s="7">
        <f t="shared" si="10"/>
        <v>1090.58</v>
      </c>
      <c r="J190" s="7">
        <f t="shared" si="11"/>
        <v>1143.35</v>
      </c>
      <c r="K190" s="7">
        <f t="shared" si="12"/>
        <v>1178.53</v>
      </c>
      <c r="L190" s="7">
        <f t="shared" si="13"/>
        <v>1231.3</v>
      </c>
      <c r="M190" s="7">
        <f t="shared" si="14"/>
        <v>1266.48</v>
      </c>
    </row>
    <row r="191" spans="1:13">
      <c r="A191" s="6" t="s">
        <v>18</v>
      </c>
      <c r="B191" s="6" t="s">
        <v>537</v>
      </c>
      <c r="C191" s="6" t="s">
        <v>538</v>
      </c>
      <c r="E191" s="6" t="s">
        <v>538</v>
      </c>
      <c r="G191" s="7">
        <v>117.98</v>
      </c>
      <c r="H191" s="7">
        <v>133.3174</v>
      </c>
      <c r="I191" s="7">
        <f t="shared" si="10"/>
        <v>73.1476</v>
      </c>
      <c r="J191" s="7">
        <f t="shared" si="11"/>
        <v>76.687</v>
      </c>
      <c r="K191" s="7">
        <f t="shared" si="12"/>
        <v>79.0466</v>
      </c>
      <c r="L191" s="7">
        <f t="shared" si="13"/>
        <v>82.586</v>
      </c>
      <c r="M191" s="7">
        <f t="shared" si="14"/>
        <v>84.9456</v>
      </c>
    </row>
    <row r="192" ht="25.5" spans="1:13">
      <c r="A192" s="6" t="s">
        <v>432</v>
      </c>
      <c r="B192" s="6" t="s">
        <v>539</v>
      </c>
      <c r="C192" s="6" t="s">
        <v>540</v>
      </c>
      <c r="E192" s="6" t="s">
        <v>541</v>
      </c>
      <c r="G192" s="7">
        <v>1271</v>
      </c>
      <c r="H192" s="7">
        <v>1436.23</v>
      </c>
      <c r="I192" s="7">
        <f t="shared" si="10"/>
        <v>788.02</v>
      </c>
      <c r="J192" s="7">
        <f t="shared" si="11"/>
        <v>826.15</v>
      </c>
      <c r="K192" s="7">
        <f t="shared" si="12"/>
        <v>851.57</v>
      </c>
      <c r="L192" s="7">
        <f t="shared" si="13"/>
        <v>889.7</v>
      </c>
      <c r="M192" s="7">
        <f t="shared" si="14"/>
        <v>915.12</v>
      </c>
    </row>
    <row r="193" ht="25.5" spans="1:13">
      <c r="A193" s="6" t="s">
        <v>18</v>
      </c>
      <c r="B193" s="6" t="s">
        <v>542</v>
      </c>
      <c r="C193" s="6" t="s">
        <v>543</v>
      </c>
      <c r="E193" s="6" t="s">
        <v>544</v>
      </c>
      <c r="G193" s="7">
        <v>987</v>
      </c>
      <c r="H193" s="7">
        <v>1115.31</v>
      </c>
      <c r="I193" s="7">
        <f t="shared" si="10"/>
        <v>611.94</v>
      </c>
      <c r="J193" s="7">
        <f t="shared" si="11"/>
        <v>641.55</v>
      </c>
      <c r="K193" s="7">
        <f t="shared" si="12"/>
        <v>661.29</v>
      </c>
      <c r="L193" s="7">
        <f t="shared" si="13"/>
        <v>690.9</v>
      </c>
      <c r="M193" s="7">
        <f t="shared" si="14"/>
        <v>710.64</v>
      </c>
    </row>
    <row r="194" ht="25.5" spans="1:13">
      <c r="A194" s="6" t="s">
        <v>18</v>
      </c>
      <c r="B194" s="6" t="s">
        <v>545</v>
      </c>
      <c r="C194" s="6" t="s">
        <v>546</v>
      </c>
      <c r="E194" s="6" t="s">
        <v>547</v>
      </c>
      <c r="G194" s="7">
        <v>119</v>
      </c>
      <c r="H194" s="7">
        <v>134.47</v>
      </c>
      <c r="I194" s="7">
        <f t="shared" ref="I194:I257" si="15">G194*0.62</f>
        <v>73.78</v>
      </c>
      <c r="J194" s="7">
        <f t="shared" ref="J194:J257" si="16">G194*0.65</f>
        <v>77.35</v>
      </c>
      <c r="K194" s="7">
        <f t="shared" ref="K194:K257" si="17">G194*0.67</f>
        <v>79.73</v>
      </c>
      <c r="L194" s="7">
        <f t="shared" ref="L194:L257" si="18">G194*0.7</f>
        <v>83.3</v>
      </c>
      <c r="M194" s="7">
        <f t="shared" ref="M194:M257" si="19">G194*0.72</f>
        <v>85.68</v>
      </c>
    </row>
    <row r="195" spans="1:13">
      <c r="A195" s="6" t="s">
        <v>548</v>
      </c>
      <c r="B195" s="6" t="s">
        <v>549</v>
      </c>
      <c r="C195" s="6" t="s">
        <v>550</v>
      </c>
      <c r="E195" s="6" t="s">
        <v>551</v>
      </c>
      <c r="G195" s="7">
        <v>1249</v>
      </c>
      <c r="H195" s="7">
        <v>1411.37</v>
      </c>
      <c r="I195" s="7">
        <f t="shared" si="15"/>
        <v>774.38</v>
      </c>
      <c r="J195" s="7">
        <f t="shared" si="16"/>
        <v>811.85</v>
      </c>
      <c r="K195" s="7">
        <f t="shared" si="17"/>
        <v>836.83</v>
      </c>
      <c r="L195" s="7">
        <f t="shared" si="18"/>
        <v>874.3</v>
      </c>
      <c r="M195" s="7">
        <f t="shared" si="19"/>
        <v>899.28</v>
      </c>
    </row>
    <row r="196" ht="25.5" spans="1:13">
      <c r="A196" s="6" t="s">
        <v>552</v>
      </c>
      <c r="B196" s="6" t="s">
        <v>553</v>
      </c>
      <c r="C196" s="6" t="s">
        <v>554</v>
      </c>
      <c r="E196" s="6" t="s">
        <v>555</v>
      </c>
      <c r="G196" s="7">
        <v>2999</v>
      </c>
      <c r="H196" s="7">
        <v>3388.87</v>
      </c>
      <c r="I196" s="7">
        <f t="shared" si="15"/>
        <v>1859.38</v>
      </c>
      <c r="J196" s="7">
        <f t="shared" si="16"/>
        <v>1949.35</v>
      </c>
      <c r="K196" s="7">
        <f t="shared" si="17"/>
        <v>2009.33</v>
      </c>
      <c r="L196" s="7">
        <f t="shared" si="18"/>
        <v>2099.3</v>
      </c>
      <c r="M196" s="7">
        <f t="shared" si="19"/>
        <v>2159.28</v>
      </c>
    </row>
    <row r="197" ht="25.5" spans="1:13">
      <c r="A197" s="6" t="s">
        <v>25</v>
      </c>
      <c r="B197" s="6" t="s">
        <v>556</v>
      </c>
      <c r="C197" s="6" t="s">
        <v>557</v>
      </c>
      <c r="E197" s="6" t="s">
        <v>558</v>
      </c>
      <c r="G197" s="7">
        <v>1499</v>
      </c>
      <c r="H197" s="7">
        <v>1693.87</v>
      </c>
      <c r="I197" s="7">
        <f t="shared" si="15"/>
        <v>929.38</v>
      </c>
      <c r="J197" s="7">
        <f t="shared" si="16"/>
        <v>974.35</v>
      </c>
      <c r="K197" s="7">
        <f t="shared" si="17"/>
        <v>1004.33</v>
      </c>
      <c r="L197" s="7">
        <f t="shared" si="18"/>
        <v>1049.3</v>
      </c>
      <c r="M197" s="7">
        <f t="shared" si="19"/>
        <v>1079.28</v>
      </c>
    </row>
    <row r="198" spans="1:13">
      <c r="A198" s="6" t="s">
        <v>18</v>
      </c>
      <c r="B198" s="6" t="s">
        <v>559</v>
      </c>
      <c r="C198" s="6" t="s">
        <v>560</v>
      </c>
      <c r="E198" s="6" t="s">
        <v>560</v>
      </c>
      <c r="G198" s="7">
        <v>2149</v>
      </c>
      <c r="H198" s="7">
        <v>2428.37</v>
      </c>
      <c r="I198" s="7">
        <f t="shared" si="15"/>
        <v>1332.38</v>
      </c>
      <c r="J198" s="7">
        <f t="shared" si="16"/>
        <v>1396.85</v>
      </c>
      <c r="K198" s="7">
        <f t="shared" si="17"/>
        <v>1439.83</v>
      </c>
      <c r="L198" s="7">
        <f t="shared" si="18"/>
        <v>1504.3</v>
      </c>
      <c r="M198" s="7">
        <f t="shared" si="19"/>
        <v>1547.28</v>
      </c>
    </row>
    <row r="199" spans="1:13">
      <c r="A199" s="6" t="s">
        <v>18</v>
      </c>
      <c r="B199" s="6" t="s">
        <v>561</v>
      </c>
      <c r="C199" s="6" t="s">
        <v>562</v>
      </c>
      <c r="E199" s="6" t="s">
        <v>562</v>
      </c>
      <c r="G199" s="7">
        <v>1849</v>
      </c>
      <c r="H199" s="7">
        <v>2089.37</v>
      </c>
      <c r="I199" s="7">
        <f t="shared" si="15"/>
        <v>1146.38</v>
      </c>
      <c r="J199" s="7">
        <f t="shared" si="16"/>
        <v>1201.85</v>
      </c>
      <c r="K199" s="7">
        <f t="shared" si="17"/>
        <v>1238.83</v>
      </c>
      <c r="L199" s="7">
        <f t="shared" si="18"/>
        <v>1294.3</v>
      </c>
      <c r="M199" s="7">
        <f t="shared" si="19"/>
        <v>1331.28</v>
      </c>
    </row>
    <row r="200" spans="1:13">
      <c r="A200" s="6" t="s">
        <v>18</v>
      </c>
      <c r="B200" s="6" t="s">
        <v>563</v>
      </c>
      <c r="C200" s="6" t="s">
        <v>564</v>
      </c>
      <c r="E200" s="6" t="s">
        <v>564</v>
      </c>
      <c r="G200" s="7">
        <v>5999</v>
      </c>
      <c r="H200" s="7">
        <v>6778.87</v>
      </c>
      <c r="I200" s="7">
        <f t="shared" si="15"/>
        <v>3719.38</v>
      </c>
      <c r="J200" s="7">
        <f t="shared" si="16"/>
        <v>3899.35</v>
      </c>
      <c r="K200" s="7">
        <f t="shared" si="17"/>
        <v>4019.33</v>
      </c>
      <c r="L200" s="7">
        <f t="shared" si="18"/>
        <v>4199.3</v>
      </c>
      <c r="M200" s="7">
        <f t="shared" si="19"/>
        <v>4319.28</v>
      </c>
    </row>
    <row r="201" ht="51" spans="1:13">
      <c r="A201" s="6" t="s">
        <v>432</v>
      </c>
      <c r="B201" s="6" t="s">
        <v>565</v>
      </c>
      <c r="C201" s="6" t="s">
        <v>566</v>
      </c>
      <c r="E201" s="6" t="s">
        <v>567</v>
      </c>
      <c r="G201" s="7">
        <v>749</v>
      </c>
      <c r="H201" s="7">
        <v>846.37</v>
      </c>
      <c r="I201" s="7">
        <f t="shared" si="15"/>
        <v>464.38</v>
      </c>
      <c r="J201" s="7">
        <f t="shared" si="16"/>
        <v>486.85</v>
      </c>
      <c r="K201" s="7">
        <f t="shared" si="17"/>
        <v>501.83</v>
      </c>
      <c r="L201" s="7">
        <f t="shared" si="18"/>
        <v>524.3</v>
      </c>
      <c r="M201" s="7">
        <f t="shared" si="19"/>
        <v>539.28</v>
      </c>
    </row>
    <row r="202" ht="38.25" spans="1:13">
      <c r="A202" s="6" t="s">
        <v>432</v>
      </c>
      <c r="B202" s="6" t="s">
        <v>568</v>
      </c>
      <c r="C202" s="6" t="s">
        <v>569</v>
      </c>
      <c r="E202" s="6" t="s">
        <v>570</v>
      </c>
      <c r="G202" s="7">
        <v>4499</v>
      </c>
      <c r="H202" s="7">
        <v>5083.87</v>
      </c>
      <c r="I202" s="7">
        <f t="shared" si="15"/>
        <v>2789.38</v>
      </c>
      <c r="J202" s="7">
        <f t="shared" si="16"/>
        <v>2924.35</v>
      </c>
      <c r="K202" s="7">
        <f t="shared" si="17"/>
        <v>3014.33</v>
      </c>
      <c r="L202" s="7">
        <f t="shared" si="18"/>
        <v>3149.3</v>
      </c>
      <c r="M202" s="7">
        <f t="shared" si="19"/>
        <v>3239.28</v>
      </c>
    </row>
    <row r="203" ht="38.25" spans="1:13">
      <c r="A203" s="6" t="s">
        <v>432</v>
      </c>
      <c r="B203" s="6" t="s">
        <v>571</v>
      </c>
      <c r="C203" s="6" t="s">
        <v>572</v>
      </c>
      <c r="E203" s="6" t="s">
        <v>573</v>
      </c>
      <c r="G203" s="7">
        <v>3599</v>
      </c>
      <c r="H203" s="7">
        <v>4066.87</v>
      </c>
      <c r="I203" s="7">
        <f t="shared" si="15"/>
        <v>2231.38</v>
      </c>
      <c r="J203" s="7">
        <f t="shared" si="16"/>
        <v>2339.35</v>
      </c>
      <c r="K203" s="7">
        <f t="shared" si="17"/>
        <v>2411.33</v>
      </c>
      <c r="L203" s="7">
        <f t="shared" si="18"/>
        <v>2519.3</v>
      </c>
      <c r="M203" s="7">
        <f t="shared" si="19"/>
        <v>2591.28</v>
      </c>
    </row>
    <row r="204" ht="51" spans="1:13">
      <c r="A204" s="6" t="s">
        <v>432</v>
      </c>
      <c r="B204" s="6" t="s">
        <v>574</v>
      </c>
      <c r="C204" s="6" t="s">
        <v>575</v>
      </c>
      <c r="E204" s="6" t="s">
        <v>576</v>
      </c>
      <c r="G204" s="7">
        <v>1299</v>
      </c>
      <c r="H204" s="7">
        <v>1467.87</v>
      </c>
      <c r="I204" s="7">
        <f t="shared" si="15"/>
        <v>805.38</v>
      </c>
      <c r="J204" s="7">
        <f t="shared" si="16"/>
        <v>844.35</v>
      </c>
      <c r="K204" s="7">
        <f t="shared" si="17"/>
        <v>870.33</v>
      </c>
      <c r="L204" s="7">
        <f t="shared" si="18"/>
        <v>909.3</v>
      </c>
      <c r="M204" s="7">
        <f t="shared" si="19"/>
        <v>935.28</v>
      </c>
    </row>
    <row r="205" ht="38.25" spans="1:13">
      <c r="A205" s="6" t="s">
        <v>432</v>
      </c>
      <c r="B205" s="6" t="s">
        <v>577</v>
      </c>
      <c r="C205" s="6" t="s">
        <v>578</v>
      </c>
      <c r="E205" s="6" t="s">
        <v>579</v>
      </c>
      <c r="G205" s="7">
        <v>4137</v>
      </c>
      <c r="H205" s="7">
        <v>4674.81</v>
      </c>
      <c r="I205" s="7">
        <f t="shared" si="15"/>
        <v>2564.94</v>
      </c>
      <c r="J205" s="7">
        <f t="shared" si="16"/>
        <v>2689.05</v>
      </c>
      <c r="K205" s="7">
        <f t="shared" si="17"/>
        <v>2771.79</v>
      </c>
      <c r="L205" s="7">
        <f t="shared" si="18"/>
        <v>2895.9</v>
      </c>
      <c r="M205" s="7">
        <f t="shared" si="19"/>
        <v>2978.64</v>
      </c>
    </row>
    <row r="206" ht="51" spans="1:13">
      <c r="A206" s="6" t="s">
        <v>432</v>
      </c>
      <c r="B206" s="6" t="s">
        <v>580</v>
      </c>
      <c r="C206" s="6" t="s">
        <v>581</v>
      </c>
      <c r="E206" s="6" t="s">
        <v>582</v>
      </c>
      <c r="G206" s="7">
        <v>1985</v>
      </c>
      <c r="H206" s="7">
        <v>2243.05</v>
      </c>
      <c r="I206" s="7">
        <f t="shared" si="15"/>
        <v>1230.7</v>
      </c>
      <c r="J206" s="7">
        <f t="shared" si="16"/>
        <v>1290.25</v>
      </c>
      <c r="K206" s="7">
        <f t="shared" si="17"/>
        <v>1329.95</v>
      </c>
      <c r="L206" s="7">
        <f t="shared" si="18"/>
        <v>1389.5</v>
      </c>
      <c r="M206" s="7">
        <f t="shared" si="19"/>
        <v>1429.2</v>
      </c>
    </row>
    <row r="207" ht="25.5" spans="1:13">
      <c r="A207" s="6" t="s">
        <v>18</v>
      </c>
      <c r="B207" s="6" t="s">
        <v>583</v>
      </c>
      <c r="C207" s="6" t="s">
        <v>584</v>
      </c>
      <c r="E207" s="6" t="s">
        <v>585</v>
      </c>
      <c r="G207" s="7">
        <v>221</v>
      </c>
      <c r="H207" s="7">
        <v>249.73</v>
      </c>
      <c r="I207" s="7">
        <f t="shared" si="15"/>
        <v>137.02</v>
      </c>
      <c r="J207" s="7">
        <f t="shared" si="16"/>
        <v>143.65</v>
      </c>
      <c r="K207" s="7">
        <f t="shared" si="17"/>
        <v>148.07</v>
      </c>
      <c r="L207" s="7">
        <f t="shared" si="18"/>
        <v>154.7</v>
      </c>
      <c r="M207" s="7">
        <f t="shared" si="19"/>
        <v>159.12</v>
      </c>
    </row>
    <row r="208" ht="38.25" spans="1:13">
      <c r="A208" s="6" t="s">
        <v>459</v>
      </c>
      <c r="B208" s="6" t="s">
        <v>586</v>
      </c>
      <c r="C208" s="6" t="s">
        <v>587</v>
      </c>
      <c r="E208" s="6" t="s">
        <v>588</v>
      </c>
      <c r="G208" s="7">
        <v>4631</v>
      </c>
      <c r="H208" s="7">
        <v>5233.03</v>
      </c>
      <c r="I208" s="7">
        <f t="shared" si="15"/>
        <v>2871.22</v>
      </c>
      <c r="J208" s="7">
        <f t="shared" si="16"/>
        <v>3010.15</v>
      </c>
      <c r="K208" s="7">
        <f t="shared" si="17"/>
        <v>3102.77</v>
      </c>
      <c r="L208" s="7">
        <f t="shared" si="18"/>
        <v>3241.7</v>
      </c>
      <c r="M208" s="7">
        <f t="shared" si="19"/>
        <v>3334.32</v>
      </c>
    </row>
    <row r="209" ht="51" spans="1:13">
      <c r="A209" s="6" t="s">
        <v>459</v>
      </c>
      <c r="B209" s="6" t="s">
        <v>589</v>
      </c>
      <c r="C209" s="6" t="s">
        <v>590</v>
      </c>
      <c r="E209" s="6" t="s">
        <v>591</v>
      </c>
      <c r="G209" s="7">
        <v>5408</v>
      </c>
      <c r="H209" s="7">
        <v>6111.04</v>
      </c>
      <c r="I209" s="7">
        <f t="shared" si="15"/>
        <v>3352.96</v>
      </c>
      <c r="J209" s="7">
        <f t="shared" si="16"/>
        <v>3515.2</v>
      </c>
      <c r="K209" s="7">
        <f t="shared" si="17"/>
        <v>3623.36</v>
      </c>
      <c r="L209" s="7">
        <f t="shared" si="18"/>
        <v>3785.6</v>
      </c>
      <c r="M209" s="7">
        <f t="shared" si="19"/>
        <v>3893.76</v>
      </c>
    </row>
    <row r="210" ht="51" spans="1:13">
      <c r="A210" s="6" t="s">
        <v>459</v>
      </c>
      <c r="B210" s="6" t="s">
        <v>592</v>
      </c>
      <c r="C210" s="6" t="s">
        <v>593</v>
      </c>
      <c r="E210" s="6" t="s">
        <v>594</v>
      </c>
      <c r="G210" s="7">
        <v>3969</v>
      </c>
      <c r="H210" s="7">
        <v>4484.97</v>
      </c>
      <c r="I210" s="7">
        <f t="shared" si="15"/>
        <v>2460.78</v>
      </c>
      <c r="J210" s="7">
        <f t="shared" si="16"/>
        <v>2579.85</v>
      </c>
      <c r="K210" s="7">
        <f t="shared" si="17"/>
        <v>2659.23</v>
      </c>
      <c r="L210" s="7">
        <f t="shared" si="18"/>
        <v>2778.3</v>
      </c>
      <c r="M210" s="7">
        <f t="shared" si="19"/>
        <v>2857.68</v>
      </c>
    </row>
    <row r="211" ht="25.5" spans="1:13">
      <c r="A211" s="6" t="s">
        <v>18</v>
      </c>
      <c r="B211" s="6" t="s">
        <v>595</v>
      </c>
      <c r="C211" s="6" t="s">
        <v>596</v>
      </c>
      <c r="E211" s="6" t="s">
        <v>597</v>
      </c>
      <c r="G211" s="7">
        <v>55</v>
      </c>
      <c r="H211" s="7">
        <v>62.15</v>
      </c>
      <c r="I211" s="7">
        <f t="shared" si="15"/>
        <v>34.1</v>
      </c>
      <c r="J211" s="7">
        <f t="shared" si="16"/>
        <v>35.75</v>
      </c>
      <c r="K211" s="7">
        <f t="shared" si="17"/>
        <v>36.85</v>
      </c>
      <c r="L211" s="7">
        <f t="shared" si="18"/>
        <v>38.5</v>
      </c>
      <c r="M211" s="7">
        <f t="shared" si="19"/>
        <v>39.6</v>
      </c>
    </row>
    <row r="212" ht="38.25" spans="1:13">
      <c r="A212" s="6" t="s">
        <v>548</v>
      </c>
      <c r="B212" s="6" t="s">
        <v>598</v>
      </c>
      <c r="C212" s="6" t="s">
        <v>599</v>
      </c>
      <c r="E212" s="6" t="s">
        <v>600</v>
      </c>
      <c r="G212" s="7">
        <v>3149</v>
      </c>
      <c r="H212" s="7">
        <v>3558.37</v>
      </c>
      <c r="I212" s="7">
        <f t="shared" si="15"/>
        <v>1952.38</v>
      </c>
      <c r="J212" s="7">
        <f t="shared" si="16"/>
        <v>2046.85</v>
      </c>
      <c r="K212" s="7">
        <f t="shared" si="17"/>
        <v>2109.83</v>
      </c>
      <c r="L212" s="7">
        <f t="shared" si="18"/>
        <v>2204.3</v>
      </c>
      <c r="M212" s="7">
        <f t="shared" si="19"/>
        <v>2267.28</v>
      </c>
    </row>
    <row r="213" spans="1:13">
      <c r="A213" s="6" t="s">
        <v>18</v>
      </c>
      <c r="B213" s="6" t="s">
        <v>601</v>
      </c>
      <c r="C213" s="6" t="s">
        <v>602</v>
      </c>
      <c r="E213" s="6" t="s">
        <v>602</v>
      </c>
      <c r="G213" s="7">
        <v>599</v>
      </c>
      <c r="H213" s="7">
        <v>676.87</v>
      </c>
      <c r="I213" s="7">
        <f t="shared" si="15"/>
        <v>371.38</v>
      </c>
      <c r="J213" s="7">
        <f t="shared" si="16"/>
        <v>389.35</v>
      </c>
      <c r="K213" s="7">
        <f t="shared" si="17"/>
        <v>401.33</v>
      </c>
      <c r="L213" s="7">
        <f t="shared" si="18"/>
        <v>419.3</v>
      </c>
      <c r="M213" s="7">
        <f t="shared" si="19"/>
        <v>431.28</v>
      </c>
    </row>
    <row r="214" spans="1:13">
      <c r="A214" s="6" t="s">
        <v>18</v>
      </c>
      <c r="B214" s="6" t="s">
        <v>603</v>
      </c>
      <c r="C214" s="6" t="s">
        <v>604</v>
      </c>
      <c r="E214" s="6" t="s">
        <v>605</v>
      </c>
      <c r="G214" s="7">
        <v>899</v>
      </c>
      <c r="H214" s="7">
        <v>1015.87</v>
      </c>
      <c r="I214" s="7">
        <f t="shared" si="15"/>
        <v>557.38</v>
      </c>
      <c r="J214" s="7">
        <f t="shared" si="16"/>
        <v>584.35</v>
      </c>
      <c r="K214" s="7">
        <f t="shared" si="17"/>
        <v>602.33</v>
      </c>
      <c r="L214" s="7">
        <f t="shared" si="18"/>
        <v>629.3</v>
      </c>
      <c r="M214" s="7">
        <f t="shared" si="19"/>
        <v>647.28</v>
      </c>
    </row>
    <row r="215" ht="25.5" spans="1:13">
      <c r="A215" s="6" t="s">
        <v>25</v>
      </c>
      <c r="B215" s="6" t="s">
        <v>606</v>
      </c>
      <c r="C215" s="6" t="s">
        <v>607</v>
      </c>
      <c r="E215" s="6" t="s">
        <v>607</v>
      </c>
      <c r="G215" s="7">
        <v>79</v>
      </c>
      <c r="H215" s="7">
        <v>89.27</v>
      </c>
      <c r="I215" s="7">
        <f t="shared" si="15"/>
        <v>48.98</v>
      </c>
      <c r="J215" s="7">
        <f t="shared" si="16"/>
        <v>51.35</v>
      </c>
      <c r="K215" s="7">
        <f t="shared" si="17"/>
        <v>52.93</v>
      </c>
      <c r="L215" s="7">
        <f t="shared" si="18"/>
        <v>55.3</v>
      </c>
      <c r="M215" s="7">
        <f t="shared" si="19"/>
        <v>56.88</v>
      </c>
    </row>
    <row r="216" spans="1:13">
      <c r="A216" s="6" t="s">
        <v>18</v>
      </c>
      <c r="B216" s="6" t="s">
        <v>608</v>
      </c>
      <c r="C216" s="6" t="s">
        <v>609</v>
      </c>
      <c r="E216" s="6" t="s">
        <v>609</v>
      </c>
      <c r="G216" s="7">
        <v>1449</v>
      </c>
      <c r="H216" s="7">
        <v>1637.37</v>
      </c>
      <c r="I216" s="7">
        <f t="shared" si="15"/>
        <v>898.38</v>
      </c>
      <c r="J216" s="7">
        <f t="shared" si="16"/>
        <v>941.85</v>
      </c>
      <c r="K216" s="7">
        <f t="shared" si="17"/>
        <v>970.83</v>
      </c>
      <c r="L216" s="7">
        <f t="shared" si="18"/>
        <v>1014.3</v>
      </c>
      <c r="M216" s="7">
        <f t="shared" si="19"/>
        <v>1043.28</v>
      </c>
    </row>
    <row r="217" ht="25.5" spans="1:13">
      <c r="A217" s="6" t="s">
        <v>18</v>
      </c>
      <c r="B217" s="6" t="s">
        <v>610</v>
      </c>
      <c r="C217" s="6" t="s">
        <v>611</v>
      </c>
      <c r="E217" s="6" t="s">
        <v>612</v>
      </c>
      <c r="G217" s="7">
        <v>1999</v>
      </c>
      <c r="H217" s="7">
        <v>2258.87</v>
      </c>
      <c r="I217" s="7">
        <f t="shared" si="15"/>
        <v>1239.38</v>
      </c>
      <c r="J217" s="7">
        <f t="shared" si="16"/>
        <v>1299.35</v>
      </c>
      <c r="K217" s="7">
        <f t="shared" si="17"/>
        <v>1339.33</v>
      </c>
      <c r="L217" s="7">
        <f t="shared" si="18"/>
        <v>1399.3</v>
      </c>
      <c r="M217" s="7">
        <f t="shared" si="19"/>
        <v>1439.28</v>
      </c>
    </row>
    <row r="218" ht="25.5" spans="1:13">
      <c r="A218" s="6" t="s">
        <v>432</v>
      </c>
      <c r="B218" s="6" t="s">
        <v>613</v>
      </c>
      <c r="C218" s="6" t="s">
        <v>614</v>
      </c>
      <c r="E218" s="6" t="s">
        <v>615</v>
      </c>
      <c r="G218" s="7">
        <v>119</v>
      </c>
      <c r="H218" s="7">
        <v>134.47</v>
      </c>
      <c r="I218" s="7">
        <f t="shared" si="15"/>
        <v>73.78</v>
      </c>
      <c r="J218" s="7">
        <f t="shared" si="16"/>
        <v>77.35</v>
      </c>
      <c r="K218" s="7">
        <f t="shared" si="17"/>
        <v>79.73</v>
      </c>
      <c r="L218" s="7">
        <f t="shared" si="18"/>
        <v>83.3</v>
      </c>
      <c r="M218" s="7">
        <f t="shared" si="19"/>
        <v>85.68</v>
      </c>
    </row>
    <row r="219" ht="51" spans="1:13">
      <c r="A219" s="6" t="s">
        <v>432</v>
      </c>
      <c r="B219" s="6" t="s">
        <v>616</v>
      </c>
      <c r="C219" s="6" t="s">
        <v>617</v>
      </c>
      <c r="E219" s="6" t="s">
        <v>618</v>
      </c>
      <c r="G219" s="7">
        <v>3549</v>
      </c>
      <c r="H219" s="7">
        <v>4010.37</v>
      </c>
      <c r="I219" s="7">
        <f t="shared" si="15"/>
        <v>2200.38</v>
      </c>
      <c r="J219" s="7">
        <f t="shared" si="16"/>
        <v>2306.85</v>
      </c>
      <c r="K219" s="7">
        <f t="shared" si="17"/>
        <v>2377.83</v>
      </c>
      <c r="L219" s="7">
        <f t="shared" si="18"/>
        <v>2484.3</v>
      </c>
      <c r="M219" s="7">
        <f t="shared" si="19"/>
        <v>2555.28</v>
      </c>
    </row>
    <row r="220" spans="1:13">
      <c r="A220" s="6" t="s">
        <v>432</v>
      </c>
      <c r="B220" s="6" t="s">
        <v>619</v>
      </c>
      <c r="C220" s="6" t="s">
        <v>620</v>
      </c>
      <c r="E220" s="6" t="s">
        <v>620</v>
      </c>
      <c r="G220" s="7">
        <v>1798</v>
      </c>
      <c r="H220" s="7">
        <v>2031.74</v>
      </c>
      <c r="I220" s="7">
        <f t="shared" si="15"/>
        <v>1114.76</v>
      </c>
      <c r="J220" s="7">
        <f t="shared" si="16"/>
        <v>1168.7</v>
      </c>
      <c r="K220" s="7">
        <f t="shared" si="17"/>
        <v>1204.66</v>
      </c>
      <c r="L220" s="7">
        <f t="shared" si="18"/>
        <v>1258.6</v>
      </c>
      <c r="M220" s="7">
        <f t="shared" si="19"/>
        <v>1294.56</v>
      </c>
    </row>
    <row r="221" ht="25.5" spans="1:13">
      <c r="A221" s="6" t="s">
        <v>432</v>
      </c>
      <c r="B221" s="6" t="s">
        <v>621</v>
      </c>
      <c r="C221" s="6" t="s">
        <v>622</v>
      </c>
      <c r="E221" s="6" t="s">
        <v>623</v>
      </c>
      <c r="G221" s="7">
        <v>139</v>
      </c>
      <c r="H221" s="7">
        <v>157.07</v>
      </c>
      <c r="I221" s="7">
        <f t="shared" si="15"/>
        <v>86.18</v>
      </c>
      <c r="J221" s="7">
        <f t="shared" si="16"/>
        <v>90.35</v>
      </c>
      <c r="K221" s="7">
        <f t="shared" si="17"/>
        <v>93.13</v>
      </c>
      <c r="L221" s="7">
        <f t="shared" si="18"/>
        <v>97.3</v>
      </c>
      <c r="M221" s="7">
        <f t="shared" si="19"/>
        <v>100.08</v>
      </c>
    </row>
    <row r="222" ht="25.5" spans="1:13">
      <c r="A222" s="6" t="s">
        <v>432</v>
      </c>
      <c r="B222" s="6" t="s">
        <v>624</v>
      </c>
      <c r="C222" s="6" t="s">
        <v>625</v>
      </c>
      <c r="E222" s="6" t="s">
        <v>626</v>
      </c>
      <c r="G222" s="7">
        <v>1199</v>
      </c>
      <c r="H222" s="7">
        <v>1354.87</v>
      </c>
      <c r="I222" s="7">
        <f t="shared" si="15"/>
        <v>743.38</v>
      </c>
      <c r="J222" s="7">
        <f t="shared" si="16"/>
        <v>779.35</v>
      </c>
      <c r="K222" s="7">
        <f t="shared" si="17"/>
        <v>803.33</v>
      </c>
      <c r="L222" s="7">
        <f t="shared" si="18"/>
        <v>839.3</v>
      </c>
      <c r="M222" s="7">
        <f t="shared" si="19"/>
        <v>863.28</v>
      </c>
    </row>
    <row r="223" ht="25.5" spans="1:13">
      <c r="A223" s="6" t="s">
        <v>432</v>
      </c>
      <c r="B223" s="6" t="s">
        <v>627</v>
      </c>
      <c r="C223" s="6" t="s">
        <v>628</v>
      </c>
      <c r="E223" s="6" t="s">
        <v>629</v>
      </c>
      <c r="G223" s="7">
        <v>899</v>
      </c>
      <c r="H223" s="7">
        <v>1015.87</v>
      </c>
      <c r="I223" s="7">
        <f t="shared" si="15"/>
        <v>557.38</v>
      </c>
      <c r="J223" s="7">
        <f t="shared" si="16"/>
        <v>584.35</v>
      </c>
      <c r="K223" s="7">
        <f t="shared" si="17"/>
        <v>602.33</v>
      </c>
      <c r="L223" s="7">
        <f t="shared" si="18"/>
        <v>629.3</v>
      </c>
      <c r="M223" s="7">
        <f t="shared" si="19"/>
        <v>647.28</v>
      </c>
    </row>
    <row r="224" ht="25.5" spans="1:13">
      <c r="A224" s="6" t="s">
        <v>432</v>
      </c>
      <c r="B224" s="6" t="s">
        <v>630</v>
      </c>
      <c r="C224" s="6" t="s">
        <v>631</v>
      </c>
      <c r="E224" s="6" t="s">
        <v>632</v>
      </c>
      <c r="G224" s="7">
        <v>1749</v>
      </c>
      <c r="H224" s="7">
        <v>1976.37</v>
      </c>
      <c r="I224" s="7">
        <f t="shared" si="15"/>
        <v>1084.38</v>
      </c>
      <c r="J224" s="7">
        <f t="shared" si="16"/>
        <v>1136.85</v>
      </c>
      <c r="K224" s="7">
        <f t="shared" si="17"/>
        <v>1171.83</v>
      </c>
      <c r="L224" s="7">
        <f t="shared" si="18"/>
        <v>1224.3</v>
      </c>
      <c r="M224" s="7">
        <f t="shared" si="19"/>
        <v>1259.28</v>
      </c>
    </row>
    <row r="225" ht="25.5" spans="1:13">
      <c r="A225" s="6" t="s">
        <v>18</v>
      </c>
      <c r="B225" s="6" t="s">
        <v>633</v>
      </c>
      <c r="C225" s="6" t="s">
        <v>634</v>
      </c>
      <c r="E225" s="6" t="s">
        <v>635</v>
      </c>
      <c r="G225" s="7">
        <v>59</v>
      </c>
      <c r="H225" s="7">
        <v>66.67</v>
      </c>
      <c r="I225" s="7">
        <f t="shared" si="15"/>
        <v>36.58</v>
      </c>
      <c r="J225" s="7">
        <f t="shared" si="16"/>
        <v>38.35</v>
      </c>
      <c r="K225" s="7">
        <f t="shared" si="17"/>
        <v>39.53</v>
      </c>
      <c r="L225" s="7">
        <f t="shared" si="18"/>
        <v>41.3</v>
      </c>
      <c r="M225" s="7">
        <f t="shared" si="19"/>
        <v>42.48</v>
      </c>
    </row>
    <row r="226" ht="38.25" spans="1:13">
      <c r="A226" s="6" t="s">
        <v>548</v>
      </c>
      <c r="B226" s="6" t="s">
        <v>636</v>
      </c>
      <c r="C226" s="6" t="s">
        <v>637</v>
      </c>
      <c r="E226" s="6" t="s">
        <v>638</v>
      </c>
      <c r="G226" s="7">
        <v>1502</v>
      </c>
      <c r="H226" s="7">
        <v>1697.26</v>
      </c>
      <c r="I226" s="7">
        <f t="shared" si="15"/>
        <v>931.24</v>
      </c>
      <c r="J226" s="7">
        <f t="shared" si="16"/>
        <v>976.3</v>
      </c>
      <c r="K226" s="7">
        <f t="shared" si="17"/>
        <v>1006.34</v>
      </c>
      <c r="L226" s="7">
        <f t="shared" si="18"/>
        <v>1051.4</v>
      </c>
      <c r="M226" s="7">
        <f t="shared" si="19"/>
        <v>1081.44</v>
      </c>
    </row>
    <row r="227" ht="38.25" spans="1:13">
      <c r="A227" s="6" t="s">
        <v>45</v>
      </c>
      <c r="B227" s="6" t="s">
        <v>639</v>
      </c>
      <c r="C227" s="6" t="s">
        <v>640</v>
      </c>
      <c r="E227" s="6" t="s">
        <v>641</v>
      </c>
      <c r="G227" s="7">
        <v>2549</v>
      </c>
      <c r="H227" s="7">
        <v>2880.37</v>
      </c>
      <c r="I227" s="7">
        <f t="shared" si="15"/>
        <v>1580.38</v>
      </c>
      <c r="J227" s="7">
        <f t="shared" si="16"/>
        <v>1656.85</v>
      </c>
      <c r="K227" s="7">
        <f t="shared" si="17"/>
        <v>1707.83</v>
      </c>
      <c r="L227" s="7">
        <f t="shared" si="18"/>
        <v>1784.3</v>
      </c>
      <c r="M227" s="7">
        <f t="shared" si="19"/>
        <v>1835.28</v>
      </c>
    </row>
    <row r="228" ht="51" spans="1:13">
      <c r="A228" s="6" t="s">
        <v>45</v>
      </c>
      <c r="B228" s="6" t="s">
        <v>642</v>
      </c>
      <c r="C228" s="6" t="s">
        <v>643</v>
      </c>
      <c r="E228" s="6" t="s">
        <v>644</v>
      </c>
      <c r="G228" s="7">
        <v>3149</v>
      </c>
      <c r="H228" s="7">
        <v>3558.37</v>
      </c>
      <c r="I228" s="7">
        <f t="shared" si="15"/>
        <v>1952.38</v>
      </c>
      <c r="J228" s="7">
        <f t="shared" si="16"/>
        <v>2046.85</v>
      </c>
      <c r="K228" s="7">
        <f t="shared" si="17"/>
        <v>2109.83</v>
      </c>
      <c r="L228" s="7">
        <f t="shared" si="18"/>
        <v>2204.3</v>
      </c>
      <c r="M228" s="7">
        <f t="shared" si="19"/>
        <v>2267.28</v>
      </c>
    </row>
    <row r="229" ht="51" spans="1:13">
      <c r="A229" s="6" t="s">
        <v>45</v>
      </c>
      <c r="B229" s="6" t="s">
        <v>645</v>
      </c>
      <c r="C229" s="6" t="s">
        <v>646</v>
      </c>
      <c r="E229" s="6" t="s">
        <v>647</v>
      </c>
      <c r="G229" s="7">
        <v>3699</v>
      </c>
      <c r="H229" s="7">
        <v>4179.87</v>
      </c>
      <c r="I229" s="7">
        <f t="shared" si="15"/>
        <v>2293.38</v>
      </c>
      <c r="J229" s="7">
        <f t="shared" si="16"/>
        <v>2404.35</v>
      </c>
      <c r="K229" s="7">
        <f t="shared" si="17"/>
        <v>2478.33</v>
      </c>
      <c r="L229" s="7">
        <f t="shared" si="18"/>
        <v>2589.3</v>
      </c>
      <c r="M229" s="7">
        <f t="shared" si="19"/>
        <v>2663.28</v>
      </c>
    </row>
    <row r="230" ht="38.25" spans="1:13">
      <c r="A230" s="6" t="s">
        <v>39</v>
      </c>
      <c r="B230" s="6" t="s">
        <v>648</v>
      </c>
      <c r="C230" s="6" t="s">
        <v>649</v>
      </c>
      <c r="E230" s="6" t="s">
        <v>650</v>
      </c>
      <c r="G230" s="7">
        <v>4649</v>
      </c>
      <c r="H230" s="7">
        <v>5253.37</v>
      </c>
      <c r="I230" s="7">
        <f t="shared" si="15"/>
        <v>2882.38</v>
      </c>
      <c r="J230" s="7">
        <f t="shared" si="16"/>
        <v>3021.85</v>
      </c>
      <c r="K230" s="7">
        <f t="shared" si="17"/>
        <v>3114.83</v>
      </c>
      <c r="L230" s="7">
        <f t="shared" si="18"/>
        <v>3254.3</v>
      </c>
      <c r="M230" s="7">
        <f t="shared" si="19"/>
        <v>3347.28</v>
      </c>
    </row>
    <row r="231" spans="1:13">
      <c r="A231" s="6" t="s">
        <v>18</v>
      </c>
      <c r="B231" s="6" t="s">
        <v>651</v>
      </c>
      <c r="C231" s="6" t="s">
        <v>652</v>
      </c>
      <c r="E231" s="6" t="s">
        <v>652</v>
      </c>
      <c r="G231" s="7">
        <v>159</v>
      </c>
      <c r="H231" s="7">
        <v>179.67</v>
      </c>
      <c r="I231" s="7">
        <f t="shared" si="15"/>
        <v>98.58</v>
      </c>
      <c r="J231" s="7">
        <f t="shared" si="16"/>
        <v>103.35</v>
      </c>
      <c r="K231" s="7">
        <f t="shared" si="17"/>
        <v>106.53</v>
      </c>
      <c r="L231" s="7">
        <f t="shared" si="18"/>
        <v>111.3</v>
      </c>
      <c r="M231" s="7">
        <f t="shared" si="19"/>
        <v>114.48</v>
      </c>
    </row>
    <row r="232" spans="1:13">
      <c r="A232" s="6" t="s">
        <v>18</v>
      </c>
      <c r="B232" s="6" t="s">
        <v>653</v>
      </c>
      <c r="C232" s="6" t="s">
        <v>654</v>
      </c>
      <c r="E232" s="6" t="s">
        <v>654</v>
      </c>
      <c r="G232" s="7">
        <v>199</v>
      </c>
      <c r="H232" s="7">
        <v>224.87</v>
      </c>
      <c r="I232" s="7">
        <f t="shared" si="15"/>
        <v>123.38</v>
      </c>
      <c r="J232" s="7">
        <f t="shared" si="16"/>
        <v>129.35</v>
      </c>
      <c r="K232" s="7">
        <f t="shared" si="17"/>
        <v>133.33</v>
      </c>
      <c r="L232" s="7">
        <f t="shared" si="18"/>
        <v>139.3</v>
      </c>
      <c r="M232" s="7">
        <f t="shared" si="19"/>
        <v>143.28</v>
      </c>
    </row>
    <row r="233" spans="1:13">
      <c r="A233" s="6" t="s">
        <v>18</v>
      </c>
      <c r="B233" s="6" t="s">
        <v>655</v>
      </c>
      <c r="C233" s="6" t="s">
        <v>656</v>
      </c>
      <c r="E233" s="6" t="s">
        <v>656</v>
      </c>
      <c r="G233" s="7">
        <v>439</v>
      </c>
      <c r="H233" s="7">
        <v>496.07</v>
      </c>
      <c r="I233" s="7">
        <f t="shared" si="15"/>
        <v>272.18</v>
      </c>
      <c r="J233" s="7">
        <f t="shared" si="16"/>
        <v>285.35</v>
      </c>
      <c r="K233" s="7">
        <f t="shared" si="17"/>
        <v>294.13</v>
      </c>
      <c r="L233" s="7">
        <f t="shared" si="18"/>
        <v>307.3</v>
      </c>
      <c r="M233" s="7">
        <f t="shared" si="19"/>
        <v>316.08</v>
      </c>
    </row>
    <row r="234" spans="1:13">
      <c r="A234" s="6" t="s">
        <v>18</v>
      </c>
      <c r="B234" s="6" t="s">
        <v>657</v>
      </c>
      <c r="C234" s="6" t="s">
        <v>658</v>
      </c>
      <c r="E234" s="6" t="s">
        <v>659</v>
      </c>
      <c r="G234" s="7">
        <v>39</v>
      </c>
      <c r="H234" s="7">
        <v>44.07</v>
      </c>
      <c r="I234" s="7">
        <f t="shared" si="15"/>
        <v>24.18</v>
      </c>
      <c r="J234" s="7">
        <f t="shared" si="16"/>
        <v>25.35</v>
      </c>
      <c r="K234" s="7">
        <f t="shared" si="17"/>
        <v>26.13</v>
      </c>
      <c r="L234" s="7">
        <f t="shared" si="18"/>
        <v>27.3</v>
      </c>
      <c r="M234" s="7">
        <f t="shared" si="19"/>
        <v>28.08</v>
      </c>
    </row>
    <row r="235" spans="1:13">
      <c r="A235" s="6" t="s">
        <v>18</v>
      </c>
      <c r="B235" s="6" t="s">
        <v>660</v>
      </c>
      <c r="C235" s="6" t="s">
        <v>661</v>
      </c>
      <c r="E235" s="6" t="s">
        <v>661</v>
      </c>
      <c r="G235" s="7">
        <v>379</v>
      </c>
      <c r="H235" s="7">
        <v>428.27</v>
      </c>
      <c r="I235" s="7">
        <f t="shared" si="15"/>
        <v>234.98</v>
      </c>
      <c r="J235" s="7">
        <f t="shared" si="16"/>
        <v>246.35</v>
      </c>
      <c r="K235" s="7">
        <f t="shared" si="17"/>
        <v>253.93</v>
      </c>
      <c r="L235" s="7">
        <f t="shared" si="18"/>
        <v>265.3</v>
      </c>
      <c r="M235" s="7">
        <f t="shared" si="19"/>
        <v>272.88</v>
      </c>
    </row>
    <row r="236" spans="1:13">
      <c r="A236" s="6" t="s">
        <v>18</v>
      </c>
      <c r="B236" s="6" t="s">
        <v>662</v>
      </c>
      <c r="C236" s="6" t="s">
        <v>663</v>
      </c>
      <c r="E236" s="6" t="s">
        <v>664</v>
      </c>
      <c r="G236" s="7">
        <v>39</v>
      </c>
      <c r="H236" s="7">
        <v>44.07</v>
      </c>
      <c r="I236" s="7">
        <f t="shared" si="15"/>
        <v>24.18</v>
      </c>
      <c r="J236" s="7">
        <f t="shared" si="16"/>
        <v>25.35</v>
      </c>
      <c r="K236" s="7">
        <f t="shared" si="17"/>
        <v>26.13</v>
      </c>
      <c r="L236" s="7">
        <f t="shared" si="18"/>
        <v>27.3</v>
      </c>
      <c r="M236" s="7">
        <f t="shared" si="19"/>
        <v>28.08</v>
      </c>
    </row>
    <row r="237" ht="25.5" spans="1:13">
      <c r="A237" s="6" t="s">
        <v>18</v>
      </c>
      <c r="B237" s="6" t="s">
        <v>665</v>
      </c>
      <c r="C237" s="6" t="s">
        <v>666</v>
      </c>
      <c r="E237" s="6" t="s">
        <v>667</v>
      </c>
      <c r="G237" s="7">
        <v>119</v>
      </c>
      <c r="H237" s="7">
        <v>134.47</v>
      </c>
      <c r="I237" s="7">
        <f t="shared" si="15"/>
        <v>73.78</v>
      </c>
      <c r="J237" s="7">
        <f t="shared" si="16"/>
        <v>77.35</v>
      </c>
      <c r="K237" s="7">
        <f t="shared" si="17"/>
        <v>79.73</v>
      </c>
      <c r="L237" s="7">
        <f t="shared" si="18"/>
        <v>83.3</v>
      </c>
      <c r="M237" s="7">
        <f t="shared" si="19"/>
        <v>85.68</v>
      </c>
    </row>
    <row r="238" spans="1:13">
      <c r="A238" s="6" t="s">
        <v>18</v>
      </c>
      <c r="B238" s="6" t="s">
        <v>668</v>
      </c>
      <c r="C238" s="6" t="s">
        <v>669</v>
      </c>
      <c r="E238" s="6" t="s">
        <v>669</v>
      </c>
      <c r="G238" s="7">
        <v>51</v>
      </c>
      <c r="H238" s="7">
        <v>57.63</v>
      </c>
      <c r="I238" s="7">
        <f t="shared" si="15"/>
        <v>31.62</v>
      </c>
      <c r="J238" s="7">
        <f t="shared" si="16"/>
        <v>33.15</v>
      </c>
      <c r="K238" s="7">
        <f t="shared" si="17"/>
        <v>34.17</v>
      </c>
      <c r="L238" s="7">
        <f t="shared" si="18"/>
        <v>35.7</v>
      </c>
      <c r="M238" s="7">
        <f t="shared" si="19"/>
        <v>36.72</v>
      </c>
    </row>
    <row r="239" spans="1:13">
      <c r="A239" s="6" t="s">
        <v>18</v>
      </c>
      <c r="B239" s="6" t="s">
        <v>670</v>
      </c>
      <c r="C239" s="6" t="s">
        <v>671</v>
      </c>
      <c r="E239" s="6" t="s">
        <v>671</v>
      </c>
      <c r="G239" s="7">
        <v>51</v>
      </c>
      <c r="H239" s="7">
        <v>57.63</v>
      </c>
      <c r="I239" s="7">
        <f t="shared" si="15"/>
        <v>31.62</v>
      </c>
      <c r="J239" s="7">
        <f t="shared" si="16"/>
        <v>33.15</v>
      </c>
      <c r="K239" s="7">
        <f t="shared" si="17"/>
        <v>34.17</v>
      </c>
      <c r="L239" s="7">
        <f t="shared" si="18"/>
        <v>35.7</v>
      </c>
      <c r="M239" s="7">
        <f t="shared" si="19"/>
        <v>36.72</v>
      </c>
    </row>
    <row r="240" spans="1:13">
      <c r="A240" s="6" t="s">
        <v>18</v>
      </c>
      <c r="B240" s="6" t="s">
        <v>672</v>
      </c>
      <c r="C240" s="6" t="s">
        <v>673</v>
      </c>
      <c r="E240" s="6" t="s">
        <v>673</v>
      </c>
      <c r="G240" s="7">
        <v>51</v>
      </c>
      <c r="H240" s="7">
        <v>57.63</v>
      </c>
      <c r="I240" s="7">
        <f t="shared" si="15"/>
        <v>31.62</v>
      </c>
      <c r="J240" s="7">
        <f t="shared" si="16"/>
        <v>33.15</v>
      </c>
      <c r="K240" s="7">
        <f t="shared" si="17"/>
        <v>34.17</v>
      </c>
      <c r="L240" s="7">
        <f t="shared" si="18"/>
        <v>35.7</v>
      </c>
      <c r="M240" s="7">
        <f t="shared" si="19"/>
        <v>36.72</v>
      </c>
    </row>
    <row r="241" spans="1:13">
      <c r="A241" s="6" t="s">
        <v>18</v>
      </c>
      <c r="B241" s="6" t="s">
        <v>674</v>
      </c>
      <c r="C241" s="6" t="s">
        <v>675</v>
      </c>
      <c r="E241" s="6" t="s">
        <v>675</v>
      </c>
      <c r="G241" s="7">
        <v>28</v>
      </c>
      <c r="H241" s="7">
        <v>31.64</v>
      </c>
      <c r="I241" s="7">
        <f t="shared" si="15"/>
        <v>17.36</v>
      </c>
      <c r="J241" s="7">
        <f t="shared" si="16"/>
        <v>18.2</v>
      </c>
      <c r="K241" s="7">
        <f t="shared" si="17"/>
        <v>18.76</v>
      </c>
      <c r="L241" s="7">
        <f t="shared" si="18"/>
        <v>19.6</v>
      </c>
      <c r="M241" s="7">
        <f t="shared" si="19"/>
        <v>20.16</v>
      </c>
    </row>
    <row r="242" spans="1:13">
      <c r="A242" s="6" t="s">
        <v>18</v>
      </c>
      <c r="B242" s="6" t="s">
        <v>676</v>
      </c>
      <c r="C242" s="6" t="s">
        <v>677</v>
      </c>
      <c r="E242" s="6" t="s">
        <v>677</v>
      </c>
      <c r="G242" s="7">
        <v>40</v>
      </c>
      <c r="H242" s="7">
        <v>45.2</v>
      </c>
      <c r="I242" s="7">
        <f t="shared" si="15"/>
        <v>24.8</v>
      </c>
      <c r="J242" s="7">
        <f t="shared" si="16"/>
        <v>26</v>
      </c>
      <c r="K242" s="7">
        <f t="shared" si="17"/>
        <v>26.8</v>
      </c>
      <c r="L242" s="7">
        <f t="shared" si="18"/>
        <v>28</v>
      </c>
      <c r="M242" s="7">
        <f t="shared" si="19"/>
        <v>28.8</v>
      </c>
    </row>
    <row r="243" spans="1:13">
      <c r="A243" s="6" t="s">
        <v>18</v>
      </c>
      <c r="B243" s="6" t="s">
        <v>678</v>
      </c>
      <c r="C243" s="6" t="s">
        <v>679</v>
      </c>
      <c r="E243" s="6" t="s">
        <v>679</v>
      </c>
      <c r="G243" s="7">
        <v>46</v>
      </c>
      <c r="H243" s="7">
        <v>51.98</v>
      </c>
      <c r="I243" s="7">
        <f t="shared" si="15"/>
        <v>28.52</v>
      </c>
      <c r="J243" s="7">
        <f t="shared" si="16"/>
        <v>29.9</v>
      </c>
      <c r="K243" s="7">
        <f t="shared" si="17"/>
        <v>30.82</v>
      </c>
      <c r="L243" s="7">
        <f t="shared" si="18"/>
        <v>32.2</v>
      </c>
      <c r="M243" s="7">
        <f t="shared" si="19"/>
        <v>33.12</v>
      </c>
    </row>
    <row r="244" spans="1:13">
      <c r="A244" s="6" t="s">
        <v>18</v>
      </c>
      <c r="B244" s="6" t="s">
        <v>680</v>
      </c>
      <c r="C244" s="6" t="s">
        <v>681</v>
      </c>
      <c r="E244" s="6" t="s">
        <v>681</v>
      </c>
      <c r="G244" s="7">
        <v>34</v>
      </c>
      <c r="H244" s="7">
        <v>38.42</v>
      </c>
      <c r="I244" s="7">
        <f t="shared" si="15"/>
        <v>21.08</v>
      </c>
      <c r="J244" s="7">
        <f t="shared" si="16"/>
        <v>22.1</v>
      </c>
      <c r="K244" s="7">
        <f t="shared" si="17"/>
        <v>22.78</v>
      </c>
      <c r="L244" s="7">
        <f t="shared" si="18"/>
        <v>23.8</v>
      </c>
      <c r="M244" s="7">
        <f t="shared" si="19"/>
        <v>24.48</v>
      </c>
    </row>
    <row r="245" ht="63.75" spans="1:13">
      <c r="A245" s="6" t="s">
        <v>682</v>
      </c>
      <c r="B245" s="6" t="s">
        <v>683</v>
      </c>
      <c r="C245" s="6" t="s">
        <v>684</v>
      </c>
      <c r="E245" s="6" t="s">
        <v>685</v>
      </c>
      <c r="G245" s="7">
        <v>5699</v>
      </c>
      <c r="H245" s="7">
        <v>6439.87</v>
      </c>
      <c r="I245" s="7">
        <f t="shared" si="15"/>
        <v>3533.38</v>
      </c>
      <c r="J245" s="7">
        <f t="shared" si="16"/>
        <v>3704.35</v>
      </c>
      <c r="K245" s="7">
        <f t="shared" si="17"/>
        <v>3818.33</v>
      </c>
      <c r="L245" s="7">
        <f t="shared" si="18"/>
        <v>3989.3</v>
      </c>
      <c r="M245" s="7">
        <f t="shared" si="19"/>
        <v>4103.28</v>
      </c>
    </row>
    <row r="246" ht="51" spans="1:13">
      <c r="A246" s="6" t="s">
        <v>686</v>
      </c>
      <c r="B246" s="6" t="s">
        <v>687</v>
      </c>
      <c r="C246" s="6" t="s">
        <v>688</v>
      </c>
      <c r="E246" s="6" t="s">
        <v>689</v>
      </c>
      <c r="G246" s="7">
        <v>359</v>
      </c>
      <c r="H246" s="7">
        <v>405.67</v>
      </c>
      <c r="I246" s="7">
        <f t="shared" si="15"/>
        <v>222.58</v>
      </c>
      <c r="J246" s="7">
        <f t="shared" si="16"/>
        <v>233.35</v>
      </c>
      <c r="K246" s="7">
        <f t="shared" si="17"/>
        <v>240.53</v>
      </c>
      <c r="L246" s="7">
        <f t="shared" si="18"/>
        <v>251.3</v>
      </c>
      <c r="M246" s="7">
        <f t="shared" si="19"/>
        <v>258.48</v>
      </c>
    </row>
    <row r="247" ht="25.5" spans="1:13">
      <c r="A247" s="6" t="s">
        <v>686</v>
      </c>
      <c r="B247" s="6" t="s">
        <v>690</v>
      </c>
      <c r="C247" s="6" t="s">
        <v>691</v>
      </c>
      <c r="E247" s="6" t="s">
        <v>692</v>
      </c>
      <c r="G247" s="7">
        <v>359</v>
      </c>
      <c r="H247" s="7">
        <v>405.67</v>
      </c>
      <c r="I247" s="7">
        <f t="shared" si="15"/>
        <v>222.58</v>
      </c>
      <c r="J247" s="7">
        <f t="shared" si="16"/>
        <v>233.35</v>
      </c>
      <c r="K247" s="7">
        <f t="shared" si="17"/>
        <v>240.53</v>
      </c>
      <c r="L247" s="7">
        <f t="shared" si="18"/>
        <v>251.3</v>
      </c>
      <c r="M247" s="7">
        <f t="shared" si="19"/>
        <v>258.48</v>
      </c>
    </row>
    <row r="248" spans="1:13">
      <c r="A248" s="6" t="s">
        <v>18</v>
      </c>
      <c r="B248" s="6" t="s">
        <v>693</v>
      </c>
      <c r="C248" s="6" t="s">
        <v>694</v>
      </c>
      <c r="E248" s="6" t="s">
        <v>694</v>
      </c>
      <c r="G248" s="7">
        <v>419</v>
      </c>
      <c r="H248" s="7">
        <v>473.47</v>
      </c>
      <c r="I248" s="7">
        <f t="shared" si="15"/>
        <v>259.78</v>
      </c>
      <c r="J248" s="7">
        <f t="shared" si="16"/>
        <v>272.35</v>
      </c>
      <c r="K248" s="7">
        <f t="shared" si="17"/>
        <v>280.73</v>
      </c>
      <c r="L248" s="7">
        <f t="shared" si="18"/>
        <v>293.3</v>
      </c>
      <c r="M248" s="7">
        <f t="shared" si="19"/>
        <v>301.68</v>
      </c>
    </row>
    <row r="249" ht="51" spans="1:13">
      <c r="A249" s="6" t="s">
        <v>548</v>
      </c>
      <c r="B249" s="6" t="s">
        <v>695</v>
      </c>
      <c r="C249" s="6" t="s">
        <v>696</v>
      </c>
      <c r="E249" s="6" t="s">
        <v>697</v>
      </c>
      <c r="G249" s="7">
        <v>1344</v>
      </c>
      <c r="H249" s="7">
        <v>1518.72</v>
      </c>
      <c r="I249" s="7">
        <f t="shared" si="15"/>
        <v>833.28</v>
      </c>
      <c r="J249" s="7">
        <f t="shared" si="16"/>
        <v>873.6</v>
      </c>
      <c r="K249" s="7">
        <f t="shared" si="17"/>
        <v>900.48</v>
      </c>
      <c r="L249" s="7">
        <f t="shared" si="18"/>
        <v>940.8</v>
      </c>
      <c r="M249" s="7">
        <f t="shared" si="19"/>
        <v>967.68</v>
      </c>
    </row>
    <row r="250" ht="51" spans="1:13">
      <c r="A250" s="6" t="s">
        <v>548</v>
      </c>
      <c r="B250" s="6" t="s">
        <v>698</v>
      </c>
      <c r="C250" s="6" t="s">
        <v>699</v>
      </c>
      <c r="E250" s="6" t="s">
        <v>700</v>
      </c>
      <c r="G250" s="7">
        <v>1449</v>
      </c>
      <c r="H250" s="7">
        <v>1637.37</v>
      </c>
      <c r="I250" s="7">
        <f t="shared" si="15"/>
        <v>898.38</v>
      </c>
      <c r="J250" s="7">
        <f t="shared" si="16"/>
        <v>941.85</v>
      </c>
      <c r="K250" s="7">
        <f t="shared" si="17"/>
        <v>970.83</v>
      </c>
      <c r="L250" s="7">
        <f t="shared" si="18"/>
        <v>1014.3</v>
      </c>
      <c r="M250" s="7">
        <f t="shared" si="19"/>
        <v>1043.28</v>
      </c>
    </row>
    <row r="251" ht="38.25" spans="1:13">
      <c r="A251" s="6" t="s">
        <v>548</v>
      </c>
      <c r="B251" s="6" t="s">
        <v>701</v>
      </c>
      <c r="C251" s="6" t="s">
        <v>702</v>
      </c>
      <c r="E251" s="6" t="s">
        <v>703</v>
      </c>
      <c r="G251" s="7">
        <v>3497</v>
      </c>
      <c r="H251" s="7">
        <v>3951.61</v>
      </c>
      <c r="I251" s="7">
        <f t="shared" si="15"/>
        <v>2168.14</v>
      </c>
      <c r="J251" s="7">
        <f t="shared" si="16"/>
        <v>2273.05</v>
      </c>
      <c r="K251" s="7">
        <f t="shared" si="17"/>
        <v>2342.99</v>
      </c>
      <c r="L251" s="7">
        <f t="shared" si="18"/>
        <v>2447.9</v>
      </c>
      <c r="M251" s="7">
        <f t="shared" si="19"/>
        <v>2517.84</v>
      </c>
    </row>
    <row r="252" ht="25.5" spans="1:13">
      <c r="A252" s="6" t="s">
        <v>18</v>
      </c>
      <c r="B252" s="6" t="s">
        <v>704</v>
      </c>
      <c r="C252" s="6" t="s">
        <v>705</v>
      </c>
      <c r="E252" s="6" t="s">
        <v>706</v>
      </c>
      <c r="G252" s="7">
        <v>38.9</v>
      </c>
      <c r="H252" s="7">
        <v>43.957</v>
      </c>
      <c r="I252" s="7">
        <f t="shared" si="15"/>
        <v>24.118</v>
      </c>
      <c r="J252" s="7">
        <f t="shared" si="16"/>
        <v>25.285</v>
      </c>
      <c r="K252" s="7">
        <f t="shared" si="17"/>
        <v>26.063</v>
      </c>
      <c r="L252" s="7">
        <f t="shared" si="18"/>
        <v>27.23</v>
      </c>
      <c r="M252" s="7">
        <f t="shared" si="19"/>
        <v>28.008</v>
      </c>
    </row>
    <row r="253" ht="25.5" spans="1:13">
      <c r="A253" s="6" t="s">
        <v>707</v>
      </c>
      <c r="B253" s="6" t="s">
        <v>708</v>
      </c>
      <c r="C253" s="6" t="s">
        <v>709</v>
      </c>
      <c r="E253" s="6" t="s">
        <v>710</v>
      </c>
      <c r="G253" s="7">
        <v>750</v>
      </c>
      <c r="H253" s="7">
        <v>847.5</v>
      </c>
      <c r="I253" s="7">
        <f t="shared" si="15"/>
        <v>465</v>
      </c>
      <c r="J253" s="7">
        <f t="shared" si="16"/>
        <v>487.5</v>
      </c>
      <c r="K253" s="7">
        <f t="shared" si="17"/>
        <v>502.5</v>
      </c>
      <c r="L253" s="7">
        <f t="shared" si="18"/>
        <v>525</v>
      </c>
      <c r="M253" s="7">
        <f t="shared" si="19"/>
        <v>540</v>
      </c>
    </row>
    <row r="254" ht="38.25" spans="1:13">
      <c r="A254" s="6" t="s">
        <v>707</v>
      </c>
      <c r="B254" s="6" t="s">
        <v>711</v>
      </c>
      <c r="C254" s="6" t="s">
        <v>712</v>
      </c>
      <c r="E254" s="6" t="s">
        <v>713</v>
      </c>
      <c r="G254" s="7">
        <v>1449</v>
      </c>
      <c r="H254" s="7">
        <v>1637.37</v>
      </c>
      <c r="I254" s="7">
        <f t="shared" si="15"/>
        <v>898.38</v>
      </c>
      <c r="J254" s="7">
        <f t="shared" si="16"/>
        <v>941.85</v>
      </c>
      <c r="K254" s="7">
        <f t="shared" si="17"/>
        <v>970.83</v>
      </c>
      <c r="L254" s="7">
        <f t="shared" si="18"/>
        <v>1014.3</v>
      </c>
      <c r="M254" s="7">
        <f t="shared" si="19"/>
        <v>1043.28</v>
      </c>
    </row>
    <row r="255" ht="38.25" spans="1:13">
      <c r="A255" s="6" t="s">
        <v>707</v>
      </c>
      <c r="B255" s="6" t="s">
        <v>714</v>
      </c>
      <c r="C255" s="6" t="s">
        <v>715</v>
      </c>
      <c r="E255" s="6" t="s">
        <v>716</v>
      </c>
      <c r="G255" s="7">
        <v>2349</v>
      </c>
      <c r="H255" s="7">
        <v>2654.37</v>
      </c>
      <c r="I255" s="7">
        <f t="shared" si="15"/>
        <v>1456.38</v>
      </c>
      <c r="J255" s="7">
        <f t="shared" si="16"/>
        <v>1526.85</v>
      </c>
      <c r="K255" s="7">
        <f t="shared" si="17"/>
        <v>1573.83</v>
      </c>
      <c r="L255" s="7">
        <f t="shared" si="18"/>
        <v>1644.3</v>
      </c>
      <c r="M255" s="7">
        <f t="shared" si="19"/>
        <v>1691.28</v>
      </c>
    </row>
    <row r="256" spans="1:13">
      <c r="A256" s="6" t="s">
        <v>717</v>
      </c>
      <c r="B256" s="6" t="s">
        <v>718</v>
      </c>
      <c r="C256" s="6" t="s">
        <v>719</v>
      </c>
      <c r="E256" s="6" t="s">
        <v>720</v>
      </c>
      <c r="G256" s="7">
        <v>79</v>
      </c>
      <c r="H256" s="7">
        <v>89.27</v>
      </c>
      <c r="I256" s="7">
        <f t="shared" si="15"/>
        <v>48.98</v>
      </c>
      <c r="J256" s="7">
        <f t="shared" si="16"/>
        <v>51.35</v>
      </c>
      <c r="K256" s="7">
        <f t="shared" si="17"/>
        <v>52.93</v>
      </c>
      <c r="L256" s="7">
        <f t="shared" si="18"/>
        <v>55.3</v>
      </c>
      <c r="M256" s="7">
        <f t="shared" si="19"/>
        <v>56.88</v>
      </c>
    </row>
    <row r="257" spans="1:13">
      <c r="A257" s="6" t="s">
        <v>721</v>
      </c>
      <c r="B257" s="6" t="s">
        <v>722</v>
      </c>
      <c r="C257" s="6" t="s">
        <v>723</v>
      </c>
      <c r="E257" s="6" t="s">
        <v>724</v>
      </c>
      <c r="G257" s="7">
        <v>75</v>
      </c>
      <c r="H257" s="7">
        <v>84.75</v>
      </c>
      <c r="I257" s="7">
        <f t="shared" si="15"/>
        <v>46.5</v>
      </c>
      <c r="J257" s="7">
        <f t="shared" si="16"/>
        <v>48.75</v>
      </c>
      <c r="K257" s="7">
        <f t="shared" si="17"/>
        <v>50.25</v>
      </c>
      <c r="L257" s="7">
        <f t="shared" si="18"/>
        <v>52.5</v>
      </c>
      <c r="M257" s="7">
        <f t="shared" si="19"/>
        <v>54</v>
      </c>
    </row>
    <row r="258" spans="1:13">
      <c r="A258" s="6" t="s">
        <v>717</v>
      </c>
      <c r="B258" s="6" t="s">
        <v>725</v>
      </c>
      <c r="C258" s="6" t="s">
        <v>726</v>
      </c>
      <c r="E258" s="6" t="s">
        <v>726</v>
      </c>
      <c r="G258" s="7">
        <v>19</v>
      </c>
      <c r="H258" s="7">
        <v>21.47</v>
      </c>
      <c r="I258" s="7">
        <f t="shared" ref="I258:I321" si="20">G258*0.62</f>
        <v>11.78</v>
      </c>
      <c r="J258" s="7">
        <f t="shared" ref="J258:J321" si="21">G258*0.65</f>
        <v>12.35</v>
      </c>
      <c r="K258" s="7">
        <f t="shared" ref="K258:K321" si="22">G258*0.67</f>
        <v>12.73</v>
      </c>
      <c r="L258" s="7">
        <f t="shared" ref="L258:L321" si="23">G258*0.7</f>
        <v>13.3</v>
      </c>
      <c r="M258" s="7">
        <f t="shared" ref="M258:M321" si="24">G258*0.72</f>
        <v>13.68</v>
      </c>
    </row>
    <row r="259" ht="25.5" spans="1:13">
      <c r="A259" s="6" t="s">
        <v>25</v>
      </c>
      <c r="B259" s="6" t="s">
        <v>727</v>
      </c>
      <c r="C259" s="6" t="s">
        <v>728</v>
      </c>
      <c r="E259" s="6" t="s">
        <v>729</v>
      </c>
      <c r="G259" s="7">
        <v>79</v>
      </c>
      <c r="H259" s="7">
        <v>89.27</v>
      </c>
      <c r="I259" s="7">
        <f t="shared" si="20"/>
        <v>48.98</v>
      </c>
      <c r="J259" s="7">
        <f t="shared" si="21"/>
        <v>51.35</v>
      </c>
      <c r="K259" s="7">
        <f t="shared" si="22"/>
        <v>52.93</v>
      </c>
      <c r="L259" s="7">
        <f t="shared" si="23"/>
        <v>55.3</v>
      </c>
      <c r="M259" s="7">
        <f t="shared" si="24"/>
        <v>56.88</v>
      </c>
    </row>
    <row r="260" ht="51" spans="1:13">
      <c r="A260" s="6" t="s">
        <v>18</v>
      </c>
      <c r="B260" s="6" t="s">
        <v>730</v>
      </c>
      <c r="C260" s="6" t="s">
        <v>731</v>
      </c>
      <c r="E260" s="6" t="s">
        <v>732</v>
      </c>
      <c r="G260" s="7">
        <v>179</v>
      </c>
      <c r="H260" s="7">
        <v>202.27</v>
      </c>
      <c r="I260" s="7">
        <f t="shared" si="20"/>
        <v>110.98</v>
      </c>
      <c r="J260" s="7">
        <f t="shared" si="21"/>
        <v>116.35</v>
      </c>
      <c r="K260" s="7">
        <f t="shared" si="22"/>
        <v>119.93</v>
      </c>
      <c r="L260" s="7">
        <f t="shared" si="23"/>
        <v>125.3</v>
      </c>
      <c r="M260" s="7">
        <f t="shared" si="24"/>
        <v>128.88</v>
      </c>
    </row>
    <row r="261" ht="25.5" spans="1:13">
      <c r="A261" s="6" t="s">
        <v>733</v>
      </c>
      <c r="B261" s="6" t="s">
        <v>734</v>
      </c>
      <c r="C261" s="6" t="s">
        <v>735</v>
      </c>
      <c r="E261" s="6" t="s">
        <v>736</v>
      </c>
      <c r="G261" s="7">
        <v>99</v>
      </c>
      <c r="H261" s="7">
        <v>111.87</v>
      </c>
      <c r="I261" s="7">
        <f t="shared" si="20"/>
        <v>61.38</v>
      </c>
      <c r="J261" s="7">
        <f t="shared" si="21"/>
        <v>64.35</v>
      </c>
      <c r="K261" s="7">
        <f t="shared" si="22"/>
        <v>66.33</v>
      </c>
      <c r="L261" s="7">
        <f t="shared" si="23"/>
        <v>69.3</v>
      </c>
      <c r="M261" s="7">
        <f t="shared" si="24"/>
        <v>71.28</v>
      </c>
    </row>
    <row r="262" spans="1:13">
      <c r="A262" s="6" t="s">
        <v>25</v>
      </c>
      <c r="B262" s="6" t="s">
        <v>737</v>
      </c>
      <c r="C262" s="6" t="s">
        <v>738</v>
      </c>
      <c r="E262" s="6" t="s">
        <v>738</v>
      </c>
      <c r="G262" s="7">
        <v>18.99</v>
      </c>
      <c r="H262" s="7">
        <v>21.4587</v>
      </c>
      <c r="I262" s="7">
        <f t="shared" si="20"/>
        <v>11.7738</v>
      </c>
      <c r="J262" s="7">
        <f t="shared" si="21"/>
        <v>12.3435</v>
      </c>
      <c r="K262" s="7">
        <f t="shared" si="22"/>
        <v>12.7233</v>
      </c>
      <c r="L262" s="7">
        <f t="shared" si="23"/>
        <v>13.293</v>
      </c>
      <c r="M262" s="7">
        <f t="shared" si="24"/>
        <v>13.6728</v>
      </c>
    </row>
    <row r="263" spans="1:13">
      <c r="A263" s="6" t="s">
        <v>45</v>
      </c>
      <c r="B263" s="6" t="s">
        <v>739</v>
      </c>
      <c r="C263" s="6" t="s">
        <v>740</v>
      </c>
      <c r="E263" s="6" t="s">
        <v>740</v>
      </c>
      <c r="G263" s="7">
        <v>79</v>
      </c>
      <c r="H263" s="7">
        <v>89.27</v>
      </c>
      <c r="I263" s="7">
        <f t="shared" si="20"/>
        <v>48.98</v>
      </c>
      <c r="J263" s="7">
        <f t="shared" si="21"/>
        <v>51.35</v>
      </c>
      <c r="K263" s="7">
        <f t="shared" si="22"/>
        <v>52.93</v>
      </c>
      <c r="L263" s="7">
        <f t="shared" si="23"/>
        <v>55.3</v>
      </c>
      <c r="M263" s="7">
        <f t="shared" si="24"/>
        <v>56.88</v>
      </c>
    </row>
    <row r="264" spans="1:13">
      <c r="A264" s="6" t="s">
        <v>45</v>
      </c>
      <c r="B264" s="6" t="s">
        <v>741</v>
      </c>
      <c r="C264" s="6" t="s">
        <v>742</v>
      </c>
      <c r="E264" s="6" t="s">
        <v>742</v>
      </c>
      <c r="G264" s="7">
        <v>99</v>
      </c>
      <c r="H264" s="7">
        <v>111.87</v>
      </c>
      <c r="I264" s="7">
        <f t="shared" si="20"/>
        <v>61.38</v>
      </c>
      <c r="J264" s="7">
        <f t="shared" si="21"/>
        <v>64.35</v>
      </c>
      <c r="K264" s="7">
        <f t="shared" si="22"/>
        <v>66.33</v>
      </c>
      <c r="L264" s="7">
        <f t="shared" si="23"/>
        <v>69.3</v>
      </c>
      <c r="M264" s="7">
        <f t="shared" si="24"/>
        <v>71.28</v>
      </c>
    </row>
    <row r="265" spans="1:13">
      <c r="A265" s="6" t="s">
        <v>18</v>
      </c>
      <c r="B265" s="6" t="s">
        <v>743</v>
      </c>
      <c r="C265" s="6" t="s">
        <v>744</v>
      </c>
      <c r="E265" s="6" t="s">
        <v>745</v>
      </c>
      <c r="G265" s="7">
        <v>39.99</v>
      </c>
      <c r="H265" s="7">
        <v>45.1887</v>
      </c>
      <c r="I265" s="7">
        <f t="shared" si="20"/>
        <v>24.7938</v>
      </c>
      <c r="J265" s="7">
        <f t="shared" si="21"/>
        <v>25.9935</v>
      </c>
      <c r="K265" s="7">
        <f t="shared" si="22"/>
        <v>26.7933</v>
      </c>
      <c r="L265" s="7">
        <f t="shared" si="23"/>
        <v>27.993</v>
      </c>
      <c r="M265" s="7">
        <f t="shared" si="24"/>
        <v>28.7928</v>
      </c>
    </row>
    <row r="266" spans="1:13">
      <c r="A266" s="6" t="s">
        <v>18</v>
      </c>
      <c r="B266" s="6" t="s">
        <v>746</v>
      </c>
      <c r="C266" s="6" t="s">
        <v>746</v>
      </c>
      <c r="E266" s="6" t="s">
        <v>747</v>
      </c>
      <c r="G266" s="7">
        <v>139</v>
      </c>
      <c r="H266" s="7">
        <v>157.07</v>
      </c>
      <c r="I266" s="7">
        <f t="shared" si="20"/>
        <v>86.18</v>
      </c>
      <c r="J266" s="7">
        <f t="shared" si="21"/>
        <v>90.35</v>
      </c>
      <c r="K266" s="7">
        <f t="shared" si="22"/>
        <v>93.13</v>
      </c>
      <c r="L266" s="7">
        <f t="shared" si="23"/>
        <v>97.3</v>
      </c>
      <c r="M266" s="7">
        <f t="shared" si="24"/>
        <v>100.08</v>
      </c>
    </row>
    <row r="267" ht="38.25" spans="1:13">
      <c r="A267" s="6" t="s">
        <v>748</v>
      </c>
      <c r="B267" s="6" t="s">
        <v>749</v>
      </c>
      <c r="C267" s="6" t="s">
        <v>750</v>
      </c>
      <c r="E267" s="6" t="s">
        <v>751</v>
      </c>
      <c r="G267" s="7">
        <v>473</v>
      </c>
      <c r="H267" s="7">
        <v>534.49</v>
      </c>
      <c r="I267" s="7">
        <f t="shared" si="20"/>
        <v>293.26</v>
      </c>
      <c r="J267" s="7">
        <f t="shared" si="21"/>
        <v>307.45</v>
      </c>
      <c r="K267" s="7">
        <f t="shared" si="22"/>
        <v>316.91</v>
      </c>
      <c r="L267" s="7">
        <f t="shared" si="23"/>
        <v>331.1</v>
      </c>
      <c r="M267" s="7">
        <f t="shared" si="24"/>
        <v>340.56</v>
      </c>
    </row>
    <row r="268" ht="38.25" spans="1:13">
      <c r="A268" s="6" t="s">
        <v>748</v>
      </c>
      <c r="B268" s="6" t="s">
        <v>752</v>
      </c>
      <c r="C268" s="6" t="s">
        <v>753</v>
      </c>
      <c r="E268" s="6" t="s">
        <v>754</v>
      </c>
      <c r="G268" s="7">
        <v>419</v>
      </c>
      <c r="H268" s="7">
        <v>473.47</v>
      </c>
      <c r="I268" s="7">
        <f t="shared" si="20"/>
        <v>259.78</v>
      </c>
      <c r="J268" s="7">
        <f t="shared" si="21"/>
        <v>272.35</v>
      </c>
      <c r="K268" s="7">
        <f t="shared" si="22"/>
        <v>280.73</v>
      </c>
      <c r="L268" s="7">
        <f t="shared" si="23"/>
        <v>293.3</v>
      </c>
      <c r="M268" s="7">
        <f t="shared" si="24"/>
        <v>301.68</v>
      </c>
    </row>
    <row r="269" spans="1:13">
      <c r="A269" s="6" t="s">
        <v>755</v>
      </c>
      <c r="B269" s="6" t="s">
        <v>756</v>
      </c>
      <c r="C269" s="6" t="s">
        <v>757</v>
      </c>
      <c r="E269" s="6" t="s">
        <v>757</v>
      </c>
      <c r="G269" s="7">
        <v>199</v>
      </c>
      <c r="H269" s="7">
        <v>224.87</v>
      </c>
      <c r="I269" s="7">
        <f t="shared" si="20"/>
        <v>123.38</v>
      </c>
      <c r="J269" s="7">
        <f t="shared" si="21"/>
        <v>129.35</v>
      </c>
      <c r="K269" s="7">
        <f t="shared" si="22"/>
        <v>133.33</v>
      </c>
      <c r="L269" s="7">
        <f t="shared" si="23"/>
        <v>139.3</v>
      </c>
      <c r="M269" s="7">
        <f t="shared" si="24"/>
        <v>143.28</v>
      </c>
    </row>
    <row r="270" ht="25.5" spans="1:13">
      <c r="A270" s="6" t="s">
        <v>755</v>
      </c>
      <c r="B270" s="6" t="s">
        <v>758</v>
      </c>
      <c r="C270" s="6" t="s">
        <v>759</v>
      </c>
      <c r="E270" s="6" t="s">
        <v>760</v>
      </c>
      <c r="G270" s="7">
        <v>149</v>
      </c>
      <c r="H270" s="7">
        <v>168.37</v>
      </c>
      <c r="I270" s="7">
        <f t="shared" si="20"/>
        <v>92.38</v>
      </c>
      <c r="J270" s="7">
        <f t="shared" si="21"/>
        <v>96.85</v>
      </c>
      <c r="K270" s="7">
        <f t="shared" si="22"/>
        <v>99.83</v>
      </c>
      <c r="L270" s="7">
        <f t="shared" si="23"/>
        <v>104.3</v>
      </c>
      <c r="M270" s="7">
        <f t="shared" si="24"/>
        <v>107.28</v>
      </c>
    </row>
    <row r="271" spans="1:13">
      <c r="A271" s="6" t="s">
        <v>755</v>
      </c>
      <c r="B271" s="6" t="s">
        <v>761</v>
      </c>
      <c r="C271" s="6" t="s">
        <v>762</v>
      </c>
      <c r="E271" s="6" t="s">
        <v>763</v>
      </c>
      <c r="G271" s="7">
        <v>149</v>
      </c>
      <c r="H271" s="7">
        <v>168.37</v>
      </c>
      <c r="I271" s="7">
        <f t="shared" si="20"/>
        <v>92.38</v>
      </c>
      <c r="J271" s="7">
        <f t="shared" si="21"/>
        <v>96.85</v>
      </c>
      <c r="K271" s="7">
        <f t="shared" si="22"/>
        <v>99.83</v>
      </c>
      <c r="L271" s="7">
        <f t="shared" si="23"/>
        <v>104.3</v>
      </c>
      <c r="M271" s="7">
        <f t="shared" si="24"/>
        <v>107.28</v>
      </c>
    </row>
    <row r="272" spans="1:13">
      <c r="A272" s="6" t="s">
        <v>755</v>
      </c>
      <c r="B272" s="6" t="s">
        <v>764</v>
      </c>
      <c r="C272" s="6" t="s">
        <v>765</v>
      </c>
      <c r="E272" s="6" t="s">
        <v>766</v>
      </c>
      <c r="G272" s="7">
        <v>299</v>
      </c>
      <c r="H272" s="7">
        <v>337.87</v>
      </c>
      <c r="I272" s="7">
        <f t="shared" si="20"/>
        <v>185.38</v>
      </c>
      <c r="J272" s="7">
        <f t="shared" si="21"/>
        <v>194.35</v>
      </c>
      <c r="K272" s="7">
        <f t="shared" si="22"/>
        <v>200.33</v>
      </c>
      <c r="L272" s="7">
        <f t="shared" si="23"/>
        <v>209.3</v>
      </c>
      <c r="M272" s="7">
        <f t="shared" si="24"/>
        <v>215.28</v>
      </c>
    </row>
    <row r="273" ht="25.5" spans="1:13">
      <c r="A273" s="6" t="s">
        <v>755</v>
      </c>
      <c r="B273" s="6" t="s">
        <v>767</v>
      </c>
      <c r="C273" s="6" t="s">
        <v>768</v>
      </c>
      <c r="E273" s="6" t="s">
        <v>769</v>
      </c>
      <c r="G273" s="7">
        <v>149</v>
      </c>
      <c r="H273" s="7">
        <v>168.37</v>
      </c>
      <c r="I273" s="7">
        <f t="shared" si="20"/>
        <v>92.38</v>
      </c>
      <c r="J273" s="7">
        <f t="shared" si="21"/>
        <v>96.85</v>
      </c>
      <c r="K273" s="7">
        <f t="shared" si="22"/>
        <v>99.83</v>
      </c>
      <c r="L273" s="7">
        <f t="shared" si="23"/>
        <v>104.3</v>
      </c>
      <c r="M273" s="7">
        <f t="shared" si="24"/>
        <v>107.28</v>
      </c>
    </row>
    <row r="274" ht="25.5" spans="1:13">
      <c r="A274" s="6" t="s">
        <v>755</v>
      </c>
      <c r="B274" s="6" t="s">
        <v>770</v>
      </c>
      <c r="C274" s="6" t="s">
        <v>771</v>
      </c>
      <c r="E274" s="6" t="s">
        <v>772</v>
      </c>
      <c r="G274" s="7">
        <v>199</v>
      </c>
      <c r="H274" s="7">
        <v>224.87</v>
      </c>
      <c r="I274" s="7">
        <f t="shared" si="20"/>
        <v>123.38</v>
      </c>
      <c r="J274" s="7">
        <f t="shared" si="21"/>
        <v>129.35</v>
      </c>
      <c r="K274" s="7">
        <f t="shared" si="22"/>
        <v>133.33</v>
      </c>
      <c r="L274" s="7">
        <f t="shared" si="23"/>
        <v>139.3</v>
      </c>
      <c r="M274" s="7">
        <f t="shared" si="24"/>
        <v>143.28</v>
      </c>
    </row>
    <row r="275" spans="1:13">
      <c r="A275" s="6" t="s">
        <v>755</v>
      </c>
      <c r="B275" s="6" t="s">
        <v>773</v>
      </c>
      <c r="C275" s="6" t="s">
        <v>774</v>
      </c>
      <c r="E275" s="6" t="s">
        <v>775</v>
      </c>
      <c r="G275" s="7">
        <v>149</v>
      </c>
      <c r="H275" s="7">
        <v>168.37</v>
      </c>
      <c r="I275" s="7">
        <f t="shared" si="20"/>
        <v>92.38</v>
      </c>
      <c r="J275" s="7">
        <f t="shared" si="21"/>
        <v>96.85</v>
      </c>
      <c r="K275" s="7">
        <f t="shared" si="22"/>
        <v>99.83</v>
      </c>
      <c r="L275" s="7">
        <f t="shared" si="23"/>
        <v>104.3</v>
      </c>
      <c r="M275" s="7">
        <f t="shared" si="24"/>
        <v>107.28</v>
      </c>
    </row>
    <row r="276" spans="1:13">
      <c r="A276" s="6" t="s">
        <v>755</v>
      </c>
      <c r="B276" s="6" t="s">
        <v>776</v>
      </c>
      <c r="C276" s="6" t="s">
        <v>777</v>
      </c>
      <c r="E276" s="6" t="s">
        <v>778</v>
      </c>
      <c r="G276" s="7">
        <v>199</v>
      </c>
      <c r="H276" s="7">
        <v>224.87</v>
      </c>
      <c r="I276" s="7">
        <f t="shared" si="20"/>
        <v>123.38</v>
      </c>
      <c r="J276" s="7">
        <f t="shared" si="21"/>
        <v>129.35</v>
      </c>
      <c r="K276" s="7">
        <f t="shared" si="22"/>
        <v>133.33</v>
      </c>
      <c r="L276" s="7">
        <f t="shared" si="23"/>
        <v>139.3</v>
      </c>
      <c r="M276" s="7">
        <f t="shared" si="24"/>
        <v>143.28</v>
      </c>
    </row>
    <row r="277" spans="1:13">
      <c r="A277" s="6" t="s">
        <v>755</v>
      </c>
      <c r="B277" s="6" t="s">
        <v>779</v>
      </c>
      <c r="C277" s="6" t="s">
        <v>780</v>
      </c>
      <c r="E277" s="6" t="s">
        <v>781</v>
      </c>
      <c r="G277" s="7">
        <v>399</v>
      </c>
      <c r="H277" s="7">
        <v>450.87</v>
      </c>
      <c r="I277" s="7">
        <f t="shared" si="20"/>
        <v>247.38</v>
      </c>
      <c r="J277" s="7">
        <f t="shared" si="21"/>
        <v>259.35</v>
      </c>
      <c r="K277" s="7">
        <f t="shared" si="22"/>
        <v>267.33</v>
      </c>
      <c r="L277" s="7">
        <f t="shared" si="23"/>
        <v>279.3</v>
      </c>
      <c r="M277" s="7">
        <f t="shared" si="24"/>
        <v>287.28</v>
      </c>
    </row>
    <row r="278" spans="1:13">
      <c r="A278" s="6" t="s">
        <v>755</v>
      </c>
      <c r="B278" s="6" t="s">
        <v>782</v>
      </c>
      <c r="C278" s="6" t="s">
        <v>783</v>
      </c>
      <c r="E278" s="6" t="s">
        <v>784</v>
      </c>
      <c r="G278" s="7">
        <v>199</v>
      </c>
      <c r="H278" s="7">
        <v>224.87</v>
      </c>
      <c r="I278" s="7">
        <f t="shared" si="20"/>
        <v>123.38</v>
      </c>
      <c r="J278" s="7">
        <f t="shared" si="21"/>
        <v>129.35</v>
      </c>
      <c r="K278" s="7">
        <f t="shared" si="22"/>
        <v>133.33</v>
      </c>
      <c r="L278" s="7">
        <f t="shared" si="23"/>
        <v>139.3</v>
      </c>
      <c r="M278" s="7">
        <f t="shared" si="24"/>
        <v>143.28</v>
      </c>
    </row>
    <row r="279" spans="1:13">
      <c r="A279" s="6" t="s">
        <v>25</v>
      </c>
      <c r="B279" s="6" t="s">
        <v>785</v>
      </c>
      <c r="C279" s="6" t="s">
        <v>786</v>
      </c>
      <c r="E279" s="6" t="s">
        <v>787</v>
      </c>
      <c r="G279" s="7">
        <v>23.99</v>
      </c>
      <c r="H279" s="7">
        <v>27.1087</v>
      </c>
      <c r="I279" s="7">
        <f t="shared" si="20"/>
        <v>14.8738</v>
      </c>
      <c r="J279" s="7">
        <f t="shared" si="21"/>
        <v>15.5935</v>
      </c>
      <c r="K279" s="7">
        <f t="shared" si="22"/>
        <v>16.0733</v>
      </c>
      <c r="L279" s="7">
        <f t="shared" si="23"/>
        <v>16.793</v>
      </c>
      <c r="M279" s="7">
        <f t="shared" si="24"/>
        <v>17.2728</v>
      </c>
    </row>
    <row r="280" spans="1:13">
      <c r="A280" s="6" t="s">
        <v>18</v>
      </c>
      <c r="B280" s="6" t="s">
        <v>788</v>
      </c>
      <c r="C280" s="6" t="s">
        <v>789</v>
      </c>
      <c r="E280" s="6" t="s">
        <v>790</v>
      </c>
      <c r="G280" s="7">
        <v>2371</v>
      </c>
      <c r="H280" s="7">
        <v>2679.23</v>
      </c>
      <c r="I280" s="7">
        <f t="shared" si="20"/>
        <v>1470.02</v>
      </c>
      <c r="J280" s="7">
        <f t="shared" si="21"/>
        <v>1541.15</v>
      </c>
      <c r="K280" s="7">
        <f t="shared" si="22"/>
        <v>1588.57</v>
      </c>
      <c r="L280" s="7">
        <f t="shared" si="23"/>
        <v>1659.7</v>
      </c>
      <c r="M280" s="7">
        <f t="shared" si="24"/>
        <v>1707.12</v>
      </c>
    </row>
    <row r="281" spans="1:13">
      <c r="A281" s="6" t="s">
        <v>18</v>
      </c>
      <c r="B281" s="6" t="s">
        <v>791</v>
      </c>
      <c r="C281" s="6" t="s">
        <v>792</v>
      </c>
      <c r="E281" s="6" t="s">
        <v>793</v>
      </c>
      <c r="G281" s="7">
        <v>795</v>
      </c>
      <c r="H281" s="7">
        <v>898.35</v>
      </c>
      <c r="I281" s="7">
        <f t="shared" si="20"/>
        <v>492.9</v>
      </c>
      <c r="J281" s="7">
        <f t="shared" si="21"/>
        <v>516.75</v>
      </c>
      <c r="K281" s="7">
        <f t="shared" si="22"/>
        <v>532.65</v>
      </c>
      <c r="L281" s="7">
        <f t="shared" si="23"/>
        <v>556.5</v>
      </c>
      <c r="M281" s="7">
        <f t="shared" si="24"/>
        <v>572.4</v>
      </c>
    </row>
    <row r="282" spans="1:13">
      <c r="A282" s="6" t="s">
        <v>18</v>
      </c>
      <c r="B282" s="6" t="s">
        <v>794</v>
      </c>
      <c r="C282" s="6" t="s">
        <v>795</v>
      </c>
      <c r="E282" s="6" t="s">
        <v>796</v>
      </c>
      <c r="G282" s="7">
        <v>3864</v>
      </c>
      <c r="H282" s="7">
        <v>4366.32</v>
      </c>
      <c r="I282" s="7">
        <f t="shared" si="20"/>
        <v>2395.68</v>
      </c>
      <c r="J282" s="7">
        <f t="shared" si="21"/>
        <v>2511.6</v>
      </c>
      <c r="K282" s="7">
        <f t="shared" si="22"/>
        <v>2588.88</v>
      </c>
      <c r="L282" s="7">
        <f t="shared" si="23"/>
        <v>2704.8</v>
      </c>
      <c r="M282" s="7">
        <f t="shared" si="24"/>
        <v>2782.08</v>
      </c>
    </row>
    <row r="283" ht="63.75" spans="1:13">
      <c r="A283" s="6" t="s">
        <v>432</v>
      </c>
      <c r="B283" s="6" t="s">
        <v>797</v>
      </c>
      <c r="C283" s="6" t="s">
        <v>798</v>
      </c>
      <c r="E283" s="6" t="s">
        <v>799</v>
      </c>
      <c r="G283" s="7">
        <v>3299</v>
      </c>
      <c r="H283" s="7">
        <v>3727.87</v>
      </c>
      <c r="I283" s="7">
        <f t="shared" si="20"/>
        <v>2045.38</v>
      </c>
      <c r="J283" s="7">
        <f t="shared" si="21"/>
        <v>2144.35</v>
      </c>
      <c r="K283" s="7">
        <f t="shared" si="22"/>
        <v>2210.33</v>
      </c>
      <c r="L283" s="7">
        <f t="shared" si="23"/>
        <v>2309.3</v>
      </c>
      <c r="M283" s="7">
        <f t="shared" si="24"/>
        <v>2375.28</v>
      </c>
    </row>
    <row r="284" spans="1:13">
      <c r="A284" s="6" t="s">
        <v>18</v>
      </c>
      <c r="B284" s="6" t="s">
        <v>800</v>
      </c>
      <c r="C284" s="6" t="s">
        <v>801</v>
      </c>
      <c r="E284" s="6" t="s">
        <v>801</v>
      </c>
      <c r="G284" s="7">
        <v>99</v>
      </c>
      <c r="H284" s="7">
        <v>111.87</v>
      </c>
      <c r="I284" s="7">
        <f t="shared" si="20"/>
        <v>61.38</v>
      </c>
      <c r="J284" s="7">
        <f t="shared" si="21"/>
        <v>64.35</v>
      </c>
      <c r="K284" s="7">
        <f t="shared" si="22"/>
        <v>66.33</v>
      </c>
      <c r="L284" s="7">
        <f t="shared" si="23"/>
        <v>69.3</v>
      </c>
      <c r="M284" s="7">
        <f t="shared" si="24"/>
        <v>71.28</v>
      </c>
    </row>
    <row r="285" spans="1:13">
      <c r="A285" s="6" t="s">
        <v>18</v>
      </c>
      <c r="B285" s="6" t="s">
        <v>802</v>
      </c>
      <c r="C285" s="6" t="s">
        <v>803</v>
      </c>
      <c r="E285" s="6" t="s">
        <v>803</v>
      </c>
      <c r="G285" s="7">
        <v>29.99</v>
      </c>
      <c r="H285" s="7">
        <v>33.8887</v>
      </c>
      <c r="I285" s="7">
        <f t="shared" si="20"/>
        <v>18.5938</v>
      </c>
      <c r="J285" s="7">
        <f t="shared" si="21"/>
        <v>19.4935</v>
      </c>
      <c r="K285" s="7">
        <f t="shared" si="22"/>
        <v>20.0933</v>
      </c>
      <c r="L285" s="7">
        <f t="shared" si="23"/>
        <v>20.993</v>
      </c>
      <c r="M285" s="7">
        <f t="shared" si="24"/>
        <v>21.5928</v>
      </c>
    </row>
    <row r="286" spans="1:13">
      <c r="A286" s="6" t="s">
        <v>18</v>
      </c>
      <c r="B286" s="6" t="s">
        <v>804</v>
      </c>
      <c r="C286" s="6" t="s">
        <v>805</v>
      </c>
      <c r="E286" s="6" t="s">
        <v>806</v>
      </c>
      <c r="G286" s="7">
        <v>99</v>
      </c>
      <c r="H286" s="7">
        <v>111.87</v>
      </c>
      <c r="I286" s="7">
        <f t="shared" si="20"/>
        <v>61.38</v>
      </c>
      <c r="J286" s="7">
        <f t="shared" si="21"/>
        <v>64.35</v>
      </c>
      <c r="K286" s="7">
        <f t="shared" si="22"/>
        <v>66.33</v>
      </c>
      <c r="L286" s="7">
        <f t="shared" si="23"/>
        <v>69.3</v>
      </c>
      <c r="M286" s="7">
        <f t="shared" si="24"/>
        <v>71.28</v>
      </c>
    </row>
    <row r="287" spans="1:13">
      <c r="A287" s="6" t="s">
        <v>18</v>
      </c>
      <c r="B287" s="6" t="s">
        <v>807</v>
      </c>
      <c r="C287" s="6" t="s">
        <v>808</v>
      </c>
      <c r="E287" s="6" t="s">
        <v>809</v>
      </c>
      <c r="G287" s="7">
        <v>4399</v>
      </c>
      <c r="H287" s="7">
        <v>4970.87</v>
      </c>
      <c r="I287" s="7">
        <f t="shared" si="20"/>
        <v>2727.38</v>
      </c>
      <c r="J287" s="7">
        <f t="shared" si="21"/>
        <v>2859.35</v>
      </c>
      <c r="K287" s="7">
        <f t="shared" si="22"/>
        <v>2947.33</v>
      </c>
      <c r="L287" s="7">
        <f t="shared" si="23"/>
        <v>3079.3</v>
      </c>
      <c r="M287" s="7">
        <f t="shared" si="24"/>
        <v>3167.28</v>
      </c>
    </row>
    <row r="288" ht="25.5" spans="1:13">
      <c r="A288" s="6" t="s">
        <v>18</v>
      </c>
      <c r="B288" s="6" t="s">
        <v>810</v>
      </c>
      <c r="C288" s="6" t="s">
        <v>811</v>
      </c>
      <c r="E288" s="6" t="s">
        <v>812</v>
      </c>
      <c r="G288" s="7">
        <v>4399</v>
      </c>
      <c r="H288" s="7">
        <v>4970.87</v>
      </c>
      <c r="I288" s="7">
        <f t="shared" si="20"/>
        <v>2727.38</v>
      </c>
      <c r="J288" s="7">
        <f t="shared" si="21"/>
        <v>2859.35</v>
      </c>
      <c r="K288" s="7">
        <f t="shared" si="22"/>
        <v>2947.33</v>
      </c>
      <c r="L288" s="7">
        <f t="shared" si="23"/>
        <v>3079.3</v>
      </c>
      <c r="M288" s="7">
        <f t="shared" si="24"/>
        <v>3167.28</v>
      </c>
    </row>
    <row r="289" ht="38.25" spans="1:13">
      <c r="A289" s="6" t="s">
        <v>18</v>
      </c>
      <c r="B289" s="6" t="s">
        <v>813</v>
      </c>
      <c r="C289" s="6" t="s">
        <v>814</v>
      </c>
      <c r="E289" s="6" t="s">
        <v>815</v>
      </c>
      <c r="G289" s="7">
        <v>59</v>
      </c>
      <c r="H289" s="7">
        <v>66.67</v>
      </c>
      <c r="I289" s="7">
        <f t="shared" si="20"/>
        <v>36.58</v>
      </c>
      <c r="J289" s="7">
        <f t="shared" si="21"/>
        <v>38.35</v>
      </c>
      <c r="K289" s="7">
        <f t="shared" si="22"/>
        <v>39.53</v>
      </c>
      <c r="L289" s="7">
        <f t="shared" si="23"/>
        <v>41.3</v>
      </c>
      <c r="M289" s="7">
        <f t="shared" si="24"/>
        <v>42.48</v>
      </c>
    </row>
    <row r="290" spans="1:13">
      <c r="A290" s="6" t="s">
        <v>18</v>
      </c>
      <c r="B290" s="6" t="s">
        <v>816</v>
      </c>
      <c r="C290" s="6" t="s">
        <v>817</v>
      </c>
      <c r="E290" s="6" t="s">
        <v>818</v>
      </c>
      <c r="G290" s="7">
        <v>20</v>
      </c>
      <c r="H290" s="7">
        <v>22.6</v>
      </c>
      <c r="I290" s="7">
        <f t="shared" si="20"/>
        <v>12.4</v>
      </c>
      <c r="J290" s="7">
        <f t="shared" si="21"/>
        <v>13</v>
      </c>
      <c r="K290" s="7">
        <f t="shared" si="22"/>
        <v>13.4</v>
      </c>
      <c r="L290" s="7">
        <f t="shared" si="23"/>
        <v>14</v>
      </c>
      <c r="M290" s="7">
        <f t="shared" si="24"/>
        <v>14.4</v>
      </c>
    </row>
    <row r="291" spans="1:13">
      <c r="A291" s="6" t="s">
        <v>18</v>
      </c>
      <c r="B291" s="6" t="s">
        <v>819</v>
      </c>
      <c r="C291" s="6" t="s">
        <v>820</v>
      </c>
      <c r="E291" s="6" t="s">
        <v>821</v>
      </c>
      <c r="G291" s="7">
        <v>119</v>
      </c>
      <c r="H291" s="7">
        <v>134.47</v>
      </c>
      <c r="I291" s="7">
        <f t="shared" si="20"/>
        <v>73.78</v>
      </c>
      <c r="J291" s="7">
        <f t="shared" si="21"/>
        <v>77.35</v>
      </c>
      <c r="K291" s="7">
        <f t="shared" si="22"/>
        <v>79.73</v>
      </c>
      <c r="L291" s="7">
        <f t="shared" si="23"/>
        <v>83.3</v>
      </c>
      <c r="M291" s="7">
        <f t="shared" si="24"/>
        <v>85.68</v>
      </c>
    </row>
    <row r="292" spans="1:13">
      <c r="A292" s="6" t="s">
        <v>18</v>
      </c>
      <c r="B292" s="6" t="s">
        <v>822</v>
      </c>
      <c r="C292" s="6" t="s">
        <v>823</v>
      </c>
      <c r="E292" s="6" t="s">
        <v>824</v>
      </c>
      <c r="G292" s="7">
        <v>23.1</v>
      </c>
      <c r="H292" s="7">
        <v>26.103</v>
      </c>
      <c r="I292" s="7">
        <f t="shared" si="20"/>
        <v>14.322</v>
      </c>
      <c r="J292" s="7">
        <f t="shared" si="21"/>
        <v>15.015</v>
      </c>
      <c r="K292" s="7">
        <f t="shared" si="22"/>
        <v>15.477</v>
      </c>
      <c r="L292" s="7">
        <f t="shared" si="23"/>
        <v>16.17</v>
      </c>
      <c r="M292" s="7">
        <f t="shared" si="24"/>
        <v>16.632</v>
      </c>
    </row>
    <row r="293" spans="1:13">
      <c r="A293" s="6" t="s">
        <v>18</v>
      </c>
      <c r="B293" s="6" t="s">
        <v>825</v>
      </c>
      <c r="C293" s="6" t="s">
        <v>826</v>
      </c>
      <c r="E293" s="6" t="s">
        <v>827</v>
      </c>
      <c r="G293" s="7">
        <v>23.1</v>
      </c>
      <c r="H293" s="7">
        <v>26.103</v>
      </c>
      <c r="I293" s="7">
        <f t="shared" si="20"/>
        <v>14.322</v>
      </c>
      <c r="J293" s="7">
        <f t="shared" si="21"/>
        <v>15.015</v>
      </c>
      <c r="K293" s="7">
        <f t="shared" si="22"/>
        <v>15.477</v>
      </c>
      <c r="L293" s="7">
        <f t="shared" si="23"/>
        <v>16.17</v>
      </c>
      <c r="M293" s="7">
        <f t="shared" si="24"/>
        <v>16.632</v>
      </c>
    </row>
    <row r="294" spans="1:13">
      <c r="A294" s="6" t="s">
        <v>18</v>
      </c>
      <c r="B294" s="6" t="s">
        <v>828</v>
      </c>
      <c r="C294" s="6" t="s">
        <v>829</v>
      </c>
      <c r="E294" s="6" t="s">
        <v>830</v>
      </c>
      <c r="G294" s="7">
        <v>28.4</v>
      </c>
      <c r="H294" s="7">
        <v>32.092</v>
      </c>
      <c r="I294" s="7">
        <f t="shared" si="20"/>
        <v>17.608</v>
      </c>
      <c r="J294" s="7">
        <f t="shared" si="21"/>
        <v>18.46</v>
      </c>
      <c r="K294" s="7">
        <f t="shared" si="22"/>
        <v>19.028</v>
      </c>
      <c r="L294" s="7">
        <f t="shared" si="23"/>
        <v>19.88</v>
      </c>
      <c r="M294" s="7">
        <f t="shared" si="24"/>
        <v>20.448</v>
      </c>
    </row>
    <row r="295" spans="1:13">
      <c r="A295" s="6" t="s">
        <v>25</v>
      </c>
      <c r="B295" s="6" t="s">
        <v>831</v>
      </c>
      <c r="C295" s="6" t="s">
        <v>832</v>
      </c>
      <c r="E295" s="6" t="s">
        <v>833</v>
      </c>
      <c r="G295" s="7">
        <v>26.99</v>
      </c>
      <c r="H295" s="7">
        <v>30.4987</v>
      </c>
      <c r="I295" s="7">
        <f t="shared" si="20"/>
        <v>16.7338</v>
      </c>
      <c r="J295" s="7">
        <f t="shared" si="21"/>
        <v>17.5435</v>
      </c>
      <c r="K295" s="7">
        <f t="shared" si="22"/>
        <v>18.0833</v>
      </c>
      <c r="L295" s="7">
        <f t="shared" si="23"/>
        <v>18.893</v>
      </c>
      <c r="M295" s="7">
        <f t="shared" si="24"/>
        <v>19.4328</v>
      </c>
    </row>
    <row r="296" spans="1:13">
      <c r="A296" s="6" t="s">
        <v>25</v>
      </c>
      <c r="B296" s="6" t="s">
        <v>834</v>
      </c>
      <c r="C296" s="6" t="s">
        <v>835</v>
      </c>
      <c r="E296" s="6" t="s">
        <v>836</v>
      </c>
      <c r="G296" s="7">
        <v>26.99</v>
      </c>
      <c r="H296" s="7">
        <v>30.4987</v>
      </c>
      <c r="I296" s="7">
        <f t="shared" si="20"/>
        <v>16.7338</v>
      </c>
      <c r="J296" s="7">
        <f t="shared" si="21"/>
        <v>17.5435</v>
      </c>
      <c r="K296" s="7">
        <f t="shared" si="22"/>
        <v>18.0833</v>
      </c>
      <c r="L296" s="7">
        <f t="shared" si="23"/>
        <v>18.893</v>
      </c>
      <c r="M296" s="7">
        <f t="shared" si="24"/>
        <v>19.4328</v>
      </c>
    </row>
    <row r="297" spans="1:13">
      <c r="A297" s="6" t="s">
        <v>25</v>
      </c>
      <c r="B297" s="6" t="s">
        <v>837</v>
      </c>
      <c r="C297" s="6" t="s">
        <v>838</v>
      </c>
      <c r="E297" s="6" t="s">
        <v>839</v>
      </c>
      <c r="G297" s="7">
        <v>26.99</v>
      </c>
      <c r="H297" s="7">
        <v>30.4987</v>
      </c>
      <c r="I297" s="7">
        <f t="shared" si="20"/>
        <v>16.7338</v>
      </c>
      <c r="J297" s="7">
        <f t="shared" si="21"/>
        <v>17.5435</v>
      </c>
      <c r="K297" s="7">
        <f t="shared" si="22"/>
        <v>18.0833</v>
      </c>
      <c r="L297" s="7">
        <f t="shared" si="23"/>
        <v>18.893</v>
      </c>
      <c r="M297" s="7">
        <f t="shared" si="24"/>
        <v>19.4328</v>
      </c>
    </row>
    <row r="298" ht="25.5" spans="1:13">
      <c r="A298" s="6" t="s">
        <v>18</v>
      </c>
      <c r="B298" s="6" t="s">
        <v>840</v>
      </c>
      <c r="C298" s="6" t="s">
        <v>841</v>
      </c>
      <c r="E298" s="6" t="s">
        <v>841</v>
      </c>
      <c r="G298" s="7">
        <v>26</v>
      </c>
      <c r="H298" s="7">
        <v>29.38</v>
      </c>
      <c r="I298" s="7">
        <f t="shared" si="20"/>
        <v>16.12</v>
      </c>
      <c r="J298" s="7">
        <f t="shared" si="21"/>
        <v>16.9</v>
      </c>
      <c r="K298" s="7">
        <f t="shared" si="22"/>
        <v>17.42</v>
      </c>
      <c r="L298" s="7">
        <f t="shared" si="23"/>
        <v>18.2</v>
      </c>
      <c r="M298" s="7">
        <f t="shared" si="24"/>
        <v>18.72</v>
      </c>
    </row>
    <row r="299" ht="38.25" spans="1:13">
      <c r="A299" s="6" t="s">
        <v>432</v>
      </c>
      <c r="B299" s="6" t="s">
        <v>842</v>
      </c>
      <c r="C299" s="6" t="s">
        <v>843</v>
      </c>
      <c r="E299" s="6" t="s">
        <v>844</v>
      </c>
      <c r="G299" s="7">
        <v>3350</v>
      </c>
      <c r="H299" s="7">
        <v>3785.5</v>
      </c>
      <c r="I299" s="7">
        <f t="shared" si="20"/>
        <v>2077</v>
      </c>
      <c r="J299" s="7">
        <f t="shared" si="21"/>
        <v>2177.5</v>
      </c>
      <c r="K299" s="7">
        <f t="shared" si="22"/>
        <v>2244.5</v>
      </c>
      <c r="L299" s="7">
        <f t="shared" si="23"/>
        <v>2345</v>
      </c>
      <c r="M299" s="7">
        <f t="shared" si="24"/>
        <v>2412</v>
      </c>
    </row>
    <row r="300" spans="1:13">
      <c r="A300" s="6" t="s">
        <v>845</v>
      </c>
      <c r="B300" s="6" t="s">
        <v>846</v>
      </c>
      <c r="C300" s="6" t="s">
        <v>847</v>
      </c>
      <c r="E300" s="6" t="s">
        <v>847</v>
      </c>
      <c r="G300" s="7">
        <v>1849</v>
      </c>
      <c r="H300" s="7">
        <v>2089.37</v>
      </c>
      <c r="I300" s="7">
        <f t="shared" si="20"/>
        <v>1146.38</v>
      </c>
      <c r="J300" s="7">
        <f t="shared" si="21"/>
        <v>1201.85</v>
      </c>
      <c r="K300" s="7">
        <f t="shared" si="22"/>
        <v>1238.83</v>
      </c>
      <c r="L300" s="7">
        <f t="shared" si="23"/>
        <v>1294.3</v>
      </c>
      <c r="M300" s="7">
        <f t="shared" si="24"/>
        <v>1331.28</v>
      </c>
    </row>
    <row r="301" spans="1:13">
      <c r="A301" s="6" t="s">
        <v>25</v>
      </c>
      <c r="B301" s="6" t="s">
        <v>848</v>
      </c>
      <c r="C301" s="6" t="s">
        <v>849</v>
      </c>
      <c r="E301" s="6" t="s">
        <v>849</v>
      </c>
      <c r="G301" s="7">
        <v>799</v>
      </c>
      <c r="H301" s="7">
        <v>902.87</v>
      </c>
      <c r="I301" s="7">
        <f t="shared" si="20"/>
        <v>495.38</v>
      </c>
      <c r="J301" s="7">
        <f t="shared" si="21"/>
        <v>519.35</v>
      </c>
      <c r="K301" s="7">
        <f t="shared" si="22"/>
        <v>535.33</v>
      </c>
      <c r="L301" s="7">
        <f t="shared" si="23"/>
        <v>559.3</v>
      </c>
      <c r="M301" s="7">
        <f t="shared" si="24"/>
        <v>575.28</v>
      </c>
    </row>
    <row r="302" spans="1:13">
      <c r="A302" s="6" t="s">
        <v>228</v>
      </c>
      <c r="B302" s="6" t="s">
        <v>850</v>
      </c>
      <c r="C302" s="6" t="s">
        <v>851</v>
      </c>
      <c r="E302" s="6" t="s">
        <v>851</v>
      </c>
      <c r="G302" s="7">
        <v>1680</v>
      </c>
      <c r="H302" s="7">
        <v>1898.4</v>
      </c>
      <c r="I302" s="7">
        <f t="shared" si="20"/>
        <v>1041.6</v>
      </c>
      <c r="J302" s="7">
        <f t="shared" si="21"/>
        <v>1092</v>
      </c>
      <c r="K302" s="7">
        <f t="shared" si="22"/>
        <v>1125.6</v>
      </c>
      <c r="L302" s="7">
        <f t="shared" si="23"/>
        <v>1176</v>
      </c>
      <c r="M302" s="7">
        <f t="shared" si="24"/>
        <v>1209.6</v>
      </c>
    </row>
    <row r="303" spans="1:13">
      <c r="A303" s="6" t="s">
        <v>755</v>
      </c>
      <c r="B303" s="6" t="s">
        <v>852</v>
      </c>
      <c r="C303" s="6" t="s">
        <v>853</v>
      </c>
      <c r="E303" s="6" t="s">
        <v>854</v>
      </c>
      <c r="G303" s="7">
        <v>129</v>
      </c>
      <c r="H303" s="7">
        <v>145.77</v>
      </c>
      <c r="I303" s="7">
        <f t="shared" si="20"/>
        <v>79.98</v>
      </c>
      <c r="J303" s="7">
        <f t="shared" si="21"/>
        <v>83.85</v>
      </c>
      <c r="K303" s="7">
        <f t="shared" si="22"/>
        <v>86.43</v>
      </c>
      <c r="L303" s="7">
        <f t="shared" si="23"/>
        <v>90.3</v>
      </c>
      <c r="M303" s="7">
        <f t="shared" si="24"/>
        <v>92.88</v>
      </c>
    </row>
    <row r="304" spans="1:13">
      <c r="A304" s="6" t="s">
        <v>855</v>
      </c>
      <c r="B304" s="6" t="s">
        <v>856</v>
      </c>
      <c r="C304" s="6" t="s">
        <v>857</v>
      </c>
      <c r="E304" s="6" t="s">
        <v>858</v>
      </c>
      <c r="G304" s="7">
        <v>149</v>
      </c>
      <c r="H304" s="7">
        <v>168.37</v>
      </c>
      <c r="I304" s="7">
        <f t="shared" si="20"/>
        <v>92.38</v>
      </c>
      <c r="J304" s="7">
        <f t="shared" si="21"/>
        <v>96.85</v>
      </c>
      <c r="K304" s="7">
        <f t="shared" si="22"/>
        <v>99.83</v>
      </c>
      <c r="L304" s="7">
        <f t="shared" si="23"/>
        <v>104.3</v>
      </c>
      <c r="M304" s="7">
        <f t="shared" si="24"/>
        <v>107.28</v>
      </c>
    </row>
    <row r="305" spans="1:13">
      <c r="A305" s="6" t="s">
        <v>755</v>
      </c>
      <c r="B305" s="6" t="s">
        <v>859</v>
      </c>
      <c r="C305" s="6" t="s">
        <v>860</v>
      </c>
      <c r="E305" s="6" t="s">
        <v>861</v>
      </c>
      <c r="G305" s="7">
        <v>149</v>
      </c>
      <c r="H305" s="7">
        <v>168.37</v>
      </c>
      <c r="I305" s="7">
        <f t="shared" si="20"/>
        <v>92.38</v>
      </c>
      <c r="J305" s="7">
        <f t="shared" si="21"/>
        <v>96.85</v>
      </c>
      <c r="K305" s="7">
        <f t="shared" si="22"/>
        <v>99.83</v>
      </c>
      <c r="L305" s="7">
        <f t="shared" si="23"/>
        <v>104.3</v>
      </c>
      <c r="M305" s="7">
        <f t="shared" si="24"/>
        <v>107.28</v>
      </c>
    </row>
    <row r="306" ht="25.5" spans="1:13">
      <c r="A306" s="6" t="s">
        <v>755</v>
      </c>
      <c r="B306" s="6" t="s">
        <v>862</v>
      </c>
      <c r="C306" s="6" t="s">
        <v>863</v>
      </c>
      <c r="E306" s="6" t="s">
        <v>864</v>
      </c>
      <c r="G306" s="7">
        <v>149</v>
      </c>
      <c r="H306" s="7">
        <v>168.37</v>
      </c>
      <c r="I306" s="7">
        <f t="shared" si="20"/>
        <v>92.38</v>
      </c>
      <c r="J306" s="7">
        <f t="shared" si="21"/>
        <v>96.85</v>
      </c>
      <c r="K306" s="7">
        <f t="shared" si="22"/>
        <v>99.83</v>
      </c>
      <c r="L306" s="7">
        <f t="shared" si="23"/>
        <v>104.3</v>
      </c>
      <c r="M306" s="7">
        <f t="shared" si="24"/>
        <v>107.28</v>
      </c>
    </row>
    <row r="307" spans="1:13">
      <c r="A307" s="6" t="s">
        <v>755</v>
      </c>
      <c r="B307" s="6" t="s">
        <v>865</v>
      </c>
      <c r="C307" s="6" t="s">
        <v>866</v>
      </c>
      <c r="E307" s="6" t="s">
        <v>867</v>
      </c>
      <c r="G307" s="7">
        <v>320</v>
      </c>
      <c r="H307" s="7">
        <v>361.6</v>
      </c>
      <c r="I307" s="7">
        <f t="shared" si="20"/>
        <v>198.4</v>
      </c>
      <c r="J307" s="7">
        <f t="shared" si="21"/>
        <v>208</v>
      </c>
      <c r="K307" s="7">
        <f t="shared" si="22"/>
        <v>214.4</v>
      </c>
      <c r="L307" s="7">
        <f t="shared" si="23"/>
        <v>224</v>
      </c>
      <c r="M307" s="7">
        <f t="shared" si="24"/>
        <v>230.4</v>
      </c>
    </row>
    <row r="308" spans="1:13">
      <c r="A308" s="6" t="s">
        <v>755</v>
      </c>
      <c r="B308" s="6" t="s">
        <v>868</v>
      </c>
      <c r="C308" s="6" t="s">
        <v>869</v>
      </c>
      <c r="E308" s="6" t="s">
        <v>757</v>
      </c>
      <c r="G308" s="7">
        <v>149</v>
      </c>
      <c r="H308" s="7">
        <v>168.37</v>
      </c>
      <c r="I308" s="7">
        <f t="shared" si="20"/>
        <v>92.38</v>
      </c>
      <c r="J308" s="7">
        <f t="shared" si="21"/>
        <v>96.85</v>
      </c>
      <c r="K308" s="7">
        <f t="shared" si="22"/>
        <v>99.83</v>
      </c>
      <c r="L308" s="7">
        <f t="shared" si="23"/>
        <v>104.3</v>
      </c>
      <c r="M308" s="7">
        <f t="shared" si="24"/>
        <v>107.28</v>
      </c>
    </row>
    <row r="309" spans="1:13">
      <c r="A309" s="6" t="s">
        <v>755</v>
      </c>
      <c r="B309" s="6" t="s">
        <v>870</v>
      </c>
      <c r="C309" s="6" t="s">
        <v>871</v>
      </c>
      <c r="E309" s="6" t="s">
        <v>872</v>
      </c>
      <c r="G309" s="7">
        <v>299</v>
      </c>
      <c r="H309" s="7">
        <v>337.87</v>
      </c>
      <c r="I309" s="7">
        <f t="shared" si="20"/>
        <v>185.38</v>
      </c>
      <c r="J309" s="7">
        <f t="shared" si="21"/>
        <v>194.35</v>
      </c>
      <c r="K309" s="7">
        <f t="shared" si="22"/>
        <v>200.33</v>
      </c>
      <c r="L309" s="7">
        <f t="shared" si="23"/>
        <v>209.3</v>
      </c>
      <c r="M309" s="7">
        <f t="shared" si="24"/>
        <v>215.28</v>
      </c>
    </row>
    <row r="310" spans="1:13">
      <c r="A310" s="6" t="s">
        <v>755</v>
      </c>
      <c r="B310" s="6" t="s">
        <v>873</v>
      </c>
      <c r="C310" s="6" t="s">
        <v>874</v>
      </c>
      <c r="E310" s="6" t="s">
        <v>875</v>
      </c>
      <c r="G310" s="7">
        <v>199</v>
      </c>
      <c r="H310" s="7">
        <v>224.87</v>
      </c>
      <c r="I310" s="7">
        <f t="shared" si="20"/>
        <v>123.38</v>
      </c>
      <c r="J310" s="7">
        <f t="shared" si="21"/>
        <v>129.35</v>
      </c>
      <c r="K310" s="7">
        <f t="shared" si="22"/>
        <v>133.33</v>
      </c>
      <c r="L310" s="7">
        <f t="shared" si="23"/>
        <v>139.3</v>
      </c>
      <c r="M310" s="7">
        <f t="shared" si="24"/>
        <v>143.28</v>
      </c>
    </row>
    <row r="311" spans="1:13">
      <c r="A311" s="6" t="s">
        <v>755</v>
      </c>
      <c r="B311" s="6" t="s">
        <v>876</v>
      </c>
      <c r="C311" s="6" t="s">
        <v>877</v>
      </c>
      <c r="E311" s="6" t="s">
        <v>878</v>
      </c>
      <c r="G311" s="7">
        <v>149</v>
      </c>
      <c r="H311" s="7">
        <v>168.37</v>
      </c>
      <c r="I311" s="7">
        <f t="shared" si="20"/>
        <v>92.38</v>
      </c>
      <c r="J311" s="7">
        <f t="shared" si="21"/>
        <v>96.85</v>
      </c>
      <c r="K311" s="7">
        <f t="shared" si="22"/>
        <v>99.83</v>
      </c>
      <c r="L311" s="7">
        <f t="shared" si="23"/>
        <v>104.3</v>
      </c>
      <c r="M311" s="7">
        <f t="shared" si="24"/>
        <v>107.28</v>
      </c>
    </row>
    <row r="312" ht="25.5" spans="1:13">
      <c r="A312" s="6" t="s">
        <v>755</v>
      </c>
      <c r="B312" s="6" t="s">
        <v>879</v>
      </c>
      <c r="C312" s="6" t="s">
        <v>880</v>
      </c>
      <c r="E312" s="6" t="s">
        <v>881</v>
      </c>
      <c r="G312" s="7">
        <v>149</v>
      </c>
      <c r="H312" s="7">
        <v>168.37</v>
      </c>
      <c r="I312" s="7">
        <f t="shared" si="20"/>
        <v>92.38</v>
      </c>
      <c r="J312" s="7">
        <f t="shared" si="21"/>
        <v>96.85</v>
      </c>
      <c r="K312" s="7">
        <f t="shared" si="22"/>
        <v>99.83</v>
      </c>
      <c r="L312" s="7">
        <f t="shared" si="23"/>
        <v>104.3</v>
      </c>
      <c r="M312" s="7">
        <f t="shared" si="24"/>
        <v>107.28</v>
      </c>
    </row>
    <row r="313" spans="1:13">
      <c r="A313" s="6" t="s">
        <v>228</v>
      </c>
      <c r="B313" s="6" t="s">
        <v>882</v>
      </c>
      <c r="C313" s="6" t="s">
        <v>883</v>
      </c>
      <c r="E313" s="6" t="s">
        <v>883</v>
      </c>
      <c r="G313" s="7">
        <v>557</v>
      </c>
      <c r="H313" s="7">
        <v>629.41</v>
      </c>
      <c r="I313" s="7">
        <f t="shared" si="20"/>
        <v>345.34</v>
      </c>
      <c r="J313" s="7">
        <f t="shared" si="21"/>
        <v>362.05</v>
      </c>
      <c r="K313" s="7">
        <f t="shared" si="22"/>
        <v>373.19</v>
      </c>
      <c r="L313" s="7">
        <f t="shared" si="23"/>
        <v>389.9</v>
      </c>
      <c r="M313" s="7">
        <f t="shared" si="24"/>
        <v>401.04</v>
      </c>
    </row>
    <row r="314" ht="25.5" spans="1:13">
      <c r="A314" s="6" t="s">
        <v>18</v>
      </c>
      <c r="B314" s="6" t="s">
        <v>884</v>
      </c>
      <c r="C314" s="6" t="s">
        <v>885</v>
      </c>
      <c r="E314" s="6" t="s">
        <v>886</v>
      </c>
      <c r="G314" s="7">
        <v>2426</v>
      </c>
      <c r="H314" s="7">
        <v>2741.38</v>
      </c>
      <c r="I314" s="7">
        <f t="shared" si="20"/>
        <v>1504.12</v>
      </c>
      <c r="J314" s="7">
        <f t="shared" si="21"/>
        <v>1576.9</v>
      </c>
      <c r="K314" s="7">
        <f t="shared" si="22"/>
        <v>1625.42</v>
      </c>
      <c r="L314" s="7">
        <f t="shared" si="23"/>
        <v>1698.2</v>
      </c>
      <c r="M314" s="7">
        <f t="shared" si="24"/>
        <v>1746.72</v>
      </c>
    </row>
    <row r="315" spans="1:13">
      <c r="A315" s="6" t="s">
        <v>18</v>
      </c>
      <c r="B315" s="6" t="s">
        <v>887</v>
      </c>
      <c r="C315" s="6" t="s">
        <v>888</v>
      </c>
      <c r="E315" s="6" t="s">
        <v>889</v>
      </c>
      <c r="G315" s="7">
        <v>5513</v>
      </c>
      <c r="H315" s="7">
        <v>6229.69</v>
      </c>
      <c r="I315" s="7">
        <f t="shared" si="20"/>
        <v>3418.06</v>
      </c>
      <c r="J315" s="7">
        <f t="shared" si="21"/>
        <v>3583.45</v>
      </c>
      <c r="K315" s="7">
        <f t="shared" si="22"/>
        <v>3693.71</v>
      </c>
      <c r="L315" s="7">
        <f t="shared" si="23"/>
        <v>3859.1</v>
      </c>
      <c r="M315" s="7">
        <f t="shared" si="24"/>
        <v>3969.36</v>
      </c>
    </row>
    <row r="316" spans="1:13">
      <c r="A316" s="6" t="s">
        <v>18</v>
      </c>
      <c r="B316" s="6" t="s">
        <v>890</v>
      </c>
      <c r="C316" s="6" t="s">
        <v>891</v>
      </c>
      <c r="E316" s="6" t="s">
        <v>892</v>
      </c>
      <c r="G316" s="7">
        <v>8054</v>
      </c>
      <c r="H316" s="7">
        <v>9101.02</v>
      </c>
      <c r="I316" s="7">
        <f t="shared" si="20"/>
        <v>4993.48</v>
      </c>
      <c r="J316" s="7">
        <f t="shared" si="21"/>
        <v>5235.1</v>
      </c>
      <c r="K316" s="7">
        <f t="shared" si="22"/>
        <v>5396.18</v>
      </c>
      <c r="L316" s="7">
        <f t="shared" si="23"/>
        <v>5637.8</v>
      </c>
      <c r="M316" s="7">
        <f t="shared" si="24"/>
        <v>5798.88</v>
      </c>
    </row>
    <row r="317" spans="1:13">
      <c r="A317" s="6" t="s">
        <v>18</v>
      </c>
      <c r="B317" s="6" t="s">
        <v>893</v>
      </c>
      <c r="C317" s="6" t="s">
        <v>894</v>
      </c>
      <c r="E317" s="6" t="s">
        <v>895</v>
      </c>
      <c r="G317" s="7">
        <v>3749</v>
      </c>
      <c r="H317" s="7">
        <v>4236.37</v>
      </c>
      <c r="I317" s="7">
        <f t="shared" si="20"/>
        <v>2324.38</v>
      </c>
      <c r="J317" s="7">
        <f t="shared" si="21"/>
        <v>2436.85</v>
      </c>
      <c r="K317" s="7">
        <f t="shared" si="22"/>
        <v>2511.83</v>
      </c>
      <c r="L317" s="7">
        <f t="shared" si="23"/>
        <v>2624.3</v>
      </c>
      <c r="M317" s="7">
        <f t="shared" si="24"/>
        <v>2699.28</v>
      </c>
    </row>
    <row r="318" spans="1:13">
      <c r="A318" s="6" t="s">
        <v>18</v>
      </c>
      <c r="B318" s="6" t="s">
        <v>896</v>
      </c>
      <c r="C318" s="6" t="s">
        <v>897</v>
      </c>
      <c r="E318" s="6" t="s">
        <v>898</v>
      </c>
      <c r="G318" s="7">
        <v>366</v>
      </c>
      <c r="H318" s="7">
        <v>413.58</v>
      </c>
      <c r="I318" s="7">
        <f t="shared" si="20"/>
        <v>226.92</v>
      </c>
      <c r="J318" s="7">
        <f t="shared" si="21"/>
        <v>237.9</v>
      </c>
      <c r="K318" s="7">
        <f t="shared" si="22"/>
        <v>245.22</v>
      </c>
      <c r="L318" s="7">
        <f t="shared" si="23"/>
        <v>256.2</v>
      </c>
      <c r="M318" s="7">
        <f t="shared" si="24"/>
        <v>263.52</v>
      </c>
    </row>
    <row r="319" spans="1:13">
      <c r="A319" s="6" t="s">
        <v>18</v>
      </c>
      <c r="B319" s="6" t="s">
        <v>899</v>
      </c>
      <c r="C319" s="6" t="s">
        <v>900</v>
      </c>
      <c r="E319" s="6" t="s">
        <v>901</v>
      </c>
      <c r="G319" s="7">
        <v>366</v>
      </c>
      <c r="H319" s="7">
        <v>413.58</v>
      </c>
      <c r="I319" s="7">
        <f t="shared" si="20"/>
        <v>226.92</v>
      </c>
      <c r="J319" s="7">
        <f t="shared" si="21"/>
        <v>237.9</v>
      </c>
      <c r="K319" s="7">
        <f t="shared" si="22"/>
        <v>245.22</v>
      </c>
      <c r="L319" s="7">
        <f t="shared" si="23"/>
        <v>256.2</v>
      </c>
      <c r="M319" s="7">
        <f t="shared" si="24"/>
        <v>263.52</v>
      </c>
    </row>
    <row r="320" spans="1:13">
      <c r="A320" s="6" t="s">
        <v>18</v>
      </c>
      <c r="B320" s="6" t="s">
        <v>902</v>
      </c>
      <c r="C320" s="6" t="s">
        <v>903</v>
      </c>
      <c r="E320" s="6" t="s">
        <v>904</v>
      </c>
      <c r="G320" s="7">
        <v>366</v>
      </c>
      <c r="H320" s="7">
        <v>413.58</v>
      </c>
      <c r="I320" s="7">
        <f t="shared" si="20"/>
        <v>226.92</v>
      </c>
      <c r="J320" s="7">
        <f t="shared" si="21"/>
        <v>237.9</v>
      </c>
      <c r="K320" s="7">
        <f t="shared" si="22"/>
        <v>245.22</v>
      </c>
      <c r="L320" s="7">
        <f t="shared" si="23"/>
        <v>256.2</v>
      </c>
      <c r="M320" s="7">
        <f t="shared" si="24"/>
        <v>263.52</v>
      </c>
    </row>
    <row r="321" ht="38.25" spans="1:13">
      <c r="A321" s="6" t="s">
        <v>25</v>
      </c>
      <c r="B321" s="6" t="s">
        <v>905</v>
      </c>
      <c r="C321" s="6" t="s">
        <v>906</v>
      </c>
      <c r="E321" s="6" t="s">
        <v>907</v>
      </c>
      <c r="G321" s="7">
        <v>39</v>
      </c>
      <c r="H321" s="7">
        <v>44.07</v>
      </c>
      <c r="I321" s="7">
        <f t="shared" si="20"/>
        <v>24.18</v>
      </c>
      <c r="J321" s="7">
        <f t="shared" si="21"/>
        <v>25.35</v>
      </c>
      <c r="K321" s="7">
        <f t="shared" si="22"/>
        <v>26.13</v>
      </c>
      <c r="L321" s="7">
        <f t="shared" si="23"/>
        <v>27.3</v>
      </c>
      <c r="M321" s="7">
        <f t="shared" si="24"/>
        <v>28.08</v>
      </c>
    </row>
    <row r="322" ht="38.25" spans="1:13">
      <c r="A322" s="6" t="s">
        <v>418</v>
      </c>
      <c r="B322" s="6" t="s">
        <v>908</v>
      </c>
      <c r="C322" s="6" t="s">
        <v>909</v>
      </c>
      <c r="E322" s="6" t="s">
        <v>910</v>
      </c>
      <c r="G322" s="7">
        <v>99</v>
      </c>
      <c r="H322" s="7">
        <v>111.87</v>
      </c>
      <c r="I322" s="7">
        <f t="shared" ref="I322:I385" si="25">G322*0.62</f>
        <v>61.38</v>
      </c>
      <c r="J322" s="7">
        <f t="shared" ref="J322:J385" si="26">G322*0.65</f>
        <v>64.35</v>
      </c>
      <c r="K322" s="7">
        <f t="shared" ref="K322:K385" si="27">G322*0.67</f>
        <v>66.33</v>
      </c>
      <c r="L322" s="7">
        <f t="shared" ref="L322:L385" si="28">G322*0.7</f>
        <v>69.3</v>
      </c>
      <c r="M322" s="7">
        <f t="shared" ref="M322:M385" si="29">G322*0.72</f>
        <v>71.28</v>
      </c>
    </row>
    <row r="323" spans="1:13">
      <c r="A323" s="6" t="s">
        <v>548</v>
      </c>
      <c r="B323" s="6" t="s">
        <v>911</v>
      </c>
      <c r="C323" s="6" t="s">
        <v>912</v>
      </c>
      <c r="E323" s="6" t="s">
        <v>913</v>
      </c>
      <c r="G323" s="7">
        <v>949</v>
      </c>
      <c r="H323" s="7">
        <v>1072.37</v>
      </c>
      <c r="I323" s="7">
        <f t="shared" si="25"/>
        <v>588.38</v>
      </c>
      <c r="J323" s="7">
        <f t="shared" si="26"/>
        <v>616.85</v>
      </c>
      <c r="K323" s="7">
        <f t="shared" si="27"/>
        <v>635.83</v>
      </c>
      <c r="L323" s="7">
        <f t="shared" si="28"/>
        <v>664.3</v>
      </c>
      <c r="M323" s="7">
        <f t="shared" si="29"/>
        <v>683.28</v>
      </c>
    </row>
    <row r="324" spans="1:13">
      <c r="A324" s="6" t="s">
        <v>548</v>
      </c>
      <c r="B324" s="6" t="s">
        <v>914</v>
      </c>
      <c r="C324" s="6" t="s">
        <v>915</v>
      </c>
      <c r="E324" s="6" t="s">
        <v>916</v>
      </c>
      <c r="G324" s="7">
        <v>599</v>
      </c>
      <c r="H324" s="7">
        <v>676.87</v>
      </c>
      <c r="I324" s="7">
        <f t="shared" si="25"/>
        <v>371.38</v>
      </c>
      <c r="J324" s="7">
        <f t="shared" si="26"/>
        <v>389.35</v>
      </c>
      <c r="K324" s="7">
        <f t="shared" si="27"/>
        <v>401.33</v>
      </c>
      <c r="L324" s="7">
        <f t="shared" si="28"/>
        <v>419.3</v>
      </c>
      <c r="M324" s="7">
        <f t="shared" si="29"/>
        <v>431.28</v>
      </c>
    </row>
    <row r="325" spans="1:13">
      <c r="A325" s="6" t="s">
        <v>548</v>
      </c>
      <c r="B325" s="6" t="s">
        <v>917</v>
      </c>
      <c r="C325" s="6" t="s">
        <v>918</v>
      </c>
      <c r="E325" s="6" t="s">
        <v>919</v>
      </c>
      <c r="G325" s="7">
        <v>499</v>
      </c>
      <c r="H325" s="7">
        <v>563.87</v>
      </c>
      <c r="I325" s="7">
        <f t="shared" si="25"/>
        <v>309.38</v>
      </c>
      <c r="J325" s="7">
        <f t="shared" si="26"/>
        <v>324.35</v>
      </c>
      <c r="K325" s="7">
        <f t="shared" si="27"/>
        <v>334.33</v>
      </c>
      <c r="L325" s="7">
        <f t="shared" si="28"/>
        <v>349.3</v>
      </c>
      <c r="M325" s="7">
        <f t="shared" si="29"/>
        <v>359.28</v>
      </c>
    </row>
    <row r="326" ht="25.5" spans="1:13">
      <c r="A326" s="6" t="s">
        <v>376</v>
      </c>
      <c r="B326" s="6" t="s">
        <v>920</v>
      </c>
      <c r="C326" s="6" t="s">
        <v>921</v>
      </c>
      <c r="E326" s="6" t="s">
        <v>922</v>
      </c>
      <c r="G326" s="7">
        <v>549</v>
      </c>
      <c r="H326" s="7">
        <v>620.37</v>
      </c>
      <c r="I326" s="7">
        <f t="shared" si="25"/>
        <v>340.38</v>
      </c>
      <c r="J326" s="7">
        <f t="shared" si="26"/>
        <v>356.85</v>
      </c>
      <c r="K326" s="7">
        <f t="shared" si="27"/>
        <v>367.83</v>
      </c>
      <c r="L326" s="7">
        <f t="shared" si="28"/>
        <v>384.3</v>
      </c>
      <c r="M326" s="7">
        <f t="shared" si="29"/>
        <v>395.28</v>
      </c>
    </row>
    <row r="327" ht="25.5" spans="1:13">
      <c r="A327" s="6" t="s">
        <v>18</v>
      </c>
      <c r="B327" s="6" t="s">
        <v>923</v>
      </c>
      <c r="C327" s="6" t="s">
        <v>924</v>
      </c>
      <c r="E327" s="6" t="s">
        <v>925</v>
      </c>
      <c r="G327" s="7">
        <v>780</v>
      </c>
      <c r="H327" s="7">
        <v>881.4</v>
      </c>
      <c r="I327" s="7">
        <f t="shared" si="25"/>
        <v>483.6</v>
      </c>
      <c r="J327" s="7">
        <f t="shared" si="26"/>
        <v>507</v>
      </c>
      <c r="K327" s="7">
        <f t="shared" si="27"/>
        <v>522.6</v>
      </c>
      <c r="L327" s="7">
        <f t="shared" si="28"/>
        <v>546</v>
      </c>
      <c r="M327" s="7">
        <f t="shared" si="29"/>
        <v>561.6</v>
      </c>
    </row>
    <row r="328" spans="1:13">
      <c r="A328" s="6" t="s">
        <v>18</v>
      </c>
      <c r="B328" s="6" t="s">
        <v>926</v>
      </c>
      <c r="C328" s="6" t="s">
        <v>927</v>
      </c>
      <c r="E328" s="6" t="s">
        <v>928</v>
      </c>
      <c r="G328" s="7">
        <v>551</v>
      </c>
      <c r="H328" s="7">
        <v>622.63</v>
      </c>
      <c r="I328" s="7">
        <f t="shared" si="25"/>
        <v>341.62</v>
      </c>
      <c r="J328" s="7">
        <f t="shared" si="26"/>
        <v>358.15</v>
      </c>
      <c r="K328" s="7">
        <f t="shared" si="27"/>
        <v>369.17</v>
      </c>
      <c r="L328" s="7">
        <f t="shared" si="28"/>
        <v>385.7</v>
      </c>
      <c r="M328" s="7">
        <f t="shared" si="29"/>
        <v>396.72</v>
      </c>
    </row>
    <row r="329" spans="1:13">
      <c r="A329" s="6" t="s">
        <v>18</v>
      </c>
      <c r="B329" s="6" t="s">
        <v>929</v>
      </c>
      <c r="C329" s="6" t="s">
        <v>930</v>
      </c>
      <c r="E329" s="6" t="s">
        <v>931</v>
      </c>
      <c r="G329" s="7">
        <v>3149</v>
      </c>
      <c r="H329" s="7">
        <v>3558.37</v>
      </c>
      <c r="I329" s="7">
        <f t="shared" si="25"/>
        <v>1952.38</v>
      </c>
      <c r="J329" s="7">
        <f t="shared" si="26"/>
        <v>2046.85</v>
      </c>
      <c r="K329" s="7">
        <f t="shared" si="27"/>
        <v>2109.83</v>
      </c>
      <c r="L329" s="7">
        <f t="shared" si="28"/>
        <v>2204.3</v>
      </c>
      <c r="M329" s="7">
        <f t="shared" si="29"/>
        <v>2267.28</v>
      </c>
    </row>
    <row r="330" spans="1:13">
      <c r="A330" s="6" t="s">
        <v>18</v>
      </c>
      <c r="B330" s="6" t="s">
        <v>932</v>
      </c>
      <c r="C330" s="6" t="s">
        <v>933</v>
      </c>
      <c r="E330" s="6" t="s">
        <v>934</v>
      </c>
      <c r="G330" s="7">
        <v>1323</v>
      </c>
      <c r="H330" s="7">
        <v>1494.99</v>
      </c>
      <c r="I330" s="7">
        <f t="shared" si="25"/>
        <v>820.26</v>
      </c>
      <c r="J330" s="7">
        <f t="shared" si="26"/>
        <v>859.95</v>
      </c>
      <c r="K330" s="7">
        <f t="shared" si="27"/>
        <v>886.41</v>
      </c>
      <c r="L330" s="7">
        <f t="shared" si="28"/>
        <v>926.1</v>
      </c>
      <c r="M330" s="7">
        <f t="shared" si="29"/>
        <v>952.56</v>
      </c>
    </row>
    <row r="331" ht="25.5" spans="1:13">
      <c r="A331" s="6" t="s">
        <v>18</v>
      </c>
      <c r="B331" s="6" t="s">
        <v>935</v>
      </c>
      <c r="C331" s="6" t="s">
        <v>936</v>
      </c>
      <c r="E331" s="6" t="s">
        <v>937</v>
      </c>
      <c r="G331" s="7">
        <v>1659</v>
      </c>
      <c r="H331" s="7">
        <v>1874.67</v>
      </c>
      <c r="I331" s="7">
        <f t="shared" si="25"/>
        <v>1028.58</v>
      </c>
      <c r="J331" s="7">
        <f t="shared" si="26"/>
        <v>1078.35</v>
      </c>
      <c r="K331" s="7">
        <f t="shared" si="27"/>
        <v>1111.53</v>
      </c>
      <c r="L331" s="7">
        <f t="shared" si="28"/>
        <v>1161.3</v>
      </c>
      <c r="M331" s="7">
        <f t="shared" si="29"/>
        <v>1194.48</v>
      </c>
    </row>
    <row r="332" spans="1:13">
      <c r="A332" s="6" t="s">
        <v>18</v>
      </c>
      <c r="B332" s="6" t="s">
        <v>938</v>
      </c>
      <c r="C332" s="6" t="s">
        <v>939</v>
      </c>
      <c r="E332" s="6" t="s">
        <v>939</v>
      </c>
      <c r="G332" s="7">
        <v>159</v>
      </c>
      <c r="H332" s="7">
        <v>179.67</v>
      </c>
      <c r="I332" s="7">
        <f t="shared" si="25"/>
        <v>98.58</v>
      </c>
      <c r="J332" s="7">
        <f t="shared" si="26"/>
        <v>103.35</v>
      </c>
      <c r="K332" s="7">
        <f t="shared" si="27"/>
        <v>106.53</v>
      </c>
      <c r="L332" s="7">
        <f t="shared" si="28"/>
        <v>111.3</v>
      </c>
      <c r="M332" s="7">
        <f t="shared" si="29"/>
        <v>114.48</v>
      </c>
    </row>
    <row r="333" spans="1:13">
      <c r="A333" s="6" t="s">
        <v>18</v>
      </c>
      <c r="B333" s="6" t="s">
        <v>940</v>
      </c>
      <c r="C333" s="6" t="s">
        <v>941</v>
      </c>
      <c r="E333" s="6" t="s">
        <v>941</v>
      </c>
      <c r="G333" s="7">
        <v>399</v>
      </c>
      <c r="H333" s="7">
        <v>450.87</v>
      </c>
      <c r="I333" s="7">
        <f t="shared" si="25"/>
        <v>247.38</v>
      </c>
      <c r="J333" s="7">
        <f t="shared" si="26"/>
        <v>259.35</v>
      </c>
      <c r="K333" s="7">
        <f t="shared" si="27"/>
        <v>267.33</v>
      </c>
      <c r="L333" s="7">
        <f t="shared" si="28"/>
        <v>279.3</v>
      </c>
      <c r="M333" s="7">
        <f t="shared" si="29"/>
        <v>287.28</v>
      </c>
    </row>
    <row r="334" spans="1:13">
      <c r="A334" s="6" t="s">
        <v>228</v>
      </c>
      <c r="B334" s="6" t="s">
        <v>942</v>
      </c>
      <c r="C334" s="6" t="s">
        <v>943</v>
      </c>
      <c r="E334" s="6" t="s">
        <v>943</v>
      </c>
      <c r="G334" s="7">
        <v>5399</v>
      </c>
      <c r="H334" s="7">
        <v>6100.87</v>
      </c>
      <c r="I334" s="7">
        <f t="shared" si="25"/>
        <v>3347.38</v>
      </c>
      <c r="J334" s="7">
        <f t="shared" si="26"/>
        <v>3509.35</v>
      </c>
      <c r="K334" s="7">
        <f t="shared" si="27"/>
        <v>3617.33</v>
      </c>
      <c r="L334" s="7">
        <f t="shared" si="28"/>
        <v>3779.3</v>
      </c>
      <c r="M334" s="7">
        <f t="shared" si="29"/>
        <v>3887.28</v>
      </c>
    </row>
    <row r="335" spans="1:13">
      <c r="A335" s="6" t="s">
        <v>228</v>
      </c>
      <c r="B335" s="6" t="s">
        <v>944</v>
      </c>
      <c r="C335" s="6" t="s">
        <v>945</v>
      </c>
      <c r="E335" s="6" t="s">
        <v>945</v>
      </c>
      <c r="G335" s="7">
        <v>2699</v>
      </c>
      <c r="H335" s="7">
        <v>3049.87</v>
      </c>
      <c r="I335" s="7">
        <f t="shared" si="25"/>
        <v>1673.38</v>
      </c>
      <c r="J335" s="7">
        <f t="shared" si="26"/>
        <v>1754.35</v>
      </c>
      <c r="K335" s="7">
        <f t="shared" si="27"/>
        <v>1808.33</v>
      </c>
      <c r="L335" s="7">
        <f t="shared" si="28"/>
        <v>1889.3</v>
      </c>
      <c r="M335" s="7">
        <f t="shared" si="29"/>
        <v>1943.28</v>
      </c>
    </row>
    <row r="336" ht="25.5" spans="1:13">
      <c r="A336" s="6" t="s">
        <v>721</v>
      </c>
      <c r="B336" s="6" t="s">
        <v>946</v>
      </c>
      <c r="C336" s="6" t="s">
        <v>947</v>
      </c>
      <c r="E336" s="6" t="s">
        <v>948</v>
      </c>
      <c r="G336" s="7">
        <v>179</v>
      </c>
      <c r="H336" s="7">
        <v>202.27</v>
      </c>
      <c r="I336" s="7">
        <f t="shared" si="25"/>
        <v>110.98</v>
      </c>
      <c r="J336" s="7">
        <f t="shared" si="26"/>
        <v>116.35</v>
      </c>
      <c r="K336" s="7">
        <f t="shared" si="27"/>
        <v>119.93</v>
      </c>
      <c r="L336" s="7">
        <f t="shared" si="28"/>
        <v>125.3</v>
      </c>
      <c r="M336" s="7">
        <f t="shared" si="29"/>
        <v>128.88</v>
      </c>
    </row>
    <row r="337" spans="1:13">
      <c r="A337" s="6" t="s">
        <v>721</v>
      </c>
      <c r="B337" s="6" t="s">
        <v>949</v>
      </c>
      <c r="C337" s="6" t="s">
        <v>950</v>
      </c>
      <c r="E337" s="6" t="s">
        <v>950</v>
      </c>
      <c r="G337" s="7">
        <v>16.13</v>
      </c>
      <c r="H337" s="7">
        <v>18.2269</v>
      </c>
      <c r="I337" s="7">
        <f t="shared" si="25"/>
        <v>10.0006</v>
      </c>
      <c r="J337" s="7">
        <f t="shared" si="26"/>
        <v>10.4845</v>
      </c>
      <c r="K337" s="7">
        <f t="shared" si="27"/>
        <v>10.8071</v>
      </c>
      <c r="L337" s="7">
        <f t="shared" si="28"/>
        <v>11.291</v>
      </c>
      <c r="M337" s="7">
        <f t="shared" si="29"/>
        <v>11.6136</v>
      </c>
    </row>
    <row r="338" spans="1:13">
      <c r="A338" s="6" t="s">
        <v>721</v>
      </c>
      <c r="B338" s="6" t="s">
        <v>951</v>
      </c>
      <c r="C338" s="6" t="s">
        <v>952</v>
      </c>
      <c r="E338" s="6" t="s">
        <v>952</v>
      </c>
      <c r="G338" s="7">
        <v>25.56</v>
      </c>
      <c r="H338" s="7">
        <v>28.8828</v>
      </c>
      <c r="I338" s="7">
        <f t="shared" si="25"/>
        <v>15.8472</v>
      </c>
      <c r="J338" s="7">
        <f t="shared" si="26"/>
        <v>16.614</v>
      </c>
      <c r="K338" s="7">
        <f t="shared" si="27"/>
        <v>17.1252</v>
      </c>
      <c r="L338" s="7">
        <f t="shared" si="28"/>
        <v>17.892</v>
      </c>
      <c r="M338" s="7">
        <f t="shared" si="29"/>
        <v>18.4032</v>
      </c>
    </row>
    <row r="339" spans="1:13">
      <c r="A339" s="6" t="s">
        <v>721</v>
      </c>
      <c r="B339" s="6" t="s">
        <v>953</v>
      </c>
      <c r="C339" s="6" t="s">
        <v>954</v>
      </c>
      <c r="E339" s="6" t="s">
        <v>955</v>
      </c>
      <c r="G339" s="7">
        <v>179</v>
      </c>
      <c r="H339" s="7">
        <v>202.27</v>
      </c>
      <c r="I339" s="7">
        <f t="shared" si="25"/>
        <v>110.98</v>
      </c>
      <c r="J339" s="7">
        <f t="shared" si="26"/>
        <v>116.35</v>
      </c>
      <c r="K339" s="7">
        <f t="shared" si="27"/>
        <v>119.93</v>
      </c>
      <c r="L339" s="7">
        <f t="shared" si="28"/>
        <v>125.3</v>
      </c>
      <c r="M339" s="7">
        <f t="shared" si="29"/>
        <v>128.88</v>
      </c>
    </row>
    <row r="340" ht="38.25" spans="1:13">
      <c r="A340" s="6" t="s">
        <v>721</v>
      </c>
      <c r="B340" s="6" t="s">
        <v>956</v>
      </c>
      <c r="C340" s="6" t="s">
        <v>957</v>
      </c>
      <c r="E340" s="6" t="s">
        <v>958</v>
      </c>
      <c r="G340" s="7">
        <v>460.08</v>
      </c>
      <c r="H340" s="7">
        <v>519.8904</v>
      </c>
      <c r="I340" s="7">
        <f t="shared" si="25"/>
        <v>285.2496</v>
      </c>
      <c r="J340" s="7">
        <f t="shared" si="26"/>
        <v>299.052</v>
      </c>
      <c r="K340" s="7">
        <f t="shared" si="27"/>
        <v>308.2536</v>
      </c>
      <c r="L340" s="7">
        <f t="shared" si="28"/>
        <v>322.056</v>
      </c>
      <c r="M340" s="7">
        <f t="shared" si="29"/>
        <v>331.2576</v>
      </c>
    </row>
    <row r="341" spans="1:13">
      <c r="A341" s="6" t="s">
        <v>721</v>
      </c>
      <c r="B341" s="6" t="s">
        <v>959</v>
      </c>
      <c r="C341" s="6" t="s">
        <v>960</v>
      </c>
      <c r="E341" s="6" t="s">
        <v>960</v>
      </c>
      <c r="G341" s="7">
        <v>16.13</v>
      </c>
      <c r="H341" s="7">
        <v>18.2269</v>
      </c>
      <c r="I341" s="7">
        <f t="shared" si="25"/>
        <v>10.0006</v>
      </c>
      <c r="J341" s="7">
        <f t="shared" si="26"/>
        <v>10.4845</v>
      </c>
      <c r="K341" s="7">
        <f t="shared" si="27"/>
        <v>10.8071</v>
      </c>
      <c r="L341" s="7">
        <f t="shared" si="28"/>
        <v>11.291</v>
      </c>
      <c r="M341" s="7">
        <f t="shared" si="29"/>
        <v>11.6136</v>
      </c>
    </row>
    <row r="342" ht="38.25" spans="1:13">
      <c r="A342" s="6" t="s">
        <v>721</v>
      </c>
      <c r="B342" s="6" t="s">
        <v>961</v>
      </c>
      <c r="C342" s="6" t="s">
        <v>962</v>
      </c>
      <c r="E342" s="6" t="s">
        <v>963</v>
      </c>
      <c r="G342" s="7">
        <v>449</v>
      </c>
      <c r="H342" s="7">
        <v>507.37</v>
      </c>
      <c r="I342" s="7">
        <f t="shared" si="25"/>
        <v>278.38</v>
      </c>
      <c r="J342" s="7">
        <f t="shared" si="26"/>
        <v>291.85</v>
      </c>
      <c r="K342" s="7">
        <f t="shared" si="27"/>
        <v>300.83</v>
      </c>
      <c r="L342" s="7">
        <f t="shared" si="28"/>
        <v>314.3</v>
      </c>
      <c r="M342" s="7">
        <f t="shared" si="29"/>
        <v>323.28</v>
      </c>
    </row>
    <row r="343" ht="38.25" spans="1:13">
      <c r="A343" s="6" t="s">
        <v>721</v>
      </c>
      <c r="B343" s="6" t="s">
        <v>964</v>
      </c>
      <c r="C343" s="6" t="s">
        <v>965</v>
      </c>
      <c r="E343" s="6" t="s">
        <v>966</v>
      </c>
      <c r="G343" s="7">
        <v>449</v>
      </c>
      <c r="H343" s="7">
        <v>507.37</v>
      </c>
      <c r="I343" s="7">
        <f t="shared" si="25"/>
        <v>278.38</v>
      </c>
      <c r="J343" s="7">
        <f t="shared" si="26"/>
        <v>291.85</v>
      </c>
      <c r="K343" s="7">
        <f t="shared" si="27"/>
        <v>300.83</v>
      </c>
      <c r="L343" s="7">
        <f t="shared" si="28"/>
        <v>314.3</v>
      </c>
      <c r="M343" s="7">
        <f t="shared" si="29"/>
        <v>323.28</v>
      </c>
    </row>
    <row r="344" spans="1:13">
      <c r="A344" s="6" t="s">
        <v>721</v>
      </c>
      <c r="B344" s="6" t="s">
        <v>967</v>
      </c>
      <c r="C344" s="6" t="s">
        <v>968</v>
      </c>
      <c r="E344" s="6" t="s">
        <v>968</v>
      </c>
      <c r="G344" s="7">
        <v>30.94</v>
      </c>
      <c r="H344" s="7">
        <v>34.9622</v>
      </c>
      <c r="I344" s="7">
        <f t="shared" si="25"/>
        <v>19.1828</v>
      </c>
      <c r="J344" s="7">
        <f t="shared" si="26"/>
        <v>20.111</v>
      </c>
      <c r="K344" s="7">
        <f t="shared" si="27"/>
        <v>20.7298</v>
      </c>
      <c r="L344" s="7">
        <f t="shared" si="28"/>
        <v>21.658</v>
      </c>
      <c r="M344" s="7">
        <f t="shared" si="29"/>
        <v>22.2768</v>
      </c>
    </row>
    <row r="345" spans="1:13">
      <c r="A345" s="6" t="s">
        <v>721</v>
      </c>
      <c r="B345" s="6" t="s">
        <v>969</v>
      </c>
      <c r="C345" s="6" t="s">
        <v>970</v>
      </c>
      <c r="E345" s="6" t="s">
        <v>970</v>
      </c>
      <c r="G345" s="7">
        <v>24.99</v>
      </c>
      <c r="H345" s="7">
        <v>28.2387</v>
      </c>
      <c r="I345" s="7">
        <f t="shared" si="25"/>
        <v>15.4938</v>
      </c>
      <c r="J345" s="7">
        <f t="shared" si="26"/>
        <v>16.2435</v>
      </c>
      <c r="K345" s="7">
        <f t="shared" si="27"/>
        <v>16.7433</v>
      </c>
      <c r="L345" s="7">
        <f t="shared" si="28"/>
        <v>17.493</v>
      </c>
      <c r="M345" s="7">
        <f t="shared" si="29"/>
        <v>17.9928</v>
      </c>
    </row>
    <row r="346" ht="38.25" spans="1:13">
      <c r="A346" s="6" t="s">
        <v>721</v>
      </c>
      <c r="B346" s="6" t="s">
        <v>971</v>
      </c>
      <c r="C346" s="6" t="s">
        <v>972</v>
      </c>
      <c r="E346" s="6" t="s">
        <v>973</v>
      </c>
      <c r="G346" s="7">
        <v>625.63</v>
      </c>
      <c r="H346" s="7">
        <v>706.9619</v>
      </c>
      <c r="I346" s="7">
        <f t="shared" si="25"/>
        <v>387.8906</v>
      </c>
      <c r="J346" s="7">
        <f t="shared" si="26"/>
        <v>406.6595</v>
      </c>
      <c r="K346" s="7">
        <f t="shared" si="27"/>
        <v>419.1721</v>
      </c>
      <c r="L346" s="7">
        <f t="shared" si="28"/>
        <v>437.941</v>
      </c>
      <c r="M346" s="7">
        <f t="shared" si="29"/>
        <v>450.4536</v>
      </c>
    </row>
    <row r="347" ht="38.25" spans="1:13">
      <c r="A347" s="6" t="s">
        <v>721</v>
      </c>
      <c r="B347" s="6" t="s">
        <v>974</v>
      </c>
      <c r="C347" s="6" t="s">
        <v>975</v>
      </c>
      <c r="E347" s="6" t="s">
        <v>976</v>
      </c>
      <c r="G347" s="7">
        <v>743.92</v>
      </c>
      <c r="H347" s="7">
        <v>840.6296</v>
      </c>
      <c r="I347" s="7">
        <f t="shared" si="25"/>
        <v>461.2304</v>
      </c>
      <c r="J347" s="7">
        <f t="shared" si="26"/>
        <v>483.548</v>
      </c>
      <c r="K347" s="7">
        <f t="shared" si="27"/>
        <v>498.4264</v>
      </c>
      <c r="L347" s="7">
        <f t="shared" si="28"/>
        <v>520.744</v>
      </c>
      <c r="M347" s="7">
        <f t="shared" si="29"/>
        <v>535.6224</v>
      </c>
    </row>
    <row r="348" spans="1:13">
      <c r="A348" s="6" t="s">
        <v>721</v>
      </c>
      <c r="B348" s="6" t="s">
        <v>977</v>
      </c>
      <c r="C348" s="6" t="s">
        <v>978</v>
      </c>
      <c r="E348" s="6" t="s">
        <v>978</v>
      </c>
      <c r="G348" s="7">
        <v>16.13</v>
      </c>
      <c r="H348" s="7">
        <v>18.2269</v>
      </c>
      <c r="I348" s="7">
        <f t="shared" si="25"/>
        <v>10.0006</v>
      </c>
      <c r="J348" s="7">
        <f t="shared" si="26"/>
        <v>10.4845</v>
      </c>
      <c r="K348" s="7">
        <f t="shared" si="27"/>
        <v>10.8071</v>
      </c>
      <c r="L348" s="7">
        <f t="shared" si="28"/>
        <v>11.291</v>
      </c>
      <c r="M348" s="7">
        <f t="shared" si="29"/>
        <v>11.6136</v>
      </c>
    </row>
    <row r="349" ht="38.25" spans="1:13">
      <c r="A349" s="6" t="s">
        <v>721</v>
      </c>
      <c r="B349" s="6" t="s">
        <v>979</v>
      </c>
      <c r="C349" s="6" t="s">
        <v>980</v>
      </c>
      <c r="E349" s="6" t="s">
        <v>981</v>
      </c>
      <c r="G349" s="7">
        <v>625</v>
      </c>
      <c r="H349" s="7">
        <v>706.25</v>
      </c>
      <c r="I349" s="7">
        <f t="shared" si="25"/>
        <v>387.5</v>
      </c>
      <c r="J349" s="7">
        <f t="shared" si="26"/>
        <v>406.25</v>
      </c>
      <c r="K349" s="7">
        <f t="shared" si="27"/>
        <v>418.75</v>
      </c>
      <c r="L349" s="7">
        <f t="shared" si="28"/>
        <v>437.5</v>
      </c>
      <c r="M349" s="7">
        <f t="shared" si="29"/>
        <v>450</v>
      </c>
    </row>
    <row r="350" spans="1:13">
      <c r="A350" s="6" t="s">
        <v>721</v>
      </c>
      <c r="B350" s="6" t="s">
        <v>982</v>
      </c>
      <c r="C350" s="6" t="s">
        <v>983</v>
      </c>
      <c r="E350" s="6" t="s">
        <v>983</v>
      </c>
      <c r="G350" s="7">
        <v>30.94</v>
      </c>
      <c r="H350" s="7">
        <v>34.9622</v>
      </c>
      <c r="I350" s="7">
        <f t="shared" si="25"/>
        <v>19.1828</v>
      </c>
      <c r="J350" s="7">
        <f t="shared" si="26"/>
        <v>20.111</v>
      </c>
      <c r="K350" s="7">
        <f t="shared" si="27"/>
        <v>20.7298</v>
      </c>
      <c r="L350" s="7">
        <f t="shared" si="28"/>
        <v>21.658</v>
      </c>
      <c r="M350" s="7">
        <f t="shared" si="29"/>
        <v>22.2768</v>
      </c>
    </row>
    <row r="351" spans="1:13">
      <c r="A351" s="6" t="s">
        <v>721</v>
      </c>
      <c r="B351" s="6" t="s">
        <v>984</v>
      </c>
      <c r="C351" s="6" t="s">
        <v>985</v>
      </c>
      <c r="E351" s="6" t="s">
        <v>986</v>
      </c>
      <c r="G351" s="7">
        <v>22.99</v>
      </c>
      <c r="H351" s="7">
        <v>25.9787</v>
      </c>
      <c r="I351" s="7">
        <f t="shared" si="25"/>
        <v>14.2538</v>
      </c>
      <c r="J351" s="7">
        <f t="shared" si="26"/>
        <v>14.9435</v>
      </c>
      <c r="K351" s="7">
        <f t="shared" si="27"/>
        <v>15.4033</v>
      </c>
      <c r="L351" s="7">
        <f t="shared" si="28"/>
        <v>16.093</v>
      </c>
      <c r="M351" s="7">
        <f t="shared" si="29"/>
        <v>16.5528</v>
      </c>
    </row>
    <row r="352" ht="38.25" spans="1:13">
      <c r="A352" s="6" t="s">
        <v>721</v>
      </c>
      <c r="B352" s="6" t="s">
        <v>987</v>
      </c>
      <c r="C352" s="6" t="s">
        <v>988</v>
      </c>
      <c r="E352" s="6" t="s">
        <v>989</v>
      </c>
      <c r="G352" s="7">
        <v>879.99</v>
      </c>
      <c r="H352" s="7">
        <v>994.3887</v>
      </c>
      <c r="I352" s="7">
        <f t="shared" si="25"/>
        <v>545.5938</v>
      </c>
      <c r="J352" s="7">
        <f t="shared" si="26"/>
        <v>571.9935</v>
      </c>
      <c r="K352" s="7">
        <f t="shared" si="27"/>
        <v>589.5933</v>
      </c>
      <c r="L352" s="7">
        <f t="shared" si="28"/>
        <v>615.993</v>
      </c>
      <c r="M352" s="7">
        <f t="shared" si="29"/>
        <v>633.5928</v>
      </c>
    </row>
    <row r="353" ht="38.25" spans="1:13">
      <c r="A353" s="6" t="s">
        <v>721</v>
      </c>
      <c r="B353" s="6" t="s">
        <v>990</v>
      </c>
      <c r="C353" s="6" t="s">
        <v>991</v>
      </c>
      <c r="E353" s="6" t="s">
        <v>992</v>
      </c>
      <c r="G353" s="7">
        <v>874</v>
      </c>
      <c r="H353" s="7">
        <v>987.62</v>
      </c>
      <c r="I353" s="7">
        <f t="shared" si="25"/>
        <v>541.88</v>
      </c>
      <c r="J353" s="7">
        <f t="shared" si="26"/>
        <v>568.1</v>
      </c>
      <c r="K353" s="7">
        <f t="shared" si="27"/>
        <v>585.58</v>
      </c>
      <c r="L353" s="7">
        <f t="shared" si="28"/>
        <v>611.8</v>
      </c>
      <c r="M353" s="7">
        <f t="shared" si="29"/>
        <v>629.28</v>
      </c>
    </row>
    <row r="354" spans="1:13">
      <c r="A354" s="6" t="s">
        <v>721</v>
      </c>
      <c r="B354" s="6" t="s">
        <v>993</v>
      </c>
      <c r="C354" s="6" t="s">
        <v>994</v>
      </c>
      <c r="E354" s="6" t="s">
        <v>994</v>
      </c>
      <c r="G354" s="7">
        <v>25.56</v>
      </c>
      <c r="H354" s="7">
        <v>28.8828</v>
      </c>
      <c r="I354" s="7">
        <f t="shared" si="25"/>
        <v>15.8472</v>
      </c>
      <c r="J354" s="7">
        <f t="shared" si="26"/>
        <v>16.614</v>
      </c>
      <c r="K354" s="7">
        <f t="shared" si="27"/>
        <v>17.1252</v>
      </c>
      <c r="L354" s="7">
        <f t="shared" si="28"/>
        <v>17.892</v>
      </c>
      <c r="M354" s="7">
        <f t="shared" si="29"/>
        <v>18.4032</v>
      </c>
    </row>
    <row r="355" spans="1:13">
      <c r="A355" s="6" t="s">
        <v>721</v>
      </c>
      <c r="B355" s="6" t="s">
        <v>995</v>
      </c>
      <c r="C355" s="6" t="s">
        <v>996</v>
      </c>
      <c r="E355" s="6" t="s">
        <v>996</v>
      </c>
      <c r="G355" s="7">
        <v>37.67</v>
      </c>
      <c r="H355" s="7">
        <v>42.5671</v>
      </c>
      <c r="I355" s="7">
        <f t="shared" si="25"/>
        <v>23.3554</v>
      </c>
      <c r="J355" s="7">
        <f t="shared" si="26"/>
        <v>24.4855</v>
      </c>
      <c r="K355" s="7">
        <f t="shared" si="27"/>
        <v>25.2389</v>
      </c>
      <c r="L355" s="7">
        <f t="shared" si="28"/>
        <v>26.369</v>
      </c>
      <c r="M355" s="7">
        <f t="shared" si="29"/>
        <v>27.1224</v>
      </c>
    </row>
    <row r="356" ht="38.25" spans="1:13">
      <c r="A356" s="6" t="s">
        <v>721</v>
      </c>
      <c r="B356" s="6" t="s">
        <v>997</v>
      </c>
      <c r="C356" s="6" t="s">
        <v>998</v>
      </c>
      <c r="E356" s="6" t="s">
        <v>999</v>
      </c>
      <c r="G356" s="7">
        <v>1299</v>
      </c>
      <c r="H356" s="7">
        <v>1467.87</v>
      </c>
      <c r="I356" s="7">
        <f t="shared" si="25"/>
        <v>805.38</v>
      </c>
      <c r="J356" s="7">
        <f t="shared" si="26"/>
        <v>844.35</v>
      </c>
      <c r="K356" s="7">
        <f t="shared" si="27"/>
        <v>870.33</v>
      </c>
      <c r="L356" s="7">
        <f t="shared" si="28"/>
        <v>909.3</v>
      </c>
      <c r="M356" s="7">
        <f t="shared" si="29"/>
        <v>935.28</v>
      </c>
    </row>
    <row r="357" spans="1:13">
      <c r="A357" s="6" t="s">
        <v>721</v>
      </c>
      <c r="B357" s="6" t="s">
        <v>1000</v>
      </c>
      <c r="C357" s="6" t="s">
        <v>1001</v>
      </c>
      <c r="E357" s="6" t="s">
        <v>1001</v>
      </c>
      <c r="G357" s="7">
        <v>56.9</v>
      </c>
      <c r="H357" s="7">
        <v>64.297</v>
      </c>
      <c r="I357" s="7">
        <f t="shared" si="25"/>
        <v>35.278</v>
      </c>
      <c r="J357" s="7">
        <f t="shared" si="26"/>
        <v>36.985</v>
      </c>
      <c r="K357" s="7">
        <f t="shared" si="27"/>
        <v>38.123</v>
      </c>
      <c r="L357" s="7">
        <f t="shared" si="28"/>
        <v>39.83</v>
      </c>
      <c r="M357" s="7">
        <f t="shared" si="29"/>
        <v>40.968</v>
      </c>
    </row>
    <row r="358" spans="1:13">
      <c r="A358" s="6" t="s">
        <v>721</v>
      </c>
      <c r="B358" s="6" t="s">
        <v>1002</v>
      </c>
      <c r="C358" s="6" t="s">
        <v>1003</v>
      </c>
      <c r="E358" s="6" t="s">
        <v>1003</v>
      </c>
      <c r="G358" s="7">
        <v>59</v>
      </c>
      <c r="H358" s="7">
        <v>66.67</v>
      </c>
      <c r="I358" s="7">
        <f t="shared" si="25"/>
        <v>36.58</v>
      </c>
      <c r="J358" s="7">
        <f t="shared" si="26"/>
        <v>38.35</v>
      </c>
      <c r="K358" s="7">
        <f t="shared" si="27"/>
        <v>39.53</v>
      </c>
      <c r="L358" s="7">
        <f t="shared" si="28"/>
        <v>41.3</v>
      </c>
      <c r="M358" s="7">
        <f t="shared" si="29"/>
        <v>42.48</v>
      </c>
    </row>
    <row r="359" ht="63.75" spans="1:13">
      <c r="A359" s="6" t="s">
        <v>721</v>
      </c>
      <c r="B359" s="6" t="s">
        <v>1004</v>
      </c>
      <c r="C359" s="6" t="s">
        <v>1005</v>
      </c>
      <c r="E359" s="6" t="s">
        <v>1006</v>
      </c>
      <c r="G359" s="7">
        <v>549</v>
      </c>
      <c r="H359" s="7">
        <v>620.37</v>
      </c>
      <c r="I359" s="7">
        <f t="shared" si="25"/>
        <v>340.38</v>
      </c>
      <c r="J359" s="7">
        <f t="shared" si="26"/>
        <v>356.85</v>
      </c>
      <c r="K359" s="7">
        <f t="shared" si="27"/>
        <v>367.83</v>
      </c>
      <c r="L359" s="7">
        <f t="shared" si="28"/>
        <v>384.3</v>
      </c>
      <c r="M359" s="7">
        <f t="shared" si="29"/>
        <v>395.28</v>
      </c>
    </row>
    <row r="360" spans="1:13">
      <c r="A360" s="6" t="s">
        <v>721</v>
      </c>
      <c r="B360" s="6" t="s">
        <v>1007</v>
      </c>
      <c r="C360" s="6" t="s">
        <v>1008</v>
      </c>
      <c r="E360" s="6" t="s">
        <v>1008</v>
      </c>
      <c r="G360" s="7">
        <v>14.99</v>
      </c>
      <c r="H360" s="7">
        <v>16.9387</v>
      </c>
      <c r="I360" s="7">
        <f t="shared" si="25"/>
        <v>9.2938</v>
      </c>
      <c r="J360" s="7">
        <f t="shared" si="26"/>
        <v>9.7435</v>
      </c>
      <c r="K360" s="7">
        <f t="shared" si="27"/>
        <v>10.0433</v>
      </c>
      <c r="L360" s="7">
        <f t="shared" si="28"/>
        <v>10.493</v>
      </c>
      <c r="M360" s="7">
        <f t="shared" si="29"/>
        <v>10.7928</v>
      </c>
    </row>
    <row r="361" spans="1:13">
      <c r="A361" s="6" t="s">
        <v>721</v>
      </c>
      <c r="B361" s="6" t="s">
        <v>1009</v>
      </c>
      <c r="C361" s="6" t="s">
        <v>1010</v>
      </c>
      <c r="E361" s="6" t="s">
        <v>1010</v>
      </c>
      <c r="G361" s="7">
        <v>156.52</v>
      </c>
      <c r="H361" s="7">
        <v>176.8676</v>
      </c>
      <c r="I361" s="7">
        <f t="shared" si="25"/>
        <v>97.0424</v>
      </c>
      <c r="J361" s="7">
        <f t="shared" si="26"/>
        <v>101.738</v>
      </c>
      <c r="K361" s="7">
        <f t="shared" si="27"/>
        <v>104.8684</v>
      </c>
      <c r="L361" s="7">
        <f t="shared" si="28"/>
        <v>109.564</v>
      </c>
      <c r="M361" s="7">
        <f t="shared" si="29"/>
        <v>112.6944</v>
      </c>
    </row>
    <row r="362" spans="1:13">
      <c r="A362" s="6" t="s">
        <v>721</v>
      </c>
      <c r="B362" s="6" t="s">
        <v>1011</v>
      </c>
      <c r="C362" s="6" t="s">
        <v>1012</v>
      </c>
      <c r="E362" s="6" t="s">
        <v>1013</v>
      </c>
      <c r="G362" s="7">
        <v>139</v>
      </c>
      <c r="H362" s="7">
        <v>157.07</v>
      </c>
      <c r="I362" s="7">
        <f t="shared" si="25"/>
        <v>86.18</v>
      </c>
      <c r="J362" s="7">
        <f t="shared" si="26"/>
        <v>90.35</v>
      </c>
      <c r="K362" s="7">
        <f t="shared" si="27"/>
        <v>93.13</v>
      </c>
      <c r="L362" s="7">
        <f t="shared" si="28"/>
        <v>97.3</v>
      </c>
      <c r="M362" s="7">
        <f t="shared" si="29"/>
        <v>100.08</v>
      </c>
    </row>
    <row r="363" spans="1:13">
      <c r="A363" s="6" t="s">
        <v>721</v>
      </c>
      <c r="B363" s="6" t="s">
        <v>1014</v>
      </c>
      <c r="C363" s="6" t="s">
        <v>1015</v>
      </c>
      <c r="E363" s="6" t="s">
        <v>1016</v>
      </c>
      <c r="G363" s="7">
        <v>239</v>
      </c>
      <c r="H363" s="7">
        <v>270.07</v>
      </c>
      <c r="I363" s="7">
        <f t="shared" si="25"/>
        <v>148.18</v>
      </c>
      <c r="J363" s="7">
        <f t="shared" si="26"/>
        <v>155.35</v>
      </c>
      <c r="K363" s="7">
        <f t="shared" si="27"/>
        <v>160.13</v>
      </c>
      <c r="L363" s="7">
        <f t="shared" si="28"/>
        <v>167.3</v>
      </c>
      <c r="M363" s="7">
        <f t="shared" si="29"/>
        <v>172.08</v>
      </c>
    </row>
    <row r="364" ht="25.5" spans="1:13">
      <c r="A364" s="6" t="s">
        <v>228</v>
      </c>
      <c r="B364" s="6" t="s">
        <v>1017</v>
      </c>
      <c r="C364" s="6" t="s">
        <v>1018</v>
      </c>
      <c r="E364" s="6" t="s">
        <v>1018</v>
      </c>
      <c r="G364" s="7">
        <v>578</v>
      </c>
      <c r="H364" s="7">
        <v>653.14</v>
      </c>
      <c r="I364" s="7">
        <f t="shared" si="25"/>
        <v>358.36</v>
      </c>
      <c r="J364" s="7">
        <f t="shared" si="26"/>
        <v>375.7</v>
      </c>
      <c r="K364" s="7">
        <f t="shared" si="27"/>
        <v>387.26</v>
      </c>
      <c r="L364" s="7">
        <f t="shared" si="28"/>
        <v>404.6</v>
      </c>
      <c r="M364" s="7">
        <f t="shared" si="29"/>
        <v>416.16</v>
      </c>
    </row>
    <row r="365" spans="1:13">
      <c r="A365" s="6" t="s">
        <v>228</v>
      </c>
      <c r="B365" s="6" t="s">
        <v>1019</v>
      </c>
      <c r="C365" s="6" t="s">
        <v>1020</v>
      </c>
      <c r="E365" s="6" t="s">
        <v>1020</v>
      </c>
      <c r="G365" s="7">
        <v>2949</v>
      </c>
      <c r="H365" s="7">
        <v>3332.37</v>
      </c>
      <c r="I365" s="7">
        <f t="shared" si="25"/>
        <v>1828.38</v>
      </c>
      <c r="J365" s="7">
        <f t="shared" si="26"/>
        <v>1916.85</v>
      </c>
      <c r="K365" s="7">
        <f t="shared" si="27"/>
        <v>1975.83</v>
      </c>
      <c r="L365" s="7">
        <f t="shared" si="28"/>
        <v>2064.3</v>
      </c>
      <c r="M365" s="7">
        <f t="shared" si="29"/>
        <v>2123.28</v>
      </c>
    </row>
    <row r="366" spans="1:13">
      <c r="A366" s="6" t="s">
        <v>18</v>
      </c>
      <c r="B366" s="6" t="s">
        <v>1021</v>
      </c>
      <c r="C366" s="6" t="s">
        <v>1022</v>
      </c>
      <c r="E366" s="6" t="s">
        <v>1023</v>
      </c>
      <c r="G366" s="7">
        <v>4349</v>
      </c>
      <c r="H366" s="7">
        <v>4914.37</v>
      </c>
      <c r="I366" s="7">
        <f t="shared" si="25"/>
        <v>2696.38</v>
      </c>
      <c r="J366" s="7">
        <f t="shared" si="26"/>
        <v>2826.85</v>
      </c>
      <c r="K366" s="7">
        <f t="shared" si="27"/>
        <v>2913.83</v>
      </c>
      <c r="L366" s="7">
        <f t="shared" si="28"/>
        <v>3044.3</v>
      </c>
      <c r="M366" s="7">
        <f t="shared" si="29"/>
        <v>3131.28</v>
      </c>
    </row>
    <row r="367" ht="25.5" spans="1:13">
      <c r="A367" s="6" t="s">
        <v>18</v>
      </c>
      <c r="B367" s="6" t="s">
        <v>1024</v>
      </c>
      <c r="C367" s="6" t="s">
        <v>1025</v>
      </c>
      <c r="E367" s="6" t="s">
        <v>1025</v>
      </c>
      <c r="G367" s="7">
        <v>23</v>
      </c>
      <c r="H367" s="7">
        <v>25.99</v>
      </c>
      <c r="I367" s="7">
        <f t="shared" si="25"/>
        <v>14.26</v>
      </c>
      <c r="J367" s="7">
        <f t="shared" si="26"/>
        <v>14.95</v>
      </c>
      <c r="K367" s="7">
        <f t="shared" si="27"/>
        <v>15.41</v>
      </c>
      <c r="L367" s="7">
        <f t="shared" si="28"/>
        <v>16.1</v>
      </c>
      <c r="M367" s="7">
        <f t="shared" si="29"/>
        <v>16.56</v>
      </c>
    </row>
    <row r="368" ht="25.5" spans="1:13">
      <c r="A368" s="6" t="s">
        <v>22</v>
      </c>
      <c r="B368" s="6" t="s">
        <v>1026</v>
      </c>
      <c r="C368" s="6" t="s">
        <v>1027</v>
      </c>
      <c r="E368" s="6" t="s">
        <v>1028</v>
      </c>
      <c r="G368" s="7">
        <v>899</v>
      </c>
      <c r="H368" s="7">
        <v>1015.87</v>
      </c>
      <c r="I368" s="7">
        <f t="shared" si="25"/>
        <v>557.38</v>
      </c>
      <c r="J368" s="7">
        <f t="shared" si="26"/>
        <v>584.35</v>
      </c>
      <c r="K368" s="7">
        <f t="shared" si="27"/>
        <v>602.33</v>
      </c>
      <c r="L368" s="7">
        <f t="shared" si="28"/>
        <v>629.3</v>
      </c>
      <c r="M368" s="7">
        <f t="shared" si="29"/>
        <v>647.28</v>
      </c>
    </row>
    <row r="369" ht="63.75" spans="1:13">
      <c r="A369" s="6" t="s">
        <v>228</v>
      </c>
      <c r="B369" s="6" t="s">
        <v>1029</v>
      </c>
      <c r="C369" s="6" t="s">
        <v>1030</v>
      </c>
      <c r="E369" s="6" t="s">
        <v>1031</v>
      </c>
      <c r="G369" s="7">
        <v>861</v>
      </c>
      <c r="H369" s="7">
        <v>972.93</v>
      </c>
      <c r="I369" s="7">
        <f t="shared" si="25"/>
        <v>533.82</v>
      </c>
      <c r="J369" s="7">
        <f t="shared" si="26"/>
        <v>559.65</v>
      </c>
      <c r="K369" s="7">
        <f t="shared" si="27"/>
        <v>576.87</v>
      </c>
      <c r="L369" s="7">
        <f t="shared" si="28"/>
        <v>602.7</v>
      </c>
      <c r="M369" s="7">
        <f t="shared" si="29"/>
        <v>619.92</v>
      </c>
    </row>
    <row r="370" ht="76.5" spans="1:13">
      <c r="A370" s="6" t="s">
        <v>1032</v>
      </c>
      <c r="B370" s="6" t="s">
        <v>1033</v>
      </c>
      <c r="C370" s="6" t="s">
        <v>1034</v>
      </c>
      <c r="E370" s="6" t="s">
        <v>1035</v>
      </c>
      <c r="G370" s="7">
        <v>1435.3313</v>
      </c>
      <c r="H370" s="7">
        <v>1621.924369</v>
      </c>
      <c r="I370" s="7">
        <f t="shared" si="25"/>
        <v>889.905406</v>
      </c>
      <c r="J370" s="7">
        <f t="shared" si="26"/>
        <v>932.965345</v>
      </c>
      <c r="K370" s="7">
        <f t="shared" si="27"/>
        <v>961.671971</v>
      </c>
      <c r="L370" s="7">
        <f t="shared" si="28"/>
        <v>1004.73191</v>
      </c>
      <c r="M370" s="7">
        <f t="shared" si="29"/>
        <v>1033.438536</v>
      </c>
    </row>
    <row r="371" ht="76.5" spans="1:13">
      <c r="A371" s="6" t="s">
        <v>1032</v>
      </c>
      <c r="B371" s="6" t="s">
        <v>1036</v>
      </c>
      <c r="C371" s="6" t="s">
        <v>1037</v>
      </c>
      <c r="E371" s="6" t="s">
        <v>1038</v>
      </c>
      <c r="G371" s="7">
        <v>1151.99</v>
      </c>
      <c r="H371" s="7">
        <v>1301.7487</v>
      </c>
      <c r="I371" s="7">
        <f t="shared" si="25"/>
        <v>714.2338</v>
      </c>
      <c r="J371" s="7">
        <f t="shared" si="26"/>
        <v>748.7935</v>
      </c>
      <c r="K371" s="7">
        <f t="shared" si="27"/>
        <v>771.8333</v>
      </c>
      <c r="L371" s="7">
        <f t="shared" si="28"/>
        <v>806.393</v>
      </c>
      <c r="M371" s="7">
        <f t="shared" si="29"/>
        <v>829.4328</v>
      </c>
    </row>
    <row r="372" ht="76.5" spans="1:13">
      <c r="A372" s="6" t="s">
        <v>1032</v>
      </c>
      <c r="B372" s="6" t="s">
        <v>1039</v>
      </c>
      <c r="C372" s="6" t="s">
        <v>1040</v>
      </c>
      <c r="E372" s="6" t="s">
        <v>1041</v>
      </c>
      <c r="G372" s="7">
        <v>1250.722</v>
      </c>
      <c r="H372" s="7">
        <v>1413.31586</v>
      </c>
      <c r="I372" s="7">
        <f t="shared" si="25"/>
        <v>775.44764</v>
      </c>
      <c r="J372" s="7">
        <f t="shared" si="26"/>
        <v>812.9693</v>
      </c>
      <c r="K372" s="7">
        <f t="shared" si="27"/>
        <v>837.98374</v>
      </c>
      <c r="L372" s="7">
        <f t="shared" si="28"/>
        <v>875.5054</v>
      </c>
      <c r="M372" s="7">
        <f t="shared" si="29"/>
        <v>900.51984</v>
      </c>
    </row>
    <row r="373" ht="76.5" spans="1:13">
      <c r="A373" s="6" t="s">
        <v>1032</v>
      </c>
      <c r="B373" s="6" t="s">
        <v>1042</v>
      </c>
      <c r="C373" s="6" t="s">
        <v>1043</v>
      </c>
      <c r="E373" s="6" t="s">
        <v>1044</v>
      </c>
      <c r="G373" s="7">
        <v>1575.8799</v>
      </c>
      <c r="H373" s="7">
        <v>1780.744287</v>
      </c>
      <c r="I373" s="7">
        <f t="shared" si="25"/>
        <v>977.045538</v>
      </c>
      <c r="J373" s="7">
        <f t="shared" si="26"/>
        <v>1024.321935</v>
      </c>
      <c r="K373" s="7">
        <f t="shared" si="27"/>
        <v>1055.839533</v>
      </c>
      <c r="L373" s="7">
        <f t="shared" si="28"/>
        <v>1103.11593</v>
      </c>
      <c r="M373" s="7">
        <f t="shared" si="29"/>
        <v>1134.633528</v>
      </c>
    </row>
    <row r="374" ht="76.5" spans="1:13">
      <c r="A374" s="6" t="s">
        <v>1032</v>
      </c>
      <c r="B374" s="6" t="s">
        <v>1045</v>
      </c>
      <c r="C374" s="6" t="s">
        <v>1046</v>
      </c>
      <c r="E374" s="6" t="s">
        <v>1047</v>
      </c>
      <c r="G374" s="7">
        <v>1369.6711</v>
      </c>
      <c r="H374" s="7">
        <v>1547.728343</v>
      </c>
      <c r="I374" s="7">
        <f t="shared" si="25"/>
        <v>849.196082</v>
      </c>
      <c r="J374" s="7">
        <f t="shared" si="26"/>
        <v>890.286215</v>
      </c>
      <c r="K374" s="7">
        <f t="shared" si="27"/>
        <v>917.679637</v>
      </c>
      <c r="L374" s="7">
        <f t="shared" si="28"/>
        <v>958.76977</v>
      </c>
      <c r="M374" s="7">
        <f t="shared" si="29"/>
        <v>986.163192</v>
      </c>
    </row>
    <row r="375" spans="1:13">
      <c r="A375" s="6" t="s">
        <v>18</v>
      </c>
      <c r="B375" s="6" t="s">
        <v>1048</v>
      </c>
      <c r="C375" s="6" t="s">
        <v>1049</v>
      </c>
      <c r="E375" s="6" t="s">
        <v>1049</v>
      </c>
      <c r="G375" s="7">
        <v>29.99</v>
      </c>
      <c r="H375" s="7">
        <v>33.8887</v>
      </c>
      <c r="I375" s="7">
        <f t="shared" si="25"/>
        <v>18.5938</v>
      </c>
      <c r="J375" s="7">
        <f t="shared" si="26"/>
        <v>19.4935</v>
      </c>
      <c r="K375" s="7">
        <f t="shared" si="27"/>
        <v>20.0933</v>
      </c>
      <c r="L375" s="7">
        <f t="shared" si="28"/>
        <v>20.993</v>
      </c>
      <c r="M375" s="7">
        <f t="shared" si="29"/>
        <v>21.5928</v>
      </c>
    </row>
    <row r="376" ht="76.5" spans="1:13">
      <c r="A376" s="6" t="s">
        <v>1032</v>
      </c>
      <c r="B376" s="6" t="s">
        <v>1050</v>
      </c>
      <c r="C376" s="6" t="s">
        <v>1051</v>
      </c>
      <c r="E376" s="6" t="s">
        <v>1052</v>
      </c>
      <c r="G376" s="7">
        <v>2299</v>
      </c>
      <c r="H376" s="7">
        <v>2597.87</v>
      </c>
      <c r="I376" s="7">
        <f t="shared" si="25"/>
        <v>1425.38</v>
      </c>
      <c r="J376" s="7">
        <f t="shared" si="26"/>
        <v>1494.35</v>
      </c>
      <c r="K376" s="7">
        <f t="shared" si="27"/>
        <v>1540.33</v>
      </c>
      <c r="L376" s="7">
        <f t="shared" si="28"/>
        <v>1609.3</v>
      </c>
      <c r="M376" s="7">
        <f t="shared" si="29"/>
        <v>1655.28</v>
      </c>
    </row>
    <row r="377" spans="1:13">
      <c r="A377" s="6" t="s">
        <v>18</v>
      </c>
      <c r="B377" s="6" t="s">
        <v>1053</v>
      </c>
      <c r="C377" s="6" t="s">
        <v>1054</v>
      </c>
      <c r="E377" s="6" t="s">
        <v>1055</v>
      </c>
      <c r="G377" s="7">
        <v>45.99</v>
      </c>
      <c r="H377" s="7">
        <v>51.9687</v>
      </c>
      <c r="I377" s="7">
        <f t="shared" si="25"/>
        <v>28.5138</v>
      </c>
      <c r="J377" s="7">
        <f t="shared" si="26"/>
        <v>29.8935</v>
      </c>
      <c r="K377" s="7">
        <f t="shared" si="27"/>
        <v>30.8133</v>
      </c>
      <c r="L377" s="7">
        <f t="shared" si="28"/>
        <v>32.193</v>
      </c>
      <c r="M377" s="7">
        <f t="shared" si="29"/>
        <v>33.1128</v>
      </c>
    </row>
    <row r="378" ht="89.25" spans="1:13">
      <c r="A378" s="6" t="s">
        <v>1032</v>
      </c>
      <c r="B378" s="6" t="s">
        <v>1056</v>
      </c>
      <c r="C378" s="6" t="s">
        <v>1057</v>
      </c>
      <c r="E378" s="6" t="s">
        <v>1058</v>
      </c>
      <c r="G378" s="7">
        <v>2499</v>
      </c>
      <c r="H378" s="7">
        <v>2823.87</v>
      </c>
      <c r="I378" s="7">
        <f t="shared" si="25"/>
        <v>1549.38</v>
      </c>
      <c r="J378" s="7">
        <f t="shared" si="26"/>
        <v>1624.35</v>
      </c>
      <c r="K378" s="7">
        <f t="shared" si="27"/>
        <v>1674.33</v>
      </c>
      <c r="L378" s="7">
        <f t="shared" si="28"/>
        <v>1749.3</v>
      </c>
      <c r="M378" s="7">
        <f t="shared" si="29"/>
        <v>1799.28</v>
      </c>
    </row>
    <row r="379" spans="1:13">
      <c r="A379" s="6" t="s">
        <v>18</v>
      </c>
      <c r="B379" s="6" t="s">
        <v>1059</v>
      </c>
      <c r="C379" s="6" t="s">
        <v>1060</v>
      </c>
      <c r="E379" s="6" t="s">
        <v>1060</v>
      </c>
      <c r="G379" s="7">
        <v>29.99</v>
      </c>
      <c r="H379" s="7">
        <v>33.8887</v>
      </c>
      <c r="I379" s="7">
        <f t="shared" si="25"/>
        <v>18.5938</v>
      </c>
      <c r="J379" s="7">
        <f t="shared" si="26"/>
        <v>19.4935</v>
      </c>
      <c r="K379" s="7">
        <f t="shared" si="27"/>
        <v>20.0933</v>
      </c>
      <c r="L379" s="7">
        <f t="shared" si="28"/>
        <v>20.993</v>
      </c>
      <c r="M379" s="7">
        <f t="shared" si="29"/>
        <v>21.5928</v>
      </c>
    </row>
    <row r="380" ht="76.5" spans="1:13">
      <c r="A380" s="6" t="s">
        <v>1032</v>
      </c>
      <c r="B380" s="6" t="s">
        <v>1061</v>
      </c>
      <c r="C380" s="6" t="s">
        <v>1062</v>
      </c>
      <c r="E380" s="6" t="s">
        <v>1063</v>
      </c>
      <c r="G380" s="7">
        <v>2999</v>
      </c>
      <c r="H380" s="7">
        <v>3388.87</v>
      </c>
      <c r="I380" s="7">
        <f t="shared" si="25"/>
        <v>1859.38</v>
      </c>
      <c r="J380" s="7">
        <f t="shared" si="26"/>
        <v>1949.35</v>
      </c>
      <c r="K380" s="7">
        <f t="shared" si="27"/>
        <v>2009.33</v>
      </c>
      <c r="L380" s="7">
        <f t="shared" si="28"/>
        <v>2099.3</v>
      </c>
      <c r="M380" s="7">
        <f t="shared" si="29"/>
        <v>2159.28</v>
      </c>
    </row>
    <row r="381" spans="1:13">
      <c r="A381" s="6" t="s">
        <v>18</v>
      </c>
      <c r="B381" s="6" t="s">
        <v>1064</v>
      </c>
      <c r="C381" s="6" t="s">
        <v>1065</v>
      </c>
      <c r="E381" s="6" t="s">
        <v>1066</v>
      </c>
      <c r="G381" s="7">
        <v>45.99</v>
      </c>
      <c r="H381" s="7">
        <v>51.9687</v>
      </c>
      <c r="I381" s="7">
        <f t="shared" si="25"/>
        <v>28.5138</v>
      </c>
      <c r="J381" s="7">
        <f t="shared" si="26"/>
        <v>29.8935</v>
      </c>
      <c r="K381" s="7">
        <f t="shared" si="27"/>
        <v>30.8133</v>
      </c>
      <c r="L381" s="7">
        <f t="shared" si="28"/>
        <v>32.193</v>
      </c>
      <c r="M381" s="7">
        <f t="shared" si="29"/>
        <v>33.1128</v>
      </c>
    </row>
    <row r="382" ht="89.25" spans="1:13">
      <c r="A382" s="6" t="s">
        <v>1032</v>
      </c>
      <c r="B382" s="6" t="s">
        <v>1067</v>
      </c>
      <c r="C382" s="6" t="s">
        <v>1068</v>
      </c>
      <c r="E382" s="6" t="s">
        <v>1069</v>
      </c>
      <c r="G382" s="7">
        <v>3199</v>
      </c>
      <c r="H382" s="7">
        <v>3614.87</v>
      </c>
      <c r="I382" s="7">
        <f t="shared" si="25"/>
        <v>1983.38</v>
      </c>
      <c r="J382" s="7">
        <f t="shared" si="26"/>
        <v>2079.35</v>
      </c>
      <c r="K382" s="7">
        <f t="shared" si="27"/>
        <v>2143.33</v>
      </c>
      <c r="L382" s="7">
        <f t="shared" si="28"/>
        <v>2239.3</v>
      </c>
      <c r="M382" s="7">
        <f t="shared" si="29"/>
        <v>2303.28</v>
      </c>
    </row>
    <row r="383" ht="25.5" spans="1:13">
      <c r="A383" s="6" t="s">
        <v>25</v>
      </c>
      <c r="B383" s="6" t="s">
        <v>1070</v>
      </c>
      <c r="C383" s="6" t="s">
        <v>1071</v>
      </c>
      <c r="E383" s="6" t="s">
        <v>1072</v>
      </c>
      <c r="G383" s="7">
        <v>19</v>
      </c>
      <c r="H383" s="7">
        <v>21.47</v>
      </c>
      <c r="I383" s="7">
        <f t="shared" si="25"/>
        <v>11.78</v>
      </c>
      <c r="J383" s="7">
        <f t="shared" si="26"/>
        <v>12.35</v>
      </c>
      <c r="K383" s="7">
        <f t="shared" si="27"/>
        <v>12.73</v>
      </c>
      <c r="L383" s="7">
        <f t="shared" si="28"/>
        <v>13.3</v>
      </c>
      <c r="M383" s="7">
        <f t="shared" si="29"/>
        <v>13.68</v>
      </c>
    </row>
    <row r="384" spans="1:13">
      <c r="A384" s="6" t="s">
        <v>733</v>
      </c>
      <c r="B384" s="6" t="s">
        <v>1073</v>
      </c>
      <c r="C384" s="6" t="s">
        <v>1074</v>
      </c>
      <c r="E384" s="6" t="s">
        <v>1075</v>
      </c>
      <c r="G384" s="7">
        <v>39</v>
      </c>
      <c r="H384" s="7">
        <v>44.07</v>
      </c>
      <c r="I384" s="7">
        <f t="shared" si="25"/>
        <v>24.18</v>
      </c>
      <c r="J384" s="7">
        <f t="shared" si="26"/>
        <v>25.35</v>
      </c>
      <c r="K384" s="7">
        <f t="shared" si="27"/>
        <v>26.13</v>
      </c>
      <c r="L384" s="7">
        <f t="shared" si="28"/>
        <v>27.3</v>
      </c>
      <c r="M384" s="7">
        <f t="shared" si="29"/>
        <v>28.08</v>
      </c>
    </row>
    <row r="385" spans="1:13">
      <c r="A385" s="6" t="s">
        <v>733</v>
      </c>
      <c r="B385" s="6" t="s">
        <v>1076</v>
      </c>
      <c r="C385" s="6" t="s">
        <v>1077</v>
      </c>
      <c r="E385" s="6" t="s">
        <v>1078</v>
      </c>
      <c r="G385" s="7">
        <v>59</v>
      </c>
      <c r="H385" s="7">
        <v>66.67</v>
      </c>
      <c r="I385" s="7">
        <f t="shared" si="25"/>
        <v>36.58</v>
      </c>
      <c r="J385" s="7">
        <f t="shared" si="26"/>
        <v>38.35</v>
      </c>
      <c r="K385" s="7">
        <f t="shared" si="27"/>
        <v>39.53</v>
      </c>
      <c r="L385" s="7">
        <f t="shared" si="28"/>
        <v>41.3</v>
      </c>
      <c r="M385" s="7">
        <f t="shared" si="29"/>
        <v>42.48</v>
      </c>
    </row>
    <row r="386" spans="1:13">
      <c r="A386" s="6" t="s">
        <v>733</v>
      </c>
      <c r="B386" s="6" t="s">
        <v>1079</v>
      </c>
      <c r="C386" s="6" t="s">
        <v>1080</v>
      </c>
      <c r="E386" s="6" t="s">
        <v>1081</v>
      </c>
      <c r="G386" s="7">
        <v>139</v>
      </c>
      <c r="H386" s="7">
        <v>157.07</v>
      </c>
      <c r="I386" s="7">
        <f t="shared" ref="I386:I449" si="30">G386*0.62</f>
        <v>86.18</v>
      </c>
      <c r="J386" s="7">
        <f t="shared" ref="J386:J449" si="31">G386*0.65</f>
        <v>90.35</v>
      </c>
      <c r="K386" s="7">
        <f t="shared" ref="K386:K449" si="32">G386*0.67</f>
        <v>93.13</v>
      </c>
      <c r="L386" s="7">
        <f t="shared" ref="L386:L449" si="33">G386*0.7</f>
        <v>97.3</v>
      </c>
      <c r="M386" s="7">
        <f t="shared" ref="M386:M449" si="34">G386*0.72</f>
        <v>100.08</v>
      </c>
    </row>
    <row r="387" spans="1:13">
      <c r="A387" s="6" t="s">
        <v>733</v>
      </c>
      <c r="B387" s="6" t="s">
        <v>1082</v>
      </c>
      <c r="C387" s="6" t="s">
        <v>1083</v>
      </c>
      <c r="E387" s="6" t="s">
        <v>1084</v>
      </c>
      <c r="G387" s="7">
        <v>59</v>
      </c>
      <c r="H387" s="7">
        <v>66.67</v>
      </c>
      <c r="I387" s="7">
        <f t="shared" si="30"/>
        <v>36.58</v>
      </c>
      <c r="J387" s="7">
        <f t="shared" si="31"/>
        <v>38.35</v>
      </c>
      <c r="K387" s="7">
        <f t="shared" si="32"/>
        <v>39.53</v>
      </c>
      <c r="L387" s="7">
        <f t="shared" si="33"/>
        <v>41.3</v>
      </c>
      <c r="M387" s="7">
        <f t="shared" si="34"/>
        <v>42.48</v>
      </c>
    </row>
    <row r="388" spans="1:13">
      <c r="A388" s="6" t="s">
        <v>733</v>
      </c>
      <c r="B388" s="6" t="s">
        <v>1085</v>
      </c>
      <c r="C388" s="6" t="s">
        <v>1086</v>
      </c>
      <c r="E388" s="6" t="s">
        <v>1087</v>
      </c>
      <c r="G388" s="7">
        <v>99</v>
      </c>
      <c r="H388" s="7">
        <v>111.87</v>
      </c>
      <c r="I388" s="7">
        <f t="shared" si="30"/>
        <v>61.38</v>
      </c>
      <c r="J388" s="7">
        <f t="shared" si="31"/>
        <v>64.35</v>
      </c>
      <c r="K388" s="7">
        <f t="shared" si="32"/>
        <v>66.33</v>
      </c>
      <c r="L388" s="7">
        <f t="shared" si="33"/>
        <v>69.3</v>
      </c>
      <c r="M388" s="7">
        <f t="shared" si="34"/>
        <v>71.28</v>
      </c>
    </row>
    <row r="389" ht="25.5" spans="1:13">
      <c r="A389" s="6" t="s">
        <v>733</v>
      </c>
      <c r="B389" s="6" t="s">
        <v>1088</v>
      </c>
      <c r="C389" s="6" t="s">
        <v>1089</v>
      </c>
      <c r="E389" s="6" t="s">
        <v>1090</v>
      </c>
      <c r="G389" s="7">
        <v>59</v>
      </c>
      <c r="H389" s="7">
        <v>66.67</v>
      </c>
      <c r="I389" s="7">
        <f t="shared" si="30"/>
        <v>36.58</v>
      </c>
      <c r="J389" s="7">
        <f t="shared" si="31"/>
        <v>38.35</v>
      </c>
      <c r="K389" s="7">
        <f t="shared" si="32"/>
        <v>39.53</v>
      </c>
      <c r="L389" s="7">
        <f t="shared" si="33"/>
        <v>41.3</v>
      </c>
      <c r="M389" s="7">
        <f t="shared" si="34"/>
        <v>42.48</v>
      </c>
    </row>
    <row r="390" spans="1:13">
      <c r="A390" s="6" t="s">
        <v>733</v>
      </c>
      <c r="B390" s="6" t="s">
        <v>1091</v>
      </c>
      <c r="C390" s="6" t="s">
        <v>1092</v>
      </c>
      <c r="E390" s="6" t="s">
        <v>1093</v>
      </c>
      <c r="G390" s="7">
        <v>119</v>
      </c>
      <c r="H390" s="7">
        <v>134.47</v>
      </c>
      <c r="I390" s="7">
        <f t="shared" si="30"/>
        <v>73.78</v>
      </c>
      <c r="J390" s="7">
        <f t="shared" si="31"/>
        <v>77.35</v>
      </c>
      <c r="K390" s="7">
        <f t="shared" si="32"/>
        <v>79.73</v>
      </c>
      <c r="L390" s="7">
        <f t="shared" si="33"/>
        <v>83.3</v>
      </c>
      <c r="M390" s="7">
        <f t="shared" si="34"/>
        <v>85.68</v>
      </c>
    </row>
    <row r="391" ht="25.5" spans="1:13">
      <c r="A391" s="6" t="s">
        <v>18</v>
      </c>
      <c r="B391" s="6" t="s">
        <v>1094</v>
      </c>
      <c r="C391" s="6" t="s">
        <v>1095</v>
      </c>
      <c r="E391" s="6" t="s">
        <v>1096</v>
      </c>
      <c r="G391" s="7">
        <v>2584</v>
      </c>
      <c r="H391" s="7">
        <v>2919.92</v>
      </c>
      <c r="I391" s="7">
        <f t="shared" si="30"/>
        <v>1602.08</v>
      </c>
      <c r="J391" s="7">
        <f t="shared" si="31"/>
        <v>1679.6</v>
      </c>
      <c r="K391" s="7">
        <f t="shared" si="32"/>
        <v>1731.28</v>
      </c>
      <c r="L391" s="7">
        <f t="shared" si="33"/>
        <v>1808.8</v>
      </c>
      <c r="M391" s="7">
        <f t="shared" si="34"/>
        <v>1860.48</v>
      </c>
    </row>
    <row r="392" spans="1:13">
      <c r="A392" s="6" t="s">
        <v>18</v>
      </c>
      <c r="B392" s="6" t="s">
        <v>1097</v>
      </c>
      <c r="C392" s="6" t="s">
        <v>1098</v>
      </c>
      <c r="E392" s="6" t="s">
        <v>1099</v>
      </c>
      <c r="G392" s="7">
        <v>1928</v>
      </c>
      <c r="H392" s="7">
        <v>2178.64</v>
      </c>
      <c r="I392" s="7">
        <f t="shared" si="30"/>
        <v>1195.36</v>
      </c>
      <c r="J392" s="7">
        <f t="shared" si="31"/>
        <v>1253.2</v>
      </c>
      <c r="K392" s="7">
        <f t="shared" si="32"/>
        <v>1291.76</v>
      </c>
      <c r="L392" s="7">
        <f t="shared" si="33"/>
        <v>1349.6</v>
      </c>
      <c r="M392" s="7">
        <f t="shared" si="34"/>
        <v>1388.16</v>
      </c>
    </row>
    <row r="393" spans="1:13">
      <c r="A393" s="6" t="s">
        <v>18</v>
      </c>
      <c r="B393" s="6" t="s">
        <v>1100</v>
      </c>
      <c r="C393" s="6" t="s">
        <v>1101</v>
      </c>
      <c r="E393" s="6" t="s">
        <v>1102</v>
      </c>
      <c r="G393" s="7">
        <v>2217</v>
      </c>
      <c r="H393" s="7">
        <v>2505.21</v>
      </c>
      <c r="I393" s="7">
        <f t="shared" si="30"/>
        <v>1374.54</v>
      </c>
      <c r="J393" s="7">
        <f t="shared" si="31"/>
        <v>1441.05</v>
      </c>
      <c r="K393" s="7">
        <f t="shared" si="32"/>
        <v>1485.39</v>
      </c>
      <c r="L393" s="7">
        <f t="shared" si="33"/>
        <v>1551.9</v>
      </c>
      <c r="M393" s="7">
        <f t="shared" si="34"/>
        <v>1596.24</v>
      </c>
    </row>
    <row r="394" spans="1:13">
      <c r="A394" s="6" t="s">
        <v>18</v>
      </c>
      <c r="B394" s="6" t="s">
        <v>1103</v>
      </c>
      <c r="C394" s="6" t="s">
        <v>1104</v>
      </c>
      <c r="E394" s="6" t="s">
        <v>1105</v>
      </c>
      <c r="G394" s="7">
        <v>1103</v>
      </c>
      <c r="H394" s="7">
        <v>1246.39</v>
      </c>
      <c r="I394" s="7">
        <f t="shared" si="30"/>
        <v>683.86</v>
      </c>
      <c r="J394" s="7">
        <f t="shared" si="31"/>
        <v>716.95</v>
      </c>
      <c r="K394" s="7">
        <f t="shared" si="32"/>
        <v>739.01</v>
      </c>
      <c r="L394" s="7">
        <f t="shared" si="33"/>
        <v>772.1</v>
      </c>
      <c r="M394" s="7">
        <f t="shared" si="34"/>
        <v>794.16</v>
      </c>
    </row>
    <row r="395" ht="25.5" spans="1:13">
      <c r="A395" s="6" t="s">
        <v>18</v>
      </c>
      <c r="B395" s="6" t="s">
        <v>1106</v>
      </c>
      <c r="C395" s="6" t="s">
        <v>1107</v>
      </c>
      <c r="E395" s="6" t="s">
        <v>1108</v>
      </c>
      <c r="G395" s="7">
        <v>1985</v>
      </c>
      <c r="H395" s="7">
        <v>2243.05</v>
      </c>
      <c r="I395" s="7">
        <f t="shared" si="30"/>
        <v>1230.7</v>
      </c>
      <c r="J395" s="7">
        <f t="shared" si="31"/>
        <v>1290.25</v>
      </c>
      <c r="K395" s="7">
        <f t="shared" si="32"/>
        <v>1329.95</v>
      </c>
      <c r="L395" s="7">
        <f t="shared" si="33"/>
        <v>1389.5</v>
      </c>
      <c r="M395" s="7">
        <f t="shared" si="34"/>
        <v>1429.2</v>
      </c>
    </row>
    <row r="396" ht="25.5" spans="1:13">
      <c r="A396" s="6" t="s">
        <v>18</v>
      </c>
      <c r="B396" s="6" t="s">
        <v>1109</v>
      </c>
      <c r="C396" s="6" t="s">
        <v>1110</v>
      </c>
      <c r="E396" s="6" t="s">
        <v>1111</v>
      </c>
      <c r="G396" s="7">
        <v>2762</v>
      </c>
      <c r="H396" s="7">
        <v>3121.06</v>
      </c>
      <c r="I396" s="7">
        <f t="shared" si="30"/>
        <v>1712.44</v>
      </c>
      <c r="J396" s="7">
        <f t="shared" si="31"/>
        <v>1795.3</v>
      </c>
      <c r="K396" s="7">
        <f t="shared" si="32"/>
        <v>1850.54</v>
      </c>
      <c r="L396" s="7">
        <f t="shared" si="33"/>
        <v>1933.4</v>
      </c>
      <c r="M396" s="7">
        <f t="shared" si="34"/>
        <v>1988.64</v>
      </c>
    </row>
    <row r="397" spans="1:13">
      <c r="A397" s="6" t="s">
        <v>18</v>
      </c>
      <c r="B397" s="6" t="s">
        <v>1112</v>
      </c>
      <c r="C397" s="6" t="s">
        <v>1113</v>
      </c>
      <c r="E397" s="6" t="s">
        <v>1113</v>
      </c>
      <c r="G397" s="7">
        <v>2125</v>
      </c>
      <c r="H397" s="7">
        <v>2401.25</v>
      </c>
      <c r="I397" s="7">
        <f t="shared" si="30"/>
        <v>1317.5</v>
      </c>
      <c r="J397" s="7">
        <f t="shared" si="31"/>
        <v>1381.25</v>
      </c>
      <c r="K397" s="7">
        <f t="shared" si="32"/>
        <v>1423.75</v>
      </c>
      <c r="L397" s="7">
        <f t="shared" si="33"/>
        <v>1487.5</v>
      </c>
      <c r="M397" s="7">
        <f t="shared" si="34"/>
        <v>1530</v>
      </c>
    </row>
    <row r="398" spans="1:13">
      <c r="A398" s="6" t="s">
        <v>18</v>
      </c>
      <c r="B398" s="6" t="s">
        <v>1114</v>
      </c>
      <c r="C398" s="6" t="s">
        <v>1115</v>
      </c>
      <c r="E398" s="6" t="s">
        <v>1116</v>
      </c>
      <c r="G398" s="7">
        <v>1986</v>
      </c>
      <c r="H398" s="7">
        <v>2244.18</v>
      </c>
      <c r="I398" s="7">
        <f t="shared" si="30"/>
        <v>1231.32</v>
      </c>
      <c r="J398" s="7">
        <f t="shared" si="31"/>
        <v>1290.9</v>
      </c>
      <c r="K398" s="7">
        <f t="shared" si="32"/>
        <v>1330.62</v>
      </c>
      <c r="L398" s="7">
        <f t="shared" si="33"/>
        <v>1390.2</v>
      </c>
      <c r="M398" s="7">
        <f t="shared" si="34"/>
        <v>1429.92</v>
      </c>
    </row>
    <row r="399" spans="1:13">
      <c r="A399" s="6" t="s">
        <v>18</v>
      </c>
      <c r="B399" s="6" t="s">
        <v>1117</v>
      </c>
      <c r="C399" s="6" t="s">
        <v>1118</v>
      </c>
      <c r="E399" s="6" t="s">
        <v>1119</v>
      </c>
      <c r="G399" s="7">
        <v>5628</v>
      </c>
      <c r="H399" s="7">
        <v>6359.64</v>
      </c>
      <c r="I399" s="7">
        <f t="shared" si="30"/>
        <v>3489.36</v>
      </c>
      <c r="J399" s="7">
        <f t="shared" si="31"/>
        <v>3658.2</v>
      </c>
      <c r="K399" s="7">
        <f t="shared" si="32"/>
        <v>3770.76</v>
      </c>
      <c r="L399" s="7">
        <f t="shared" si="33"/>
        <v>3939.6</v>
      </c>
      <c r="M399" s="7">
        <f t="shared" si="34"/>
        <v>4052.16</v>
      </c>
    </row>
    <row r="400" spans="1:13">
      <c r="A400" s="6" t="s">
        <v>18</v>
      </c>
      <c r="B400" s="6" t="s">
        <v>1120</v>
      </c>
      <c r="C400" s="6" t="s">
        <v>1121</v>
      </c>
      <c r="E400" s="6" t="s">
        <v>1122</v>
      </c>
      <c r="G400" s="7">
        <v>2762</v>
      </c>
      <c r="H400" s="7">
        <v>3121.06</v>
      </c>
      <c r="I400" s="7">
        <f t="shared" si="30"/>
        <v>1712.44</v>
      </c>
      <c r="J400" s="7">
        <f t="shared" si="31"/>
        <v>1795.3</v>
      </c>
      <c r="K400" s="7">
        <f t="shared" si="32"/>
        <v>1850.54</v>
      </c>
      <c r="L400" s="7">
        <f t="shared" si="33"/>
        <v>1933.4</v>
      </c>
      <c r="M400" s="7">
        <f t="shared" si="34"/>
        <v>1988.64</v>
      </c>
    </row>
    <row r="401" ht="25.5" spans="1:13">
      <c r="A401" s="6" t="s">
        <v>18</v>
      </c>
      <c r="B401" s="6" t="s">
        <v>1123</v>
      </c>
      <c r="C401" s="6" t="s">
        <v>1124</v>
      </c>
      <c r="E401" s="6" t="s">
        <v>1125</v>
      </c>
      <c r="G401" s="7">
        <v>570</v>
      </c>
      <c r="H401" s="7">
        <v>644.1</v>
      </c>
      <c r="I401" s="7">
        <f t="shared" si="30"/>
        <v>353.4</v>
      </c>
      <c r="J401" s="7">
        <f t="shared" si="31"/>
        <v>370.5</v>
      </c>
      <c r="K401" s="7">
        <f t="shared" si="32"/>
        <v>381.9</v>
      </c>
      <c r="L401" s="7">
        <f t="shared" si="33"/>
        <v>399</v>
      </c>
      <c r="M401" s="7">
        <f t="shared" si="34"/>
        <v>410.4</v>
      </c>
    </row>
    <row r="402" ht="25.5" spans="1:13">
      <c r="A402" s="6" t="s">
        <v>18</v>
      </c>
      <c r="B402" s="6" t="s">
        <v>1126</v>
      </c>
      <c r="C402" s="6" t="s">
        <v>1127</v>
      </c>
      <c r="E402" s="6" t="s">
        <v>1128</v>
      </c>
      <c r="G402" s="7">
        <v>676</v>
      </c>
      <c r="H402" s="7">
        <v>763.88</v>
      </c>
      <c r="I402" s="7">
        <f t="shared" si="30"/>
        <v>419.12</v>
      </c>
      <c r="J402" s="7">
        <f t="shared" si="31"/>
        <v>439.4</v>
      </c>
      <c r="K402" s="7">
        <f t="shared" si="32"/>
        <v>452.92</v>
      </c>
      <c r="L402" s="7">
        <f t="shared" si="33"/>
        <v>473.2</v>
      </c>
      <c r="M402" s="7">
        <f t="shared" si="34"/>
        <v>486.72</v>
      </c>
    </row>
    <row r="403" ht="25.5" spans="1:13">
      <c r="A403" s="6" t="s">
        <v>18</v>
      </c>
      <c r="B403" s="6" t="s">
        <v>1129</v>
      </c>
      <c r="C403" s="6" t="s">
        <v>1130</v>
      </c>
      <c r="E403" s="6" t="s">
        <v>1131</v>
      </c>
      <c r="G403" s="7">
        <v>470</v>
      </c>
      <c r="H403" s="7">
        <v>531.1</v>
      </c>
      <c r="I403" s="7">
        <f t="shared" si="30"/>
        <v>291.4</v>
      </c>
      <c r="J403" s="7">
        <f t="shared" si="31"/>
        <v>305.5</v>
      </c>
      <c r="K403" s="7">
        <f t="shared" si="32"/>
        <v>314.9</v>
      </c>
      <c r="L403" s="7">
        <f t="shared" si="33"/>
        <v>329</v>
      </c>
      <c r="M403" s="7">
        <f t="shared" si="34"/>
        <v>338.4</v>
      </c>
    </row>
    <row r="404" ht="25.5" spans="1:13">
      <c r="A404" s="6" t="s">
        <v>18</v>
      </c>
      <c r="B404" s="6" t="s">
        <v>1132</v>
      </c>
      <c r="C404" s="6" t="s">
        <v>1133</v>
      </c>
      <c r="E404" s="6" t="s">
        <v>1134</v>
      </c>
      <c r="G404" s="7">
        <v>620</v>
      </c>
      <c r="H404" s="7">
        <v>700.6</v>
      </c>
      <c r="I404" s="7">
        <f t="shared" si="30"/>
        <v>384.4</v>
      </c>
      <c r="J404" s="7">
        <f t="shared" si="31"/>
        <v>403</v>
      </c>
      <c r="K404" s="7">
        <f t="shared" si="32"/>
        <v>415.4</v>
      </c>
      <c r="L404" s="7">
        <f t="shared" si="33"/>
        <v>434</v>
      </c>
      <c r="M404" s="7">
        <f t="shared" si="34"/>
        <v>446.4</v>
      </c>
    </row>
    <row r="405" ht="25.5" spans="1:13">
      <c r="A405" s="6" t="s">
        <v>18</v>
      </c>
      <c r="B405" s="6" t="s">
        <v>1135</v>
      </c>
      <c r="C405" s="6" t="s">
        <v>1136</v>
      </c>
      <c r="E405" s="6" t="s">
        <v>1137</v>
      </c>
      <c r="G405" s="7">
        <v>903</v>
      </c>
      <c r="H405" s="7">
        <v>1020.39</v>
      </c>
      <c r="I405" s="7">
        <f t="shared" si="30"/>
        <v>559.86</v>
      </c>
      <c r="J405" s="7">
        <f t="shared" si="31"/>
        <v>586.95</v>
      </c>
      <c r="K405" s="7">
        <f t="shared" si="32"/>
        <v>605.01</v>
      </c>
      <c r="L405" s="7">
        <f t="shared" si="33"/>
        <v>632.1</v>
      </c>
      <c r="M405" s="7">
        <f t="shared" si="34"/>
        <v>650.16</v>
      </c>
    </row>
    <row r="406" ht="25.5" spans="1:13">
      <c r="A406" s="6" t="s">
        <v>18</v>
      </c>
      <c r="B406" s="6" t="s">
        <v>1138</v>
      </c>
      <c r="C406" s="6" t="s">
        <v>1139</v>
      </c>
      <c r="E406" s="6" t="s">
        <v>1140</v>
      </c>
      <c r="G406" s="7">
        <v>357</v>
      </c>
      <c r="H406" s="7">
        <v>403.41</v>
      </c>
      <c r="I406" s="7">
        <f t="shared" si="30"/>
        <v>221.34</v>
      </c>
      <c r="J406" s="7">
        <f t="shared" si="31"/>
        <v>232.05</v>
      </c>
      <c r="K406" s="7">
        <f t="shared" si="32"/>
        <v>239.19</v>
      </c>
      <c r="L406" s="7">
        <f t="shared" si="33"/>
        <v>249.9</v>
      </c>
      <c r="M406" s="7">
        <f t="shared" si="34"/>
        <v>257.04</v>
      </c>
    </row>
    <row r="407" ht="25.5" spans="1:13">
      <c r="A407" s="6" t="s">
        <v>18</v>
      </c>
      <c r="B407" s="6" t="s">
        <v>1141</v>
      </c>
      <c r="C407" s="6" t="s">
        <v>1142</v>
      </c>
      <c r="E407" s="6" t="s">
        <v>1143</v>
      </c>
      <c r="G407" s="7">
        <v>699</v>
      </c>
      <c r="H407" s="7">
        <v>789.87</v>
      </c>
      <c r="I407" s="7">
        <f t="shared" si="30"/>
        <v>433.38</v>
      </c>
      <c r="J407" s="7">
        <f t="shared" si="31"/>
        <v>454.35</v>
      </c>
      <c r="K407" s="7">
        <f t="shared" si="32"/>
        <v>468.33</v>
      </c>
      <c r="L407" s="7">
        <f t="shared" si="33"/>
        <v>489.3</v>
      </c>
      <c r="M407" s="7">
        <f t="shared" si="34"/>
        <v>503.28</v>
      </c>
    </row>
    <row r="408" ht="25.5" spans="1:13">
      <c r="A408" s="6" t="s">
        <v>18</v>
      </c>
      <c r="B408" s="6" t="s">
        <v>1144</v>
      </c>
      <c r="C408" s="6" t="s">
        <v>1145</v>
      </c>
      <c r="E408" s="6" t="s">
        <v>1146</v>
      </c>
      <c r="G408" s="7">
        <v>949</v>
      </c>
      <c r="H408" s="7">
        <v>1072.37</v>
      </c>
      <c r="I408" s="7">
        <f t="shared" si="30"/>
        <v>588.38</v>
      </c>
      <c r="J408" s="7">
        <f t="shared" si="31"/>
        <v>616.85</v>
      </c>
      <c r="K408" s="7">
        <f t="shared" si="32"/>
        <v>635.83</v>
      </c>
      <c r="L408" s="7">
        <f t="shared" si="33"/>
        <v>664.3</v>
      </c>
      <c r="M408" s="7">
        <f t="shared" si="34"/>
        <v>683.28</v>
      </c>
    </row>
    <row r="409" ht="25.5" spans="1:13">
      <c r="A409" s="6" t="s">
        <v>18</v>
      </c>
      <c r="B409" s="6" t="s">
        <v>1147</v>
      </c>
      <c r="C409" s="6" t="s">
        <v>1148</v>
      </c>
      <c r="E409" s="6" t="s">
        <v>1149</v>
      </c>
      <c r="G409" s="7">
        <v>379</v>
      </c>
      <c r="H409" s="7">
        <v>428.27</v>
      </c>
      <c r="I409" s="7">
        <f t="shared" si="30"/>
        <v>234.98</v>
      </c>
      <c r="J409" s="7">
        <f t="shared" si="31"/>
        <v>246.35</v>
      </c>
      <c r="K409" s="7">
        <f t="shared" si="32"/>
        <v>253.93</v>
      </c>
      <c r="L409" s="7">
        <f t="shared" si="33"/>
        <v>265.3</v>
      </c>
      <c r="M409" s="7">
        <f t="shared" si="34"/>
        <v>272.88</v>
      </c>
    </row>
    <row r="410" ht="25.5" spans="1:13">
      <c r="A410" s="6" t="s">
        <v>18</v>
      </c>
      <c r="B410" s="6" t="s">
        <v>1150</v>
      </c>
      <c r="C410" s="6" t="s">
        <v>1151</v>
      </c>
      <c r="E410" s="6" t="s">
        <v>1152</v>
      </c>
      <c r="G410" s="7">
        <v>620</v>
      </c>
      <c r="H410" s="7">
        <v>700.6</v>
      </c>
      <c r="I410" s="7">
        <f t="shared" si="30"/>
        <v>384.4</v>
      </c>
      <c r="J410" s="7">
        <f t="shared" si="31"/>
        <v>403</v>
      </c>
      <c r="K410" s="7">
        <f t="shared" si="32"/>
        <v>415.4</v>
      </c>
      <c r="L410" s="7">
        <f t="shared" si="33"/>
        <v>434</v>
      </c>
      <c r="M410" s="7">
        <f t="shared" si="34"/>
        <v>446.4</v>
      </c>
    </row>
    <row r="411" ht="25.5" spans="1:13">
      <c r="A411" s="6" t="s">
        <v>18</v>
      </c>
      <c r="B411" s="6" t="s">
        <v>1153</v>
      </c>
      <c r="C411" s="6" t="s">
        <v>1154</v>
      </c>
      <c r="E411" s="6" t="s">
        <v>1155</v>
      </c>
      <c r="G411" s="7">
        <v>903</v>
      </c>
      <c r="H411" s="7">
        <v>1020.39</v>
      </c>
      <c r="I411" s="7">
        <f t="shared" si="30"/>
        <v>559.86</v>
      </c>
      <c r="J411" s="7">
        <f t="shared" si="31"/>
        <v>586.95</v>
      </c>
      <c r="K411" s="7">
        <f t="shared" si="32"/>
        <v>605.01</v>
      </c>
      <c r="L411" s="7">
        <f t="shared" si="33"/>
        <v>632.1</v>
      </c>
      <c r="M411" s="7">
        <f t="shared" si="34"/>
        <v>650.16</v>
      </c>
    </row>
    <row r="412" ht="25.5" spans="1:13">
      <c r="A412" s="6" t="s">
        <v>18</v>
      </c>
      <c r="B412" s="6" t="s">
        <v>1156</v>
      </c>
      <c r="C412" s="6" t="s">
        <v>1157</v>
      </c>
      <c r="E412" s="6" t="s">
        <v>1158</v>
      </c>
      <c r="G412" s="7">
        <v>357</v>
      </c>
      <c r="H412" s="7">
        <v>403.41</v>
      </c>
      <c r="I412" s="7">
        <f t="shared" si="30"/>
        <v>221.34</v>
      </c>
      <c r="J412" s="7">
        <f t="shared" si="31"/>
        <v>232.05</v>
      </c>
      <c r="K412" s="7">
        <f t="shared" si="32"/>
        <v>239.19</v>
      </c>
      <c r="L412" s="7">
        <f t="shared" si="33"/>
        <v>249.9</v>
      </c>
      <c r="M412" s="7">
        <f t="shared" si="34"/>
        <v>257.04</v>
      </c>
    </row>
    <row r="413" ht="38.25" spans="1:13">
      <c r="A413" s="6" t="s">
        <v>228</v>
      </c>
      <c r="B413" s="6" t="s">
        <v>1159</v>
      </c>
      <c r="C413" s="6" t="s">
        <v>1160</v>
      </c>
      <c r="E413" s="6" t="s">
        <v>1161</v>
      </c>
      <c r="G413" s="7">
        <v>59</v>
      </c>
      <c r="H413" s="7">
        <v>66.67</v>
      </c>
      <c r="I413" s="7">
        <f t="shared" si="30"/>
        <v>36.58</v>
      </c>
      <c r="J413" s="7">
        <f t="shared" si="31"/>
        <v>38.35</v>
      </c>
      <c r="K413" s="7">
        <f t="shared" si="32"/>
        <v>39.53</v>
      </c>
      <c r="L413" s="7">
        <f t="shared" si="33"/>
        <v>41.3</v>
      </c>
      <c r="M413" s="7">
        <f t="shared" si="34"/>
        <v>42.48</v>
      </c>
    </row>
    <row r="414" spans="1:13">
      <c r="A414" s="6" t="s">
        <v>18</v>
      </c>
      <c r="B414" s="6" t="s">
        <v>1162</v>
      </c>
      <c r="C414" s="6" t="s">
        <v>1163</v>
      </c>
      <c r="E414" s="6" t="s">
        <v>1163</v>
      </c>
      <c r="G414" s="7">
        <v>159</v>
      </c>
      <c r="H414" s="7">
        <v>179.67</v>
      </c>
      <c r="I414" s="7">
        <f t="shared" si="30"/>
        <v>98.58</v>
      </c>
      <c r="J414" s="7">
        <f t="shared" si="31"/>
        <v>103.35</v>
      </c>
      <c r="K414" s="7">
        <f t="shared" si="32"/>
        <v>106.53</v>
      </c>
      <c r="L414" s="7">
        <f t="shared" si="33"/>
        <v>111.3</v>
      </c>
      <c r="M414" s="7">
        <f t="shared" si="34"/>
        <v>114.48</v>
      </c>
    </row>
    <row r="415" ht="25.5" spans="1:13">
      <c r="A415" s="6" t="s">
        <v>18</v>
      </c>
      <c r="B415" s="6" t="s">
        <v>1164</v>
      </c>
      <c r="C415" s="6" t="s">
        <v>1165</v>
      </c>
      <c r="E415" s="6" t="s">
        <v>1166</v>
      </c>
      <c r="G415" s="7">
        <v>79</v>
      </c>
      <c r="H415" s="7">
        <v>89.27</v>
      </c>
      <c r="I415" s="7">
        <f t="shared" si="30"/>
        <v>48.98</v>
      </c>
      <c r="J415" s="7">
        <f t="shared" si="31"/>
        <v>51.35</v>
      </c>
      <c r="K415" s="7">
        <f t="shared" si="32"/>
        <v>52.93</v>
      </c>
      <c r="L415" s="7">
        <f t="shared" si="33"/>
        <v>55.3</v>
      </c>
      <c r="M415" s="7">
        <f t="shared" si="34"/>
        <v>56.88</v>
      </c>
    </row>
    <row r="416" ht="25.5" spans="1:13">
      <c r="A416" s="6" t="s">
        <v>733</v>
      </c>
      <c r="B416" s="6" t="s">
        <v>1167</v>
      </c>
      <c r="C416" s="6" t="s">
        <v>1168</v>
      </c>
      <c r="E416" s="6" t="s">
        <v>1169</v>
      </c>
      <c r="G416" s="7">
        <v>179</v>
      </c>
      <c r="H416" s="7">
        <v>202.27</v>
      </c>
      <c r="I416" s="7">
        <f t="shared" si="30"/>
        <v>110.98</v>
      </c>
      <c r="J416" s="7">
        <f t="shared" si="31"/>
        <v>116.35</v>
      </c>
      <c r="K416" s="7">
        <f t="shared" si="32"/>
        <v>119.93</v>
      </c>
      <c r="L416" s="7">
        <f t="shared" si="33"/>
        <v>125.3</v>
      </c>
      <c r="M416" s="7">
        <f t="shared" si="34"/>
        <v>128.88</v>
      </c>
    </row>
    <row r="417" spans="1:13">
      <c r="A417" s="6" t="s">
        <v>25</v>
      </c>
      <c r="B417" s="6" t="s">
        <v>1170</v>
      </c>
      <c r="C417" s="6" t="s">
        <v>1171</v>
      </c>
      <c r="E417" s="6" t="s">
        <v>1171</v>
      </c>
      <c r="G417" s="7">
        <v>21.99</v>
      </c>
      <c r="H417" s="7">
        <v>24.8487</v>
      </c>
      <c r="I417" s="7">
        <f t="shared" si="30"/>
        <v>13.6338</v>
      </c>
      <c r="J417" s="7">
        <f t="shared" si="31"/>
        <v>14.2935</v>
      </c>
      <c r="K417" s="7">
        <f t="shared" si="32"/>
        <v>14.7333</v>
      </c>
      <c r="L417" s="7">
        <f t="shared" si="33"/>
        <v>15.393</v>
      </c>
      <c r="M417" s="7">
        <f t="shared" si="34"/>
        <v>15.8328</v>
      </c>
    </row>
    <row r="418" spans="1:13">
      <c r="A418" s="6" t="s">
        <v>25</v>
      </c>
      <c r="B418" s="6" t="s">
        <v>1172</v>
      </c>
      <c r="C418" s="6" t="s">
        <v>1173</v>
      </c>
      <c r="E418" s="6" t="s">
        <v>1173</v>
      </c>
      <c r="G418" s="7">
        <v>21.99</v>
      </c>
      <c r="H418" s="7">
        <v>24.8487</v>
      </c>
      <c r="I418" s="7">
        <f t="shared" si="30"/>
        <v>13.6338</v>
      </c>
      <c r="J418" s="7">
        <f t="shared" si="31"/>
        <v>14.2935</v>
      </c>
      <c r="K418" s="7">
        <f t="shared" si="32"/>
        <v>14.7333</v>
      </c>
      <c r="L418" s="7">
        <f t="shared" si="33"/>
        <v>15.393</v>
      </c>
      <c r="M418" s="7">
        <f t="shared" si="34"/>
        <v>15.8328</v>
      </c>
    </row>
    <row r="419" spans="1:13">
      <c r="A419" s="6" t="s">
        <v>18</v>
      </c>
      <c r="B419" s="6" t="s">
        <v>1174</v>
      </c>
      <c r="C419" s="6" t="s">
        <v>1175</v>
      </c>
      <c r="E419" s="6" t="s">
        <v>1175</v>
      </c>
      <c r="G419" s="7">
        <v>119</v>
      </c>
      <c r="H419" s="7">
        <v>134.47</v>
      </c>
      <c r="I419" s="7">
        <f t="shared" si="30"/>
        <v>73.78</v>
      </c>
      <c r="J419" s="7">
        <f t="shared" si="31"/>
        <v>77.35</v>
      </c>
      <c r="K419" s="7">
        <f t="shared" si="32"/>
        <v>79.73</v>
      </c>
      <c r="L419" s="7">
        <f t="shared" si="33"/>
        <v>83.3</v>
      </c>
      <c r="M419" s="7">
        <f t="shared" si="34"/>
        <v>85.68</v>
      </c>
    </row>
    <row r="420" spans="1:13">
      <c r="A420" s="6" t="s">
        <v>18</v>
      </c>
      <c r="B420" s="6" t="s">
        <v>1176</v>
      </c>
      <c r="C420" s="6" t="s">
        <v>1177</v>
      </c>
      <c r="E420" s="6" t="s">
        <v>1177</v>
      </c>
      <c r="G420" s="7">
        <v>159</v>
      </c>
      <c r="H420" s="7">
        <v>179.67</v>
      </c>
      <c r="I420" s="7">
        <f t="shared" si="30"/>
        <v>98.58</v>
      </c>
      <c r="J420" s="7">
        <f t="shared" si="31"/>
        <v>103.35</v>
      </c>
      <c r="K420" s="7">
        <f t="shared" si="32"/>
        <v>106.53</v>
      </c>
      <c r="L420" s="7">
        <f t="shared" si="33"/>
        <v>111.3</v>
      </c>
      <c r="M420" s="7">
        <f t="shared" si="34"/>
        <v>114.48</v>
      </c>
    </row>
    <row r="421" spans="1:13">
      <c r="A421" s="6" t="s">
        <v>18</v>
      </c>
      <c r="B421" s="6" t="s">
        <v>1178</v>
      </c>
      <c r="C421" s="6" t="s">
        <v>1179</v>
      </c>
      <c r="E421" s="6" t="s">
        <v>1179</v>
      </c>
      <c r="G421" s="7">
        <v>419</v>
      </c>
      <c r="H421" s="7">
        <v>473.47</v>
      </c>
      <c r="I421" s="7">
        <f t="shared" si="30"/>
        <v>259.78</v>
      </c>
      <c r="J421" s="7">
        <f t="shared" si="31"/>
        <v>272.35</v>
      </c>
      <c r="K421" s="7">
        <f t="shared" si="32"/>
        <v>280.73</v>
      </c>
      <c r="L421" s="7">
        <f t="shared" si="33"/>
        <v>293.3</v>
      </c>
      <c r="M421" s="7">
        <f t="shared" si="34"/>
        <v>301.68</v>
      </c>
    </row>
    <row r="422" ht="25.5" spans="1:13">
      <c r="A422" s="6" t="s">
        <v>376</v>
      </c>
      <c r="B422" s="6" t="s">
        <v>1180</v>
      </c>
      <c r="C422" s="6" t="s">
        <v>1181</v>
      </c>
      <c r="E422" s="6" t="s">
        <v>1182</v>
      </c>
      <c r="G422" s="7">
        <v>1849</v>
      </c>
      <c r="H422" s="7">
        <v>2089.37</v>
      </c>
      <c r="I422" s="7">
        <f t="shared" si="30"/>
        <v>1146.38</v>
      </c>
      <c r="J422" s="7">
        <f t="shared" si="31"/>
        <v>1201.85</v>
      </c>
      <c r="K422" s="7">
        <f t="shared" si="32"/>
        <v>1238.83</v>
      </c>
      <c r="L422" s="7">
        <f t="shared" si="33"/>
        <v>1294.3</v>
      </c>
      <c r="M422" s="7">
        <f t="shared" si="34"/>
        <v>1331.28</v>
      </c>
    </row>
    <row r="423" ht="25.5" spans="1:13">
      <c r="A423" s="6" t="s">
        <v>18</v>
      </c>
      <c r="B423" s="6" t="s">
        <v>1183</v>
      </c>
      <c r="C423" s="6" t="s">
        <v>1184</v>
      </c>
      <c r="E423" s="6" t="s">
        <v>1185</v>
      </c>
      <c r="G423" s="7">
        <v>59</v>
      </c>
      <c r="H423" s="7">
        <v>66.67</v>
      </c>
      <c r="I423" s="7">
        <f t="shared" si="30"/>
        <v>36.58</v>
      </c>
      <c r="J423" s="7">
        <f t="shared" si="31"/>
        <v>38.35</v>
      </c>
      <c r="K423" s="7">
        <f t="shared" si="32"/>
        <v>39.53</v>
      </c>
      <c r="L423" s="7">
        <f t="shared" si="33"/>
        <v>41.3</v>
      </c>
      <c r="M423" s="7">
        <f t="shared" si="34"/>
        <v>42.48</v>
      </c>
    </row>
    <row r="424" spans="1:13">
      <c r="A424" s="6" t="s">
        <v>18</v>
      </c>
      <c r="B424" s="6" t="s">
        <v>1186</v>
      </c>
      <c r="C424" s="6" t="s">
        <v>1187</v>
      </c>
      <c r="E424" s="6" t="s">
        <v>1187</v>
      </c>
      <c r="G424" s="7">
        <v>59</v>
      </c>
      <c r="H424" s="7">
        <v>66.67</v>
      </c>
      <c r="I424" s="7">
        <f t="shared" si="30"/>
        <v>36.58</v>
      </c>
      <c r="J424" s="7">
        <f t="shared" si="31"/>
        <v>38.35</v>
      </c>
      <c r="K424" s="7">
        <f t="shared" si="32"/>
        <v>39.53</v>
      </c>
      <c r="L424" s="7">
        <f t="shared" si="33"/>
        <v>41.3</v>
      </c>
      <c r="M424" s="7">
        <f t="shared" si="34"/>
        <v>42.48</v>
      </c>
    </row>
    <row r="425" spans="1:13">
      <c r="A425" s="6" t="s">
        <v>18</v>
      </c>
      <c r="B425" s="6" t="s">
        <v>1188</v>
      </c>
      <c r="C425" s="6" t="s">
        <v>1189</v>
      </c>
      <c r="E425" s="6" t="s">
        <v>1190</v>
      </c>
      <c r="G425" s="7">
        <v>379</v>
      </c>
      <c r="H425" s="7">
        <v>428.27</v>
      </c>
      <c r="I425" s="7">
        <f t="shared" si="30"/>
        <v>234.98</v>
      </c>
      <c r="J425" s="7">
        <f t="shared" si="31"/>
        <v>246.35</v>
      </c>
      <c r="K425" s="7">
        <f t="shared" si="32"/>
        <v>253.93</v>
      </c>
      <c r="L425" s="7">
        <f t="shared" si="33"/>
        <v>265.3</v>
      </c>
      <c r="M425" s="7">
        <f t="shared" si="34"/>
        <v>272.88</v>
      </c>
    </row>
    <row r="426" spans="1:13">
      <c r="A426" s="6" t="s">
        <v>376</v>
      </c>
      <c r="B426" s="6" t="s">
        <v>1191</v>
      </c>
      <c r="C426" s="6" t="s">
        <v>1192</v>
      </c>
      <c r="E426" s="6" t="s">
        <v>1193</v>
      </c>
      <c r="G426" s="7">
        <v>1149</v>
      </c>
      <c r="H426" s="7">
        <v>1298.37</v>
      </c>
      <c r="I426" s="7">
        <f t="shared" si="30"/>
        <v>712.38</v>
      </c>
      <c r="J426" s="7">
        <f t="shared" si="31"/>
        <v>746.85</v>
      </c>
      <c r="K426" s="7">
        <f t="shared" si="32"/>
        <v>769.83</v>
      </c>
      <c r="L426" s="7">
        <f t="shared" si="33"/>
        <v>804.3</v>
      </c>
      <c r="M426" s="7">
        <f t="shared" si="34"/>
        <v>827.28</v>
      </c>
    </row>
    <row r="427" spans="1:13">
      <c r="A427" s="6" t="s">
        <v>18</v>
      </c>
      <c r="B427" s="6" t="s">
        <v>1194</v>
      </c>
      <c r="C427" s="6" t="s">
        <v>1195</v>
      </c>
      <c r="E427" s="6" t="s">
        <v>1196</v>
      </c>
      <c r="G427" s="7">
        <v>849</v>
      </c>
      <c r="H427" s="7">
        <v>959.37</v>
      </c>
      <c r="I427" s="7">
        <f t="shared" si="30"/>
        <v>526.38</v>
      </c>
      <c r="J427" s="7">
        <f t="shared" si="31"/>
        <v>551.85</v>
      </c>
      <c r="K427" s="7">
        <f t="shared" si="32"/>
        <v>568.83</v>
      </c>
      <c r="L427" s="7">
        <f t="shared" si="33"/>
        <v>594.3</v>
      </c>
      <c r="M427" s="7">
        <f t="shared" si="34"/>
        <v>611.28</v>
      </c>
    </row>
    <row r="428" ht="38.25" spans="1:13">
      <c r="A428" s="6" t="s">
        <v>18</v>
      </c>
      <c r="B428" s="6" t="s">
        <v>1197</v>
      </c>
      <c r="C428" s="6" t="s">
        <v>1198</v>
      </c>
      <c r="E428" s="6" t="s">
        <v>1199</v>
      </c>
      <c r="G428" s="7">
        <v>840</v>
      </c>
      <c r="H428" s="7">
        <v>949.2</v>
      </c>
      <c r="I428" s="7">
        <f t="shared" si="30"/>
        <v>520.8</v>
      </c>
      <c r="J428" s="7">
        <f t="shared" si="31"/>
        <v>546</v>
      </c>
      <c r="K428" s="7">
        <f t="shared" si="32"/>
        <v>562.8</v>
      </c>
      <c r="L428" s="7">
        <f t="shared" si="33"/>
        <v>588</v>
      </c>
      <c r="M428" s="7">
        <f t="shared" si="34"/>
        <v>604.8</v>
      </c>
    </row>
    <row r="429" spans="1:13">
      <c r="A429" s="6" t="s">
        <v>755</v>
      </c>
      <c r="B429" s="6" t="s">
        <v>1200</v>
      </c>
      <c r="C429" s="6" t="s">
        <v>1201</v>
      </c>
      <c r="E429" s="6" t="s">
        <v>1202</v>
      </c>
      <c r="G429" s="7">
        <v>129</v>
      </c>
      <c r="H429" s="7">
        <v>145.77</v>
      </c>
      <c r="I429" s="7">
        <f t="shared" si="30"/>
        <v>79.98</v>
      </c>
      <c r="J429" s="7">
        <f t="shared" si="31"/>
        <v>83.85</v>
      </c>
      <c r="K429" s="7">
        <f t="shared" si="32"/>
        <v>86.43</v>
      </c>
      <c r="L429" s="7">
        <f t="shared" si="33"/>
        <v>90.3</v>
      </c>
      <c r="M429" s="7">
        <f t="shared" si="34"/>
        <v>92.88</v>
      </c>
    </row>
    <row r="430" spans="1:13">
      <c r="A430" s="6" t="s">
        <v>18</v>
      </c>
      <c r="B430" s="6" t="s">
        <v>1203</v>
      </c>
      <c r="C430" s="6" t="s">
        <v>1204</v>
      </c>
      <c r="E430" s="6" t="s">
        <v>1205</v>
      </c>
      <c r="G430" s="7">
        <v>179</v>
      </c>
      <c r="H430" s="7">
        <v>202.27</v>
      </c>
      <c r="I430" s="7">
        <f t="shared" si="30"/>
        <v>110.98</v>
      </c>
      <c r="J430" s="7">
        <f t="shared" si="31"/>
        <v>116.35</v>
      </c>
      <c r="K430" s="7">
        <f t="shared" si="32"/>
        <v>119.93</v>
      </c>
      <c r="L430" s="7">
        <f t="shared" si="33"/>
        <v>125.3</v>
      </c>
      <c r="M430" s="7">
        <f t="shared" si="34"/>
        <v>128.88</v>
      </c>
    </row>
    <row r="431" ht="25.5" spans="1:13">
      <c r="A431" s="6" t="s">
        <v>432</v>
      </c>
      <c r="B431" s="6" t="s">
        <v>1206</v>
      </c>
      <c r="C431" s="6" t="s">
        <v>1207</v>
      </c>
      <c r="E431" s="6" t="s">
        <v>1208</v>
      </c>
      <c r="G431" s="7">
        <v>1099</v>
      </c>
      <c r="H431" s="7">
        <v>1241.87</v>
      </c>
      <c r="I431" s="7">
        <f t="shared" si="30"/>
        <v>681.38</v>
      </c>
      <c r="J431" s="7">
        <f t="shared" si="31"/>
        <v>714.35</v>
      </c>
      <c r="K431" s="7">
        <f t="shared" si="32"/>
        <v>736.33</v>
      </c>
      <c r="L431" s="7">
        <f t="shared" si="33"/>
        <v>769.3</v>
      </c>
      <c r="M431" s="7">
        <f t="shared" si="34"/>
        <v>791.28</v>
      </c>
    </row>
    <row r="432" spans="1:13">
      <c r="A432" s="6" t="s">
        <v>18</v>
      </c>
      <c r="B432" s="6" t="s">
        <v>1209</v>
      </c>
      <c r="C432" s="6" t="s">
        <v>1210</v>
      </c>
      <c r="E432" s="6" t="s">
        <v>1211</v>
      </c>
      <c r="G432" s="7">
        <v>55</v>
      </c>
      <c r="H432" s="7">
        <v>62.15</v>
      </c>
      <c r="I432" s="7">
        <f t="shared" si="30"/>
        <v>34.1</v>
      </c>
      <c r="J432" s="7">
        <f t="shared" si="31"/>
        <v>35.75</v>
      </c>
      <c r="K432" s="7">
        <f t="shared" si="32"/>
        <v>36.85</v>
      </c>
      <c r="L432" s="7">
        <f t="shared" si="33"/>
        <v>38.5</v>
      </c>
      <c r="M432" s="7">
        <f t="shared" si="34"/>
        <v>39.6</v>
      </c>
    </row>
    <row r="433" spans="1:13">
      <c r="A433" s="6" t="s">
        <v>18</v>
      </c>
      <c r="B433" s="6" t="s">
        <v>1212</v>
      </c>
      <c r="C433" s="6" t="s">
        <v>1213</v>
      </c>
      <c r="E433" s="6" t="s">
        <v>1214</v>
      </c>
      <c r="G433" s="7">
        <v>31.5</v>
      </c>
      <c r="H433" s="7">
        <v>35.595</v>
      </c>
      <c r="I433" s="7">
        <f t="shared" si="30"/>
        <v>19.53</v>
      </c>
      <c r="J433" s="7">
        <f t="shared" si="31"/>
        <v>20.475</v>
      </c>
      <c r="K433" s="7">
        <f t="shared" si="32"/>
        <v>21.105</v>
      </c>
      <c r="L433" s="7">
        <f t="shared" si="33"/>
        <v>22.05</v>
      </c>
      <c r="M433" s="7">
        <f t="shared" si="34"/>
        <v>22.68</v>
      </c>
    </row>
    <row r="434" ht="38.25" spans="1:13">
      <c r="A434" s="6" t="s">
        <v>733</v>
      </c>
      <c r="B434" s="6" t="s">
        <v>1215</v>
      </c>
      <c r="C434" s="6" t="s">
        <v>1216</v>
      </c>
      <c r="E434" s="6" t="s">
        <v>1217</v>
      </c>
      <c r="G434" s="7">
        <v>179</v>
      </c>
      <c r="H434" s="7">
        <v>202.27</v>
      </c>
      <c r="I434" s="7">
        <f t="shared" si="30"/>
        <v>110.98</v>
      </c>
      <c r="J434" s="7">
        <f t="shared" si="31"/>
        <v>116.35</v>
      </c>
      <c r="K434" s="7">
        <f t="shared" si="32"/>
        <v>119.93</v>
      </c>
      <c r="L434" s="7">
        <f t="shared" si="33"/>
        <v>125.3</v>
      </c>
      <c r="M434" s="7">
        <f t="shared" si="34"/>
        <v>128.88</v>
      </c>
    </row>
    <row r="435" ht="38.25" spans="1:13">
      <c r="A435" s="6" t="s">
        <v>733</v>
      </c>
      <c r="B435" s="6" t="s">
        <v>1218</v>
      </c>
      <c r="C435" s="6" t="s">
        <v>1219</v>
      </c>
      <c r="E435" s="6" t="s">
        <v>1220</v>
      </c>
      <c r="G435" s="7">
        <v>339</v>
      </c>
      <c r="H435" s="7">
        <v>383.07</v>
      </c>
      <c r="I435" s="7">
        <f t="shared" si="30"/>
        <v>210.18</v>
      </c>
      <c r="J435" s="7">
        <f t="shared" si="31"/>
        <v>220.35</v>
      </c>
      <c r="K435" s="7">
        <f t="shared" si="32"/>
        <v>227.13</v>
      </c>
      <c r="L435" s="7">
        <f t="shared" si="33"/>
        <v>237.3</v>
      </c>
      <c r="M435" s="7">
        <f t="shared" si="34"/>
        <v>244.08</v>
      </c>
    </row>
    <row r="436" spans="1:13">
      <c r="A436" s="6" t="s">
        <v>18</v>
      </c>
      <c r="B436" s="6" t="s">
        <v>1221</v>
      </c>
      <c r="C436" s="6" t="s">
        <v>1222</v>
      </c>
      <c r="E436" s="6" t="s">
        <v>1222</v>
      </c>
      <c r="G436" s="7">
        <v>39</v>
      </c>
      <c r="H436" s="7">
        <v>44.07</v>
      </c>
      <c r="I436" s="7">
        <f t="shared" si="30"/>
        <v>24.18</v>
      </c>
      <c r="J436" s="7">
        <f t="shared" si="31"/>
        <v>25.35</v>
      </c>
      <c r="K436" s="7">
        <f t="shared" si="32"/>
        <v>26.13</v>
      </c>
      <c r="L436" s="7">
        <f t="shared" si="33"/>
        <v>27.3</v>
      </c>
      <c r="M436" s="7">
        <f t="shared" si="34"/>
        <v>28.08</v>
      </c>
    </row>
    <row r="437" spans="1:13">
      <c r="A437" s="6" t="s">
        <v>18</v>
      </c>
      <c r="B437" s="6" t="s">
        <v>1223</v>
      </c>
      <c r="C437" s="6" t="s">
        <v>1224</v>
      </c>
      <c r="E437" s="6" t="s">
        <v>1224</v>
      </c>
      <c r="G437" s="7">
        <v>99</v>
      </c>
      <c r="H437" s="7">
        <v>111.87</v>
      </c>
      <c r="I437" s="7">
        <f t="shared" si="30"/>
        <v>61.38</v>
      </c>
      <c r="J437" s="7">
        <f t="shared" si="31"/>
        <v>64.35</v>
      </c>
      <c r="K437" s="7">
        <f t="shared" si="32"/>
        <v>66.33</v>
      </c>
      <c r="L437" s="7">
        <f t="shared" si="33"/>
        <v>69.3</v>
      </c>
      <c r="M437" s="7">
        <f t="shared" si="34"/>
        <v>71.28</v>
      </c>
    </row>
    <row r="438" spans="1:13">
      <c r="A438" s="6" t="s">
        <v>18</v>
      </c>
      <c r="B438" s="6" t="s">
        <v>1225</v>
      </c>
      <c r="C438" s="6" t="s">
        <v>1226</v>
      </c>
      <c r="E438" s="6" t="s">
        <v>1226</v>
      </c>
      <c r="G438" s="7">
        <v>159</v>
      </c>
      <c r="H438" s="7">
        <v>179.67</v>
      </c>
      <c r="I438" s="7">
        <f t="shared" si="30"/>
        <v>98.58</v>
      </c>
      <c r="J438" s="7">
        <f t="shared" si="31"/>
        <v>103.35</v>
      </c>
      <c r="K438" s="7">
        <f t="shared" si="32"/>
        <v>106.53</v>
      </c>
      <c r="L438" s="7">
        <f t="shared" si="33"/>
        <v>111.3</v>
      </c>
      <c r="M438" s="7">
        <f t="shared" si="34"/>
        <v>114.48</v>
      </c>
    </row>
    <row r="439" ht="25.5" spans="1:13">
      <c r="A439" s="6" t="s">
        <v>18</v>
      </c>
      <c r="B439" s="6" t="s">
        <v>1227</v>
      </c>
      <c r="C439" s="6" t="s">
        <v>1228</v>
      </c>
      <c r="E439" s="6" t="s">
        <v>1228</v>
      </c>
      <c r="G439" s="7">
        <v>39</v>
      </c>
      <c r="H439" s="7">
        <v>44.07</v>
      </c>
      <c r="I439" s="7">
        <f t="shared" si="30"/>
        <v>24.18</v>
      </c>
      <c r="J439" s="7">
        <f t="shared" si="31"/>
        <v>25.35</v>
      </c>
      <c r="K439" s="7">
        <f t="shared" si="32"/>
        <v>26.13</v>
      </c>
      <c r="L439" s="7">
        <f t="shared" si="33"/>
        <v>27.3</v>
      </c>
      <c r="M439" s="7">
        <f t="shared" si="34"/>
        <v>28.08</v>
      </c>
    </row>
    <row r="440" ht="38.25" spans="1:13">
      <c r="A440" s="6" t="s">
        <v>748</v>
      </c>
      <c r="B440" s="6" t="s">
        <v>1229</v>
      </c>
      <c r="C440" s="6" t="s">
        <v>1230</v>
      </c>
      <c r="E440" s="6" t="s">
        <v>1231</v>
      </c>
      <c r="G440" s="7">
        <v>17949</v>
      </c>
      <c r="H440" s="7">
        <v>20282.37</v>
      </c>
      <c r="I440" s="7">
        <f t="shared" si="30"/>
        <v>11128.38</v>
      </c>
      <c r="J440" s="7">
        <f t="shared" si="31"/>
        <v>11666.85</v>
      </c>
      <c r="K440" s="7">
        <f t="shared" si="32"/>
        <v>12025.83</v>
      </c>
      <c r="L440" s="7">
        <f t="shared" si="33"/>
        <v>12564.3</v>
      </c>
      <c r="M440" s="7">
        <f t="shared" si="34"/>
        <v>12923.28</v>
      </c>
    </row>
    <row r="441" ht="38.25" spans="1:13">
      <c r="A441" s="6" t="s">
        <v>748</v>
      </c>
      <c r="B441" s="6" t="s">
        <v>1232</v>
      </c>
      <c r="C441" s="6" t="s">
        <v>1233</v>
      </c>
      <c r="E441" s="6" t="s">
        <v>1234</v>
      </c>
      <c r="G441" s="7">
        <v>42449</v>
      </c>
      <c r="H441" s="7">
        <v>47967.37</v>
      </c>
      <c r="I441" s="7">
        <f t="shared" si="30"/>
        <v>26318.38</v>
      </c>
      <c r="J441" s="7">
        <f t="shared" si="31"/>
        <v>27591.85</v>
      </c>
      <c r="K441" s="7">
        <f t="shared" si="32"/>
        <v>28440.83</v>
      </c>
      <c r="L441" s="7">
        <f t="shared" si="33"/>
        <v>29714.3</v>
      </c>
      <c r="M441" s="7">
        <f t="shared" si="34"/>
        <v>30563.28</v>
      </c>
    </row>
    <row r="442" ht="38.25" spans="1:13">
      <c r="A442" s="6" t="s">
        <v>748</v>
      </c>
      <c r="B442" s="6" t="s">
        <v>1235</v>
      </c>
      <c r="C442" s="6" t="s">
        <v>1236</v>
      </c>
      <c r="E442" s="6" t="s">
        <v>1237</v>
      </c>
      <c r="G442" s="7">
        <v>20299</v>
      </c>
      <c r="H442" s="7">
        <v>22937.87</v>
      </c>
      <c r="I442" s="7">
        <f t="shared" si="30"/>
        <v>12585.38</v>
      </c>
      <c r="J442" s="7">
        <f t="shared" si="31"/>
        <v>13194.35</v>
      </c>
      <c r="K442" s="7">
        <f t="shared" si="32"/>
        <v>13600.33</v>
      </c>
      <c r="L442" s="7">
        <f t="shared" si="33"/>
        <v>14209.3</v>
      </c>
      <c r="M442" s="7">
        <f t="shared" si="34"/>
        <v>14615.28</v>
      </c>
    </row>
    <row r="443" spans="1:13">
      <c r="A443" s="6" t="s">
        <v>18</v>
      </c>
      <c r="B443" s="6" t="s">
        <v>1238</v>
      </c>
      <c r="C443" s="6" t="s">
        <v>1239</v>
      </c>
      <c r="E443" s="6" t="s">
        <v>1240</v>
      </c>
      <c r="G443" s="7">
        <v>8500</v>
      </c>
      <c r="H443" s="7">
        <v>9605</v>
      </c>
      <c r="I443" s="7">
        <f t="shared" si="30"/>
        <v>5270</v>
      </c>
      <c r="J443" s="7">
        <f t="shared" si="31"/>
        <v>5525</v>
      </c>
      <c r="K443" s="7">
        <f t="shared" si="32"/>
        <v>5695</v>
      </c>
      <c r="L443" s="7">
        <f t="shared" si="33"/>
        <v>5950</v>
      </c>
      <c r="M443" s="7">
        <f t="shared" si="34"/>
        <v>6120</v>
      </c>
    </row>
    <row r="444" ht="25.5" spans="1:13">
      <c r="A444" s="6" t="s">
        <v>748</v>
      </c>
      <c r="B444" s="6" t="s">
        <v>1241</v>
      </c>
      <c r="C444" s="6" t="s">
        <v>1242</v>
      </c>
      <c r="E444" s="6" t="s">
        <v>1242</v>
      </c>
      <c r="G444" s="7">
        <v>14884</v>
      </c>
      <c r="H444" s="7">
        <v>16818.92</v>
      </c>
      <c r="I444" s="7">
        <f t="shared" si="30"/>
        <v>9228.08</v>
      </c>
      <c r="J444" s="7">
        <f t="shared" si="31"/>
        <v>9674.6</v>
      </c>
      <c r="K444" s="7">
        <f t="shared" si="32"/>
        <v>9972.28</v>
      </c>
      <c r="L444" s="7">
        <f t="shared" si="33"/>
        <v>10418.8</v>
      </c>
      <c r="M444" s="7">
        <f t="shared" si="34"/>
        <v>10716.48</v>
      </c>
    </row>
    <row r="445" ht="38.25" spans="1:13">
      <c r="A445" s="6" t="s">
        <v>748</v>
      </c>
      <c r="B445" s="6" t="s">
        <v>1243</v>
      </c>
      <c r="C445" s="6" t="s">
        <v>1244</v>
      </c>
      <c r="E445" s="6" t="s">
        <v>1245</v>
      </c>
      <c r="G445" s="7">
        <v>56749</v>
      </c>
      <c r="H445" s="7">
        <v>64126.37</v>
      </c>
      <c r="I445" s="7">
        <f t="shared" si="30"/>
        <v>35184.38</v>
      </c>
      <c r="J445" s="7">
        <f t="shared" si="31"/>
        <v>36886.85</v>
      </c>
      <c r="K445" s="7">
        <f t="shared" si="32"/>
        <v>38021.83</v>
      </c>
      <c r="L445" s="7">
        <f t="shared" si="33"/>
        <v>39724.3</v>
      </c>
      <c r="M445" s="7">
        <f t="shared" si="34"/>
        <v>40859.28</v>
      </c>
    </row>
    <row r="446" ht="38.25" spans="1:13">
      <c r="A446" s="6" t="s">
        <v>748</v>
      </c>
      <c r="B446" s="6" t="s">
        <v>1246</v>
      </c>
      <c r="C446" s="6" t="s">
        <v>1247</v>
      </c>
      <c r="E446" s="6" t="s">
        <v>1248</v>
      </c>
      <c r="G446" s="7">
        <v>15766</v>
      </c>
      <c r="H446" s="7">
        <v>17815.58</v>
      </c>
      <c r="I446" s="7">
        <f t="shared" si="30"/>
        <v>9774.92</v>
      </c>
      <c r="J446" s="7">
        <f t="shared" si="31"/>
        <v>10247.9</v>
      </c>
      <c r="K446" s="7">
        <f t="shared" si="32"/>
        <v>10563.22</v>
      </c>
      <c r="L446" s="7">
        <f t="shared" si="33"/>
        <v>11036.2</v>
      </c>
      <c r="M446" s="7">
        <f t="shared" si="34"/>
        <v>11351.52</v>
      </c>
    </row>
    <row r="447" ht="25.5" spans="1:13">
      <c r="A447" s="6" t="s">
        <v>748</v>
      </c>
      <c r="B447" s="6" t="s">
        <v>1249</v>
      </c>
      <c r="C447" s="6" t="s">
        <v>1250</v>
      </c>
      <c r="E447" s="6" t="s">
        <v>1251</v>
      </c>
      <c r="G447" s="7">
        <v>16599</v>
      </c>
      <c r="H447" s="7">
        <v>18756.87</v>
      </c>
      <c r="I447" s="7">
        <f t="shared" si="30"/>
        <v>10291.38</v>
      </c>
      <c r="J447" s="7">
        <f t="shared" si="31"/>
        <v>10789.35</v>
      </c>
      <c r="K447" s="7">
        <f t="shared" si="32"/>
        <v>11121.33</v>
      </c>
      <c r="L447" s="7">
        <f t="shared" si="33"/>
        <v>11619.3</v>
      </c>
      <c r="M447" s="7">
        <f t="shared" si="34"/>
        <v>11951.28</v>
      </c>
    </row>
    <row r="448" ht="38.25" spans="1:13">
      <c r="A448" s="6" t="s">
        <v>748</v>
      </c>
      <c r="B448" s="6" t="s">
        <v>1252</v>
      </c>
      <c r="C448" s="6" t="s">
        <v>1253</v>
      </c>
      <c r="E448" s="6" t="s">
        <v>1254</v>
      </c>
      <c r="G448" s="7">
        <v>2279</v>
      </c>
      <c r="H448" s="7">
        <v>2575.27</v>
      </c>
      <c r="I448" s="7">
        <f t="shared" si="30"/>
        <v>1412.98</v>
      </c>
      <c r="J448" s="7">
        <f t="shared" si="31"/>
        <v>1481.35</v>
      </c>
      <c r="K448" s="7">
        <f t="shared" si="32"/>
        <v>1526.93</v>
      </c>
      <c r="L448" s="7">
        <f t="shared" si="33"/>
        <v>1595.3</v>
      </c>
      <c r="M448" s="7">
        <f t="shared" si="34"/>
        <v>1640.88</v>
      </c>
    </row>
    <row r="449" ht="51" spans="1:13">
      <c r="A449" s="6" t="s">
        <v>18</v>
      </c>
      <c r="B449" s="6" t="s">
        <v>1255</v>
      </c>
      <c r="C449" s="6" t="s">
        <v>1256</v>
      </c>
      <c r="E449" s="6" t="s">
        <v>1257</v>
      </c>
      <c r="G449" s="7">
        <v>336</v>
      </c>
      <c r="H449" s="7">
        <v>379.68</v>
      </c>
      <c r="I449" s="7">
        <f t="shared" si="30"/>
        <v>208.32</v>
      </c>
      <c r="J449" s="7">
        <f t="shared" si="31"/>
        <v>218.4</v>
      </c>
      <c r="K449" s="7">
        <f t="shared" si="32"/>
        <v>225.12</v>
      </c>
      <c r="L449" s="7">
        <f t="shared" si="33"/>
        <v>235.2</v>
      </c>
      <c r="M449" s="7">
        <f t="shared" si="34"/>
        <v>241.92</v>
      </c>
    </row>
    <row r="450" ht="25.5" spans="1:13">
      <c r="A450" s="6" t="s">
        <v>748</v>
      </c>
      <c r="B450" s="6" t="s">
        <v>1258</v>
      </c>
      <c r="C450" s="6" t="s">
        <v>1259</v>
      </c>
      <c r="E450" s="6" t="s">
        <v>1260</v>
      </c>
      <c r="G450" s="7">
        <v>1699</v>
      </c>
      <c r="H450" s="7">
        <v>1919.87</v>
      </c>
      <c r="I450" s="7">
        <f t="shared" ref="I450:I513" si="35">G450*0.62</f>
        <v>1053.38</v>
      </c>
      <c r="J450" s="7">
        <f t="shared" ref="J450:J513" si="36">G450*0.65</f>
        <v>1104.35</v>
      </c>
      <c r="K450" s="7">
        <f t="shared" ref="K450:K513" si="37">G450*0.67</f>
        <v>1138.33</v>
      </c>
      <c r="L450" s="7">
        <f t="shared" ref="L450:L513" si="38">G450*0.7</f>
        <v>1189.3</v>
      </c>
      <c r="M450" s="7">
        <f t="shared" ref="M450:M513" si="39">G450*0.72</f>
        <v>1223.28</v>
      </c>
    </row>
    <row r="451" ht="25.5" spans="1:13">
      <c r="A451" s="6" t="s">
        <v>748</v>
      </c>
      <c r="B451" s="6" t="s">
        <v>1261</v>
      </c>
      <c r="C451" s="6" t="s">
        <v>1262</v>
      </c>
      <c r="E451" s="6" t="s">
        <v>1263</v>
      </c>
      <c r="G451" s="7">
        <v>2099</v>
      </c>
      <c r="H451" s="7">
        <v>2371.87</v>
      </c>
      <c r="I451" s="7">
        <f t="shared" si="35"/>
        <v>1301.38</v>
      </c>
      <c r="J451" s="7">
        <f t="shared" si="36"/>
        <v>1364.35</v>
      </c>
      <c r="K451" s="7">
        <f t="shared" si="37"/>
        <v>1406.33</v>
      </c>
      <c r="L451" s="7">
        <f t="shared" si="38"/>
        <v>1469.3</v>
      </c>
      <c r="M451" s="7">
        <f t="shared" si="39"/>
        <v>1511.28</v>
      </c>
    </row>
    <row r="452" ht="25.5" spans="1:13">
      <c r="A452" s="6" t="s">
        <v>748</v>
      </c>
      <c r="B452" s="6" t="s">
        <v>1264</v>
      </c>
      <c r="C452" s="6" t="s">
        <v>1265</v>
      </c>
      <c r="E452" s="6" t="s">
        <v>1266</v>
      </c>
      <c r="G452" s="7">
        <v>1299</v>
      </c>
      <c r="H452" s="7">
        <v>1467.87</v>
      </c>
      <c r="I452" s="7">
        <f t="shared" si="35"/>
        <v>805.38</v>
      </c>
      <c r="J452" s="7">
        <f t="shared" si="36"/>
        <v>844.35</v>
      </c>
      <c r="K452" s="7">
        <f t="shared" si="37"/>
        <v>870.33</v>
      </c>
      <c r="L452" s="7">
        <f t="shared" si="38"/>
        <v>909.3</v>
      </c>
      <c r="M452" s="7">
        <f t="shared" si="39"/>
        <v>935.28</v>
      </c>
    </row>
    <row r="453" ht="25.5" spans="1:13">
      <c r="A453" s="6" t="s">
        <v>748</v>
      </c>
      <c r="B453" s="6" t="s">
        <v>1267</v>
      </c>
      <c r="C453" s="6" t="s">
        <v>1268</v>
      </c>
      <c r="E453" s="6" t="s">
        <v>1269</v>
      </c>
      <c r="G453" s="7">
        <v>1149</v>
      </c>
      <c r="H453" s="7">
        <v>1298.37</v>
      </c>
      <c r="I453" s="7">
        <f t="shared" si="35"/>
        <v>712.38</v>
      </c>
      <c r="J453" s="7">
        <f t="shared" si="36"/>
        <v>746.85</v>
      </c>
      <c r="K453" s="7">
        <f t="shared" si="37"/>
        <v>769.83</v>
      </c>
      <c r="L453" s="7">
        <f t="shared" si="38"/>
        <v>804.3</v>
      </c>
      <c r="M453" s="7">
        <f t="shared" si="39"/>
        <v>827.28</v>
      </c>
    </row>
    <row r="454" ht="25.5" spans="1:13">
      <c r="A454" s="6" t="s">
        <v>748</v>
      </c>
      <c r="B454" s="6" t="s">
        <v>1270</v>
      </c>
      <c r="C454" s="6" t="s">
        <v>1271</v>
      </c>
      <c r="E454" s="6" t="s">
        <v>1272</v>
      </c>
      <c r="G454" s="7">
        <v>1949</v>
      </c>
      <c r="H454" s="7">
        <v>2202.37</v>
      </c>
      <c r="I454" s="7">
        <f t="shared" si="35"/>
        <v>1208.38</v>
      </c>
      <c r="J454" s="7">
        <f t="shared" si="36"/>
        <v>1266.85</v>
      </c>
      <c r="K454" s="7">
        <f t="shared" si="37"/>
        <v>1305.83</v>
      </c>
      <c r="L454" s="7">
        <f t="shared" si="38"/>
        <v>1364.3</v>
      </c>
      <c r="M454" s="7">
        <f t="shared" si="39"/>
        <v>1403.28</v>
      </c>
    </row>
    <row r="455" ht="25.5" spans="1:13">
      <c r="A455" s="6" t="s">
        <v>748</v>
      </c>
      <c r="B455" s="6" t="s">
        <v>1273</v>
      </c>
      <c r="C455" s="6" t="s">
        <v>1274</v>
      </c>
      <c r="E455" s="6" t="s">
        <v>1275</v>
      </c>
      <c r="G455" s="7">
        <v>2499</v>
      </c>
      <c r="H455" s="7">
        <v>2823.87</v>
      </c>
      <c r="I455" s="7">
        <f t="shared" si="35"/>
        <v>1549.38</v>
      </c>
      <c r="J455" s="7">
        <f t="shared" si="36"/>
        <v>1624.35</v>
      </c>
      <c r="K455" s="7">
        <f t="shared" si="37"/>
        <v>1674.33</v>
      </c>
      <c r="L455" s="7">
        <f t="shared" si="38"/>
        <v>1749.3</v>
      </c>
      <c r="M455" s="7">
        <f t="shared" si="39"/>
        <v>1799.28</v>
      </c>
    </row>
    <row r="456" ht="25.5" spans="1:13">
      <c r="A456" s="6" t="s">
        <v>748</v>
      </c>
      <c r="B456" s="6" t="s">
        <v>1276</v>
      </c>
      <c r="C456" s="6" t="s">
        <v>1277</v>
      </c>
      <c r="E456" s="6" t="s">
        <v>1278</v>
      </c>
      <c r="G456" s="7">
        <v>1279</v>
      </c>
      <c r="H456" s="7">
        <v>1445.27</v>
      </c>
      <c r="I456" s="7">
        <f t="shared" si="35"/>
        <v>792.98</v>
      </c>
      <c r="J456" s="7">
        <f t="shared" si="36"/>
        <v>831.35</v>
      </c>
      <c r="K456" s="7">
        <f t="shared" si="37"/>
        <v>856.93</v>
      </c>
      <c r="L456" s="7">
        <f t="shared" si="38"/>
        <v>895.3</v>
      </c>
      <c r="M456" s="7">
        <f t="shared" si="39"/>
        <v>920.88</v>
      </c>
    </row>
    <row r="457" spans="1:13">
      <c r="A457" s="6" t="s">
        <v>748</v>
      </c>
      <c r="B457" s="6" t="s">
        <v>1279</v>
      </c>
      <c r="C457" s="6" t="s">
        <v>1280</v>
      </c>
      <c r="E457" s="6" t="s">
        <v>1280</v>
      </c>
      <c r="G457" s="7">
        <v>3499</v>
      </c>
      <c r="H457" s="7">
        <v>3953.87</v>
      </c>
      <c r="I457" s="7">
        <f t="shared" si="35"/>
        <v>2169.38</v>
      </c>
      <c r="J457" s="7">
        <f t="shared" si="36"/>
        <v>2274.35</v>
      </c>
      <c r="K457" s="7">
        <f t="shared" si="37"/>
        <v>2344.33</v>
      </c>
      <c r="L457" s="7">
        <f t="shared" si="38"/>
        <v>2449.3</v>
      </c>
      <c r="M457" s="7">
        <f t="shared" si="39"/>
        <v>2519.28</v>
      </c>
    </row>
    <row r="458" ht="25.5" spans="1:13">
      <c r="A458" s="6" t="s">
        <v>748</v>
      </c>
      <c r="B458" s="6" t="s">
        <v>1281</v>
      </c>
      <c r="C458" s="6" t="s">
        <v>1282</v>
      </c>
      <c r="E458" s="6" t="s">
        <v>1283</v>
      </c>
      <c r="G458" s="7">
        <v>13899</v>
      </c>
      <c r="H458" s="7">
        <v>15705.87</v>
      </c>
      <c r="I458" s="7">
        <f t="shared" si="35"/>
        <v>8617.38</v>
      </c>
      <c r="J458" s="7">
        <f t="shared" si="36"/>
        <v>9034.35</v>
      </c>
      <c r="K458" s="7">
        <f t="shared" si="37"/>
        <v>9312.33</v>
      </c>
      <c r="L458" s="7">
        <f t="shared" si="38"/>
        <v>9729.3</v>
      </c>
      <c r="M458" s="7">
        <f t="shared" si="39"/>
        <v>10007.28</v>
      </c>
    </row>
    <row r="459" spans="1:13">
      <c r="A459" s="6" t="s">
        <v>748</v>
      </c>
      <c r="B459" s="6" t="s">
        <v>1284</v>
      </c>
      <c r="C459" s="6" t="s">
        <v>1285</v>
      </c>
      <c r="E459" s="6" t="s">
        <v>1285</v>
      </c>
      <c r="G459" s="7">
        <v>15049</v>
      </c>
      <c r="H459" s="7">
        <v>17005.37</v>
      </c>
      <c r="I459" s="7">
        <f t="shared" si="35"/>
        <v>9330.38</v>
      </c>
      <c r="J459" s="7">
        <f t="shared" si="36"/>
        <v>9781.85</v>
      </c>
      <c r="K459" s="7">
        <f t="shared" si="37"/>
        <v>10082.83</v>
      </c>
      <c r="L459" s="7">
        <f t="shared" si="38"/>
        <v>10534.3</v>
      </c>
      <c r="M459" s="7">
        <f t="shared" si="39"/>
        <v>10835.28</v>
      </c>
    </row>
    <row r="460" spans="1:13">
      <c r="A460" s="6" t="s">
        <v>748</v>
      </c>
      <c r="B460" s="6" t="s">
        <v>1286</v>
      </c>
      <c r="C460" s="6" t="s">
        <v>1287</v>
      </c>
      <c r="E460" s="6" t="s">
        <v>1287</v>
      </c>
      <c r="G460" s="7">
        <v>5799</v>
      </c>
      <c r="H460" s="7">
        <v>6552.87</v>
      </c>
      <c r="I460" s="7">
        <f t="shared" si="35"/>
        <v>3595.38</v>
      </c>
      <c r="J460" s="7">
        <f t="shared" si="36"/>
        <v>3769.35</v>
      </c>
      <c r="K460" s="7">
        <f t="shared" si="37"/>
        <v>3885.33</v>
      </c>
      <c r="L460" s="7">
        <f t="shared" si="38"/>
        <v>4059.3</v>
      </c>
      <c r="M460" s="7">
        <f t="shared" si="39"/>
        <v>4175.28</v>
      </c>
    </row>
    <row r="461" ht="38.25" spans="1:13">
      <c r="A461" s="6" t="s">
        <v>748</v>
      </c>
      <c r="B461" s="6" t="s">
        <v>1288</v>
      </c>
      <c r="C461" s="6" t="s">
        <v>1289</v>
      </c>
      <c r="E461" s="6" t="s">
        <v>1290</v>
      </c>
      <c r="G461" s="7">
        <v>21999</v>
      </c>
      <c r="H461" s="7">
        <v>24858.87</v>
      </c>
      <c r="I461" s="7">
        <f t="shared" si="35"/>
        <v>13639.38</v>
      </c>
      <c r="J461" s="7">
        <f t="shared" si="36"/>
        <v>14299.35</v>
      </c>
      <c r="K461" s="7">
        <f t="shared" si="37"/>
        <v>14739.33</v>
      </c>
      <c r="L461" s="7">
        <f t="shared" si="38"/>
        <v>15399.3</v>
      </c>
      <c r="M461" s="7">
        <f t="shared" si="39"/>
        <v>15839.28</v>
      </c>
    </row>
    <row r="462" spans="1:13">
      <c r="A462" s="6" t="s">
        <v>18</v>
      </c>
      <c r="B462" s="6" t="s">
        <v>1291</v>
      </c>
      <c r="C462" s="6" t="s">
        <v>1292</v>
      </c>
      <c r="E462" s="6" t="s">
        <v>1293</v>
      </c>
      <c r="G462" s="7">
        <v>9050</v>
      </c>
      <c r="H462" s="7">
        <v>10226.5</v>
      </c>
      <c r="I462" s="7">
        <f t="shared" si="35"/>
        <v>5611</v>
      </c>
      <c r="J462" s="7">
        <f t="shared" si="36"/>
        <v>5882.5</v>
      </c>
      <c r="K462" s="7">
        <f t="shared" si="37"/>
        <v>6063.5</v>
      </c>
      <c r="L462" s="7">
        <f t="shared" si="38"/>
        <v>6335</v>
      </c>
      <c r="M462" s="7">
        <f t="shared" si="39"/>
        <v>6516</v>
      </c>
    </row>
    <row r="463" ht="25.5" spans="1:13">
      <c r="A463" s="6" t="s">
        <v>748</v>
      </c>
      <c r="B463" s="6" t="s">
        <v>1294</v>
      </c>
      <c r="C463" s="6" t="s">
        <v>1295</v>
      </c>
      <c r="E463" s="6" t="s">
        <v>1295</v>
      </c>
      <c r="G463" s="7">
        <v>18743</v>
      </c>
      <c r="H463" s="7">
        <v>21179.59</v>
      </c>
      <c r="I463" s="7">
        <f t="shared" si="35"/>
        <v>11620.66</v>
      </c>
      <c r="J463" s="7">
        <f t="shared" si="36"/>
        <v>12182.95</v>
      </c>
      <c r="K463" s="7">
        <f t="shared" si="37"/>
        <v>12557.81</v>
      </c>
      <c r="L463" s="7">
        <f t="shared" si="38"/>
        <v>13120.1</v>
      </c>
      <c r="M463" s="7">
        <f t="shared" si="39"/>
        <v>13494.96</v>
      </c>
    </row>
    <row r="464" ht="25.5" spans="1:13">
      <c r="A464" s="6" t="s">
        <v>748</v>
      </c>
      <c r="B464" s="6" t="s">
        <v>1296</v>
      </c>
      <c r="C464" s="6" t="s">
        <v>1297</v>
      </c>
      <c r="E464" s="6" t="s">
        <v>1298</v>
      </c>
      <c r="G464" s="7">
        <v>19299</v>
      </c>
      <c r="H464" s="7">
        <v>21807.87</v>
      </c>
      <c r="I464" s="7">
        <f t="shared" si="35"/>
        <v>11965.38</v>
      </c>
      <c r="J464" s="7">
        <f t="shared" si="36"/>
        <v>12544.35</v>
      </c>
      <c r="K464" s="7">
        <f t="shared" si="37"/>
        <v>12930.33</v>
      </c>
      <c r="L464" s="7">
        <f t="shared" si="38"/>
        <v>13509.3</v>
      </c>
      <c r="M464" s="7">
        <f t="shared" si="39"/>
        <v>13895.28</v>
      </c>
    </row>
    <row r="465" ht="25.5" spans="1:13">
      <c r="A465" s="6" t="s">
        <v>25</v>
      </c>
      <c r="B465" s="6" t="s">
        <v>1299</v>
      </c>
      <c r="C465" s="6" t="s">
        <v>1300</v>
      </c>
      <c r="E465" s="6" t="s">
        <v>1301</v>
      </c>
      <c r="G465" s="7">
        <v>80.5326</v>
      </c>
      <c r="H465" s="7">
        <v>91.001838</v>
      </c>
      <c r="I465" s="7">
        <f t="shared" si="35"/>
        <v>49.930212</v>
      </c>
      <c r="J465" s="7">
        <f t="shared" si="36"/>
        <v>52.34619</v>
      </c>
      <c r="K465" s="7">
        <f t="shared" si="37"/>
        <v>53.956842</v>
      </c>
      <c r="L465" s="7">
        <f t="shared" si="38"/>
        <v>56.37282</v>
      </c>
      <c r="M465" s="7">
        <f t="shared" si="39"/>
        <v>57.983472</v>
      </c>
    </row>
    <row r="466" ht="63.75" spans="1:13">
      <c r="A466" s="6" t="s">
        <v>25</v>
      </c>
      <c r="B466" s="6" t="s">
        <v>1302</v>
      </c>
      <c r="C466" s="6" t="s">
        <v>1303</v>
      </c>
      <c r="E466" s="6" t="s">
        <v>1304</v>
      </c>
      <c r="G466" s="7">
        <v>48.234</v>
      </c>
      <c r="H466" s="7">
        <v>54.50442</v>
      </c>
      <c r="I466" s="7">
        <f t="shared" si="35"/>
        <v>29.90508</v>
      </c>
      <c r="J466" s="7">
        <f t="shared" si="36"/>
        <v>31.3521</v>
      </c>
      <c r="K466" s="7">
        <f t="shared" si="37"/>
        <v>32.31678</v>
      </c>
      <c r="L466" s="7">
        <f t="shared" si="38"/>
        <v>33.7638</v>
      </c>
      <c r="M466" s="7">
        <f t="shared" si="39"/>
        <v>34.72848</v>
      </c>
    </row>
    <row r="467" ht="25.5" spans="1:13">
      <c r="A467" s="6" t="s">
        <v>25</v>
      </c>
      <c r="B467" s="6" t="s">
        <v>1305</v>
      </c>
      <c r="C467" s="6" t="s">
        <v>1306</v>
      </c>
      <c r="E467" s="6" t="s">
        <v>1307</v>
      </c>
      <c r="G467" s="7">
        <v>65.3946</v>
      </c>
      <c r="H467" s="7">
        <v>73.895898</v>
      </c>
      <c r="I467" s="7">
        <f t="shared" si="35"/>
        <v>40.544652</v>
      </c>
      <c r="J467" s="7">
        <f t="shared" si="36"/>
        <v>42.50649</v>
      </c>
      <c r="K467" s="7">
        <f t="shared" si="37"/>
        <v>43.814382</v>
      </c>
      <c r="L467" s="7">
        <f t="shared" si="38"/>
        <v>45.77622</v>
      </c>
      <c r="M467" s="7">
        <f t="shared" si="39"/>
        <v>47.084112</v>
      </c>
    </row>
    <row r="468" spans="1:13">
      <c r="A468" s="6" t="s">
        <v>18</v>
      </c>
      <c r="B468" s="6" t="s">
        <v>1308</v>
      </c>
      <c r="C468" s="6" t="s">
        <v>1309</v>
      </c>
      <c r="E468" s="6" t="s">
        <v>1310</v>
      </c>
      <c r="G468" s="7">
        <v>39</v>
      </c>
      <c r="H468" s="7">
        <v>44.07</v>
      </c>
      <c r="I468" s="7">
        <f t="shared" si="35"/>
        <v>24.18</v>
      </c>
      <c r="J468" s="7">
        <f t="shared" si="36"/>
        <v>25.35</v>
      </c>
      <c r="K468" s="7">
        <f t="shared" si="37"/>
        <v>26.13</v>
      </c>
      <c r="L468" s="7">
        <f t="shared" si="38"/>
        <v>27.3</v>
      </c>
      <c r="M468" s="7">
        <f t="shared" si="39"/>
        <v>28.08</v>
      </c>
    </row>
    <row r="469" spans="1:13">
      <c r="A469" s="6" t="s">
        <v>18</v>
      </c>
      <c r="B469" s="6" t="s">
        <v>1311</v>
      </c>
      <c r="C469" s="6" t="s">
        <v>1312</v>
      </c>
      <c r="E469" s="6" t="s">
        <v>1312</v>
      </c>
      <c r="G469" s="7">
        <v>26</v>
      </c>
      <c r="H469" s="7">
        <v>29.38</v>
      </c>
      <c r="I469" s="7">
        <f t="shared" si="35"/>
        <v>16.12</v>
      </c>
      <c r="J469" s="7">
        <f t="shared" si="36"/>
        <v>16.9</v>
      </c>
      <c r="K469" s="7">
        <f t="shared" si="37"/>
        <v>17.42</v>
      </c>
      <c r="L469" s="7">
        <f t="shared" si="38"/>
        <v>18.2</v>
      </c>
      <c r="M469" s="7">
        <f t="shared" si="39"/>
        <v>18.72</v>
      </c>
    </row>
    <row r="470" spans="1:13">
      <c r="A470" s="6" t="s">
        <v>18</v>
      </c>
      <c r="B470" s="6" t="s">
        <v>1313</v>
      </c>
      <c r="C470" s="6" t="s">
        <v>1314</v>
      </c>
      <c r="E470" s="6" t="s">
        <v>1314</v>
      </c>
      <c r="G470" s="7">
        <v>39.9</v>
      </c>
      <c r="H470" s="7">
        <v>45.087</v>
      </c>
      <c r="I470" s="7">
        <f t="shared" si="35"/>
        <v>24.738</v>
      </c>
      <c r="J470" s="7">
        <f t="shared" si="36"/>
        <v>25.935</v>
      </c>
      <c r="K470" s="7">
        <f t="shared" si="37"/>
        <v>26.733</v>
      </c>
      <c r="L470" s="7">
        <f t="shared" si="38"/>
        <v>27.93</v>
      </c>
      <c r="M470" s="7">
        <f t="shared" si="39"/>
        <v>28.728</v>
      </c>
    </row>
    <row r="471" spans="1:13">
      <c r="A471" s="6" t="s">
        <v>18</v>
      </c>
      <c r="B471" s="6" t="s">
        <v>1315</v>
      </c>
      <c r="C471" s="6" t="s">
        <v>1316</v>
      </c>
      <c r="E471" s="6" t="s">
        <v>1316</v>
      </c>
      <c r="G471" s="7">
        <v>38</v>
      </c>
      <c r="H471" s="7">
        <v>42.94</v>
      </c>
      <c r="I471" s="7">
        <f t="shared" si="35"/>
        <v>23.56</v>
      </c>
      <c r="J471" s="7">
        <f t="shared" si="36"/>
        <v>24.7</v>
      </c>
      <c r="K471" s="7">
        <f t="shared" si="37"/>
        <v>25.46</v>
      </c>
      <c r="L471" s="7">
        <f t="shared" si="38"/>
        <v>26.6</v>
      </c>
      <c r="M471" s="7">
        <f t="shared" si="39"/>
        <v>27.36</v>
      </c>
    </row>
    <row r="472" spans="1:13">
      <c r="A472" s="6" t="s">
        <v>18</v>
      </c>
      <c r="B472" s="6" t="s">
        <v>1317</v>
      </c>
      <c r="C472" s="6" t="s">
        <v>1318</v>
      </c>
      <c r="E472" s="6" t="s">
        <v>1318</v>
      </c>
      <c r="G472" s="7">
        <v>53</v>
      </c>
      <c r="H472" s="7">
        <v>59.89</v>
      </c>
      <c r="I472" s="7">
        <f t="shared" si="35"/>
        <v>32.86</v>
      </c>
      <c r="J472" s="7">
        <f t="shared" si="36"/>
        <v>34.45</v>
      </c>
      <c r="K472" s="7">
        <f t="shared" si="37"/>
        <v>35.51</v>
      </c>
      <c r="L472" s="7">
        <f t="shared" si="38"/>
        <v>37.1</v>
      </c>
      <c r="M472" s="7">
        <f t="shared" si="39"/>
        <v>38.16</v>
      </c>
    </row>
    <row r="473" ht="51" spans="1:13">
      <c r="A473" s="6" t="s">
        <v>682</v>
      </c>
      <c r="B473" s="6" t="s">
        <v>1319</v>
      </c>
      <c r="C473" s="6" t="s">
        <v>1320</v>
      </c>
      <c r="E473" s="6" t="s">
        <v>1321</v>
      </c>
      <c r="G473" s="7">
        <v>1189</v>
      </c>
      <c r="H473" s="7">
        <v>1343.57</v>
      </c>
      <c r="I473" s="7">
        <f t="shared" si="35"/>
        <v>737.18</v>
      </c>
      <c r="J473" s="7">
        <f t="shared" si="36"/>
        <v>772.85</v>
      </c>
      <c r="K473" s="7">
        <f t="shared" si="37"/>
        <v>796.63</v>
      </c>
      <c r="L473" s="7">
        <f t="shared" si="38"/>
        <v>832.3</v>
      </c>
      <c r="M473" s="7">
        <f t="shared" si="39"/>
        <v>856.08</v>
      </c>
    </row>
    <row r="474" ht="51" spans="1:13">
      <c r="A474" s="6" t="s">
        <v>682</v>
      </c>
      <c r="B474" s="6" t="s">
        <v>1322</v>
      </c>
      <c r="C474" s="6" t="s">
        <v>1323</v>
      </c>
      <c r="E474" s="6" t="s">
        <v>1324</v>
      </c>
      <c r="G474" s="7">
        <v>1004</v>
      </c>
      <c r="H474" s="7">
        <v>1134.52</v>
      </c>
      <c r="I474" s="7">
        <f t="shared" si="35"/>
        <v>622.48</v>
      </c>
      <c r="J474" s="7">
        <f t="shared" si="36"/>
        <v>652.6</v>
      </c>
      <c r="K474" s="7">
        <f t="shared" si="37"/>
        <v>672.68</v>
      </c>
      <c r="L474" s="7">
        <f t="shared" si="38"/>
        <v>702.8</v>
      </c>
      <c r="M474" s="7">
        <f t="shared" si="39"/>
        <v>722.88</v>
      </c>
    </row>
    <row r="475" ht="38.25" spans="1:13">
      <c r="A475" s="6" t="s">
        <v>682</v>
      </c>
      <c r="B475" s="6" t="s">
        <v>1325</v>
      </c>
      <c r="C475" s="6" t="s">
        <v>1326</v>
      </c>
      <c r="E475" s="6" t="s">
        <v>1327</v>
      </c>
      <c r="G475" s="7">
        <v>964</v>
      </c>
      <c r="H475" s="7">
        <v>1089.32</v>
      </c>
      <c r="I475" s="7">
        <f t="shared" si="35"/>
        <v>597.68</v>
      </c>
      <c r="J475" s="7">
        <f t="shared" si="36"/>
        <v>626.6</v>
      </c>
      <c r="K475" s="7">
        <f t="shared" si="37"/>
        <v>645.88</v>
      </c>
      <c r="L475" s="7">
        <f t="shared" si="38"/>
        <v>674.8</v>
      </c>
      <c r="M475" s="7">
        <f t="shared" si="39"/>
        <v>694.08</v>
      </c>
    </row>
    <row r="476" ht="51" spans="1:13">
      <c r="A476" s="6" t="s">
        <v>682</v>
      </c>
      <c r="B476" s="6" t="s">
        <v>1328</v>
      </c>
      <c r="C476" s="6" t="s">
        <v>1329</v>
      </c>
      <c r="E476" s="6" t="s">
        <v>1330</v>
      </c>
      <c r="G476" s="7">
        <v>1661</v>
      </c>
      <c r="H476" s="7">
        <v>1876.93</v>
      </c>
      <c r="I476" s="7">
        <f t="shared" si="35"/>
        <v>1029.82</v>
      </c>
      <c r="J476" s="7">
        <f t="shared" si="36"/>
        <v>1079.65</v>
      </c>
      <c r="K476" s="7">
        <f t="shared" si="37"/>
        <v>1112.87</v>
      </c>
      <c r="L476" s="7">
        <f t="shared" si="38"/>
        <v>1162.7</v>
      </c>
      <c r="M476" s="7">
        <f t="shared" si="39"/>
        <v>1195.92</v>
      </c>
    </row>
    <row r="477" ht="25.5" spans="1:13">
      <c r="A477" s="6" t="s">
        <v>682</v>
      </c>
      <c r="B477" s="6" t="s">
        <v>1331</v>
      </c>
      <c r="C477" s="6" t="s">
        <v>1332</v>
      </c>
      <c r="E477" s="6" t="s">
        <v>1333</v>
      </c>
      <c r="G477" s="7">
        <v>4130</v>
      </c>
      <c r="H477" s="7">
        <v>4666.9</v>
      </c>
      <c r="I477" s="7">
        <f t="shared" si="35"/>
        <v>2560.6</v>
      </c>
      <c r="J477" s="7">
        <f t="shared" si="36"/>
        <v>2684.5</v>
      </c>
      <c r="K477" s="7">
        <f t="shared" si="37"/>
        <v>2767.1</v>
      </c>
      <c r="L477" s="7">
        <f t="shared" si="38"/>
        <v>2891</v>
      </c>
      <c r="M477" s="7">
        <f t="shared" si="39"/>
        <v>2973.6</v>
      </c>
    </row>
    <row r="478" ht="51" spans="1:13">
      <c r="A478" s="6" t="s">
        <v>682</v>
      </c>
      <c r="B478" s="6" t="s">
        <v>1334</v>
      </c>
      <c r="C478" s="6" t="s">
        <v>1335</v>
      </c>
      <c r="E478" s="6" t="s">
        <v>1336</v>
      </c>
      <c r="G478" s="7">
        <v>1523</v>
      </c>
      <c r="H478" s="7">
        <v>1720.99</v>
      </c>
      <c r="I478" s="7">
        <f t="shared" si="35"/>
        <v>944.26</v>
      </c>
      <c r="J478" s="7">
        <f t="shared" si="36"/>
        <v>989.95</v>
      </c>
      <c r="K478" s="7">
        <f t="shared" si="37"/>
        <v>1020.41</v>
      </c>
      <c r="L478" s="7">
        <f t="shared" si="38"/>
        <v>1066.1</v>
      </c>
      <c r="M478" s="7">
        <f t="shared" si="39"/>
        <v>1096.56</v>
      </c>
    </row>
    <row r="479" ht="38.25" spans="1:13">
      <c r="A479" s="6" t="s">
        <v>682</v>
      </c>
      <c r="B479" s="6" t="s">
        <v>1337</v>
      </c>
      <c r="C479" s="6" t="s">
        <v>1338</v>
      </c>
      <c r="E479" s="6" t="s">
        <v>1339</v>
      </c>
      <c r="G479" s="7">
        <v>1454</v>
      </c>
      <c r="H479" s="7">
        <v>1643.02</v>
      </c>
      <c r="I479" s="7">
        <f t="shared" si="35"/>
        <v>901.48</v>
      </c>
      <c r="J479" s="7">
        <f t="shared" si="36"/>
        <v>945.1</v>
      </c>
      <c r="K479" s="7">
        <f t="shared" si="37"/>
        <v>974.18</v>
      </c>
      <c r="L479" s="7">
        <f t="shared" si="38"/>
        <v>1017.8</v>
      </c>
      <c r="M479" s="7">
        <f t="shared" si="39"/>
        <v>1046.88</v>
      </c>
    </row>
    <row r="480" spans="1:13">
      <c r="A480" s="6" t="s">
        <v>18</v>
      </c>
      <c r="B480" s="6" t="s">
        <v>1340</v>
      </c>
      <c r="C480" s="6" t="s">
        <v>1341</v>
      </c>
      <c r="E480" s="6" t="s">
        <v>1341</v>
      </c>
      <c r="G480" s="7">
        <v>29.4</v>
      </c>
      <c r="H480" s="7">
        <v>33.222</v>
      </c>
      <c r="I480" s="7">
        <f t="shared" si="35"/>
        <v>18.228</v>
      </c>
      <c r="J480" s="7">
        <f t="shared" si="36"/>
        <v>19.11</v>
      </c>
      <c r="K480" s="7">
        <f t="shared" si="37"/>
        <v>19.698</v>
      </c>
      <c r="L480" s="7">
        <f t="shared" si="38"/>
        <v>20.58</v>
      </c>
      <c r="M480" s="7">
        <f t="shared" si="39"/>
        <v>21.168</v>
      </c>
    </row>
    <row r="481" spans="1:13">
      <c r="A481" s="6" t="s">
        <v>18</v>
      </c>
      <c r="B481" s="6" t="s">
        <v>1342</v>
      </c>
      <c r="C481" s="6" t="s">
        <v>1343</v>
      </c>
      <c r="E481" s="6" t="s">
        <v>1344</v>
      </c>
      <c r="G481" s="7">
        <v>24.2</v>
      </c>
      <c r="H481" s="7">
        <v>27.346</v>
      </c>
      <c r="I481" s="7">
        <f t="shared" si="35"/>
        <v>15.004</v>
      </c>
      <c r="J481" s="7">
        <f t="shared" si="36"/>
        <v>15.73</v>
      </c>
      <c r="K481" s="7">
        <f t="shared" si="37"/>
        <v>16.214</v>
      </c>
      <c r="L481" s="7">
        <f t="shared" si="38"/>
        <v>16.94</v>
      </c>
      <c r="M481" s="7">
        <f t="shared" si="39"/>
        <v>17.424</v>
      </c>
    </row>
    <row r="482" spans="1:13">
      <c r="A482" s="6" t="s">
        <v>18</v>
      </c>
      <c r="B482" s="6" t="s">
        <v>1345</v>
      </c>
      <c r="C482" s="6" t="s">
        <v>1346</v>
      </c>
      <c r="E482" s="6" t="s">
        <v>1347</v>
      </c>
      <c r="G482" s="7">
        <v>37.8</v>
      </c>
      <c r="H482" s="7">
        <v>42.714</v>
      </c>
      <c r="I482" s="7">
        <f t="shared" si="35"/>
        <v>23.436</v>
      </c>
      <c r="J482" s="7">
        <f t="shared" si="36"/>
        <v>24.57</v>
      </c>
      <c r="K482" s="7">
        <f t="shared" si="37"/>
        <v>25.326</v>
      </c>
      <c r="L482" s="7">
        <f t="shared" si="38"/>
        <v>26.46</v>
      </c>
      <c r="M482" s="7">
        <f t="shared" si="39"/>
        <v>27.216</v>
      </c>
    </row>
    <row r="483" ht="25.5" spans="1:13">
      <c r="A483" s="6" t="s">
        <v>18</v>
      </c>
      <c r="B483" s="6" t="s">
        <v>1348</v>
      </c>
      <c r="C483" s="6" t="s">
        <v>1349</v>
      </c>
      <c r="E483" s="6" t="s">
        <v>1350</v>
      </c>
      <c r="G483" s="7">
        <v>159</v>
      </c>
      <c r="H483" s="7">
        <v>179.67</v>
      </c>
      <c r="I483" s="7">
        <f t="shared" si="35"/>
        <v>98.58</v>
      </c>
      <c r="J483" s="7">
        <f t="shared" si="36"/>
        <v>103.35</v>
      </c>
      <c r="K483" s="7">
        <f t="shared" si="37"/>
        <v>106.53</v>
      </c>
      <c r="L483" s="7">
        <f t="shared" si="38"/>
        <v>111.3</v>
      </c>
      <c r="M483" s="7">
        <f t="shared" si="39"/>
        <v>114.48</v>
      </c>
    </row>
    <row r="484" spans="1:13">
      <c r="A484" s="6" t="s">
        <v>18</v>
      </c>
      <c r="B484" s="6" t="s">
        <v>1351</v>
      </c>
      <c r="C484" s="6" t="s">
        <v>1352</v>
      </c>
      <c r="E484" s="6" t="s">
        <v>1352</v>
      </c>
      <c r="G484" s="7">
        <v>39</v>
      </c>
      <c r="H484" s="7">
        <v>44.07</v>
      </c>
      <c r="I484" s="7">
        <f t="shared" si="35"/>
        <v>24.18</v>
      </c>
      <c r="J484" s="7">
        <f t="shared" si="36"/>
        <v>25.35</v>
      </c>
      <c r="K484" s="7">
        <f t="shared" si="37"/>
        <v>26.13</v>
      </c>
      <c r="L484" s="7">
        <f t="shared" si="38"/>
        <v>27.3</v>
      </c>
      <c r="M484" s="7">
        <f t="shared" si="39"/>
        <v>28.08</v>
      </c>
    </row>
    <row r="485" spans="1:13">
      <c r="A485" s="6" t="s">
        <v>18</v>
      </c>
      <c r="B485" s="6" t="s">
        <v>1353</v>
      </c>
      <c r="C485" s="6" t="s">
        <v>1354</v>
      </c>
      <c r="E485" s="6" t="s">
        <v>1354</v>
      </c>
      <c r="G485" s="7">
        <v>39</v>
      </c>
      <c r="H485" s="7">
        <v>44.07</v>
      </c>
      <c r="I485" s="7">
        <f t="shared" si="35"/>
        <v>24.18</v>
      </c>
      <c r="J485" s="7">
        <f t="shared" si="36"/>
        <v>25.35</v>
      </c>
      <c r="K485" s="7">
        <f t="shared" si="37"/>
        <v>26.13</v>
      </c>
      <c r="L485" s="7">
        <f t="shared" si="38"/>
        <v>27.3</v>
      </c>
      <c r="M485" s="7">
        <f t="shared" si="39"/>
        <v>28.08</v>
      </c>
    </row>
    <row r="486" ht="76.5" spans="1:13">
      <c r="A486" s="6" t="s">
        <v>733</v>
      </c>
      <c r="B486" s="6" t="s">
        <v>1355</v>
      </c>
      <c r="C486" s="6" t="s">
        <v>1356</v>
      </c>
      <c r="E486" s="6" t="s">
        <v>1357</v>
      </c>
      <c r="G486" s="7">
        <v>359</v>
      </c>
      <c r="H486" s="7">
        <v>405.67</v>
      </c>
      <c r="I486" s="7">
        <f t="shared" si="35"/>
        <v>222.58</v>
      </c>
      <c r="J486" s="7">
        <f t="shared" si="36"/>
        <v>233.35</v>
      </c>
      <c r="K486" s="7">
        <f t="shared" si="37"/>
        <v>240.53</v>
      </c>
      <c r="L486" s="7">
        <f t="shared" si="38"/>
        <v>251.3</v>
      </c>
      <c r="M486" s="7">
        <f t="shared" si="39"/>
        <v>258.48</v>
      </c>
    </row>
    <row r="487" ht="63.75" spans="1:13">
      <c r="A487" s="6" t="s">
        <v>1358</v>
      </c>
      <c r="B487" s="6" t="s">
        <v>1359</v>
      </c>
      <c r="C487" s="6" t="s">
        <v>1360</v>
      </c>
      <c r="E487" s="6" t="s">
        <v>1361</v>
      </c>
      <c r="G487" s="7">
        <v>1049</v>
      </c>
      <c r="H487" s="7">
        <v>1185.37</v>
      </c>
      <c r="I487" s="7">
        <f t="shared" si="35"/>
        <v>650.38</v>
      </c>
      <c r="J487" s="7">
        <f t="shared" si="36"/>
        <v>681.85</v>
      </c>
      <c r="K487" s="7">
        <f t="shared" si="37"/>
        <v>702.83</v>
      </c>
      <c r="L487" s="7">
        <f t="shared" si="38"/>
        <v>734.3</v>
      </c>
      <c r="M487" s="7">
        <f t="shared" si="39"/>
        <v>755.28</v>
      </c>
    </row>
    <row r="488" spans="1:13">
      <c r="A488" s="6" t="s">
        <v>25</v>
      </c>
      <c r="B488" s="6" t="s">
        <v>1362</v>
      </c>
      <c r="C488" s="6" t="s">
        <v>1363</v>
      </c>
      <c r="E488" s="6" t="s">
        <v>1363</v>
      </c>
      <c r="G488" s="7">
        <v>39</v>
      </c>
      <c r="H488" s="7">
        <v>44.07</v>
      </c>
      <c r="I488" s="7">
        <f t="shared" si="35"/>
        <v>24.18</v>
      </c>
      <c r="J488" s="7">
        <f t="shared" si="36"/>
        <v>25.35</v>
      </c>
      <c r="K488" s="7">
        <f t="shared" si="37"/>
        <v>26.13</v>
      </c>
      <c r="L488" s="7">
        <f t="shared" si="38"/>
        <v>27.3</v>
      </c>
      <c r="M488" s="7">
        <f t="shared" si="39"/>
        <v>28.08</v>
      </c>
    </row>
    <row r="489" spans="1:13">
      <c r="A489" s="6" t="s">
        <v>25</v>
      </c>
      <c r="B489" s="6" t="s">
        <v>1364</v>
      </c>
      <c r="C489" s="6" t="s">
        <v>1365</v>
      </c>
      <c r="E489" s="6" t="s">
        <v>1365</v>
      </c>
      <c r="G489" s="7">
        <v>219</v>
      </c>
      <c r="H489" s="7">
        <v>247.47</v>
      </c>
      <c r="I489" s="7">
        <f t="shared" si="35"/>
        <v>135.78</v>
      </c>
      <c r="J489" s="7">
        <f t="shared" si="36"/>
        <v>142.35</v>
      </c>
      <c r="K489" s="7">
        <f t="shared" si="37"/>
        <v>146.73</v>
      </c>
      <c r="L489" s="7">
        <f t="shared" si="38"/>
        <v>153.3</v>
      </c>
      <c r="M489" s="7">
        <f t="shared" si="39"/>
        <v>157.68</v>
      </c>
    </row>
    <row r="490" spans="1:13">
      <c r="A490" s="6" t="s">
        <v>217</v>
      </c>
      <c r="B490" s="6" t="s">
        <v>1366</v>
      </c>
      <c r="C490" s="6" t="s">
        <v>1367</v>
      </c>
      <c r="E490" s="6" t="s">
        <v>1367</v>
      </c>
      <c r="G490" s="7">
        <v>549</v>
      </c>
      <c r="H490" s="7">
        <v>620.37</v>
      </c>
      <c r="I490" s="7">
        <f t="shared" si="35"/>
        <v>340.38</v>
      </c>
      <c r="J490" s="7">
        <f t="shared" si="36"/>
        <v>356.85</v>
      </c>
      <c r="K490" s="7">
        <f t="shared" si="37"/>
        <v>367.83</v>
      </c>
      <c r="L490" s="7">
        <f t="shared" si="38"/>
        <v>384.3</v>
      </c>
      <c r="M490" s="7">
        <f t="shared" si="39"/>
        <v>395.28</v>
      </c>
    </row>
    <row r="491" spans="1:13">
      <c r="A491" s="6" t="s">
        <v>25</v>
      </c>
      <c r="B491" s="6" t="s">
        <v>1368</v>
      </c>
      <c r="C491" s="6" t="s">
        <v>1369</v>
      </c>
      <c r="E491" s="6" t="s">
        <v>1369</v>
      </c>
      <c r="G491" s="7">
        <v>219</v>
      </c>
      <c r="H491" s="7">
        <v>247.47</v>
      </c>
      <c r="I491" s="7">
        <f t="shared" si="35"/>
        <v>135.78</v>
      </c>
      <c r="J491" s="7">
        <f t="shared" si="36"/>
        <v>142.35</v>
      </c>
      <c r="K491" s="7">
        <f t="shared" si="37"/>
        <v>146.73</v>
      </c>
      <c r="L491" s="7">
        <f t="shared" si="38"/>
        <v>153.3</v>
      </c>
      <c r="M491" s="7">
        <f t="shared" si="39"/>
        <v>157.68</v>
      </c>
    </row>
    <row r="492" spans="1:13">
      <c r="A492" s="6" t="s">
        <v>217</v>
      </c>
      <c r="B492" s="6" t="s">
        <v>1370</v>
      </c>
      <c r="C492" s="6" t="s">
        <v>1371</v>
      </c>
      <c r="E492" s="6" t="s">
        <v>1371</v>
      </c>
      <c r="G492" s="7">
        <v>279</v>
      </c>
      <c r="H492" s="7">
        <v>315.27</v>
      </c>
      <c r="I492" s="7">
        <f t="shared" si="35"/>
        <v>172.98</v>
      </c>
      <c r="J492" s="7">
        <f t="shared" si="36"/>
        <v>181.35</v>
      </c>
      <c r="K492" s="7">
        <f t="shared" si="37"/>
        <v>186.93</v>
      </c>
      <c r="L492" s="7">
        <f t="shared" si="38"/>
        <v>195.3</v>
      </c>
      <c r="M492" s="7">
        <f t="shared" si="39"/>
        <v>200.88</v>
      </c>
    </row>
    <row r="493" spans="1:13">
      <c r="A493" s="6" t="s">
        <v>217</v>
      </c>
      <c r="B493" s="6" t="s">
        <v>1372</v>
      </c>
      <c r="C493" s="6" t="s">
        <v>1373</v>
      </c>
      <c r="E493" s="6" t="s">
        <v>1373</v>
      </c>
      <c r="G493" s="7">
        <v>279</v>
      </c>
      <c r="H493" s="7">
        <v>315.27</v>
      </c>
      <c r="I493" s="7">
        <f t="shared" si="35"/>
        <v>172.98</v>
      </c>
      <c r="J493" s="7">
        <f t="shared" si="36"/>
        <v>181.35</v>
      </c>
      <c r="K493" s="7">
        <f t="shared" si="37"/>
        <v>186.93</v>
      </c>
      <c r="L493" s="7">
        <f t="shared" si="38"/>
        <v>195.3</v>
      </c>
      <c r="M493" s="7">
        <f t="shared" si="39"/>
        <v>200.88</v>
      </c>
    </row>
    <row r="494" spans="1:13">
      <c r="A494" s="6" t="s">
        <v>25</v>
      </c>
      <c r="B494" s="6" t="s">
        <v>1374</v>
      </c>
      <c r="C494" s="6" t="s">
        <v>1375</v>
      </c>
      <c r="E494" s="6" t="s">
        <v>1375</v>
      </c>
      <c r="G494" s="7">
        <v>39</v>
      </c>
      <c r="H494" s="7">
        <v>44.07</v>
      </c>
      <c r="I494" s="7">
        <f t="shared" si="35"/>
        <v>24.18</v>
      </c>
      <c r="J494" s="7">
        <f t="shared" si="36"/>
        <v>25.35</v>
      </c>
      <c r="K494" s="7">
        <f t="shared" si="37"/>
        <v>26.13</v>
      </c>
      <c r="L494" s="7">
        <f t="shared" si="38"/>
        <v>27.3</v>
      </c>
      <c r="M494" s="7">
        <f t="shared" si="39"/>
        <v>28.08</v>
      </c>
    </row>
    <row r="495" spans="1:13">
      <c r="A495" s="6" t="s">
        <v>25</v>
      </c>
      <c r="B495" s="6" t="s">
        <v>1376</v>
      </c>
      <c r="C495" s="6" t="s">
        <v>1377</v>
      </c>
      <c r="E495" s="6" t="s">
        <v>1377</v>
      </c>
      <c r="G495" s="7">
        <v>39</v>
      </c>
      <c r="H495" s="7">
        <v>44.07</v>
      </c>
      <c r="I495" s="7">
        <f t="shared" si="35"/>
        <v>24.18</v>
      </c>
      <c r="J495" s="7">
        <f t="shared" si="36"/>
        <v>25.35</v>
      </c>
      <c r="K495" s="7">
        <f t="shared" si="37"/>
        <v>26.13</v>
      </c>
      <c r="L495" s="7">
        <f t="shared" si="38"/>
        <v>27.3</v>
      </c>
      <c r="M495" s="7">
        <f t="shared" si="39"/>
        <v>28.08</v>
      </c>
    </row>
    <row r="496" ht="25.5" spans="1:13">
      <c r="A496" s="6" t="s">
        <v>39</v>
      </c>
      <c r="B496" s="6" t="s">
        <v>1378</v>
      </c>
      <c r="C496" s="6" t="s">
        <v>1379</v>
      </c>
      <c r="E496" s="6" t="s">
        <v>1380</v>
      </c>
      <c r="G496" s="7">
        <v>1449</v>
      </c>
      <c r="H496" s="7">
        <v>1637.37</v>
      </c>
      <c r="I496" s="7">
        <f t="shared" si="35"/>
        <v>898.38</v>
      </c>
      <c r="J496" s="7">
        <f t="shared" si="36"/>
        <v>941.85</v>
      </c>
      <c r="K496" s="7">
        <f t="shared" si="37"/>
        <v>970.83</v>
      </c>
      <c r="L496" s="7">
        <f t="shared" si="38"/>
        <v>1014.3</v>
      </c>
      <c r="M496" s="7">
        <f t="shared" si="39"/>
        <v>1043.28</v>
      </c>
    </row>
    <row r="497" spans="1:13">
      <c r="A497" s="6" t="s">
        <v>39</v>
      </c>
      <c r="B497" s="6" t="s">
        <v>1381</v>
      </c>
      <c r="C497" s="6" t="s">
        <v>1382</v>
      </c>
      <c r="E497" s="6" t="s">
        <v>1382</v>
      </c>
      <c r="G497" s="7">
        <v>1099</v>
      </c>
      <c r="H497" s="7">
        <v>1241.87</v>
      </c>
      <c r="I497" s="7">
        <f t="shared" si="35"/>
        <v>681.38</v>
      </c>
      <c r="J497" s="7">
        <f t="shared" si="36"/>
        <v>714.35</v>
      </c>
      <c r="K497" s="7">
        <f t="shared" si="37"/>
        <v>736.33</v>
      </c>
      <c r="L497" s="7">
        <f t="shared" si="38"/>
        <v>769.3</v>
      </c>
      <c r="M497" s="7">
        <f t="shared" si="39"/>
        <v>791.28</v>
      </c>
    </row>
    <row r="498" spans="1:13">
      <c r="A498" s="6" t="s">
        <v>39</v>
      </c>
      <c r="B498" s="6" t="s">
        <v>1383</v>
      </c>
      <c r="C498" s="6" t="s">
        <v>1384</v>
      </c>
      <c r="E498" s="6" t="s">
        <v>1384</v>
      </c>
      <c r="G498" s="7">
        <v>1099</v>
      </c>
      <c r="H498" s="7">
        <v>1241.87</v>
      </c>
      <c r="I498" s="7">
        <f t="shared" si="35"/>
        <v>681.38</v>
      </c>
      <c r="J498" s="7">
        <f t="shared" si="36"/>
        <v>714.35</v>
      </c>
      <c r="K498" s="7">
        <f t="shared" si="37"/>
        <v>736.33</v>
      </c>
      <c r="L498" s="7">
        <f t="shared" si="38"/>
        <v>769.3</v>
      </c>
      <c r="M498" s="7">
        <f t="shared" si="39"/>
        <v>791.28</v>
      </c>
    </row>
    <row r="499" spans="1:13">
      <c r="A499" s="6" t="s">
        <v>39</v>
      </c>
      <c r="B499" s="6" t="s">
        <v>1385</v>
      </c>
      <c r="C499" s="6" t="s">
        <v>1386</v>
      </c>
      <c r="E499" s="6" t="s">
        <v>1386</v>
      </c>
      <c r="G499" s="7">
        <v>1099</v>
      </c>
      <c r="H499" s="7">
        <v>1241.87</v>
      </c>
      <c r="I499" s="7">
        <f t="shared" si="35"/>
        <v>681.38</v>
      </c>
      <c r="J499" s="7">
        <f t="shared" si="36"/>
        <v>714.35</v>
      </c>
      <c r="K499" s="7">
        <f t="shared" si="37"/>
        <v>736.33</v>
      </c>
      <c r="L499" s="7">
        <f t="shared" si="38"/>
        <v>769.3</v>
      </c>
      <c r="M499" s="7">
        <f t="shared" si="39"/>
        <v>791.28</v>
      </c>
    </row>
    <row r="500" spans="1:13">
      <c r="A500" s="6" t="s">
        <v>39</v>
      </c>
      <c r="B500" s="6" t="s">
        <v>1387</v>
      </c>
      <c r="C500" s="6" t="s">
        <v>1388</v>
      </c>
      <c r="E500" s="6" t="s">
        <v>1388</v>
      </c>
      <c r="G500" s="7">
        <v>1099</v>
      </c>
      <c r="H500" s="7">
        <v>1241.87</v>
      </c>
      <c r="I500" s="7">
        <f t="shared" si="35"/>
        <v>681.38</v>
      </c>
      <c r="J500" s="7">
        <f t="shared" si="36"/>
        <v>714.35</v>
      </c>
      <c r="K500" s="7">
        <f t="shared" si="37"/>
        <v>736.33</v>
      </c>
      <c r="L500" s="7">
        <f t="shared" si="38"/>
        <v>769.3</v>
      </c>
      <c r="M500" s="7">
        <f t="shared" si="39"/>
        <v>791.28</v>
      </c>
    </row>
    <row r="501" spans="1:13">
      <c r="A501" s="6" t="s">
        <v>39</v>
      </c>
      <c r="B501" s="6" t="s">
        <v>1389</v>
      </c>
      <c r="C501" s="6" t="s">
        <v>1390</v>
      </c>
      <c r="E501" s="6" t="s">
        <v>1390</v>
      </c>
      <c r="G501" s="7">
        <v>1099</v>
      </c>
      <c r="H501" s="7">
        <v>1241.87</v>
      </c>
      <c r="I501" s="7">
        <f t="shared" si="35"/>
        <v>681.38</v>
      </c>
      <c r="J501" s="7">
        <f t="shared" si="36"/>
        <v>714.35</v>
      </c>
      <c r="K501" s="7">
        <f t="shared" si="37"/>
        <v>736.33</v>
      </c>
      <c r="L501" s="7">
        <f t="shared" si="38"/>
        <v>769.3</v>
      </c>
      <c r="M501" s="7">
        <f t="shared" si="39"/>
        <v>791.28</v>
      </c>
    </row>
    <row r="502" ht="63.75" spans="1:13">
      <c r="A502" s="6" t="s">
        <v>39</v>
      </c>
      <c r="B502" s="6" t="s">
        <v>1391</v>
      </c>
      <c r="C502" s="6" t="s">
        <v>1392</v>
      </c>
      <c r="E502" s="6" t="s">
        <v>1393</v>
      </c>
      <c r="G502" s="7">
        <v>1299</v>
      </c>
      <c r="H502" s="7">
        <v>1467.87</v>
      </c>
      <c r="I502" s="7">
        <f t="shared" si="35"/>
        <v>805.38</v>
      </c>
      <c r="J502" s="7">
        <f t="shared" si="36"/>
        <v>844.35</v>
      </c>
      <c r="K502" s="7">
        <f t="shared" si="37"/>
        <v>870.33</v>
      </c>
      <c r="L502" s="7">
        <f t="shared" si="38"/>
        <v>909.3</v>
      </c>
      <c r="M502" s="7">
        <f t="shared" si="39"/>
        <v>935.28</v>
      </c>
    </row>
    <row r="503" spans="1:13">
      <c r="A503" s="6" t="s">
        <v>39</v>
      </c>
      <c r="B503" s="6" t="s">
        <v>1394</v>
      </c>
      <c r="C503" s="6" t="s">
        <v>1395</v>
      </c>
      <c r="E503" s="6" t="s">
        <v>1395</v>
      </c>
      <c r="G503" s="7">
        <v>1099</v>
      </c>
      <c r="H503" s="7">
        <v>1241.87</v>
      </c>
      <c r="I503" s="7">
        <f t="shared" si="35"/>
        <v>681.38</v>
      </c>
      <c r="J503" s="7">
        <f t="shared" si="36"/>
        <v>714.35</v>
      </c>
      <c r="K503" s="7">
        <f t="shared" si="37"/>
        <v>736.33</v>
      </c>
      <c r="L503" s="7">
        <f t="shared" si="38"/>
        <v>769.3</v>
      </c>
      <c r="M503" s="7">
        <f t="shared" si="39"/>
        <v>791.28</v>
      </c>
    </row>
    <row r="504" spans="1:13">
      <c r="A504" s="6" t="s">
        <v>39</v>
      </c>
      <c r="B504" s="6" t="s">
        <v>1396</v>
      </c>
      <c r="C504" s="6" t="s">
        <v>1397</v>
      </c>
      <c r="E504" s="6" t="s">
        <v>1397</v>
      </c>
      <c r="G504" s="7">
        <v>1099</v>
      </c>
      <c r="H504" s="7">
        <v>1241.87</v>
      </c>
      <c r="I504" s="7">
        <f t="shared" si="35"/>
        <v>681.38</v>
      </c>
      <c r="J504" s="7">
        <f t="shared" si="36"/>
        <v>714.35</v>
      </c>
      <c r="K504" s="7">
        <f t="shared" si="37"/>
        <v>736.33</v>
      </c>
      <c r="L504" s="7">
        <f t="shared" si="38"/>
        <v>769.3</v>
      </c>
      <c r="M504" s="7">
        <f t="shared" si="39"/>
        <v>791.28</v>
      </c>
    </row>
    <row r="505" spans="1:13">
      <c r="A505" s="6" t="s">
        <v>39</v>
      </c>
      <c r="B505" s="6" t="s">
        <v>1398</v>
      </c>
      <c r="C505" s="6" t="s">
        <v>1399</v>
      </c>
      <c r="E505" s="6" t="s">
        <v>1399</v>
      </c>
      <c r="G505" s="7">
        <v>1099</v>
      </c>
      <c r="H505" s="7">
        <v>1241.87</v>
      </c>
      <c r="I505" s="7">
        <f t="shared" si="35"/>
        <v>681.38</v>
      </c>
      <c r="J505" s="7">
        <f t="shared" si="36"/>
        <v>714.35</v>
      </c>
      <c r="K505" s="7">
        <f t="shared" si="37"/>
        <v>736.33</v>
      </c>
      <c r="L505" s="7">
        <f t="shared" si="38"/>
        <v>769.3</v>
      </c>
      <c r="M505" s="7">
        <f t="shared" si="39"/>
        <v>791.28</v>
      </c>
    </row>
    <row r="506" spans="1:13">
      <c r="A506" s="6" t="s">
        <v>39</v>
      </c>
      <c r="B506" s="6" t="s">
        <v>1400</v>
      </c>
      <c r="C506" s="6" t="s">
        <v>1401</v>
      </c>
      <c r="E506" s="6" t="s">
        <v>1401</v>
      </c>
      <c r="G506" s="7">
        <v>1099</v>
      </c>
      <c r="H506" s="7">
        <v>1241.87</v>
      </c>
      <c r="I506" s="7">
        <f t="shared" si="35"/>
        <v>681.38</v>
      </c>
      <c r="J506" s="7">
        <f t="shared" si="36"/>
        <v>714.35</v>
      </c>
      <c r="K506" s="7">
        <f t="shared" si="37"/>
        <v>736.33</v>
      </c>
      <c r="L506" s="7">
        <f t="shared" si="38"/>
        <v>769.3</v>
      </c>
      <c r="M506" s="7">
        <f t="shared" si="39"/>
        <v>791.28</v>
      </c>
    </row>
    <row r="507" spans="1:13">
      <c r="A507" s="6" t="s">
        <v>39</v>
      </c>
      <c r="B507" s="6" t="s">
        <v>1402</v>
      </c>
      <c r="C507" s="6" t="s">
        <v>1403</v>
      </c>
      <c r="E507" s="6" t="s">
        <v>1403</v>
      </c>
      <c r="G507" s="7">
        <v>1099</v>
      </c>
      <c r="H507" s="7">
        <v>1241.87</v>
      </c>
      <c r="I507" s="7">
        <f t="shared" si="35"/>
        <v>681.38</v>
      </c>
      <c r="J507" s="7">
        <f t="shared" si="36"/>
        <v>714.35</v>
      </c>
      <c r="K507" s="7">
        <f t="shared" si="37"/>
        <v>736.33</v>
      </c>
      <c r="L507" s="7">
        <f t="shared" si="38"/>
        <v>769.3</v>
      </c>
      <c r="M507" s="7">
        <f t="shared" si="39"/>
        <v>791.28</v>
      </c>
    </row>
    <row r="508" spans="1:13">
      <c r="A508" s="6" t="s">
        <v>39</v>
      </c>
      <c r="B508" s="6" t="s">
        <v>1404</v>
      </c>
      <c r="C508" s="6" t="s">
        <v>1405</v>
      </c>
      <c r="E508" s="6" t="s">
        <v>1405</v>
      </c>
      <c r="G508" s="7">
        <v>1099</v>
      </c>
      <c r="H508" s="7">
        <v>1241.87</v>
      </c>
      <c r="I508" s="7">
        <f t="shared" si="35"/>
        <v>681.38</v>
      </c>
      <c r="J508" s="7">
        <f t="shared" si="36"/>
        <v>714.35</v>
      </c>
      <c r="K508" s="7">
        <f t="shared" si="37"/>
        <v>736.33</v>
      </c>
      <c r="L508" s="7">
        <f t="shared" si="38"/>
        <v>769.3</v>
      </c>
      <c r="M508" s="7">
        <f t="shared" si="39"/>
        <v>791.28</v>
      </c>
    </row>
    <row r="509" ht="25.5" spans="1:13">
      <c r="A509" s="6" t="s">
        <v>39</v>
      </c>
      <c r="B509" s="6" t="s">
        <v>1406</v>
      </c>
      <c r="C509" s="6" t="s">
        <v>1407</v>
      </c>
      <c r="E509" s="6" t="s">
        <v>1408</v>
      </c>
      <c r="G509" s="7">
        <v>299</v>
      </c>
      <c r="H509" s="7">
        <v>337.87</v>
      </c>
      <c r="I509" s="7">
        <f t="shared" si="35"/>
        <v>185.38</v>
      </c>
      <c r="J509" s="7">
        <f t="shared" si="36"/>
        <v>194.35</v>
      </c>
      <c r="K509" s="7">
        <f t="shared" si="37"/>
        <v>200.33</v>
      </c>
      <c r="L509" s="7">
        <f t="shared" si="38"/>
        <v>209.3</v>
      </c>
      <c r="M509" s="7">
        <f t="shared" si="39"/>
        <v>215.28</v>
      </c>
    </row>
    <row r="510" ht="25.5" spans="1:13">
      <c r="A510" s="6" t="s">
        <v>686</v>
      </c>
      <c r="B510" s="6" t="s">
        <v>1409</v>
      </c>
      <c r="C510" s="6" t="s">
        <v>1410</v>
      </c>
      <c r="E510" s="6" t="s">
        <v>1411</v>
      </c>
      <c r="G510" s="7">
        <v>459</v>
      </c>
      <c r="H510" s="7">
        <v>518.67</v>
      </c>
      <c r="I510" s="7">
        <f t="shared" si="35"/>
        <v>284.58</v>
      </c>
      <c r="J510" s="7">
        <f t="shared" si="36"/>
        <v>298.35</v>
      </c>
      <c r="K510" s="7">
        <f t="shared" si="37"/>
        <v>307.53</v>
      </c>
      <c r="L510" s="7">
        <f t="shared" si="38"/>
        <v>321.3</v>
      </c>
      <c r="M510" s="7">
        <f t="shared" si="39"/>
        <v>330.48</v>
      </c>
    </row>
    <row r="511" spans="1:13">
      <c r="A511" s="6" t="s">
        <v>25</v>
      </c>
      <c r="B511" s="6" t="s">
        <v>1412</v>
      </c>
      <c r="C511" s="6" t="s">
        <v>1413</v>
      </c>
      <c r="E511" s="6" t="s">
        <v>1413</v>
      </c>
      <c r="G511" s="7">
        <v>3049</v>
      </c>
      <c r="H511" s="7">
        <v>3445.37</v>
      </c>
      <c r="I511" s="7">
        <f t="shared" si="35"/>
        <v>1890.38</v>
      </c>
      <c r="J511" s="7">
        <f t="shared" si="36"/>
        <v>1981.85</v>
      </c>
      <c r="K511" s="7">
        <f t="shared" si="37"/>
        <v>2042.83</v>
      </c>
      <c r="L511" s="7">
        <f t="shared" si="38"/>
        <v>2134.3</v>
      </c>
      <c r="M511" s="7">
        <f t="shared" si="39"/>
        <v>2195.28</v>
      </c>
    </row>
    <row r="512" spans="1:13">
      <c r="A512" s="6" t="s">
        <v>25</v>
      </c>
      <c r="B512" s="6" t="s">
        <v>1414</v>
      </c>
      <c r="C512" s="6" t="s">
        <v>1415</v>
      </c>
      <c r="E512" s="6" t="s">
        <v>1415</v>
      </c>
      <c r="G512" s="7">
        <v>1299</v>
      </c>
      <c r="H512" s="7">
        <v>1467.87</v>
      </c>
      <c r="I512" s="7">
        <f t="shared" si="35"/>
        <v>805.38</v>
      </c>
      <c r="J512" s="7">
        <f t="shared" si="36"/>
        <v>844.35</v>
      </c>
      <c r="K512" s="7">
        <f t="shared" si="37"/>
        <v>870.33</v>
      </c>
      <c r="L512" s="7">
        <f t="shared" si="38"/>
        <v>909.3</v>
      </c>
      <c r="M512" s="7">
        <f t="shared" si="39"/>
        <v>935.28</v>
      </c>
    </row>
    <row r="513" spans="1:13">
      <c r="A513" s="6" t="s">
        <v>25</v>
      </c>
      <c r="B513" s="6" t="s">
        <v>1416</v>
      </c>
      <c r="C513" s="6" t="s">
        <v>1417</v>
      </c>
      <c r="E513" s="6" t="s">
        <v>1417</v>
      </c>
      <c r="G513" s="7">
        <v>4349</v>
      </c>
      <c r="H513" s="7">
        <v>4914.37</v>
      </c>
      <c r="I513" s="7">
        <f t="shared" si="35"/>
        <v>2696.38</v>
      </c>
      <c r="J513" s="7">
        <f t="shared" si="36"/>
        <v>2826.85</v>
      </c>
      <c r="K513" s="7">
        <f t="shared" si="37"/>
        <v>2913.83</v>
      </c>
      <c r="L513" s="7">
        <f t="shared" si="38"/>
        <v>3044.3</v>
      </c>
      <c r="M513" s="7">
        <f t="shared" si="39"/>
        <v>3131.28</v>
      </c>
    </row>
    <row r="514" spans="1:13">
      <c r="A514" s="6" t="s">
        <v>18</v>
      </c>
      <c r="B514" s="6" t="s">
        <v>1418</v>
      </c>
      <c r="C514" s="6" t="s">
        <v>1419</v>
      </c>
      <c r="E514" s="6" t="s">
        <v>1419</v>
      </c>
      <c r="G514" s="7">
        <v>19</v>
      </c>
      <c r="H514" s="7">
        <v>21.47</v>
      </c>
      <c r="I514" s="7">
        <f t="shared" ref="I514:I577" si="40">G514*0.62</f>
        <v>11.78</v>
      </c>
      <c r="J514" s="7">
        <f t="shared" ref="J514:J577" si="41">G514*0.65</f>
        <v>12.35</v>
      </c>
      <c r="K514" s="7">
        <f t="shared" ref="K514:K577" si="42">G514*0.67</f>
        <v>12.73</v>
      </c>
      <c r="L514" s="7">
        <f t="shared" ref="L514:L577" si="43">G514*0.7</f>
        <v>13.3</v>
      </c>
      <c r="M514" s="7">
        <f t="shared" ref="M514:M577" si="44">G514*0.72</f>
        <v>13.68</v>
      </c>
    </row>
    <row r="515" ht="51" spans="1:13">
      <c r="A515" s="6" t="s">
        <v>39</v>
      </c>
      <c r="B515" s="6" t="s">
        <v>1420</v>
      </c>
      <c r="C515" s="6" t="s">
        <v>1421</v>
      </c>
      <c r="E515" s="6" t="s">
        <v>1422</v>
      </c>
      <c r="G515" s="7">
        <v>279</v>
      </c>
      <c r="H515" s="7">
        <v>315.27</v>
      </c>
      <c r="I515" s="7">
        <f t="shared" si="40"/>
        <v>172.98</v>
      </c>
      <c r="J515" s="7">
        <f t="shared" si="41"/>
        <v>181.35</v>
      </c>
      <c r="K515" s="7">
        <f t="shared" si="42"/>
        <v>186.93</v>
      </c>
      <c r="L515" s="7">
        <f t="shared" si="43"/>
        <v>195.3</v>
      </c>
      <c r="M515" s="7">
        <f t="shared" si="44"/>
        <v>200.88</v>
      </c>
    </row>
    <row r="516" ht="38.25" spans="1:13">
      <c r="A516" s="6" t="s">
        <v>39</v>
      </c>
      <c r="B516" s="6" t="s">
        <v>1423</v>
      </c>
      <c r="C516" s="6" t="s">
        <v>1424</v>
      </c>
      <c r="E516" s="6" t="s">
        <v>1425</v>
      </c>
      <c r="G516" s="7">
        <v>1499</v>
      </c>
      <c r="H516" s="7">
        <v>1693.87</v>
      </c>
      <c r="I516" s="7">
        <f t="shared" si="40"/>
        <v>929.38</v>
      </c>
      <c r="J516" s="7">
        <f t="shared" si="41"/>
        <v>974.35</v>
      </c>
      <c r="K516" s="7">
        <f t="shared" si="42"/>
        <v>1004.33</v>
      </c>
      <c r="L516" s="7">
        <f t="shared" si="43"/>
        <v>1049.3</v>
      </c>
      <c r="M516" s="7">
        <f t="shared" si="44"/>
        <v>1079.28</v>
      </c>
    </row>
    <row r="517" spans="1:13">
      <c r="A517" s="6" t="s">
        <v>459</v>
      </c>
      <c r="B517" s="6" t="s">
        <v>1426</v>
      </c>
      <c r="C517" s="6" t="s">
        <v>1427</v>
      </c>
      <c r="E517" s="6" t="s">
        <v>1427</v>
      </c>
      <c r="G517" s="7">
        <v>799</v>
      </c>
      <c r="H517" s="7">
        <v>902.87</v>
      </c>
      <c r="I517" s="7">
        <f t="shared" si="40"/>
        <v>495.38</v>
      </c>
      <c r="J517" s="7">
        <f t="shared" si="41"/>
        <v>519.35</v>
      </c>
      <c r="K517" s="7">
        <f t="shared" si="42"/>
        <v>535.33</v>
      </c>
      <c r="L517" s="7">
        <f t="shared" si="43"/>
        <v>559.3</v>
      </c>
      <c r="M517" s="7">
        <f t="shared" si="44"/>
        <v>575.28</v>
      </c>
    </row>
    <row r="518" spans="1:13">
      <c r="A518" s="6" t="s">
        <v>18</v>
      </c>
      <c r="B518" s="6" t="s">
        <v>1428</v>
      </c>
      <c r="C518" s="6" t="s">
        <v>1429</v>
      </c>
      <c r="E518" s="6" t="s">
        <v>1429</v>
      </c>
      <c r="G518" s="7">
        <v>19</v>
      </c>
      <c r="H518" s="7">
        <v>21.47</v>
      </c>
      <c r="I518" s="7">
        <f t="shared" si="40"/>
        <v>11.78</v>
      </c>
      <c r="J518" s="7">
        <f t="shared" si="41"/>
        <v>12.35</v>
      </c>
      <c r="K518" s="7">
        <f t="shared" si="42"/>
        <v>12.73</v>
      </c>
      <c r="L518" s="7">
        <f t="shared" si="43"/>
        <v>13.3</v>
      </c>
      <c r="M518" s="7">
        <f t="shared" si="44"/>
        <v>13.68</v>
      </c>
    </row>
    <row r="519" ht="51" spans="1:13">
      <c r="A519" s="6" t="s">
        <v>39</v>
      </c>
      <c r="B519" s="6" t="s">
        <v>1430</v>
      </c>
      <c r="C519" s="6" t="s">
        <v>1431</v>
      </c>
      <c r="E519" s="6" t="s">
        <v>1432</v>
      </c>
      <c r="G519" s="7">
        <v>1299</v>
      </c>
      <c r="H519" s="7">
        <v>1467.87</v>
      </c>
      <c r="I519" s="7">
        <f t="shared" si="40"/>
        <v>805.38</v>
      </c>
      <c r="J519" s="7">
        <f t="shared" si="41"/>
        <v>844.35</v>
      </c>
      <c r="K519" s="7">
        <f t="shared" si="42"/>
        <v>870.33</v>
      </c>
      <c r="L519" s="7">
        <f t="shared" si="43"/>
        <v>909.3</v>
      </c>
      <c r="M519" s="7">
        <f t="shared" si="44"/>
        <v>935.28</v>
      </c>
    </row>
    <row r="520" ht="89.25" spans="1:13">
      <c r="A520" s="6" t="s">
        <v>459</v>
      </c>
      <c r="B520" s="6" t="s">
        <v>1433</v>
      </c>
      <c r="C520" s="6" t="s">
        <v>1434</v>
      </c>
      <c r="E520" s="6" t="s">
        <v>1435</v>
      </c>
      <c r="G520" s="7">
        <v>3049</v>
      </c>
      <c r="H520" s="7">
        <v>3445.37</v>
      </c>
      <c r="I520" s="7">
        <f t="shared" si="40"/>
        <v>1890.38</v>
      </c>
      <c r="J520" s="7">
        <f t="shared" si="41"/>
        <v>1981.85</v>
      </c>
      <c r="K520" s="7">
        <f t="shared" si="42"/>
        <v>2042.83</v>
      </c>
      <c r="L520" s="7">
        <f t="shared" si="43"/>
        <v>2134.3</v>
      </c>
      <c r="M520" s="7">
        <f t="shared" si="44"/>
        <v>2195.28</v>
      </c>
    </row>
    <row r="521" ht="25.5" spans="1:13">
      <c r="A521" s="6" t="s">
        <v>18</v>
      </c>
      <c r="B521" s="6" t="s">
        <v>1436</v>
      </c>
      <c r="C521" s="6" t="s">
        <v>1437</v>
      </c>
      <c r="E521" s="6" t="s">
        <v>1438</v>
      </c>
      <c r="G521" s="7">
        <v>379</v>
      </c>
      <c r="H521" s="7">
        <v>428.27</v>
      </c>
      <c r="I521" s="7">
        <f t="shared" si="40"/>
        <v>234.98</v>
      </c>
      <c r="J521" s="7">
        <f t="shared" si="41"/>
        <v>246.35</v>
      </c>
      <c r="K521" s="7">
        <f t="shared" si="42"/>
        <v>253.93</v>
      </c>
      <c r="L521" s="7">
        <f t="shared" si="43"/>
        <v>265.3</v>
      </c>
      <c r="M521" s="7">
        <f t="shared" si="44"/>
        <v>272.88</v>
      </c>
    </row>
    <row r="522" ht="25.5" spans="1:13">
      <c r="A522" s="6" t="s">
        <v>45</v>
      </c>
      <c r="B522" s="6" t="s">
        <v>1439</v>
      </c>
      <c r="C522" s="6" t="s">
        <v>1440</v>
      </c>
      <c r="E522" s="6" t="s">
        <v>1441</v>
      </c>
      <c r="G522" s="7">
        <v>159</v>
      </c>
      <c r="H522" s="7">
        <v>179.67</v>
      </c>
      <c r="I522" s="7">
        <f t="shared" si="40"/>
        <v>98.58</v>
      </c>
      <c r="J522" s="7">
        <f t="shared" si="41"/>
        <v>103.35</v>
      </c>
      <c r="K522" s="7">
        <f t="shared" si="42"/>
        <v>106.53</v>
      </c>
      <c r="L522" s="7">
        <f t="shared" si="43"/>
        <v>111.3</v>
      </c>
      <c r="M522" s="7">
        <f t="shared" si="44"/>
        <v>114.48</v>
      </c>
    </row>
    <row r="523" ht="25.5" spans="1:13">
      <c r="A523" s="6" t="s">
        <v>45</v>
      </c>
      <c r="B523" s="6" t="s">
        <v>1442</v>
      </c>
      <c r="C523" s="6" t="s">
        <v>1443</v>
      </c>
      <c r="E523" s="6" t="s">
        <v>1444</v>
      </c>
      <c r="G523" s="7">
        <v>219</v>
      </c>
      <c r="H523" s="7">
        <v>247.47</v>
      </c>
      <c r="I523" s="7">
        <f t="shared" si="40"/>
        <v>135.78</v>
      </c>
      <c r="J523" s="7">
        <f t="shared" si="41"/>
        <v>142.35</v>
      </c>
      <c r="K523" s="7">
        <f t="shared" si="42"/>
        <v>146.73</v>
      </c>
      <c r="L523" s="7">
        <f t="shared" si="43"/>
        <v>153.3</v>
      </c>
      <c r="M523" s="7">
        <f t="shared" si="44"/>
        <v>157.68</v>
      </c>
    </row>
    <row r="524" ht="25.5" spans="1:13">
      <c r="A524" s="6" t="s">
        <v>45</v>
      </c>
      <c r="B524" s="6" t="s">
        <v>1445</v>
      </c>
      <c r="C524" s="6" t="s">
        <v>1446</v>
      </c>
      <c r="E524" s="6" t="s">
        <v>1447</v>
      </c>
      <c r="G524" s="7">
        <v>299</v>
      </c>
      <c r="H524" s="7">
        <v>337.87</v>
      </c>
      <c r="I524" s="7">
        <f t="shared" si="40"/>
        <v>185.38</v>
      </c>
      <c r="J524" s="7">
        <f t="shared" si="41"/>
        <v>194.35</v>
      </c>
      <c r="K524" s="7">
        <f t="shared" si="42"/>
        <v>200.33</v>
      </c>
      <c r="L524" s="7">
        <f t="shared" si="43"/>
        <v>209.3</v>
      </c>
      <c r="M524" s="7">
        <f t="shared" si="44"/>
        <v>215.28</v>
      </c>
    </row>
    <row r="525" ht="38.25" spans="1:13">
      <c r="A525" s="6" t="s">
        <v>45</v>
      </c>
      <c r="B525" s="6" t="s">
        <v>1448</v>
      </c>
      <c r="C525" s="6" t="s">
        <v>1449</v>
      </c>
      <c r="E525" s="6" t="s">
        <v>1450</v>
      </c>
      <c r="G525" s="7">
        <v>8399</v>
      </c>
      <c r="H525" s="7">
        <v>9490.87</v>
      </c>
      <c r="I525" s="7">
        <f t="shared" si="40"/>
        <v>5207.38</v>
      </c>
      <c r="J525" s="7">
        <f t="shared" si="41"/>
        <v>5459.35</v>
      </c>
      <c r="K525" s="7">
        <f t="shared" si="42"/>
        <v>5627.33</v>
      </c>
      <c r="L525" s="7">
        <f t="shared" si="43"/>
        <v>5879.3</v>
      </c>
      <c r="M525" s="7">
        <f t="shared" si="44"/>
        <v>6047.28</v>
      </c>
    </row>
    <row r="526" ht="38.25" spans="1:13">
      <c r="A526" s="6" t="s">
        <v>45</v>
      </c>
      <c r="B526" s="6" t="s">
        <v>1451</v>
      </c>
      <c r="C526" s="6" t="s">
        <v>1452</v>
      </c>
      <c r="E526" s="6" t="s">
        <v>1453</v>
      </c>
      <c r="G526" s="7">
        <v>9049</v>
      </c>
      <c r="H526" s="7">
        <v>10225.37</v>
      </c>
      <c r="I526" s="7">
        <f t="shared" si="40"/>
        <v>5610.38</v>
      </c>
      <c r="J526" s="7">
        <f t="shared" si="41"/>
        <v>5881.85</v>
      </c>
      <c r="K526" s="7">
        <f t="shared" si="42"/>
        <v>6062.83</v>
      </c>
      <c r="L526" s="7">
        <f t="shared" si="43"/>
        <v>6334.3</v>
      </c>
      <c r="M526" s="7">
        <f t="shared" si="44"/>
        <v>6515.28</v>
      </c>
    </row>
    <row r="527" ht="38.25" spans="1:13">
      <c r="A527" s="6" t="s">
        <v>45</v>
      </c>
      <c r="B527" s="6" t="s">
        <v>1454</v>
      </c>
      <c r="C527" s="6" t="s">
        <v>1455</v>
      </c>
      <c r="E527" s="6" t="s">
        <v>1456</v>
      </c>
      <c r="G527" s="7">
        <v>9899</v>
      </c>
      <c r="H527" s="7">
        <v>11185.87</v>
      </c>
      <c r="I527" s="7">
        <f t="shared" si="40"/>
        <v>6137.38</v>
      </c>
      <c r="J527" s="7">
        <f t="shared" si="41"/>
        <v>6434.35</v>
      </c>
      <c r="K527" s="7">
        <f t="shared" si="42"/>
        <v>6632.33</v>
      </c>
      <c r="L527" s="7">
        <f t="shared" si="43"/>
        <v>6929.3</v>
      </c>
      <c r="M527" s="7">
        <f t="shared" si="44"/>
        <v>7127.28</v>
      </c>
    </row>
    <row r="528" spans="1:13">
      <c r="A528" s="6" t="s">
        <v>45</v>
      </c>
      <c r="B528" s="6" t="s">
        <v>1457</v>
      </c>
      <c r="C528" s="6" t="s">
        <v>1458</v>
      </c>
      <c r="E528" s="6" t="s">
        <v>1459</v>
      </c>
      <c r="G528" s="7">
        <v>6849</v>
      </c>
      <c r="H528" s="7">
        <v>7739.37</v>
      </c>
      <c r="I528" s="7">
        <f t="shared" si="40"/>
        <v>4246.38</v>
      </c>
      <c r="J528" s="7">
        <f t="shared" si="41"/>
        <v>4451.85</v>
      </c>
      <c r="K528" s="7">
        <f t="shared" si="42"/>
        <v>4588.83</v>
      </c>
      <c r="L528" s="7">
        <f t="shared" si="43"/>
        <v>4794.3</v>
      </c>
      <c r="M528" s="7">
        <f t="shared" si="44"/>
        <v>4931.28</v>
      </c>
    </row>
    <row r="529" ht="38.25" spans="1:13">
      <c r="A529" s="6" t="s">
        <v>45</v>
      </c>
      <c r="B529" s="6" t="s">
        <v>1460</v>
      </c>
      <c r="C529" s="6" t="s">
        <v>1461</v>
      </c>
      <c r="E529" s="6" t="s">
        <v>1462</v>
      </c>
      <c r="G529" s="7">
        <v>11149</v>
      </c>
      <c r="H529" s="7">
        <v>12598.37</v>
      </c>
      <c r="I529" s="7">
        <f t="shared" si="40"/>
        <v>6912.38</v>
      </c>
      <c r="J529" s="7">
        <f t="shared" si="41"/>
        <v>7246.85</v>
      </c>
      <c r="K529" s="7">
        <f t="shared" si="42"/>
        <v>7469.83</v>
      </c>
      <c r="L529" s="7">
        <f t="shared" si="43"/>
        <v>7804.3</v>
      </c>
      <c r="M529" s="7">
        <f t="shared" si="44"/>
        <v>8027.28</v>
      </c>
    </row>
    <row r="530" ht="38.25" spans="1:13">
      <c r="A530" s="6" t="s">
        <v>45</v>
      </c>
      <c r="B530" s="6" t="s">
        <v>1463</v>
      </c>
      <c r="C530" s="6" t="s">
        <v>1464</v>
      </c>
      <c r="E530" s="6" t="s">
        <v>1465</v>
      </c>
      <c r="G530" s="7">
        <v>11849</v>
      </c>
      <c r="H530" s="7">
        <v>13389.37</v>
      </c>
      <c r="I530" s="7">
        <f t="shared" si="40"/>
        <v>7346.38</v>
      </c>
      <c r="J530" s="7">
        <f t="shared" si="41"/>
        <v>7701.85</v>
      </c>
      <c r="K530" s="7">
        <f t="shared" si="42"/>
        <v>7938.83</v>
      </c>
      <c r="L530" s="7">
        <f t="shared" si="43"/>
        <v>8294.3</v>
      </c>
      <c r="M530" s="7">
        <f t="shared" si="44"/>
        <v>8531.28</v>
      </c>
    </row>
    <row r="531" spans="1:13">
      <c r="A531" s="6" t="s">
        <v>45</v>
      </c>
      <c r="B531" s="6" t="s">
        <v>1466</v>
      </c>
      <c r="C531" s="6" t="s">
        <v>1467</v>
      </c>
      <c r="E531" s="6" t="s">
        <v>1468</v>
      </c>
      <c r="G531" s="7">
        <v>8849</v>
      </c>
      <c r="H531" s="7">
        <v>9999.37</v>
      </c>
      <c r="I531" s="7">
        <f t="shared" si="40"/>
        <v>5486.38</v>
      </c>
      <c r="J531" s="7">
        <f t="shared" si="41"/>
        <v>5751.85</v>
      </c>
      <c r="K531" s="7">
        <f t="shared" si="42"/>
        <v>5928.83</v>
      </c>
      <c r="L531" s="7">
        <f t="shared" si="43"/>
        <v>6194.3</v>
      </c>
      <c r="M531" s="7">
        <f t="shared" si="44"/>
        <v>6371.28</v>
      </c>
    </row>
    <row r="532" ht="25.5" spans="1:13">
      <c r="A532" s="6" t="s">
        <v>22</v>
      </c>
      <c r="B532" s="6" t="s">
        <v>1469</v>
      </c>
      <c r="C532" s="6" t="s">
        <v>1470</v>
      </c>
      <c r="E532" s="6" t="s">
        <v>1471</v>
      </c>
      <c r="G532" s="7">
        <v>10499</v>
      </c>
      <c r="H532" s="7">
        <v>11863.87</v>
      </c>
      <c r="I532" s="7">
        <f t="shared" si="40"/>
        <v>6509.38</v>
      </c>
      <c r="J532" s="7">
        <f t="shared" si="41"/>
        <v>6824.35</v>
      </c>
      <c r="K532" s="7">
        <f t="shared" si="42"/>
        <v>7034.33</v>
      </c>
      <c r="L532" s="7">
        <f t="shared" si="43"/>
        <v>7349.3</v>
      </c>
      <c r="M532" s="7">
        <f t="shared" si="44"/>
        <v>7559.28</v>
      </c>
    </row>
    <row r="533" spans="1:13">
      <c r="A533" s="6" t="s">
        <v>22</v>
      </c>
      <c r="B533" s="6" t="s">
        <v>1472</v>
      </c>
      <c r="C533" s="6" t="s">
        <v>1473</v>
      </c>
      <c r="E533" s="6" t="s">
        <v>1474</v>
      </c>
      <c r="G533" s="7">
        <v>899</v>
      </c>
      <c r="H533" s="7">
        <v>1015.87</v>
      </c>
      <c r="I533" s="7">
        <f t="shared" si="40"/>
        <v>557.38</v>
      </c>
      <c r="J533" s="7">
        <f t="shared" si="41"/>
        <v>584.35</v>
      </c>
      <c r="K533" s="7">
        <f t="shared" si="42"/>
        <v>602.33</v>
      </c>
      <c r="L533" s="7">
        <f t="shared" si="43"/>
        <v>629.3</v>
      </c>
      <c r="M533" s="7">
        <f t="shared" si="44"/>
        <v>647.28</v>
      </c>
    </row>
    <row r="534" spans="1:13">
      <c r="A534" s="6" t="s">
        <v>22</v>
      </c>
      <c r="B534" s="6" t="s">
        <v>1475</v>
      </c>
      <c r="C534" s="6" t="s">
        <v>1476</v>
      </c>
      <c r="E534" s="6" t="s">
        <v>1477</v>
      </c>
      <c r="G534" s="7">
        <v>549</v>
      </c>
      <c r="H534" s="7">
        <v>620.37</v>
      </c>
      <c r="I534" s="7">
        <f t="shared" si="40"/>
        <v>340.38</v>
      </c>
      <c r="J534" s="7">
        <f t="shared" si="41"/>
        <v>356.85</v>
      </c>
      <c r="K534" s="7">
        <f t="shared" si="42"/>
        <v>367.83</v>
      </c>
      <c r="L534" s="7">
        <f t="shared" si="43"/>
        <v>384.3</v>
      </c>
      <c r="M534" s="7">
        <f t="shared" si="44"/>
        <v>395.28</v>
      </c>
    </row>
    <row r="535" spans="1:13">
      <c r="A535" s="6" t="s">
        <v>22</v>
      </c>
      <c r="B535" s="6" t="s">
        <v>1478</v>
      </c>
      <c r="C535" s="6" t="s">
        <v>1479</v>
      </c>
      <c r="E535" s="6" t="s">
        <v>1479</v>
      </c>
      <c r="G535" s="7">
        <v>339</v>
      </c>
      <c r="H535" s="7">
        <v>383.07</v>
      </c>
      <c r="I535" s="7">
        <f t="shared" si="40"/>
        <v>210.18</v>
      </c>
      <c r="J535" s="7">
        <f t="shared" si="41"/>
        <v>220.35</v>
      </c>
      <c r="K535" s="7">
        <f t="shared" si="42"/>
        <v>227.13</v>
      </c>
      <c r="L535" s="7">
        <f t="shared" si="43"/>
        <v>237.3</v>
      </c>
      <c r="M535" s="7">
        <f t="shared" si="44"/>
        <v>244.08</v>
      </c>
    </row>
    <row r="536" spans="1:13">
      <c r="A536" s="6" t="s">
        <v>22</v>
      </c>
      <c r="B536" s="6" t="s">
        <v>1480</v>
      </c>
      <c r="C536" s="6" t="s">
        <v>1481</v>
      </c>
      <c r="E536" s="6" t="s">
        <v>1481</v>
      </c>
      <c r="G536" s="7">
        <v>549</v>
      </c>
      <c r="H536" s="7">
        <v>620.37</v>
      </c>
      <c r="I536" s="7">
        <f t="shared" si="40"/>
        <v>340.38</v>
      </c>
      <c r="J536" s="7">
        <f t="shared" si="41"/>
        <v>356.85</v>
      </c>
      <c r="K536" s="7">
        <f t="shared" si="42"/>
        <v>367.83</v>
      </c>
      <c r="L536" s="7">
        <f t="shared" si="43"/>
        <v>384.3</v>
      </c>
      <c r="M536" s="7">
        <f t="shared" si="44"/>
        <v>395.28</v>
      </c>
    </row>
    <row r="537" ht="25.5" spans="1:13">
      <c r="A537" s="6" t="s">
        <v>18</v>
      </c>
      <c r="B537" s="6" t="s">
        <v>1482</v>
      </c>
      <c r="C537" s="6" t="s">
        <v>1483</v>
      </c>
      <c r="E537" s="6" t="s">
        <v>1483</v>
      </c>
      <c r="G537" s="7">
        <v>5000</v>
      </c>
      <c r="H537" s="7">
        <v>5650</v>
      </c>
      <c r="I537" s="7">
        <f t="shared" si="40"/>
        <v>3100</v>
      </c>
      <c r="J537" s="7">
        <f t="shared" si="41"/>
        <v>3250</v>
      </c>
      <c r="K537" s="7">
        <f t="shared" si="42"/>
        <v>3350</v>
      </c>
      <c r="L537" s="7">
        <f t="shared" si="43"/>
        <v>3500</v>
      </c>
      <c r="M537" s="7">
        <f t="shared" si="44"/>
        <v>3600</v>
      </c>
    </row>
    <row r="538" spans="1:13">
      <c r="A538" s="6" t="s">
        <v>18</v>
      </c>
      <c r="B538" s="6" t="s">
        <v>1484</v>
      </c>
      <c r="C538" s="6" t="s">
        <v>1485</v>
      </c>
      <c r="E538" s="6" t="s">
        <v>1485</v>
      </c>
      <c r="G538" s="7">
        <v>1100</v>
      </c>
      <c r="H538" s="7">
        <v>1243</v>
      </c>
      <c r="I538" s="7">
        <f t="shared" si="40"/>
        <v>682</v>
      </c>
      <c r="J538" s="7">
        <f t="shared" si="41"/>
        <v>715</v>
      </c>
      <c r="K538" s="7">
        <f t="shared" si="42"/>
        <v>737</v>
      </c>
      <c r="L538" s="7">
        <f t="shared" si="43"/>
        <v>770</v>
      </c>
      <c r="M538" s="7">
        <f t="shared" si="44"/>
        <v>792</v>
      </c>
    </row>
    <row r="539" ht="25.5" spans="1:13">
      <c r="A539" s="6" t="s">
        <v>18</v>
      </c>
      <c r="B539" s="6" t="s">
        <v>1486</v>
      </c>
      <c r="C539" s="6" t="s">
        <v>1487</v>
      </c>
      <c r="E539" s="6" t="s">
        <v>1487</v>
      </c>
      <c r="G539" s="7">
        <v>1400</v>
      </c>
      <c r="H539" s="7">
        <v>1582</v>
      </c>
      <c r="I539" s="7">
        <f t="shared" si="40"/>
        <v>868</v>
      </c>
      <c r="J539" s="7">
        <f t="shared" si="41"/>
        <v>910</v>
      </c>
      <c r="K539" s="7">
        <f t="shared" si="42"/>
        <v>938</v>
      </c>
      <c r="L539" s="7">
        <f t="shared" si="43"/>
        <v>980</v>
      </c>
      <c r="M539" s="7">
        <f t="shared" si="44"/>
        <v>1008</v>
      </c>
    </row>
    <row r="540" ht="25.5" spans="1:13">
      <c r="A540" s="6" t="s">
        <v>18</v>
      </c>
      <c r="B540" s="6" t="s">
        <v>1488</v>
      </c>
      <c r="C540" s="6" t="s">
        <v>1489</v>
      </c>
      <c r="E540" s="6" t="s">
        <v>1489</v>
      </c>
      <c r="G540" s="7">
        <v>1700</v>
      </c>
      <c r="H540" s="7">
        <v>1921</v>
      </c>
      <c r="I540" s="7">
        <f t="shared" si="40"/>
        <v>1054</v>
      </c>
      <c r="J540" s="7">
        <f t="shared" si="41"/>
        <v>1105</v>
      </c>
      <c r="K540" s="7">
        <f t="shared" si="42"/>
        <v>1139</v>
      </c>
      <c r="L540" s="7">
        <f t="shared" si="43"/>
        <v>1190</v>
      </c>
      <c r="M540" s="7">
        <f t="shared" si="44"/>
        <v>1224</v>
      </c>
    </row>
    <row r="541" spans="1:13">
      <c r="A541" s="6" t="s">
        <v>45</v>
      </c>
      <c r="B541" s="6" t="s">
        <v>1490</v>
      </c>
      <c r="C541" s="6" t="s">
        <v>1491</v>
      </c>
      <c r="E541" s="6" t="s">
        <v>1492</v>
      </c>
      <c r="G541" s="7">
        <v>999</v>
      </c>
      <c r="H541" s="7">
        <v>1128.87</v>
      </c>
      <c r="I541" s="7">
        <f t="shared" si="40"/>
        <v>619.38</v>
      </c>
      <c r="J541" s="7">
        <f t="shared" si="41"/>
        <v>649.35</v>
      </c>
      <c r="K541" s="7">
        <f t="shared" si="42"/>
        <v>669.33</v>
      </c>
      <c r="L541" s="7">
        <f t="shared" si="43"/>
        <v>699.3</v>
      </c>
      <c r="M541" s="7">
        <f t="shared" si="44"/>
        <v>719.28</v>
      </c>
    </row>
    <row r="542" spans="1:13">
      <c r="A542" s="6" t="s">
        <v>45</v>
      </c>
      <c r="B542" s="6" t="s">
        <v>1493</v>
      </c>
      <c r="C542" s="6" t="s">
        <v>1494</v>
      </c>
      <c r="E542" s="6" t="s">
        <v>1495</v>
      </c>
      <c r="G542" s="7">
        <v>1649</v>
      </c>
      <c r="H542" s="7">
        <v>1863.37</v>
      </c>
      <c r="I542" s="7">
        <f t="shared" si="40"/>
        <v>1022.38</v>
      </c>
      <c r="J542" s="7">
        <f t="shared" si="41"/>
        <v>1071.85</v>
      </c>
      <c r="K542" s="7">
        <f t="shared" si="42"/>
        <v>1104.83</v>
      </c>
      <c r="L542" s="7">
        <f t="shared" si="43"/>
        <v>1154.3</v>
      </c>
      <c r="M542" s="7">
        <f t="shared" si="44"/>
        <v>1187.28</v>
      </c>
    </row>
    <row r="543" spans="1:13">
      <c r="A543" s="6" t="s">
        <v>45</v>
      </c>
      <c r="B543" s="6" t="s">
        <v>1496</v>
      </c>
      <c r="C543" s="6" t="s">
        <v>1497</v>
      </c>
      <c r="E543" s="6" t="s">
        <v>1498</v>
      </c>
      <c r="G543" s="7">
        <v>2499</v>
      </c>
      <c r="H543" s="7">
        <v>2823.87</v>
      </c>
      <c r="I543" s="7">
        <f t="shared" si="40"/>
        <v>1549.38</v>
      </c>
      <c r="J543" s="7">
        <f t="shared" si="41"/>
        <v>1624.35</v>
      </c>
      <c r="K543" s="7">
        <f t="shared" si="42"/>
        <v>1674.33</v>
      </c>
      <c r="L543" s="7">
        <f t="shared" si="43"/>
        <v>1749.3</v>
      </c>
      <c r="M543" s="7">
        <f t="shared" si="44"/>
        <v>1799.28</v>
      </c>
    </row>
    <row r="544" ht="25.5" spans="1:13">
      <c r="A544" s="6" t="s">
        <v>45</v>
      </c>
      <c r="B544" s="6" t="s">
        <v>1499</v>
      </c>
      <c r="C544" s="6" t="s">
        <v>1500</v>
      </c>
      <c r="E544" s="6" t="s">
        <v>1501</v>
      </c>
      <c r="G544" s="7">
        <v>59</v>
      </c>
      <c r="H544" s="7">
        <v>66.67</v>
      </c>
      <c r="I544" s="7">
        <f t="shared" si="40"/>
        <v>36.58</v>
      </c>
      <c r="J544" s="7">
        <f t="shared" si="41"/>
        <v>38.35</v>
      </c>
      <c r="K544" s="7">
        <f t="shared" si="42"/>
        <v>39.53</v>
      </c>
      <c r="L544" s="7">
        <f t="shared" si="43"/>
        <v>41.3</v>
      </c>
      <c r="M544" s="7">
        <f t="shared" si="44"/>
        <v>42.48</v>
      </c>
    </row>
    <row r="545" ht="25.5" spans="1:13">
      <c r="A545" s="6" t="s">
        <v>45</v>
      </c>
      <c r="B545" s="6" t="s">
        <v>1502</v>
      </c>
      <c r="C545" s="6" t="s">
        <v>1503</v>
      </c>
      <c r="E545" s="6" t="s">
        <v>1504</v>
      </c>
      <c r="G545" s="7">
        <v>79</v>
      </c>
      <c r="H545" s="7">
        <v>89.27</v>
      </c>
      <c r="I545" s="7">
        <f t="shared" si="40"/>
        <v>48.98</v>
      </c>
      <c r="J545" s="7">
        <f t="shared" si="41"/>
        <v>51.35</v>
      </c>
      <c r="K545" s="7">
        <f t="shared" si="42"/>
        <v>52.93</v>
      </c>
      <c r="L545" s="7">
        <f t="shared" si="43"/>
        <v>55.3</v>
      </c>
      <c r="M545" s="7">
        <f t="shared" si="44"/>
        <v>56.88</v>
      </c>
    </row>
    <row r="546" ht="76.5" spans="1:13">
      <c r="A546" s="6" t="s">
        <v>45</v>
      </c>
      <c r="B546" s="6" t="s">
        <v>1505</v>
      </c>
      <c r="C546" s="6" t="s">
        <v>1506</v>
      </c>
      <c r="E546" s="6" t="s">
        <v>1507</v>
      </c>
      <c r="G546" s="7">
        <v>79</v>
      </c>
      <c r="H546" s="7">
        <v>89.27</v>
      </c>
      <c r="I546" s="7">
        <f t="shared" si="40"/>
        <v>48.98</v>
      </c>
      <c r="J546" s="7">
        <f t="shared" si="41"/>
        <v>51.35</v>
      </c>
      <c r="K546" s="7">
        <f t="shared" si="42"/>
        <v>52.93</v>
      </c>
      <c r="L546" s="7">
        <f t="shared" si="43"/>
        <v>55.3</v>
      </c>
      <c r="M546" s="7">
        <f t="shared" si="44"/>
        <v>56.88</v>
      </c>
    </row>
    <row r="547" ht="25.5" spans="1:13">
      <c r="A547" s="6" t="s">
        <v>1508</v>
      </c>
      <c r="B547" s="6" t="s">
        <v>1509</v>
      </c>
      <c r="C547" s="6" t="s">
        <v>1510</v>
      </c>
      <c r="E547" s="6" t="s">
        <v>1511</v>
      </c>
      <c r="G547" s="7">
        <v>419</v>
      </c>
      <c r="H547" s="7">
        <v>473.47</v>
      </c>
      <c r="I547" s="7">
        <f t="shared" si="40"/>
        <v>259.78</v>
      </c>
      <c r="J547" s="7">
        <f t="shared" si="41"/>
        <v>272.35</v>
      </c>
      <c r="K547" s="7">
        <f t="shared" si="42"/>
        <v>280.73</v>
      </c>
      <c r="L547" s="7">
        <f t="shared" si="43"/>
        <v>293.3</v>
      </c>
      <c r="M547" s="7">
        <f t="shared" si="44"/>
        <v>301.68</v>
      </c>
    </row>
    <row r="548" ht="38.25" spans="1:13">
      <c r="A548" s="6" t="s">
        <v>1508</v>
      </c>
      <c r="B548" s="6" t="s">
        <v>1512</v>
      </c>
      <c r="C548" s="6" t="s">
        <v>1513</v>
      </c>
      <c r="E548" s="6" t="s">
        <v>1514</v>
      </c>
      <c r="G548" s="7">
        <v>499</v>
      </c>
      <c r="H548" s="7">
        <v>563.87</v>
      </c>
      <c r="I548" s="7">
        <f t="shared" si="40"/>
        <v>309.38</v>
      </c>
      <c r="J548" s="7">
        <f t="shared" si="41"/>
        <v>324.35</v>
      </c>
      <c r="K548" s="7">
        <f t="shared" si="42"/>
        <v>334.33</v>
      </c>
      <c r="L548" s="7">
        <f t="shared" si="43"/>
        <v>349.3</v>
      </c>
      <c r="M548" s="7">
        <f t="shared" si="44"/>
        <v>359.28</v>
      </c>
    </row>
    <row r="549" ht="51" spans="1:13">
      <c r="A549" s="6" t="s">
        <v>18</v>
      </c>
      <c r="B549" s="6" t="s">
        <v>1515</v>
      </c>
      <c r="C549" s="6" t="s">
        <v>1516</v>
      </c>
      <c r="E549" s="6" t="s">
        <v>1517</v>
      </c>
      <c r="G549" s="7">
        <v>419</v>
      </c>
      <c r="H549" s="7">
        <v>473.47</v>
      </c>
      <c r="I549" s="7">
        <f t="shared" si="40"/>
        <v>259.78</v>
      </c>
      <c r="J549" s="7">
        <f t="shared" si="41"/>
        <v>272.35</v>
      </c>
      <c r="K549" s="7">
        <f t="shared" si="42"/>
        <v>280.73</v>
      </c>
      <c r="L549" s="7">
        <f t="shared" si="43"/>
        <v>293.3</v>
      </c>
      <c r="M549" s="7">
        <f t="shared" si="44"/>
        <v>301.68</v>
      </c>
    </row>
    <row r="550" ht="51" spans="1:13">
      <c r="A550" s="6" t="s">
        <v>228</v>
      </c>
      <c r="B550" s="6" t="s">
        <v>1518</v>
      </c>
      <c r="C550" s="6" t="s">
        <v>1519</v>
      </c>
      <c r="E550" s="6" t="s">
        <v>1520</v>
      </c>
      <c r="G550" s="7">
        <v>545</v>
      </c>
      <c r="H550" s="7">
        <v>615.85</v>
      </c>
      <c r="I550" s="7">
        <f t="shared" si="40"/>
        <v>337.9</v>
      </c>
      <c r="J550" s="7">
        <f t="shared" si="41"/>
        <v>354.25</v>
      </c>
      <c r="K550" s="7">
        <f t="shared" si="42"/>
        <v>365.15</v>
      </c>
      <c r="L550" s="7">
        <f t="shared" si="43"/>
        <v>381.5</v>
      </c>
      <c r="M550" s="7">
        <f t="shared" si="44"/>
        <v>392.4</v>
      </c>
    </row>
    <row r="551" spans="1:13">
      <c r="A551" s="6" t="s">
        <v>228</v>
      </c>
      <c r="B551" s="6" t="s">
        <v>1521</v>
      </c>
      <c r="C551" s="6" t="s">
        <v>1522</v>
      </c>
      <c r="E551" s="6" t="s">
        <v>1522</v>
      </c>
      <c r="G551" s="7">
        <v>496</v>
      </c>
      <c r="H551" s="7">
        <v>560.48</v>
      </c>
      <c r="I551" s="7">
        <f t="shared" si="40"/>
        <v>307.52</v>
      </c>
      <c r="J551" s="7">
        <f t="shared" si="41"/>
        <v>322.4</v>
      </c>
      <c r="K551" s="7">
        <f t="shared" si="42"/>
        <v>332.32</v>
      </c>
      <c r="L551" s="7">
        <f t="shared" si="43"/>
        <v>347.2</v>
      </c>
      <c r="M551" s="7">
        <f t="shared" si="44"/>
        <v>357.12</v>
      </c>
    </row>
    <row r="552" ht="63.75" spans="1:13">
      <c r="A552" s="6" t="s">
        <v>228</v>
      </c>
      <c r="B552" s="6" t="s">
        <v>1523</v>
      </c>
      <c r="C552" s="6" t="s">
        <v>1524</v>
      </c>
      <c r="E552" s="6" t="s">
        <v>1525</v>
      </c>
      <c r="G552" s="7">
        <v>599</v>
      </c>
      <c r="H552" s="7">
        <v>676.87</v>
      </c>
      <c r="I552" s="7">
        <f t="shared" si="40"/>
        <v>371.38</v>
      </c>
      <c r="J552" s="7">
        <f t="shared" si="41"/>
        <v>389.35</v>
      </c>
      <c r="K552" s="7">
        <f t="shared" si="42"/>
        <v>401.33</v>
      </c>
      <c r="L552" s="7">
        <f t="shared" si="43"/>
        <v>419.3</v>
      </c>
      <c r="M552" s="7">
        <f t="shared" si="44"/>
        <v>431.28</v>
      </c>
    </row>
    <row r="553" ht="25.5" spans="1:13">
      <c r="A553" s="6" t="s">
        <v>228</v>
      </c>
      <c r="B553" s="6" t="s">
        <v>1526</v>
      </c>
      <c r="C553" s="6" t="s">
        <v>1527</v>
      </c>
      <c r="E553" s="6" t="s">
        <v>1528</v>
      </c>
      <c r="G553" s="7">
        <v>699</v>
      </c>
      <c r="H553" s="7">
        <v>789.87</v>
      </c>
      <c r="I553" s="7">
        <f t="shared" si="40"/>
        <v>433.38</v>
      </c>
      <c r="J553" s="7">
        <f t="shared" si="41"/>
        <v>454.35</v>
      </c>
      <c r="K553" s="7">
        <f t="shared" si="42"/>
        <v>468.33</v>
      </c>
      <c r="L553" s="7">
        <f t="shared" si="43"/>
        <v>489.3</v>
      </c>
      <c r="M553" s="7">
        <f t="shared" si="44"/>
        <v>503.28</v>
      </c>
    </row>
    <row r="554" ht="25.5" spans="1:13">
      <c r="A554" s="6" t="s">
        <v>376</v>
      </c>
      <c r="B554" s="6" t="s">
        <v>1529</v>
      </c>
      <c r="C554" s="6" t="s">
        <v>1530</v>
      </c>
      <c r="E554" s="6" t="s">
        <v>1531</v>
      </c>
      <c r="G554" s="7">
        <v>379</v>
      </c>
      <c r="H554" s="7">
        <v>428.27</v>
      </c>
      <c r="I554" s="7">
        <f t="shared" si="40"/>
        <v>234.98</v>
      </c>
      <c r="J554" s="7">
        <f t="shared" si="41"/>
        <v>246.35</v>
      </c>
      <c r="K554" s="7">
        <f t="shared" si="42"/>
        <v>253.93</v>
      </c>
      <c r="L554" s="7">
        <f t="shared" si="43"/>
        <v>265.3</v>
      </c>
      <c r="M554" s="7">
        <f t="shared" si="44"/>
        <v>272.88</v>
      </c>
    </row>
    <row r="555" ht="25.5" spans="1:13">
      <c r="A555" s="6" t="s">
        <v>376</v>
      </c>
      <c r="B555" s="6" t="s">
        <v>1532</v>
      </c>
      <c r="C555" s="6" t="s">
        <v>1533</v>
      </c>
      <c r="E555" s="6" t="s">
        <v>1534</v>
      </c>
      <c r="G555" s="7">
        <v>379</v>
      </c>
      <c r="H555" s="7">
        <v>428.27</v>
      </c>
      <c r="I555" s="7">
        <f t="shared" si="40"/>
        <v>234.98</v>
      </c>
      <c r="J555" s="7">
        <f t="shared" si="41"/>
        <v>246.35</v>
      </c>
      <c r="K555" s="7">
        <f t="shared" si="42"/>
        <v>253.93</v>
      </c>
      <c r="L555" s="7">
        <f t="shared" si="43"/>
        <v>265.3</v>
      </c>
      <c r="M555" s="7">
        <f t="shared" si="44"/>
        <v>272.88</v>
      </c>
    </row>
    <row r="556" ht="25.5" spans="1:13">
      <c r="A556" s="6" t="s">
        <v>376</v>
      </c>
      <c r="B556" s="6" t="s">
        <v>1535</v>
      </c>
      <c r="C556" s="6" t="s">
        <v>1536</v>
      </c>
      <c r="E556" s="6" t="s">
        <v>1537</v>
      </c>
      <c r="G556" s="7">
        <v>199</v>
      </c>
      <c r="H556" s="7">
        <v>224.87</v>
      </c>
      <c r="I556" s="7">
        <f t="shared" si="40"/>
        <v>123.38</v>
      </c>
      <c r="J556" s="7">
        <f t="shared" si="41"/>
        <v>129.35</v>
      </c>
      <c r="K556" s="7">
        <f t="shared" si="42"/>
        <v>133.33</v>
      </c>
      <c r="L556" s="7">
        <f t="shared" si="43"/>
        <v>139.3</v>
      </c>
      <c r="M556" s="7">
        <f t="shared" si="44"/>
        <v>143.28</v>
      </c>
    </row>
    <row r="557" ht="25.5" spans="1:13">
      <c r="A557" s="6" t="s">
        <v>376</v>
      </c>
      <c r="B557" s="6" t="s">
        <v>1538</v>
      </c>
      <c r="C557" s="6" t="s">
        <v>1539</v>
      </c>
      <c r="E557" s="6" t="s">
        <v>1540</v>
      </c>
      <c r="G557" s="7">
        <v>199</v>
      </c>
      <c r="H557" s="7">
        <v>224.87</v>
      </c>
      <c r="I557" s="7">
        <f t="shared" si="40"/>
        <v>123.38</v>
      </c>
      <c r="J557" s="7">
        <f t="shared" si="41"/>
        <v>129.35</v>
      </c>
      <c r="K557" s="7">
        <f t="shared" si="42"/>
        <v>133.33</v>
      </c>
      <c r="L557" s="7">
        <f t="shared" si="43"/>
        <v>139.3</v>
      </c>
      <c r="M557" s="7">
        <f t="shared" si="44"/>
        <v>143.28</v>
      </c>
    </row>
    <row r="558" ht="38.25" spans="1:13">
      <c r="A558" s="6" t="s">
        <v>418</v>
      </c>
      <c r="B558" s="6" t="s">
        <v>1541</v>
      </c>
      <c r="C558" s="6" t="s">
        <v>1542</v>
      </c>
      <c r="E558" s="6" t="s">
        <v>1543</v>
      </c>
      <c r="G558" s="7">
        <v>178.6269</v>
      </c>
      <c r="H558" s="7">
        <v>201.848397</v>
      </c>
      <c r="I558" s="7">
        <f t="shared" si="40"/>
        <v>110.748678</v>
      </c>
      <c r="J558" s="7">
        <f t="shared" si="41"/>
        <v>116.107485</v>
      </c>
      <c r="K558" s="7">
        <f t="shared" si="42"/>
        <v>119.680023</v>
      </c>
      <c r="L558" s="7">
        <f t="shared" si="43"/>
        <v>125.03883</v>
      </c>
      <c r="M558" s="7">
        <f t="shared" si="44"/>
        <v>128.611368</v>
      </c>
    </row>
    <row r="559" ht="25.5" spans="1:13">
      <c r="A559" s="6" t="s">
        <v>418</v>
      </c>
      <c r="B559" s="6" t="s">
        <v>1544</v>
      </c>
      <c r="C559" s="6" t="s">
        <v>1545</v>
      </c>
      <c r="E559" s="6" t="s">
        <v>1546</v>
      </c>
      <c r="G559" s="7">
        <v>199</v>
      </c>
      <c r="H559" s="7">
        <v>224.87</v>
      </c>
      <c r="I559" s="7">
        <f t="shared" si="40"/>
        <v>123.38</v>
      </c>
      <c r="J559" s="7">
        <f t="shared" si="41"/>
        <v>129.35</v>
      </c>
      <c r="K559" s="7">
        <f t="shared" si="42"/>
        <v>133.33</v>
      </c>
      <c r="L559" s="7">
        <f t="shared" si="43"/>
        <v>139.3</v>
      </c>
      <c r="M559" s="7">
        <f t="shared" si="44"/>
        <v>143.28</v>
      </c>
    </row>
    <row r="560" ht="25.5" spans="1:13">
      <c r="A560" s="6" t="s">
        <v>25</v>
      </c>
      <c r="B560" s="6" t="s">
        <v>1547</v>
      </c>
      <c r="C560" s="6" t="s">
        <v>1548</v>
      </c>
      <c r="E560" s="6" t="s">
        <v>1549</v>
      </c>
      <c r="G560" s="7">
        <v>39</v>
      </c>
      <c r="H560" s="7">
        <v>44.07</v>
      </c>
      <c r="I560" s="7">
        <f t="shared" si="40"/>
        <v>24.18</v>
      </c>
      <c r="J560" s="7">
        <f t="shared" si="41"/>
        <v>25.35</v>
      </c>
      <c r="K560" s="7">
        <f t="shared" si="42"/>
        <v>26.13</v>
      </c>
      <c r="L560" s="7">
        <f t="shared" si="43"/>
        <v>27.3</v>
      </c>
      <c r="M560" s="7">
        <f t="shared" si="44"/>
        <v>28.08</v>
      </c>
    </row>
    <row r="561" spans="1:13">
      <c r="A561" s="6" t="s">
        <v>18</v>
      </c>
      <c r="B561" s="6" t="s">
        <v>1550</v>
      </c>
      <c r="C561" s="6" t="s">
        <v>1551</v>
      </c>
      <c r="E561" s="6" t="s">
        <v>1552</v>
      </c>
      <c r="G561" s="7">
        <v>79</v>
      </c>
      <c r="H561" s="7">
        <v>89.27</v>
      </c>
      <c r="I561" s="7">
        <f t="shared" si="40"/>
        <v>48.98</v>
      </c>
      <c r="J561" s="7">
        <f t="shared" si="41"/>
        <v>51.35</v>
      </c>
      <c r="K561" s="7">
        <f t="shared" si="42"/>
        <v>52.93</v>
      </c>
      <c r="L561" s="7">
        <f t="shared" si="43"/>
        <v>55.3</v>
      </c>
      <c r="M561" s="7">
        <f t="shared" si="44"/>
        <v>56.88</v>
      </c>
    </row>
    <row r="562" spans="1:13">
      <c r="A562" s="6" t="s">
        <v>18</v>
      </c>
      <c r="B562" s="6" t="s">
        <v>1553</v>
      </c>
      <c r="C562" s="6" t="s">
        <v>1554</v>
      </c>
      <c r="E562" s="6" t="s">
        <v>1555</v>
      </c>
      <c r="G562" s="7">
        <v>39</v>
      </c>
      <c r="H562" s="7">
        <v>44.07</v>
      </c>
      <c r="I562" s="7">
        <f t="shared" si="40"/>
        <v>24.18</v>
      </c>
      <c r="J562" s="7">
        <f t="shared" si="41"/>
        <v>25.35</v>
      </c>
      <c r="K562" s="7">
        <f t="shared" si="42"/>
        <v>26.13</v>
      </c>
      <c r="L562" s="7">
        <f t="shared" si="43"/>
        <v>27.3</v>
      </c>
      <c r="M562" s="7">
        <f t="shared" si="44"/>
        <v>28.08</v>
      </c>
    </row>
    <row r="563" spans="1:13">
      <c r="A563" s="6" t="s">
        <v>18</v>
      </c>
      <c r="B563" s="6" t="s">
        <v>1556</v>
      </c>
      <c r="C563" s="6" t="s">
        <v>1557</v>
      </c>
      <c r="E563" s="6" t="s">
        <v>1558</v>
      </c>
      <c r="G563" s="7">
        <v>22.99</v>
      </c>
      <c r="H563" s="7">
        <v>25.9787</v>
      </c>
      <c r="I563" s="7">
        <f t="shared" si="40"/>
        <v>14.2538</v>
      </c>
      <c r="J563" s="7">
        <f t="shared" si="41"/>
        <v>14.9435</v>
      </c>
      <c r="K563" s="7">
        <f t="shared" si="42"/>
        <v>15.4033</v>
      </c>
      <c r="L563" s="7">
        <f t="shared" si="43"/>
        <v>16.093</v>
      </c>
      <c r="M563" s="7">
        <f t="shared" si="44"/>
        <v>16.5528</v>
      </c>
    </row>
    <row r="564" spans="1:13">
      <c r="A564" s="6" t="s">
        <v>25</v>
      </c>
      <c r="B564" s="6" t="s">
        <v>1559</v>
      </c>
      <c r="C564" s="6" t="s">
        <v>1560</v>
      </c>
      <c r="E564" s="6" t="s">
        <v>1560</v>
      </c>
      <c r="G564" s="7">
        <v>99</v>
      </c>
      <c r="H564" s="7">
        <v>111.87</v>
      </c>
      <c r="I564" s="7">
        <f t="shared" si="40"/>
        <v>61.38</v>
      </c>
      <c r="J564" s="7">
        <f t="shared" si="41"/>
        <v>64.35</v>
      </c>
      <c r="K564" s="7">
        <f t="shared" si="42"/>
        <v>66.33</v>
      </c>
      <c r="L564" s="7">
        <f t="shared" si="43"/>
        <v>69.3</v>
      </c>
      <c r="M564" s="7">
        <f t="shared" si="44"/>
        <v>71.28</v>
      </c>
    </row>
    <row r="565" spans="1:13">
      <c r="A565" s="6" t="s">
        <v>25</v>
      </c>
      <c r="B565" s="6" t="s">
        <v>1561</v>
      </c>
      <c r="C565" s="6" t="s">
        <v>1562</v>
      </c>
      <c r="E565" s="6" t="s">
        <v>1562</v>
      </c>
      <c r="G565" s="7">
        <v>51</v>
      </c>
      <c r="H565" s="7">
        <v>57.63</v>
      </c>
      <c r="I565" s="7">
        <f t="shared" si="40"/>
        <v>31.62</v>
      </c>
      <c r="J565" s="7">
        <f t="shared" si="41"/>
        <v>33.15</v>
      </c>
      <c r="K565" s="7">
        <f t="shared" si="42"/>
        <v>34.17</v>
      </c>
      <c r="L565" s="7">
        <f t="shared" si="43"/>
        <v>35.7</v>
      </c>
      <c r="M565" s="7">
        <f t="shared" si="44"/>
        <v>36.72</v>
      </c>
    </row>
    <row r="566" ht="76.5" spans="1:13">
      <c r="A566" s="6" t="s">
        <v>1563</v>
      </c>
      <c r="B566" s="6" t="s">
        <v>1564</v>
      </c>
      <c r="C566" s="6" t="s">
        <v>1565</v>
      </c>
      <c r="E566" s="6" t="s">
        <v>1566</v>
      </c>
      <c r="G566" s="7">
        <v>3149</v>
      </c>
      <c r="H566" s="7">
        <v>3558.37</v>
      </c>
      <c r="I566" s="7">
        <f t="shared" si="40"/>
        <v>1952.38</v>
      </c>
      <c r="J566" s="7">
        <f t="shared" si="41"/>
        <v>2046.85</v>
      </c>
      <c r="K566" s="7">
        <f t="shared" si="42"/>
        <v>2109.83</v>
      </c>
      <c r="L566" s="7">
        <f t="shared" si="43"/>
        <v>2204.3</v>
      </c>
      <c r="M566" s="7">
        <f t="shared" si="44"/>
        <v>2267.28</v>
      </c>
    </row>
    <row r="567" ht="76.5" spans="1:13">
      <c r="A567" s="6" t="s">
        <v>1563</v>
      </c>
      <c r="B567" s="6" t="s">
        <v>1567</v>
      </c>
      <c r="C567" s="6" t="s">
        <v>1568</v>
      </c>
      <c r="E567" s="6" t="s">
        <v>1569</v>
      </c>
      <c r="G567" s="7">
        <v>3299</v>
      </c>
      <c r="H567" s="7">
        <v>3727.87</v>
      </c>
      <c r="I567" s="7">
        <f t="shared" si="40"/>
        <v>2045.38</v>
      </c>
      <c r="J567" s="7">
        <f t="shared" si="41"/>
        <v>2144.35</v>
      </c>
      <c r="K567" s="7">
        <f t="shared" si="42"/>
        <v>2210.33</v>
      </c>
      <c r="L567" s="7">
        <f t="shared" si="43"/>
        <v>2309.3</v>
      </c>
      <c r="M567" s="7">
        <f t="shared" si="44"/>
        <v>2375.28</v>
      </c>
    </row>
    <row r="568" spans="1:13">
      <c r="A568" s="6" t="s">
        <v>25</v>
      </c>
      <c r="B568" s="6" t="s">
        <v>1570</v>
      </c>
      <c r="C568" s="6" t="s">
        <v>1571</v>
      </c>
      <c r="E568" s="6" t="s">
        <v>1571</v>
      </c>
      <c r="G568" s="7">
        <v>34</v>
      </c>
      <c r="H568" s="7">
        <v>38.42</v>
      </c>
      <c r="I568" s="7">
        <f t="shared" si="40"/>
        <v>21.08</v>
      </c>
      <c r="J568" s="7">
        <f t="shared" si="41"/>
        <v>22.1</v>
      </c>
      <c r="K568" s="7">
        <f t="shared" si="42"/>
        <v>22.78</v>
      </c>
      <c r="L568" s="7">
        <f t="shared" si="43"/>
        <v>23.8</v>
      </c>
      <c r="M568" s="7">
        <f t="shared" si="44"/>
        <v>24.48</v>
      </c>
    </row>
    <row r="569" spans="1:13">
      <c r="A569" s="6" t="s">
        <v>25</v>
      </c>
      <c r="B569" s="6" t="s">
        <v>1572</v>
      </c>
      <c r="C569" s="6" t="s">
        <v>1573</v>
      </c>
      <c r="E569" s="6" t="s">
        <v>1573</v>
      </c>
      <c r="G569" s="7">
        <v>48.0914</v>
      </c>
      <c r="H569" s="7">
        <v>54.343282</v>
      </c>
      <c r="I569" s="7">
        <f t="shared" si="40"/>
        <v>29.816668</v>
      </c>
      <c r="J569" s="7">
        <f t="shared" si="41"/>
        <v>31.25941</v>
      </c>
      <c r="K569" s="7">
        <f t="shared" si="42"/>
        <v>32.221238</v>
      </c>
      <c r="L569" s="7">
        <f t="shared" si="43"/>
        <v>33.66398</v>
      </c>
      <c r="M569" s="7">
        <f t="shared" si="44"/>
        <v>34.625808</v>
      </c>
    </row>
    <row r="570" spans="1:13">
      <c r="A570" s="6" t="s">
        <v>25</v>
      </c>
      <c r="B570" s="6" t="s">
        <v>1574</v>
      </c>
      <c r="C570" s="6" t="s">
        <v>1575</v>
      </c>
      <c r="E570" s="6" t="s">
        <v>1575</v>
      </c>
      <c r="G570" s="7">
        <v>48.0914</v>
      </c>
      <c r="H570" s="7">
        <v>54.343282</v>
      </c>
      <c r="I570" s="7">
        <f t="shared" si="40"/>
        <v>29.816668</v>
      </c>
      <c r="J570" s="7">
        <f t="shared" si="41"/>
        <v>31.25941</v>
      </c>
      <c r="K570" s="7">
        <f t="shared" si="42"/>
        <v>32.221238</v>
      </c>
      <c r="L570" s="7">
        <f t="shared" si="43"/>
        <v>33.66398</v>
      </c>
      <c r="M570" s="7">
        <f t="shared" si="44"/>
        <v>34.625808</v>
      </c>
    </row>
    <row r="571" spans="1:13">
      <c r="A571" s="6" t="s">
        <v>25</v>
      </c>
      <c r="B571" s="6" t="s">
        <v>1576</v>
      </c>
      <c r="C571" s="6" t="s">
        <v>1577</v>
      </c>
      <c r="E571" s="6" t="s">
        <v>1577</v>
      </c>
      <c r="G571" s="7">
        <v>26.99</v>
      </c>
      <c r="H571" s="7">
        <v>30.4987</v>
      </c>
      <c r="I571" s="7">
        <f t="shared" si="40"/>
        <v>16.7338</v>
      </c>
      <c r="J571" s="7">
        <f t="shared" si="41"/>
        <v>17.5435</v>
      </c>
      <c r="K571" s="7">
        <f t="shared" si="42"/>
        <v>18.0833</v>
      </c>
      <c r="L571" s="7">
        <f t="shared" si="43"/>
        <v>18.893</v>
      </c>
      <c r="M571" s="7">
        <f t="shared" si="44"/>
        <v>19.4328</v>
      </c>
    </row>
    <row r="572" spans="1:13">
      <c r="A572" s="6" t="s">
        <v>25</v>
      </c>
      <c r="B572" s="6" t="s">
        <v>1578</v>
      </c>
      <c r="C572" s="6" t="s">
        <v>1579</v>
      </c>
      <c r="E572" s="6" t="s">
        <v>1579</v>
      </c>
      <c r="G572" s="7">
        <v>48.99</v>
      </c>
      <c r="H572" s="7">
        <v>55.3587</v>
      </c>
      <c r="I572" s="7">
        <f t="shared" si="40"/>
        <v>30.3738</v>
      </c>
      <c r="J572" s="7">
        <f t="shared" si="41"/>
        <v>31.8435</v>
      </c>
      <c r="K572" s="7">
        <f t="shared" si="42"/>
        <v>32.8233</v>
      </c>
      <c r="L572" s="7">
        <f t="shared" si="43"/>
        <v>34.293</v>
      </c>
      <c r="M572" s="7">
        <f t="shared" si="44"/>
        <v>35.2728</v>
      </c>
    </row>
    <row r="573" ht="25.5" spans="1:13">
      <c r="A573" s="6" t="s">
        <v>25</v>
      </c>
      <c r="B573" s="6" t="s">
        <v>1580</v>
      </c>
      <c r="C573" s="6" t="s">
        <v>1581</v>
      </c>
      <c r="E573" s="6" t="s">
        <v>1582</v>
      </c>
      <c r="G573" s="7">
        <v>72.99</v>
      </c>
      <c r="H573" s="7">
        <v>82.4787</v>
      </c>
      <c r="I573" s="7">
        <f t="shared" si="40"/>
        <v>45.2538</v>
      </c>
      <c r="J573" s="7">
        <f t="shared" si="41"/>
        <v>47.4435</v>
      </c>
      <c r="K573" s="7">
        <f t="shared" si="42"/>
        <v>48.9033</v>
      </c>
      <c r="L573" s="7">
        <f t="shared" si="43"/>
        <v>51.093</v>
      </c>
      <c r="M573" s="7">
        <f t="shared" si="44"/>
        <v>52.5528</v>
      </c>
    </row>
    <row r="574" spans="1:13">
      <c r="A574" s="6" t="s">
        <v>25</v>
      </c>
      <c r="B574" s="6" t="s">
        <v>1583</v>
      </c>
      <c r="C574" s="6" t="s">
        <v>1584</v>
      </c>
      <c r="E574" s="6" t="s">
        <v>1584</v>
      </c>
      <c r="G574" s="7">
        <v>28.99</v>
      </c>
      <c r="H574" s="7">
        <v>32.7587</v>
      </c>
      <c r="I574" s="7">
        <f t="shared" si="40"/>
        <v>17.9738</v>
      </c>
      <c r="J574" s="7">
        <f t="shared" si="41"/>
        <v>18.8435</v>
      </c>
      <c r="K574" s="7">
        <f t="shared" si="42"/>
        <v>19.4233</v>
      </c>
      <c r="L574" s="7">
        <f t="shared" si="43"/>
        <v>20.293</v>
      </c>
      <c r="M574" s="7">
        <f t="shared" si="44"/>
        <v>20.8728</v>
      </c>
    </row>
    <row r="575" ht="76.5" spans="1:13">
      <c r="A575" s="6" t="s">
        <v>1563</v>
      </c>
      <c r="B575" s="6" t="s">
        <v>1585</v>
      </c>
      <c r="C575" s="6" t="s">
        <v>1586</v>
      </c>
      <c r="E575" s="6" t="s">
        <v>1587</v>
      </c>
      <c r="G575" s="7">
        <v>4199</v>
      </c>
      <c r="H575" s="7">
        <v>4744.87</v>
      </c>
      <c r="I575" s="7">
        <f t="shared" si="40"/>
        <v>2603.38</v>
      </c>
      <c r="J575" s="7">
        <f t="shared" si="41"/>
        <v>2729.35</v>
      </c>
      <c r="K575" s="7">
        <f t="shared" si="42"/>
        <v>2813.33</v>
      </c>
      <c r="L575" s="7">
        <f t="shared" si="43"/>
        <v>2939.3</v>
      </c>
      <c r="M575" s="7">
        <f t="shared" si="44"/>
        <v>3023.28</v>
      </c>
    </row>
    <row r="576" ht="76.5" spans="1:13">
      <c r="A576" s="6" t="s">
        <v>1563</v>
      </c>
      <c r="B576" s="6" t="s">
        <v>1588</v>
      </c>
      <c r="C576" s="6" t="s">
        <v>1589</v>
      </c>
      <c r="E576" s="6" t="s">
        <v>1590</v>
      </c>
      <c r="G576" s="7">
        <v>4299</v>
      </c>
      <c r="H576" s="7">
        <v>4857.87</v>
      </c>
      <c r="I576" s="7">
        <f t="shared" si="40"/>
        <v>2665.38</v>
      </c>
      <c r="J576" s="7">
        <f t="shared" si="41"/>
        <v>2794.35</v>
      </c>
      <c r="K576" s="7">
        <f t="shared" si="42"/>
        <v>2880.33</v>
      </c>
      <c r="L576" s="7">
        <f t="shared" si="43"/>
        <v>3009.3</v>
      </c>
      <c r="M576" s="7">
        <f t="shared" si="44"/>
        <v>3095.28</v>
      </c>
    </row>
    <row r="577" spans="1:13">
      <c r="A577" s="6" t="s">
        <v>25</v>
      </c>
      <c r="B577" s="6" t="s">
        <v>1591</v>
      </c>
      <c r="C577" s="6" t="s">
        <v>1592</v>
      </c>
      <c r="E577" s="6" t="s">
        <v>1592</v>
      </c>
      <c r="G577" s="7">
        <v>48.0914</v>
      </c>
      <c r="H577" s="7">
        <v>54.343282</v>
      </c>
      <c r="I577" s="7">
        <f t="shared" si="40"/>
        <v>29.816668</v>
      </c>
      <c r="J577" s="7">
        <f t="shared" si="41"/>
        <v>31.25941</v>
      </c>
      <c r="K577" s="7">
        <f t="shared" si="42"/>
        <v>32.221238</v>
      </c>
      <c r="L577" s="7">
        <f t="shared" si="43"/>
        <v>33.66398</v>
      </c>
      <c r="M577" s="7">
        <f t="shared" si="44"/>
        <v>34.625808</v>
      </c>
    </row>
    <row r="578" spans="1:13">
      <c r="A578" s="6" t="s">
        <v>25</v>
      </c>
      <c r="B578" s="6" t="s">
        <v>1593</v>
      </c>
      <c r="C578" s="6" t="s">
        <v>1594</v>
      </c>
      <c r="E578" s="6" t="s">
        <v>1594</v>
      </c>
      <c r="G578" s="7">
        <v>81.2472</v>
      </c>
      <c r="H578" s="7">
        <v>91.809336</v>
      </c>
      <c r="I578" s="7">
        <f t="shared" ref="I578:I641" si="45">G578*0.62</f>
        <v>50.373264</v>
      </c>
      <c r="J578" s="7">
        <f t="shared" ref="J578:J641" si="46">G578*0.65</f>
        <v>52.81068</v>
      </c>
      <c r="K578" s="7">
        <f t="shared" ref="K578:K641" si="47">G578*0.67</f>
        <v>54.435624</v>
      </c>
      <c r="L578" s="7">
        <f t="shared" ref="L578:L641" si="48">G578*0.7</f>
        <v>56.87304</v>
      </c>
      <c r="M578" s="7">
        <f t="shared" ref="M578:M641" si="49">G578*0.72</f>
        <v>58.497984</v>
      </c>
    </row>
    <row r="579" spans="1:13">
      <c r="A579" s="6" t="s">
        <v>25</v>
      </c>
      <c r="B579" s="6" t="s">
        <v>1595</v>
      </c>
      <c r="C579" s="6" t="s">
        <v>1596</v>
      </c>
      <c r="E579" s="6" t="s">
        <v>1596</v>
      </c>
      <c r="G579" s="7">
        <v>58.3574</v>
      </c>
      <c r="H579" s="7">
        <v>65.943862</v>
      </c>
      <c r="I579" s="7">
        <f t="shared" si="45"/>
        <v>36.181588</v>
      </c>
      <c r="J579" s="7">
        <f t="shared" si="46"/>
        <v>37.93231</v>
      </c>
      <c r="K579" s="7">
        <f t="shared" si="47"/>
        <v>39.099458</v>
      </c>
      <c r="L579" s="7">
        <f t="shared" si="48"/>
        <v>40.85018</v>
      </c>
      <c r="M579" s="7">
        <f t="shared" si="49"/>
        <v>42.017328</v>
      </c>
    </row>
    <row r="580" spans="1:13">
      <c r="A580" s="6" t="s">
        <v>25</v>
      </c>
      <c r="B580" s="6" t="s">
        <v>1597</v>
      </c>
      <c r="C580" s="6" t="s">
        <v>1598</v>
      </c>
      <c r="E580" s="6" t="s">
        <v>1598</v>
      </c>
      <c r="G580" s="7">
        <v>48.99</v>
      </c>
      <c r="H580" s="7">
        <v>55.3587</v>
      </c>
      <c r="I580" s="7">
        <f t="shared" si="45"/>
        <v>30.3738</v>
      </c>
      <c r="J580" s="7">
        <f t="shared" si="46"/>
        <v>31.8435</v>
      </c>
      <c r="K580" s="7">
        <f t="shared" si="47"/>
        <v>32.8233</v>
      </c>
      <c r="L580" s="7">
        <f t="shared" si="48"/>
        <v>34.293</v>
      </c>
      <c r="M580" s="7">
        <f t="shared" si="49"/>
        <v>35.2728</v>
      </c>
    </row>
    <row r="581" spans="1:13">
      <c r="A581" s="6" t="s">
        <v>25</v>
      </c>
      <c r="B581" s="6" t="s">
        <v>1599</v>
      </c>
      <c r="C581" s="6" t="s">
        <v>1600</v>
      </c>
      <c r="E581" s="6" t="s">
        <v>1600</v>
      </c>
      <c r="G581" s="7">
        <v>72.99</v>
      </c>
      <c r="H581" s="7">
        <v>82.4787</v>
      </c>
      <c r="I581" s="7">
        <f t="shared" si="45"/>
        <v>45.2538</v>
      </c>
      <c r="J581" s="7">
        <f t="shared" si="46"/>
        <v>47.4435</v>
      </c>
      <c r="K581" s="7">
        <f t="shared" si="47"/>
        <v>48.9033</v>
      </c>
      <c r="L581" s="7">
        <f t="shared" si="48"/>
        <v>51.093</v>
      </c>
      <c r="M581" s="7">
        <f t="shared" si="49"/>
        <v>52.5528</v>
      </c>
    </row>
    <row r="582" spans="1:13">
      <c r="A582" s="6" t="s">
        <v>25</v>
      </c>
      <c r="B582" s="6" t="s">
        <v>1601</v>
      </c>
      <c r="C582" s="6" t="s">
        <v>1602</v>
      </c>
      <c r="E582" s="6" t="s">
        <v>1602</v>
      </c>
      <c r="G582" s="7">
        <v>43.99</v>
      </c>
      <c r="H582" s="7">
        <v>49.7087</v>
      </c>
      <c r="I582" s="7">
        <f t="shared" si="45"/>
        <v>27.2738</v>
      </c>
      <c r="J582" s="7">
        <f t="shared" si="46"/>
        <v>28.5935</v>
      </c>
      <c r="K582" s="7">
        <f t="shared" si="47"/>
        <v>29.4733</v>
      </c>
      <c r="L582" s="7">
        <f t="shared" si="48"/>
        <v>30.793</v>
      </c>
      <c r="M582" s="7">
        <f t="shared" si="49"/>
        <v>31.6728</v>
      </c>
    </row>
    <row r="583" ht="76.5" spans="1:13">
      <c r="A583" s="6" t="s">
        <v>1563</v>
      </c>
      <c r="B583" s="6" t="s">
        <v>1603</v>
      </c>
      <c r="C583" s="6" t="s">
        <v>1604</v>
      </c>
      <c r="E583" s="6" t="s">
        <v>1605</v>
      </c>
      <c r="G583" s="7">
        <v>6299</v>
      </c>
      <c r="H583" s="7">
        <v>7117.87</v>
      </c>
      <c r="I583" s="7">
        <f t="shared" si="45"/>
        <v>3905.38</v>
      </c>
      <c r="J583" s="7">
        <f t="shared" si="46"/>
        <v>4094.35</v>
      </c>
      <c r="K583" s="7">
        <f t="shared" si="47"/>
        <v>4220.33</v>
      </c>
      <c r="L583" s="7">
        <f t="shared" si="48"/>
        <v>4409.3</v>
      </c>
      <c r="M583" s="7">
        <f t="shared" si="49"/>
        <v>4535.28</v>
      </c>
    </row>
    <row r="584" ht="76.5" spans="1:13">
      <c r="A584" s="6" t="s">
        <v>1563</v>
      </c>
      <c r="B584" s="6" t="s">
        <v>1606</v>
      </c>
      <c r="C584" s="6" t="s">
        <v>1607</v>
      </c>
      <c r="E584" s="6" t="s">
        <v>1608</v>
      </c>
      <c r="G584" s="7">
        <v>6449</v>
      </c>
      <c r="H584" s="7">
        <v>7287.37</v>
      </c>
      <c r="I584" s="7">
        <f t="shared" si="45"/>
        <v>3998.38</v>
      </c>
      <c r="J584" s="7">
        <f t="shared" si="46"/>
        <v>4191.85</v>
      </c>
      <c r="K584" s="7">
        <f t="shared" si="47"/>
        <v>4320.83</v>
      </c>
      <c r="L584" s="7">
        <f t="shared" si="48"/>
        <v>4514.3</v>
      </c>
      <c r="M584" s="7">
        <f t="shared" si="49"/>
        <v>4643.28</v>
      </c>
    </row>
    <row r="585" spans="1:13">
      <c r="A585" s="6" t="s">
        <v>25</v>
      </c>
      <c r="B585" s="6" t="s">
        <v>1609</v>
      </c>
      <c r="C585" s="6" t="s">
        <v>1610</v>
      </c>
      <c r="E585" s="6" t="s">
        <v>1610</v>
      </c>
      <c r="G585" s="7">
        <v>39.1421</v>
      </c>
      <c r="H585" s="7">
        <v>44.230573</v>
      </c>
      <c r="I585" s="7">
        <f t="shared" si="45"/>
        <v>24.268102</v>
      </c>
      <c r="J585" s="7">
        <f t="shared" si="46"/>
        <v>25.442365</v>
      </c>
      <c r="K585" s="7">
        <f t="shared" si="47"/>
        <v>26.225207</v>
      </c>
      <c r="L585" s="7">
        <f t="shared" si="48"/>
        <v>27.39947</v>
      </c>
      <c r="M585" s="7">
        <f t="shared" si="49"/>
        <v>28.182312</v>
      </c>
    </row>
    <row r="586" spans="1:13">
      <c r="A586" s="6" t="s">
        <v>25</v>
      </c>
      <c r="B586" s="6" t="s">
        <v>1611</v>
      </c>
      <c r="C586" s="6" t="s">
        <v>1612</v>
      </c>
      <c r="E586" s="6" t="s">
        <v>1612</v>
      </c>
      <c r="G586" s="7">
        <v>39.1421</v>
      </c>
      <c r="H586" s="7">
        <v>44.230573</v>
      </c>
      <c r="I586" s="7">
        <f t="shared" si="45"/>
        <v>24.268102</v>
      </c>
      <c r="J586" s="7">
        <f t="shared" si="46"/>
        <v>25.442365</v>
      </c>
      <c r="K586" s="7">
        <f t="shared" si="47"/>
        <v>26.225207</v>
      </c>
      <c r="L586" s="7">
        <f t="shared" si="48"/>
        <v>27.39947</v>
      </c>
      <c r="M586" s="7">
        <f t="shared" si="49"/>
        <v>28.182312</v>
      </c>
    </row>
    <row r="587" spans="1:13">
      <c r="A587" s="6" t="s">
        <v>25</v>
      </c>
      <c r="B587" s="6" t="s">
        <v>1613</v>
      </c>
      <c r="C587" s="6" t="s">
        <v>1614</v>
      </c>
      <c r="E587" s="6" t="s">
        <v>1614</v>
      </c>
      <c r="G587" s="7">
        <v>26.99</v>
      </c>
      <c r="H587" s="7">
        <v>30.4987</v>
      </c>
      <c r="I587" s="7">
        <f t="shared" si="45"/>
        <v>16.7338</v>
      </c>
      <c r="J587" s="7">
        <f t="shared" si="46"/>
        <v>17.5435</v>
      </c>
      <c r="K587" s="7">
        <f t="shared" si="47"/>
        <v>18.0833</v>
      </c>
      <c r="L587" s="7">
        <f t="shared" si="48"/>
        <v>18.893</v>
      </c>
      <c r="M587" s="7">
        <f t="shared" si="49"/>
        <v>19.4328</v>
      </c>
    </row>
    <row r="588" spans="1:13">
      <c r="A588" s="6" t="s">
        <v>25</v>
      </c>
      <c r="B588" s="6" t="s">
        <v>1615</v>
      </c>
      <c r="C588" s="6" t="s">
        <v>1616</v>
      </c>
      <c r="E588" s="6" t="s">
        <v>1616</v>
      </c>
      <c r="G588" s="7">
        <v>48.99</v>
      </c>
      <c r="H588" s="7">
        <v>55.3587</v>
      </c>
      <c r="I588" s="7">
        <f t="shared" si="45"/>
        <v>30.3738</v>
      </c>
      <c r="J588" s="7">
        <f t="shared" si="46"/>
        <v>31.8435</v>
      </c>
      <c r="K588" s="7">
        <f t="shared" si="47"/>
        <v>32.8233</v>
      </c>
      <c r="L588" s="7">
        <f t="shared" si="48"/>
        <v>34.293</v>
      </c>
      <c r="M588" s="7">
        <f t="shared" si="49"/>
        <v>35.2728</v>
      </c>
    </row>
    <row r="589" spans="1:13">
      <c r="A589" s="6" t="s">
        <v>25</v>
      </c>
      <c r="B589" s="6" t="s">
        <v>1617</v>
      </c>
      <c r="C589" s="6" t="s">
        <v>1618</v>
      </c>
      <c r="E589" s="6" t="s">
        <v>1618</v>
      </c>
      <c r="G589" s="7">
        <v>43.99</v>
      </c>
      <c r="H589" s="7">
        <v>49.7087</v>
      </c>
      <c r="I589" s="7">
        <f t="shared" si="45"/>
        <v>27.2738</v>
      </c>
      <c r="J589" s="7">
        <f t="shared" si="46"/>
        <v>28.5935</v>
      </c>
      <c r="K589" s="7">
        <f t="shared" si="47"/>
        <v>29.4733</v>
      </c>
      <c r="L589" s="7">
        <f t="shared" si="48"/>
        <v>30.793</v>
      </c>
      <c r="M589" s="7">
        <f t="shared" si="49"/>
        <v>31.6728</v>
      </c>
    </row>
    <row r="590" spans="1:13">
      <c r="A590" s="6" t="s">
        <v>25</v>
      </c>
      <c r="B590" s="6" t="s">
        <v>1619</v>
      </c>
      <c r="C590" s="6" t="s">
        <v>1620</v>
      </c>
      <c r="E590" s="6" t="s">
        <v>1620</v>
      </c>
      <c r="G590" s="7">
        <v>28.99</v>
      </c>
      <c r="H590" s="7">
        <v>32.7587</v>
      </c>
      <c r="I590" s="7">
        <f t="shared" si="45"/>
        <v>17.9738</v>
      </c>
      <c r="J590" s="7">
        <f t="shared" si="46"/>
        <v>18.8435</v>
      </c>
      <c r="K590" s="7">
        <f t="shared" si="47"/>
        <v>19.4233</v>
      </c>
      <c r="L590" s="7">
        <f t="shared" si="48"/>
        <v>20.293</v>
      </c>
      <c r="M590" s="7">
        <f t="shared" si="49"/>
        <v>20.8728</v>
      </c>
    </row>
    <row r="591" spans="1:13">
      <c r="A591" s="6" t="s">
        <v>25</v>
      </c>
      <c r="B591" s="6" t="s">
        <v>1621</v>
      </c>
      <c r="C591" s="6" t="s">
        <v>1622</v>
      </c>
      <c r="E591" s="6" t="s">
        <v>1622</v>
      </c>
      <c r="G591" s="7">
        <v>48.0914</v>
      </c>
      <c r="H591" s="7">
        <v>54.343282</v>
      </c>
      <c r="I591" s="7">
        <f t="shared" si="45"/>
        <v>29.816668</v>
      </c>
      <c r="J591" s="7">
        <f t="shared" si="46"/>
        <v>31.25941</v>
      </c>
      <c r="K591" s="7">
        <f t="shared" si="47"/>
        <v>32.221238</v>
      </c>
      <c r="L591" s="7">
        <f t="shared" si="48"/>
        <v>33.66398</v>
      </c>
      <c r="M591" s="7">
        <f t="shared" si="49"/>
        <v>34.625808</v>
      </c>
    </row>
    <row r="592" spans="1:13">
      <c r="A592" s="6" t="s">
        <v>25</v>
      </c>
      <c r="B592" s="6" t="s">
        <v>1623</v>
      </c>
      <c r="C592" s="6" t="s">
        <v>1624</v>
      </c>
      <c r="E592" s="6" t="s">
        <v>1624</v>
      </c>
      <c r="G592" s="7">
        <v>48.0914</v>
      </c>
      <c r="H592" s="7">
        <v>54.343282</v>
      </c>
      <c r="I592" s="7">
        <f t="shared" si="45"/>
        <v>29.816668</v>
      </c>
      <c r="J592" s="7">
        <f t="shared" si="46"/>
        <v>31.25941</v>
      </c>
      <c r="K592" s="7">
        <f t="shared" si="47"/>
        <v>32.221238</v>
      </c>
      <c r="L592" s="7">
        <f t="shared" si="48"/>
        <v>33.66398</v>
      </c>
      <c r="M592" s="7">
        <f t="shared" si="49"/>
        <v>34.625808</v>
      </c>
    </row>
    <row r="593" spans="1:13">
      <c r="A593" s="6" t="s">
        <v>25</v>
      </c>
      <c r="B593" s="6" t="s">
        <v>1625</v>
      </c>
      <c r="C593" s="6" t="s">
        <v>1626</v>
      </c>
      <c r="E593" s="6" t="s">
        <v>1626</v>
      </c>
      <c r="G593" s="7">
        <v>26.99</v>
      </c>
      <c r="H593" s="7">
        <v>30.4987</v>
      </c>
      <c r="I593" s="7">
        <f t="shared" si="45"/>
        <v>16.7338</v>
      </c>
      <c r="J593" s="7">
        <f t="shared" si="46"/>
        <v>17.5435</v>
      </c>
      <c r="K593" s="7">
        <f t="shared" si="47"/>
        <v>18.0833</v>
      </c>
      <c r="L593" s="7">
        <f t="shared" si="48"/>
        <v>18.893</v>
      </c>
      <c r="M593" s="7">
        <f t="shared" si="49"/>
        <v>19.4328</v>
      </c>
    </row>
    <row r="594" spans="1:13">
      <c r="A594" s="6" t="s">
        <v>25</v>
      </c>
      <c r="B594" s="6" t="s">
        <v>1627</v>
      </c>
      <c r="C594" s="6" t="s">
        <v>1628</v>
      </c>
      <c r="E594" s="6" t="s">
        <v>1628</v>
      </c>
      <c r="G594" s="7">
        <v>48.99</v>
      </c>
      <c r="H594" s="7">
        <v>55.3587</v>
      </c>
      <c r="I594" s="7">
        <f t="shared" si="45"/>
        <v>30.3738</v>
      </c>
      <c r="J594" s="7">
        <f t="shared" si="46"/>
        <v>31.8435</v>
      </c>
      <c r="K594" s="7">
        <f t="shared" si="47"/>
        <v>32.8233</v>
      </c>
      <c r="L594" s="7">
        <f t="shared" si="48"/>
        <v>34.293</v>
      </c>
      <c r="M594" s="7">
        <f t="shared" si="49"/>
        <v>35.2728</v>
      </c>
    </row>
    <row r="595" spans="1:13">
      <c r="A595" s="6" t="s">
        <v>25</v>
      </c>
      <c r="B595" s="6" t="s">
        <v>1629</v>
      </c>
      <c r="C595" s="6" t="s">
        <v>1630</v>
      </c>
      <c r="E595" s="6" t="s">
        <v>1630</v>
      </c>
      <c r="G595" s="7">
        <v>28.99</v>
      </c>
      <c r="H595" s="7">
        <v>32.7587</v>
      </c>
      <c r="I595" s="7">
        <f t="shared" si="45"/>
        <v>17.9738</v>
      </c>
      <c r="J595" s="7">
        <f t="shared" si="46"/>
        <v>18.8435</v>
      </c>
      <c r="K595" s="7">
        <f t="shared" si="47"/>
        <v>19.4233</v>
      </c>
      <c r="L595" s="7">
        <f t="shared" si="48"/>
        <v>20.293</v>
      </c>
      <c r="M595" s="7">
        <f t="shared" si="49"/>
        <v>20.8728</v>
      </c>
    </row>
    <row r="596" spans="1:13">
      <c r="A596" s="6" t="s">
        <v>25</v>
      </c>
      <c r="B596" s="6" t="s">
        <v>1631</v>
      </c>
      <c r="C596" s="6" t="s">
        <v>1632</v>
      </c>
      <c r="E596" s="6" t="s">
        <v>1633</v>
      </c>
      <c r="G596" s="7">
        <v>43.99</v>
      </c>
      <c r="H596" s="7">
        <v>49.7087</v>
      </c>
      <c r="I596" s="7">
        <f t="shared" si="45"/>
        <v>27.2738</v>
      </c>
      <c r="J596" s="7">
        <f t="shared" si="46"/>
        <v>28.5935</v>
      </c>
      <c r="K596" s="7">
        <f t="shared" si="47"/>
        <v>29.4733</v>
      </c>
      <c r="L596" s="7">
        <f t="shared" si="48"/>
        <v>30.793</v>
      </c>
      <c r="M596" s="7">
        <f t="shared" si="49"/>
        <v>31.6728</v>
      </c>
    </row>
    <row r="597" ht="63.75" spans="1:13">
      <c r="A597" s="6" t="s">
        <v>1563</v>
      </c>
      <c r="B597" s="6" t="s">
        <v>1634</v>
      </c>
      <c r="C597" s="6" t="s">
        <v>1635</v>
      </c>
      <c r="E597" s="6" t="s">
        <v>1636</v>
      </c>
      <c r="G597" s="7">
        <v>2449</v>
      </c>
      <c r="H597" s="7">
        <v>2767.37</v>
      </c>
      <c r="I597" s="7">
        <f t="shared" si="45"/>
        <v>1518.38</v>
      </c>
      <c r="J597" s="7">
        <f t="shared" si="46"/>
        <v>1591.85</v>
      </c>
      <c r="K597" s="7">
        <f t="shared" si="47"/>
        <v>1640.83</v>
      </c>
      <c r="L597" s="7">
        <f t="shared" si="48"/>
        <v>1714.3</v>
      </c>
      <c r="M597" s="7">
        <f t="shared" si="49"/>
        <v>1763.28</v>
      </c>
    </row>
    <row r="598" ht="63.75" spans="1:13">
      <c r="A598" s="6" t="s">
        <v>1563</v>
      </c>
      <c r="B598" s="6" t="s">
        <v>1637</v>
      </c>
      <c r="C598" s="6" t="s">
        <v>1638</v>
      </c>
      <c r="E598" s="6" t="s">
        <v>1639</v>
      </c>
      <c r="G598" s="7">
        <v>2599</v>
      </c>
      <c r="H598" s="7">
        <v>2936.87</v>
      </c>
      <c r="I598" s="7">
        <f t="shared" si="45"/>
        <v>1611.38</v>
      </c>
      <c r="J598" s="7">
        <f t="shared" si="46"/>
        <v>1689.35</v>
      </c>
      <c r="K598" s="7">
        <f t="shared" si="47"/>
        <v>1741.33</v>
      </c>
      <c r="L598" s="7">
        <f t="shared" si="48"/>
        <v>1819.3</v>
      </c>
      <c r="M598" s="7">
        <f t="shared" si="49"/>
        <v>1871.28</v>
      </c>
    </row>
    <row r="599" ht="63.75" spans="1:13">
      <c r="A599" s="6" t="s">
        <v>432</v>
      </c>
      <c r="B599" s="6" t="s">
        <v>1640</v>
      </c>
      <c r="C599" s="6" t="s">
        <v>1641</v>
      </c>
      <c r="E599" s="6" t="s">
        <v>1642</v>
      </c>
      <c r="G599" s="7">
        <v>1949</v>
      </c>
      <c r="H599" s="7">
        <v>2202.37</v>
      </c>
      <c r="I599" s="7">
        <f t="shared" si="45"/>
        <v>1208.38</v>
      </c>
      <c r="J599" s="7">
        <f t="shared" si="46"/>
        <v>1266.85</v>
      </c>
      <c r="K599" s="7">
        <f t="shared" si="47"/>
        <v>1305.83</v>
      </c>
      <c r="L599" s="7">
        <f t="shared" si="48"/>
        <v>1364.3</v>
      </c>
      <c r="M599" s="7">
        <f t="shared" si="49"/>
        <v>1403.28</v>
      </c>
    </row>
    <row r="600" spans="1:13">
      <c r="A600" s="6" t="s">
        <v>39</v>
      </c>
      <c r="B600" s="6" t="s">
        <v>1643</v>
      </c>
      <c r="C600" s="6" t="s">
        <v>1644</v>
      </c>
      <c r="E600" s="6" t="s">
        <v>1645</v>
      </c>
      <c r="G600" s="7">
        <v>2099</v>
      </c>
      <c r="H600" s="7">
        <v>2371.87</v>
      </c>
      <c r="I600" s="7">
        <f t="shared" si="45"/>
        <v>1301.38</v>
      </c>
      <c r="J600" s="7">
        <f t="shared" si="46"/>
        <v>1364.35</v>
      </c>
      <c r="K600" s="7">
        <f t="shared" si="47"/>
        <v>1406.33</v>
      </c>
      <c r="L600" s="7">
        <f t="shared" si="48"/>
        <v>1469.3</v>
      </c>
      <c r="M600" s="7">
        <f t="shared" si="49"/>
        <v>1511.28</v>
      </c>
    </row>
    <row r="601" spans="1:13">
      <c r="A601" s="6" t="s">
        <v>39</v>
      </c>
      <c r="B601" s="6" t="s">
        <v>1646</v>
      </c>
      <c r="C601" s="6" t="s">
        <v>1647</v>
      </c>
      <c r="E601" s="6" t="s">
        <v>1648</v>
      </c>
      <c r="G601" s="7">
        <v>3599</v>
      </c>
      <c r="H601" s="7">
        <v>4066.87</v>
      </c>
      <c r="I601" s="7">
        <f t="shared" si="45"/>
        <v>2231.38</v>
      </c>
      <c r="J601" s="7">
        <f t="shared" si="46"/>
        <v>2339.35</v>
      </c>
      <c r="K601" s="7">
        <f t="shared" si="47"/>
        <v>2411.33</v>
      </c>
      <c r="L601" s="7">
        <f t="shared" si="48"/>
        <v>2519.3</v>
      </c>
      <c r="M601" s="7">
        <f t="shared" si="49"/>
        <v>2591.28</v>
      </c>
    </row>
    <row r="602" spans="1:13">
      <c r="A602" s="6" t="s">
        <v>39</v>
      </c>
      <c r="B602" s="6" t="s">
        <v>1649</v>
      </c>
      <c r="C602" s="6" t="s">
        <v>1650</v>
      </c>
      <c r="E602" s="6" t="s">
        <v>1651</v>
      </c>
      <c r="G602" s="7">
        <v>9549</v>
      </c>
      <c r="H602" s="7">
        <v>10790.37</v>
      </c>
      <c r="I602" s="7">
        <f t="shared" si="45"/>
        <v>5920.38</v>
      </c>
      <c r="J602" s="7">
        <f t="shared" si="46"/>
        <v>6206.85</v>
      </c>
      <c r="K602" s="7">
        <f t="shared" si="47"/>
        <v>6397.83</v>
      </c>
      <c r="L602" s="7">
        <f t="shared" si="48"/>
        <v>6684.3</v>
      </c>
      <c r="M602" s="7">
        <f t="shared" si="49"/>
        <v>6875.28</v>
      </c>
    </row>
    <row r="603" ht="25.5" spans="1:13">
      <c r="A603" s="6" t="s">
        <v>39</v>
      </c>
      <c r="B603" s="6" t="s">
        <v>1652</v>
      </c>
      <c r="C603" s="6" t="s">
        <v>1653</v>
      </c>
      <c r="E603" s="6" t="s">
        <v>1654</v>
      </c>
      <c r="G603" s="7">
        <v>9999</v>
      </c>
      <c r="H603" s="7">
        <v>11298.87</v>
      </c>
      <c r="I603" s="7">
        <f t="shared" si="45"/>
        <v>6199.38</v>
      </c>
      <c r="J603" s="7">
        <f t="shared" si="46"/>
        <v>6499.35</v>
      </c>
      <c r="K603" s="7">
        <f t="shared" si="47"/>
        <v>6699.33</v>
      </c>
      <c r="L603" s="7">
        <f t="shared" si="48"/>
        <v>6999.3</v>
      </c>
      <c r="M603" s="7">
        <f t="shared" si="49"/>
        <v>7199.28</v>
      </c>
    </row>
    <row r="604" spans="1:13">
      <c r="A604" s="6" t="s">
        <v>45</v>
      </c>
      <c r="B604" s="6" t="s">
        <v>1655</v>
      </c>
      <c r="C604" s="6" t="s">
        <v>1656</v>
      </c>
      <c r="E604" s="6" t="s">
        <v>1657</v>
      </c>
      <c r="G604" s="7">
        <v>39</v>
      </c>
      <c r="H604" s="7">
        <v>44.07</v>
      </c>
      <c r="I604" s="7">
        <f t="shared" si="45"/>
        <v>24.18</v>
      </c>
      <c r="J604" s="7">
        <f t="shared" si="46"/>
        <v>25.35</v>
      </c>
      <c r="K604" s="7">
        <f t="shared" si="47"/>
        <v>26.13</v>
      </c>
      <c r="L604" s="7">
        <f t="shared" si="48"/>
        <v>27.3</v>
      </c>
      <c r="M604" s="7">
        <f t="shared" si="49"/>
        <v>28.08</v>
      </c>
    </row>
    <row r="605" spans="1:13">
      <c r="A605" s="6" t="s">
        <v>755</v>
      </c>
      <c r="B605" s="6" t="s">
        <v>1658</v>
      </c>
      <c r="C605" s="6" t="s">
        <v>1659</v>
      </c>
      <c r="E605" s="6" t="s">
        <v>1660</v>
      </c>
      <c r="G605" s="7">
        <v>320</v>
      </c>
      <c r="H605" s="7">
        <v>361.6</v>
      </c>
      <c r="I605" s="7">
        <f t="shared" si="45"/>
        <v>198.4</v>
      </c>
      <c r="J605" s="7">
        <f t="shared" si="46"/>
        <v>208</v>
      </c>
      <c r="K605" s="7">
        <f t="shared" si="47"/>
        <v>214.4</v>
      </c>
      <c r="L605" s="7">
        <f t="shared" si="48"/>
        <v>224</v>
      </c>
      <c r="M605" s="7">
        <f t="shared" si="49"/>
        <v>230.4</v>
      </c>
    </row>
    <row r="606" ht="25.5" spans="1:13">
      <c r="A606" s="6" t="s">
        <v>14</v>
      </c>
      <c r="B606" s="6" t="s">
        <v>1661</v>
      </c>
      <c r="C606" s="6" t="s">
        <v>1662</v>
      </c>
      <c r="E606" s="6" t="s">
        <v>1663</v>
      </c>
      <c r="G606" s="7">
        <v>489.99</v>
      </c>
      <c r="H606" s="7">
        <v>553.6887</v>
      </c>
      <c r="I606" s="7">
        <f t="shared" si="45"/>
        <v>303.7938</v>
      </c>
      <c r="J606" s="7">
        <f t="shared" si="46"/>
        <v>318.4935</v>
      </c>
      <c r="K606" s="7">
        <f t="shared" si="47"/>
        <v>328.2933</v>
      </c>
      <c r="L606" s="7">
        <f t="shared" si="48"/>
        <v>342.993</v>
      </c>
      <c r="M606" s="7">
        <f t="shared" si="49"/>
        <v>352.7928</v>
      </c>
    </row>
    <row r="607" ht="51" spans="1:13">
      <c r="A607" s="6" t="s">
        <v>418</v>
      </c>
      <c r="B607" s="6" t="s">
        <v>1664</v>
      </c>
      <c r="C607" s="6" t="s">
        <v>1665</v>
      </c>
      <c r="E607" s="6" t="s">
        <v>1666</v>
      </c>
      <c r="G607" s="7">
        <v>339</v>
      </c>
      <c r="H607" s="7">
        <v>383.07</v>
      </c>
      <c r="I607" s="7">
        <f t="shared" si="45"/>
        <v>210.18</v>
      </c>
      <c r="J607" s="7">
        <f t="shared" si="46"/>
        <v>220.35</v>
      </c>
      <c r="K607" s="7">
        <f t="shared" si="47"/>
        <v>227.13</v>
      </c>
      <c r="L607" s="7">
        <f t="shared" si="48"/>
        <v>237.3</v>
      </c>
      <c r="M607" s="7">
        <f t="shared" si="49"/>
        <v>244.08</v>
      </c>
    </row>
    <row r="608" ht="51" spans="1:13">
      <c r="A608" s="6" t="s">
        <v>418</v>
      </c>
      <c r="B608" s="6" t="s">
        <v>1667</v>
      </c>
      <c r="C608" s="6" t="s">
        <v>1668</v>
      </c>
      <c r="E608" s="6" t="s">
        <v>1669</v>
      </c>
      <c r="G608" s="7">
        <v>179</v>
      </c>
      <c r="H608" s="7">
        <v>202.27</v>
      </c>
      <c r="I608" s="7">
        <f t="shared" si="45"/>
        <v>110.98</v>
      </c>
      <c r="J608" s="7">
        <f t="shared" si="46"/>
        <v>116.35</v>
      </c>
      <c r="K608" s="7">
        <f t="shared" si="47"/>
        <v>119.93</v>
      </c>
      <c r="L608" s="7">
        <f t="shared" si="48"/>
        <v>125.3</v>
      </c>
      <c r="M608" s="7">
        <f t="shared" si="49"/>
        <v>128.88</v>
      </c>
    </row>
    <row r="609" spans="1:13">
      <c r="A609" s="6" t="s">
        <v>14</v>
      </c>
      <c r="B609" s="6" t="s">
        <v>1670</v>
      </c>
      <c r="C609" s="6" t="s">
        <v>1671</v>
      </c>
      <c r="E609" s="6" t="s">
        <v>1672</v>
      </c>
      <c r="G609" s="7">
        <v>119</v>
      </c>
      <c r="H609" s="7">
        <v>134.47</v>
      </c>
      <c r="I609" s="7">
        <f t="shared" si="45"/>
        <v>73.78</v>
      </c>
      <c r="J609" s="7">
        <f t="shared" si="46"/>
        <v>77.35</v>
      </c>
      <c r="K609" s="7">
        <f t="shared" si="47"/>
        <v>79.73</v>
      </c>
      <c r="L609" s="7">
        <f t="shared" si="48"/>
        <v>83.3</v>
      </c>
      <c r="M609" s="7">
        <f t="shared" si="49"/>
        <v>85.68</v>
      </c>
    </row>
    <row r="610" ht="38.25" spans="1:13">
      <c r="A610" s="6" t="s">
        <v>376</v>
      </c>
      <c r="B610" s="6" t="s">
        <v>1673</v>
      </c>
      <c r="C610" s="6" t="s">
        <v>1674</v>
      </c>
      <c r="E610" s="6" t="s">
        <v>1675</v>
      </c>
      <c r="G610" s="7">
        <v>79</v>
      </c>
      <c r="H610" s="7">
        <v>89.27</v>
      </c>
      <c r="I610" s="7">
        <f t="shared" si="45"/>
        <v>48.98</v>
      </c>
      <c r="J610" s="7">
        <f t="shared" si="46"/>
        <v>51.35</v>
      </c>
      <c r="K610" s="7">
        <f t="shared" si="47"/>
        <v>52.93</v>
      </c>
      <c r="L610" s="7">
        <f t="shared" si="48"/>
        <v>55.3</v>
      </c>
      <c r="M610" s="7">
        <f t="shared" si="49"/>
        <v>56.88</v>
      </c>
    </row>
    <row r="611" spans="1:13">
      <c r="A611" s="6" t="s">
        <v>717</v>
      </c>
      <c r="B611" s="6" t="s">
        <v>1676</v>
      </c>
      <c r="C611" s="6" t="s">
        <v>1677</v>
      </c>
      <c r="E611" s="6" t="s">
        <v>1677</v>
      </c>
      <c r="G611" s="7">
        <v>30.99</v>
      </c>
      <c r="H611" s="7">
        <v>35.0187</v>
      </c>
      <c r="I611" s="7">
        <f t="shared" si="45"/>
        <v>19.2138</v>
      </c>
      <c r="J611" s="7">
        <f t="shared" si="46"/>
        <v>20.1435</v>
      </c>
      <c r="K611" s="7">
        <f t="shared" si="47"/>
        <v>20.7633</v>
      </c>
      <c r="L611" s="7">
        <f t="shared" si="48"/>
        <v>21.693</v>
      </c>
      <c r="M611" s="7">
        <f t="shared" si="49"/>
        <v>22.3128</v>
      </c>
    </row>
    <row r="612" spans="1:13">
      <c r="A612" s="6" t="s">
        <v>717</v>
      </c>
      <c r="B612" s="6" t="s">
        <v>1678</v>
      </c>
      <c r="C612" s="6" t="s">
        <v>1679</v>
      </c>
      <c r="E612" s="6" t="s">
        <v>1679</v>
      </c>
      <c r="G612" s="7">
        <v>22.99</v>
      </c>
      <c r="H612" s="7">
        <v>25.9787</v>
      </c>
      <c r="I612" s="7">
        <f t="shared" si="45"/>
        <v>14.2538</v>
      </c>
      <c r="J612" s="7">
        <f t="shared" si="46"/>
        <v>14.9435</v>
      </c>
      <c r="K612" s="7">
        <f t="shared" si="47"/>
        <v>15.4033</v>
      </c>
      <c r="L612" s="7">
        <f t="shared" si="48"/>
        <v>16.093</v>
      </c>
      <c r="M612" s="7">
        <f t="shared" si="49"/>
        <v>16.5528</v>
      </c>
    </row>
    <row r="613" spans="1:13">
      <c r="A613" s="6" t="s">
        <v>717</v>
      </c>
      <c r="B613" s="6" t="s">
        <v>1680</v>
      </c>
      <c r="C613" s="6" t="s">
        <v>1681</v>
      </c>
      <c r="E613" s="6" t="s">
        <v>1681</v>
      </c>
      <c r="G613" s="7">
        <v>22.99</v>
      </c>
      <c r="H613" s="7">
        <v>25.9787</v>
      </c>
      <c r="I613" s="7">
        <f t="shared" si="45"/>
        <v>14.2538</v>
      </c>
      <c r="J613" s="7">
        <f t="shared" si="46"/>
        <v>14.9435</v>
      </c>
      <c r="K613" s="7">
        <f t="shared" si="47"/>
        <v>15.4033</v>
      </c>
      <c r="L613" s="7">
        <f t="shared" si="48"/>
        <v>16.093</v>
      </c>
      <c r="M613" s="7">
        <f t="shared" si="49"/>
        <v>16.5528</v>
      </c>
    </row>
    <row r="614" spans="1:13">
      <c r="A614" s="6" t="s">
        <v>717</v>
      </c>
      <c r="B614" s="6" t="s">
        <v>1682</v>
      </c>
      <c r="C614" s="6" t="s">
        <v>1683</v>
      </c>
      <c r="E614" s="6" t="s">
        <v>1683</v>
      </c>
      <c r="G614" s="7">
        <v>27.99</v>
      </c>
      <c r="H614" s="7">
        <v>31.6287</v>
      </c>
      <c r="I614" s="7">
        <f t="shared" si="45"/>
        <v>17.3538</v>
      </c>
      <c r="J614" s="7">
        <f t="shared" si="46"/>
        <v>18.1935</v>
      </c>
      <c r="K614" s="7">
        <f t="shared" si="47"/>
        <v>18.7533</v>
      </c>
      <c r="L614" s="7">
        <f t="shared" si="48"/>
        <v>19.593</v>
      </c>
      <c r="M614" s="7">
        <f t="shared" si="49"/>
        <v>20.1528</v>
      </c>
    </row>
    <row r="615" ht="25.5" spans="1:13">
      <c r="A615" s="6" t="s">
        <v>717</v>
      </c>
      <c r="B615" s="6" t="s">
        <v>1684</v>
      </c>
      <c r="C615" s="6" t="s">
        <v>1685</v>
      </c>
      <c r="E615" s="6" t="s">
        <v>1685</v>
      </c>
      <c r="G615" s="7">
        <v>79</v>
      </c>
      <c r="H615" s="7">
        <v>89.27</v>
      </c>
      <c r="I615" s="7">
        <f t="shared" si="45"/>
        <v>48.98</v>
      </c>
      <c r="J615" s="7">
        <f t="shared" si="46"/>
        <v>51.35</v>
      </c>
      <c r="K615" s="7">
        <f t="shared" si="47"/>
        <v>52.93</v>
      </c>
      <c r="L615" s="7">
        <f t="shared" si="48"/>
        <v>55.3</v>
      </c>
      <c r="M615" s="7">
        <f t="shared" si="49"/>
        <v>56.88</v>
      </c>
    </row>
    <row r="616" spans="1:13">
      <c r="A616" s="6" t="s">
        <v>717</v>
      </c>
      <c r="B616" s="6" t="s">
        <v>1686</v>
      </c>
      <c r="C616" s="6" t="s">
        <v>1687</v>
      </c>
      <c r="E616" s="6" t="s">
        <v>1688</v>
      </c>
      <c r="G616" s="7">
        <v>22.99</v>
      </c>
      <c r="H616" s="7">
        <v>25.9787</v>
      </c>
      <c r="I616" s="7">
        <f t="shared" si="45"/>
        <v>14.2538</v>
      </c>
      <c r="J616" s="7">
        <f t="shared" si="46"/>
        <v>14.9435</v>
      </c>
      <c r="K616" s="7">
        <f t="shared" si="47"/>
        <v>15.4033</v>
      </c>
      <c r="L616" s="7">
        <f t="shared" si="48"/>
        <v>16.093</v>
      </c>
      <c r="M616" s="7">
        <f t="shared" si="49"/>
        <v>16.5528</v>
      </c>
    </row>
    <row r="617" spans="1:13">
      <c r="A617" s="6" t="s">
        <v>717</v>
      </c>
      <c r="B617" s="6" t="s">
        <v>1689</v>
      </c>
      <c r="C617" s="6" t="s">
        <v>1690</v>
      </c>
      <c r="E617" s="6" t="s">
        <v>1691</v>
      </c>
      <c r="G617" s="7">
        <v>19.99</v>
      </c>
      <c r="H617" s="7">
        <v>22.5887</v>
      </c>
      <c r="I617" s="7">
        <f t="shared" si="45"/>
        <v>12.3938</v>
      </c>
      <c r="J617" s="7">
        <f t="shared" si="46"/>
        <v>12.9935</v>
      </c>
      <c r="K617" s="7">
        <f t="shared" si="47"/>
        <v>13.3933</v>
      </c>
      <c r="L617" s="7">
        <f t="shared" si="48"/>
        <v>13.993</v>
      </c>
      <c r="M617" s="7">
        <f t="shared" si="49"/>
        <v>14.3928</v>
      </c>
    </row>
    <row r="618" spans="1:13">
      <c r="A618" s="6" t="s">
        <v>717</v>
      </c>
      <c r="B618" s="6" t="s">
        <v>1692</v>
      </c>
      <c r="C618" s="6" t="s">
        <v>1693</v>
      </c>
      <c r="E618" s="6" t="s">
        <v>1694</v>
      </c>
      <c r="G618" s="7">
        <v>52.99</v>
      </c>
      <c r="H618" s="7">
        <v>59.8787</v>
      </c>
      <c r="I618" s="7">
        <f t="shared" si="45"/>
        <v>32.8538</v>
      </c>
      <c r="J618" s="7">
        <f t="shared" si="46"/>
        <v>34.4435</v>
      </c>
      <c r="K618" s="7">
        <f t="shared" si="47"/>
        <v>35.5033</v>
      </c>
      <c r="L618" s="7">
        <f t="shared" si="48"/>
        <v>37.093</v>
      </c>
      <c r="M618" s="7">
        <f t="shared" si="49"/>
        <v>38.1528</v>
      </c>
    </row>
    <row r="619" ht="25.5" spans="1:13">
      <c r="A619" s="6" t="s">
        <v>18</v>
      </c>
      <c r="B619" s="6" t="s">
        <v>1695</v>
      </c>
      <c r="C619" s="6" t="s">
        <v>1696</v>
      </c>
      <c r="E619" s="6" t="s">
        <v>1697</v>
      </c>
      <c r="G619" s="7">
        <v>22.99</v>
      </c>
      <c r="H619" s="7">
        <v>25.9787</v>
      </c>
      <c r="I619" s="7">
        <f t="shared" si="45"/>
        <v>14.2538</v>
      </c>
      <c r="J619" s="7">
        <f t="shared" si="46"/>
        <v>14.9435</v>
      </c>
      <c r="K619" s="7">
        <f t="shared" si="47"/>
        <v>15.4033</v>
      </c>
      <c r="L619" s="7">
        <f t="shared" si="48"/>
        <v>16.093</v>
      </c>
      <c r="M619" s="7">
        <f t="shared" si="49"/>
        <v>16.5528</v>
      </c>
    </row>
    <row r="620" spans="1:13">
      <c r="A620" s="6" t="s">
        <v>14</v>
      </c>
      <c r="B620" s="6" t="s">
        <v>1698</v>
      </c>
      <c r="C620" s="6" t="s">
        <v>1699</v>
      </c>
      <c r="E620" s="6" t="s">
        <v>1700</v>
      </c>
      <c r="G620" s="7">
        <v>119</v>
      </c>
      <c r="H620" s="7">
        <v>134.47</v>
      </c>
      <c r="I620" s="7">
        <f t="shared" si="45"/>
        <v>73.78</v>
      </c>
      <c r="J620" s="7">
        <f t="shared" si="46"/>
        <v>77.35</v>
      </c>
      <c r="K620" s="7">
        <f t="shared" si="47"/>
        <v>79.73</v>
      </c>
      <c r="L620" s="7">
        <f t="shared" si="48"/>
        <v>83.3</v>
      </c>
      <c r="M620" s="7">
        <f t="shared" si="49"/>
        <v>85.68</v>
      </c>
    </row>
    <row r="621" ht="25.5" spans="1:13">
      <c r="A621" s="6" t="s">
        <v>717</v>
      </c>
      <c r="B621" s="6" t="s">
        <v>1701</v>
      </c>
      <c r="C621" s="6" t="s">
        <v>1702</v>
      </c>
      <c r="E621" s="6" t="s">
        <v>1703</v>
      </c>
      <c r="G621" s="7">
        <v>59</v>
      </c>
      <c r="H621" s="7">
        <v>66.67</v>
      </c>
      <c r="I621" s="7">
        <f t="shared" si="45"/>
        <v>36.58</v>
      </c>
      <c r="J621" s="7">
        <f t="shared" si="46"/>
        <v>38.35</v>
      </c>
      <c r="K621" s="7">
        <f t="shared" si="47"/>
        <v>39.53</v>
      </c>
      <c r="L621" s="7">
        <f t="shared" si="48"/>
        <v>41.3</v>
      </c>
      <c r="M621" s="7">
        <f t="shared" si="49"/>
        <v>42.48</v>
      </c>
    </row>
    <row r="622" spans="1:13">
      <c r="A622" s="6" t="s">
        <v>25</v>
      </c>
      <c r="B622" s="6" t="s">
        <v>1704</v>
      </c>
      <c r="C622" s="6" t="s">
        <v>1705</v>
      </c>
      <c r="E622" s="6" t="s">
        <v>1705</v>
      </c>
      <c r="G622" s="7">
        <v>339</v>
      </c>
      <c r="H622" s="7">
        <v>383.07</v>
      </c>
      <c r="I622" s="7">
        <f t="shared" si="45"/>
        <v>210.18</v>
      </c>
      <c r="J622" s="7">
        <f t="shared" si="46"/>
        <v>220.35</v>
      </c>
      <c r="K622" s="7">
        <f t="shared" si="47"/>
        <v>227.13</v>
      </c>
      <c r="L622" s="7">
        <f t="shared" si="48"/>
        <v>237.3</v>
      </c>
      <c r="M622" s="7">
        <f t="shared" si="49"/>
        <v>244.08</v>
      </c>
    </row>
    <row r="623" spans="1:13">
      <c r="A623" s="6" t="s">
        <v>25</v>
      </c>
      <c r="B623" s="6" t="s">
        <v>1706</v>
      </c>
      <c r="C623" s="6" t="s">
        <v>1707</v>
      </c>
      <c r="E623" s="6" t="s">
        <v>1707</v>
      </c>
      <c r="G623" s="7">
        <v>179</v>
      </c>
      <c r="H623" s="7">
        <v>202.27</v>
      </c>
      <c r="I623" s="7">
        <f t="shared" si="45"/>
        <v>110.98</v>
      </c>
      <c r="J623" s="7">
        <f t="shared" si="46"/>
        <v>116.35</v>
      </c>
      <c r="K623" s="7">
        <f t="shared" si="47"/>
        <v>119.93</v>
      </c>
      <c r="L623" s="7">
        <f t="shared" si="48"/>
        <v>125.3</v>
      </c>
      <c r="M623" s="7">
        <f t="shared" si="49"/>
        <v>128.88</v>
      </c>
    </row>
    <row r="624" spans="1:13">
      <c r="A624" s="6" t="s">
        <v>25</v>
      </c>
      <c r="B624" s="6" t="s">
        <v>1708</v>
      </c>
      <c r="C624" s="6" t="s">
        <v>1709</v>
      </c>
      <c r="E624" s="6" t="s">
        <v>1709</v>
      </c>
      <c r="G624" s="7">
        <v>179</v>
      </c>
      <c r="H624" s="7">
        <v>202.27</v>
      </c>
      <c r="I624" s="7">
        <f t="shared" si="45"/>
        <v>110.98</v>
      </c>
      <c r="J624" s="7">
        <f t="shared" si="46"/>
        <v>116.35</v>
      </c>
      <c r="K624" s="7">
        <f t="shared" si="47"/>
        <v>119.93</v>
      </c>
      <c r="L624" s="7">
        <f t="shared" si="48"/>
        <v>125.3</v>
      </c>
      <c r="M624" s="7">
        <f t="shared" si="49"/>
        <v>128.88</v>
      </c>
    </row>
    <row r="625" spans="1:13">
      <c r="A625" s="6" t="s">
        <v>25</v>
      </c>
      <c r="B625" s="6" t="s">
        <v>1710</v>
      </c>
      <c r="C625" s="6" t="s">
        <v>1711</v>
      </c>
      <c r="E625" s="6" t="s">
        <v>1711</v>
      </c>
      <c r="G625" s="7">
        <v>119</v>
      </c>
      <c r="H625" s="7">
        <v>134.47</v>
      </c>
      <c r="I625" s="7">
        <f t="shared" si="45"/>
        <v>73.78</v>
      </c>
      <c r="J625" s="7">
        <f t="shared" si="46"/>
        <v>77.35</v>
      </c>
      <c r="K625" s="7">
        <f t="shared" si="47"/>
        <v>79.73</v>
      </c>
      <c r="L625" s="7">
        <f t="shared" si="48"/>
        <v>83.3</v>
      </c>
      <c r="M625" s="7">
        <f t="shared" si="49"/>
        <v>85.68</v>
      </c>
    </row>
    <row r="626" spans="1:13">
      <c r="A626" s="6" t="s">
        <v>25</v>
      </c>
      <c r="B626" s="6" t="s">
        <v>1712</v>
      </c>
      <c r="C626" s="6" t="s">
        <v>1713</v>
      </c>
      <c r="E626" s="6" t="s">
        <v>1713</v>
      </c>
      <c r="G626" s="7">
        <v>119</v>
      </c>
      <c r="H626" s="7">
        <v>134.47</v>
      </c>
      <c r="I626" s="7">
        <f t="shared" si="45"/>
        <v>73.78</v>
      </c>
      <c r="J626" s="7">
        <f t="shared" si="46"/>
        <v>77.35</v>
      </c>
      <c r="K626" s="7">
        <f t="shared" si="47"/>
        <v>79.73</v>
      </c>
      <c r="L626" s="7">
        <f t="shared" si="48"/>
        <v>83.3</v>
      </c>
      <c r="M626" s="7">
        <f t="shared" si="49"/>
        <v>85.68</v>
      </c>
    </row>
    <row r="627" ht="25.5" spans="1:13">
      <c r="A627" s="6" t="s">
        <v>1508</v>
      </c>
      <c r="B627" s="6" t="s">
        <v>1714</v>
      </c>
      <c r="C627" s="6" t="s">
        <v>1715</v>
      </c>
      <c r="E627" s="6" t="s">
        <v>1716</v>
      </c>
      <c r="G627" s="7">
        <v>347</v>
      </c>
      <c r="H627" s="7">
        <v>392.11</v>
      </c>
      <c r="I627" s="7">
        <f t="shared" si="45"/>
        <v>215.14</v>
      </c>
      <c r="J627" s="7">
        <f t="shared" si="46"/>
        <v>225.55</v>
      </c>
      <c r="K627" s="7">
        <f t="shared" si="47"/>
        <v>232.49</v>
      </c>
      <c r="L627" s="7">
        <f t="shared" si="48"/>
        <v>242.9</v>
      </c>
      <c r="M627" s="7">
        <f t="shared" si="49"/>
        <v>249.84</v>
      </c>
    </row>
    <row r="628" ht="38.25" spans="1:13">
      <c r="A628" s="6" t="s">
        <v>1508</v>
      </c>
      <c r="B628" s="6" t="s">
        <v>1717</v>
      </c>
      <c r="C628" s="6" t="s">
        <v>1718</v>
      </c>
      <c r="E628" s="6" t="s">
        <v>1719</v>
      </c>
      <c r="G628" s="7">
        <v>421</v>
      </c>
      <c r="H628" s="7">
        <v>475.73</v>
      </c>
      <c r="I628" s="7">
        <f t="shared" si="45"/>
        <v>261.02</v>
      </c>
      <c r="J628" s="7">
        <f t="shared" si="46"/>
        <v>273.65</v>
      </c>
      <c r="K628" s="7">
        <f t="shared" si="47"/>
        <v>282.07</v>
      </c>
      <c r="L628" s="7">
        <f t="shared" si="48"/>
        <v>294.7</v>
      </c>
      <c r="M628" s="7">
        <f t="shared" si="49"/>
        <v>303.12</v>
      </c>
    </row>
    <row r="629" ht="38.25" spans="1:13">
      <c r="A629" s="6" t="s">
        <v>1508</v>
      </c>
      <c r="B629" s="6" t="s">
        <v>1720</v>
      </c>
      <c r="C629" s="6" t="s">
        <v>1721</v>
      </c>
      <c r="E629" s="6" t="s">
        <v>1722</v>
      </c>
      <c r="G629" s="7">
        <v>359</v>
      </c>
      <c r="H629" s="7">
        <v>405.67</v>
      </c>
      <c r="I629" s="7">
        <f t="shared" si="45"/>
        <v>222.58</v>
      </c>
      <c r="J629" s="7">
        <f t="shared" si="46"/>
        <v>233.35</v>
      </c>
      <c r="K629" s="7">
        <f t="shared" si="47"/>
        <v>240.53</v>
      </c>
      <c r="L629" s="7">
        <f t="shared" si="48"/>
        <v>251.3</v>
      </c>
      <c r="M629" s="7">
        <f t="shared" si="49"/>
        <v>258.48</v>
      </c>
    </row>
    <row r="630" ht="25.5" spans="1:13">
      <c r="A630" s="6" t="s">
        <v>18</v>
      </c>
      <c r="B630" s="6" t="s">
        <v>1723</v>
      </c>
      <c r="C630" s="6" t="s">
        <v>1724</v>
      </c>
      <c r="E630" s="6" t="s">
        <v>1725</v>
      </c>
      <c r="G630" s="7">
        <v>79</v>
      </c>
      <c r="H630" s="7">
        <v>89.27</v>
      </c>
      <c r="I630" s="7">
        <f t="shared" si="45"/>
        <v>48.98</v>
      </c>
      <c r="J630" s="7">
        <f t="shared" si="46"/>
        <v>51.35</v>
      </c>
      <c r="K630" s="7">
        <f t="shared" si="47"/>
        <v>52.93</v>
      </c>
      <c r="L630" s="7">
        <f t="shared" si="48"/>
        <v>55.3</v>
      </c>
      <c r="M630" s="7">
        <f t="shared" si="49"/>
        <v>56.88</v>
      </c>
    </row>
    <row r="631" spans="1:13">
      <c r="A631" s="6" t="s">
        <v>18</v>
      </c>
      <c r="B631" s="6" t="s">
        <v>1726</v>
      </c>
      <c r="C631" s="6" t="s">
        <v>1727</v>
      </c>
      <c r="E631" s="6" t="s">
        <v>1727</v>
      </c>
      <c r="G631" s="7">
        <v>459</v>
      </c>
      <c r="H631" s="7">
        <v>518.67</v>
      </c>
      <c r="I631" s="7">
        <f t="shared" si="45"/>
        <v>284.58</v>
      </c>
      <c r="J631" s="7">
        <f t="shared" si="46"/>
        <v>298.35</v>
      </c>
      <c r="K631" s="7">
        <f t="shared" si="47"/>
        <v>307.53</v>
      </c>
      <c r="L631" s="7">
        <f t="shared" si="48"/>
        <v>321.3</v>
      </c>
      <c r="M631" s="7">
        <f t="shared" si="49"/>
        <v>330.48</v>
      </c>
    </row>
    <row r="632" spans="1:13">
      <c r="A632" s="6" t="s">
        <v>18</v>
      </c>
      <c r="B632" s="6" t="s">
        <v>1728</v>
      </c>
      <c r="C632" s="6" t="s">
        <v>1729</v>
      </c>
      <c r="E632" s="6" t="s">
        <v>1730</v>
      </c>
      <c r="G632" s="7">
        <v>99</v>
      </c>
      <c r="H632" s="7">
        <v>111.87</v>
      </c>
      <c r="I632" s="7">
        <f t="shared" si="45"/>
        <v>61.38</v>
      </c>
      <c r="J632" s="7">
        <f t="shared" si="46"/>
        <v>64.35</v>
      </c>
      <c r="K632" s="7">
        <f t="shared" si="47"/>
        <v>66.33</v>
      </c>
      <c r="L632" s="7">
        <f t="shared" si="48"/>
        <v>69.3</v>
      </c>
      <c r="M632" s="7">
        <f t="shared" si="49"/>
        <v>71.28</v>
      </c>
    </row>
    <row r="633" ht="51" spans="1:13">
      <c r="A633" s="6" t="s">
        <v>18</v>
      </c>
      <c r="B633" s="6" t="s">
        <v>1731</v>
      </c>
      <c r="C633" s="6" t="s">
        <v>1732</v>
      </c>
      <c r="E633" s="6" t="s">
        <v>1733</v>
      </c>
      <c r="G633" s="7">
        <v>119</v>
      </c>
      <c r="H633" s="7">
        <v>134.47</v>
      </c>
      <c r="I633" s="7">
        <f t="shared" si="45"/>
        <v>73.78</v>
      </c>
      <c r="J633" s="7">
        <f t="shared" si="46"/>
        <v>77.35</v>
      </c>
      <c r="K633" s="7">
        <f t="shared" si="47"/>
        <v>79.73</v>
      </c>
      <c r="L633" s="7">
        <f t="shared" si="48"/>
        <v>83.3</v>
      </c>
      <c r="M633" s="7">
        <f t="shared" si="49"/>
        <v>85.68</v>
      </c>
    </row>
    <row r="634" spans="1:13">
      <c r="A634" s="6" t="s">
        <v>18</v>
      </c>
      <c r="B634" s="6" t="s">
        <v>1734</v>
      </c>
      <c r="C634" s="6" t="s">
        <v>1735</v>
      </c>
      <c r="E634" s="6" t="s">
        <v>1735</v>
      </c>
      <c r="G634" s="7">
        <v>419</v>
      </c>
      <c r="H634" s="7">
        <v>473.47</v>
      </c>
      <c r="I634" s="7">
        <f t="shared" si="45"/>
        <v>259.78</v>
      </c>
      <c r="J634" s="7">
        <f t="shared" si="46"/>
        <v>272.35</v>
      </c>
      <c r="K634" s="7">
        <f t="shared" si="47"/>
        <v>280.73</v>
      </c>
      <c r="L634" s="7">
        <f t="shared" si="48"/>
        <v>293.3</v>
      </c>
      <c r="M634" s="7">
        <f t="shared" si="49"/>
        <v>301.68</v>
      </c>
    </row>
    <row r="635" spans="1:13">
      <c r="A635" s="6" t="s">
        <v>18</v>
      </c>
      <c r="B635" s="6" t="s">
        <v>1736</v>
      </c>
      <c r="C635" s="6" t="s">
        <v>1737</v>
      </c>
      <c r="E635" s="6" t="s">
        <v>1737</v>
      </c>
      <c r="G635" s="7">
        <v>799</v>
      </c>
      <c r="H635" s="7">
        <v>902.87</v>
      </c>
      <c r="I635" s="7">
        <f t="shared" si="45"/>
        <v>495.38</v>
      </c>
      <c r="J635" s="7">
        <f t="shared" si="46"/>
        <v>519.35</v>
      </c>
      <c r="K635" s="7">
        <f t="shared" si="47"/>
        <v>535.33</v>
      </c>
      <c r="L635" s="7">
        <f t="shared" si="48"/>
        <v>559.3</v>
      </c>
      <c r="M635" s="7">
        <f t="shared" si="49"/>
        <v>575.28</v>
      </c>
    </row>
    <row r="636" ht="25.5" spans="1:13">
      <c r="A636" s="6" t="s">
        <v>376</v>
      </c>
      <c r="B636" s="6" t="s">
        <v>1738</v>
      </c>
      <c r="C636" s="6" t="s">
        <v>1739</v>
      </c>
      <c r="E636" s="6" t="s">
        <v>1740</v>
      </c>
      <c r="G636" s="7">
        <v>179</v>
      </c>
      <c r="H636" s="7">
        <v>202.27</v>
      </c>
      <c r="I636" s="7">
        <f t="shared" si="45"/>
        <v>110.98</v>
      </c>
      <c r="J636" s="7">
        <f t="shared" si="46"/>
        <v>116.35</v>
      </c>
      <c r="K636" s="7">
        <f t="shared" si="47"/>
        <v>119.93</v>
      </c>
      <c r="L636" s="7">
        <f t="shared" si="48"/>
        <v>125.3</v>
      </c>
      <c r="M636" s="7">
        <f t="shared" si="49"/>
        <v>128.88</v>
      </c>
    </row>
    <row r="637" ht="25.5" spans="1:13">
      <c r="A637" s="6" t="s">
        <v>376</v>
      </c>
      <c r="B637" s="6" t="s">
        <v>1741</v>
      </c>
      <c r="C637" s="6" t="s">
        <v>1742</v>
      </c>
      <c r="E637" s="6" t="s">
        <v>1743</v>
      </c>
      <c r="G637" s="7">
        <v>99</v>
      </c>
      <c r="H637" s="7">
        <v>111.87</v>
      </c>
      <c r="I637" s="7">
        <f t="shared" si="45"/>
        <v>61.38</v>
      </c>
      <c r="J637" s="7">
        <f t="shared" si="46"/>
        <v>64.35</v>
      </c>
      <c r="K637" s="7">
        <f t="shared" si="47"/>
        <v>66.33</v>
      </c>
      <c r="L637" s="7">
        <f t="shared" si="48"/>
        <v>69.3</v>
      </c>
      <c r="M637" s="7">
        <f t="shared" si="49"/>
        <v>71.28</v>
      </c>
    </row>
    <row r="638" ht="25.5" spans="1:13">
      <c r="A638" s="6" t="s">
        <v>418</v>
      </c>
      <c r="B638" s="6" t="s">
        <v>1744</v>
      </c>
      <c r="C638" s="6" t="s">
        <v>1745</v>
      </c>
      <c r="E638" s="6" t="s">
        <v>1746</v>
      </c>
      <c r="G638" s="7">
        <v>99</v>
      </c>
      <c r="H638" s="7">
        <v>111.87</v>
      </c>
      <c r="I638" s="7">
        <f t="shared" si="45"/>
        <v>61.38</v>
      </c>
      <c r="J638" s="7">
        <f t="shared" si="46"/>
        <v>64.35</v>
      </c>
      <c r="K638" s="7">
        <f t="shared" si="47"/>
        <v>66.33</v>
      </c>
      <c r="L638" s="7">
        <f t="shared" si="48"/>
        <v>69.3</v>
      </c>
      <c r="M638" s="7">
        <f t="shared" si="49"/>
        <v>71.28</v>
      </c>
    </row>
    <row r="639" ht="76.5" spans="1:13">
      <c r="A639" s="6" t="s">
        <v>432</v>
      </c>
      <c r="B639" s="6" t="s">
        <v>1747</v>
      </c>
      <c r="C639" s="6" t="s">
        <v>1748</v>
      </c>
      <c r="E639" s="6" t="s">
        <v>1749</v>
      </c>
      <c r="G639" s="7">
        <v>1999</v>
      </c>
      <c r="H639" s="7">
        <v>2258.87</v>
      </c>
      <c r="I639" s="7">
        <f t="shared" si="45"/>
        <v>1239.38</v>
      </c>
      <c r="J639" s="7">
        <f t="shared" si="46"/>
        <v>1299.35</v>
      </c>
      <c r="K639" s="7">
        <f t="shared" si="47"/>
        <v>1339.33</v>
      </c>
      <c r="L639" s="7">
        <f t="shared" si="48"/>
        <v>1399.3</v>
      </c>
      <c r="M639" s="7">
        <f t="shared" si="49"/>
        <v>1439.28</v>
      </c>
    </row>
    <row r="640" ht="63.75" spans="1:13">
      <c r="A640" s="6" t="s">
        <v>432</v>
      </c>
      <c r="B640" s="6" t="s">
        <v>1750</v>
      </c>
      <c r="C640" s="6" t="s">
        <v>1751</v>
      </c>
      <c r="E640" s="6" t="s">
        <v>1752</v>
      </c>
      <c r="G640" s="7">
        <v>2299</v>
      </c>
      <c r="H640" s="7">
        <v>2597.87</v>
      </c>
      <c r="I640" s="7">
        <f t="shared" si="45"/>
        <v>1425.38</v>
      </c>
      <c r="J640" s="7">
        <f t="shared" si="46"/>
        <v>1494.35</v>
      </c>
      <c r="K640" s="7">
        <f t="shared" si="47"/>
        <v>1540.33</v>
      </c>
      <c r="L640" s="7">
        <f t="shared" si="48"/>
        <v>1609.3</v>
      </c>
      <c r="M640" s="7">
        <f t="shared" si="49"/>
        <v>1655.28</v>
      </c>
    </row>
    <row r="641" ht="63.75" spans="1:13">
      <c r="A641" s="6" t="s">
        <v>432</v>
      </c>
      <c r="B641" s="6" t="s">
        <v>1753</v>
      </c>
      <c r="C641" s="6" t="s">
        <v>1754</v>
      </c>
      <c r="E641" s="6" t="s">
        <v>1755</v>
      </c>
      <c r="G641" s="7">
        <v>2599</v>
      </c>
      <c r="H641" s="7">
        <v>2936.87</v>
      </c>
      <c r="I641" s="7">
        <f t="shared" si="45"/>
        <v>1611.38</v>
      </c>
      <c r="J641" s="7">
        <f t="shared" si="46"/>
        <v>1689.35</v>
      </c>
      <c r="K641" s="7">
        <f t="shared" si="47"/>
        <v>1741.33</v>
      </c>
      <c r="L641" s="7">
        <f t="shared" si="48"/>
        <v>1819.3</v>
      </c>
      <c r="M641" s="7">
        <f t="shared" si="49"/>
        <v>1871.28</v>
      </c>
    </row>
    <row r="642" ht="63.75" spans="1:13">
      <c r="A642" s="6" t="s">
        <v>432</v>
      </c>
      <c r="B642" s="6" t="s">
        <v>1756</v>
      </c>
      <c r="C642" s="6" t="s">
        <v>1757</v>
      </c>
      <c r="E642" s="6" t="s">
        <v>1758</v>
      </c>
      <c r="G642" s="7">
        <v>2599</v>
      </c>
      <c r="H642" s="7">
        <v>2936.87</v>
      </c>
      <c r="I642" s="7">
        <f t="shared" ref="I642:I705" si="50">G642*0.62</f>
        <v>1611.38</v>
      </c>
      <c r="J642" s="7">
        <f t="shared" ref="J642:J705" si="51">G642*0.65</f>
        <v>1689.35</v>
      </c>
      <c r="K642" s="7">
        <f t="shared" ref="K642:K705" si="52">G642*0.67</f>
        <v>1741.33</v>
      </c>
      <c r="L642" s="7">
        <f t="shared" ref="L642:L705" si="53">G642*0.7</f>
        <v>1819.3</v>
      </c>
      <c r="M642" s="7">
        <f t="shared" ref="M642:M705" si="54">G642*0.72</f>
        <v>1871.28</v>
      </c>
    </row>
    <row r="643" ht="38.25" spans="1:13">
      <c r="A643" s="6" t="s">
        <v>432</v>
      </c>
      <c r="B643" s="6" t="s">
        <v>1759</v>
      </c>
      <c r="C643" s="6" t="s">
        <v>1760</v>
      </c>
      <c r="E643" s="6" t="s">
        <v>1761</v>
      </c>
      <c r="G643" s="7">
        <v>3449</v>
      </c>
      <c r="H643" s="7">
        <v>3897.37</v>
      </c>
      <c r="I643" s="7">
        <f t="shared" si="50"/>
        <v>2138.38</v>
      </c>
      <c r="J643" s="7">
        <f t="shared" si="51"/>
        <v>2241.85</v>
      </c>
      <c r="K643" s="7">
        <f t="shared" si="52"/>
        <v>2310.83</v>
      </c>
      <c r="L643" s="7">
        <f t="shared" si="53"/>
        <v>2414.3</v>
      </c>
      <c r="M643" s="7">
        <f t="shared" si="54"/>
        <v>2483.28</v>
      </c>
    </row>
    <row r="644" ht="38.25" spans="1:13">
      <c r="A644" s="6" t="s">
        <v>432</v>
      </c>
      <c r="B644" s="6" t="s">
        <v>1762</v>
      </c>
      <c r="C644" s="6" t="s">
        <v>1763</v>
      </c>
      <c r="E644" s="6" t="s">
        <v>1764</v>
      </c>
      <c r="G644" s="7">
        <v>3549</v>
      </c>
      <c r="H644" s="7">
        <v>4010.37</v>
      </c>
      <c r="I644" s="7">
        <f t="shared" si="50"/>
        <v>2200.38</v>
      </c>
      <c r="J644" s="7">
        <f t="shared" si="51"/>
        <v>2306.85</v>
      </c>
      <c r="K644" s="7">
        <f t="shared" si="52"/>
        <v>2377.83</v>
      </c>
      <c r="L644" s="7">
        <f t="shared" si="53"/>
        <v>2484.3</v>
      </c>
      <c r="M644" s="7">
        <f t="shared" si="54"/>
        <v>2555.28</v>
      </c>
    </row>
    <row r="645" ht="63.75" spans="1:13">
      <c r="A645" s="6" t="s">
        <v>548</v>
      </c>
      <c r="B645" s="6" t="s">
        <v>1765</v>
      </c>
      <c r="C645" s="6" t="s">
        <v>1766</v>
      </c>
      <c r="E645" s="6" t="s">
        <v>1767</v>
      </c>
      <c r="G645" s="7">
        <v>998</v>
      </c>
      <c r="H645" s="7">
        <v>1127.74</v>
      </c>
      <c r="I645" s="7">
        <f t="shared" si="50"/>
        <v>618.76</v>
      </c>
      <c r="J645" s="7">
        <f t="shared" si="51"/>
        <v>648.7</v>
      </c>
      <c r="K645" s="7">
        <f t="shared" si="52"/>
        <v>668.66</v>
      </c>
      <c r="L645" s="7">
        <f t="shared" si="53"/>
        <v>698.6</v>
      </c>
      <c r="M645" s="7">
        <f t="shared" si="54"/>
        <v>718.56</v>
      </c>
    </row>
    <row r="646" ht="63.75" spans="1:13">
      <c r="A646" s="6" t="s">
        <v>548</v>
      </c>
      <c r="B646" s="6" t="s">
        <v>1768</v>
      </c>
      <c r="C646" s="6" t="s">
        <v>1769</v>
      </c>
      <c r="E646" s="6" t="s">
        <v>1770</v>
      </c>
      <c r="G646" s="7">
        <v>1659</v>
      </c>
      <c r="H646" s="7">
        <v>1874.67</v>
      </c>
      <c r="I646" s="7">
        <f t="shared" si="50"/>
        <v>1028.58</v>
      </c>
      <c r="J646" s="7">
        <f t="shared" si="51"/>
        <v>1078.35</v>
      </c>
      <c r="K646" s="7">
        <f t="shared" si="52"/>
        <v>1111.53</v>
      </c>
      <c r="L646" s="7">
        <f t="shared" si="53"/>
        <v>1161.3</v>
      </c>
      <c r="M646" s="7">
        <f t="shared" si="54"/>
        <v>1194.48</v>
      </c>
    </row>
    <row r="647" spans="1:13">
      <c r="A647" s="6" t="s">
        <v>25</v>
      </c>
      <c r="B647" s="6" t="s">
        <v>1771</v>
      </c>
      <c r="C647" s="6" t="s">
        <v>1772</v>
      </c>
      <c r="E647" s="6" t="s">
        <v>1772</v>
      </c>
      <c r="G647" s="7">
        <v>19</v>
      </c>
      <c r="H647" s="7">
        <v>21.47</v>
      </c>
      <c r="I647" s="7">
        <f t="shared" si="50"/>
        <v>11.78</v>
      </c>
      <c r="J647" s="7">
        <f t="shared" si="51"/>
        <v>12.35</v>
      </c>
      <c r="K647" s="7">
        <f t="shared" si="52"/>
        <v>12.73</v>
      </c>
      <c r="L647" s="7">
        <f t="shared" si="53"/>
        <v>13.3</v>
      </c>
      <c r="M647" s="7">
        <f t="shared" si="54"/>
        <v>13.68</v>
      </c>
    </row>
    <row r="648" ht="25.5" spans="1:13">
      <c r="A648" s="6" t="s">
        <v>14</v>
      </c>
      <c r="B648" s="6" t="s">
        <v>1773</v>
      </c>
      <c r="C648" s="6" t="s">
        <v>1774</v>
      </c>
      <c r="E648" s="6" t="s">
        <v>1775</v>
      </c>
      <c r="G648" s="7">
        <v>159</v>
      </c>
      <c r="H648" s="7">
        <v>179.67</v>
      </c>
      <c r="I648" s="7">
        <f t="shared" si="50"/>
        <v>98.58</v>
      </c>
      <c r="J648" s="7">
        <f t="shared" si="51"/>
        <v>103.35</v>
      </c>
      <c r="K648" s="7">
        <f t="shared" si="52"/>
        <v>106.53</v>
      </c>
      <c r="L648" s="7">
        <f t="shared" si="53"/>
        <v>111.3</v>
      </c>
      <c r="M648" s="7">
        <f t="shared" si="54"/>
        <v>114.48</v>
      </c>
    </row>
    <row r="649" spans="1:13">
      <c r="A649" s="6" t="s">
        <v>548</v>
      </c>
      <c r="B649" s="6" t="s">
        <v>1776</v>
      </c>
      <c r="C649" s="6" t="s">
        <v>1777</v>
      </c>
      <c r="E649" s="6" t="s">
        <v>1778</v>
      </c>
      <c r="G649" s="7">
        <v>999</v>
      </c>
      <c r="H649" s="7">
        <v>1128.87</v>
      </c>
      <c r="I649" s="7">
        <f t="shared" si="50"/>
        <v>619.38</v>
      </c>
      <c r="J649" s="7">
        <f t="shared" si="51"/>
        <v>649.35</v>
      </c>
      <c r="K649" s="7">
        <f t="shared" si="52"/>
        <v>669.33</v>
      </c>
      <c r="L649" s="7">
        <f t="shared" si="53"/>
        <v>699.3</v>
      </c>
      <c r="M649" s="7">
        <f t="shared" si="54"/>
        <v>719.28</v>
      </c>
    </row>
    <row r="650" spans="1:13">
      <c r="A650" s="6" t="s">
        <v>18</v>
      </c>
      <c r="B650" s="6" t="s">
        <v>1779</v>
      </c>
      <c r="C650" s="6" t="s">
        <v>1780</v>
      </c>
      <c r="E650" s="6" t="s">
        <v>1780</v>
      </c>
      <c r="G650" s="7">
        <v>19</v>
      </c>
      <c r="H650" s="7">
        <v>21.47</v>
      </c>
      <c r="I650" s="7">
        <f t="shared" si="50"/>
        <v>11.78</v>
      </c>
      <c r="J650" s="7">
        <f t="shared" si="51"/>
        <v>12.35</v>
      </c>
      <c r="K650" s="7">
        <f t="shared" si="52"/>
        <v>12.73</v>
      </c>
      <c r="L650" s="7">
        <f t="shared" si="53"/>
        <v>13.3</v>
      </c>
      <c r="M650" s="7">
        <f t="shared" si="54"/>
        <v>13.68</v>
      </c>
    </row>
    <row r="651" spans="1:13">
      <c r="A651" s="6" t="s">
        <v>228</v>
      </c>
      <c r="B651" s="6" t="s">
        <v>1781</v>
      </c>
      <c r="C651" s="6" t="s">
        <v>1782</v>
      </c>
      <c r="E651" s="6" t="s">
        <v>1782</v>
      </c>
      <c r="G651" s="7">
        <v>551</v>
      </c>
      <c r="H651" s="7">
        <v>622.63</v>
      </c>
      <c r="I651" s="7">
        <f t="shared" si="50"/>
        <v>341.62</v>
      </c>
      <c r="J651" s="7">
        <f t="shared" si="51"/>
        <v>358.15</v>
      </c>
      <c r="K651" s="7">
        <f t="shared" si="52"/>
        <v>369.17</v>
      </c>
      <c r="L651" s="7">
        <f t="shared" si="53"/>
        <v>385.7</v>
      </c>
      <c r="M651" s="7">
        <f t="shared" si="54"/>
        <v>396.72</v>
      </c>
    </row>
    <row r="652" ht="25.5" spans="1:13">
      <c r="A652" s="6" t="s">
        <v>1783</v>
      </c>
      <c r="B652" s="6" t="s">
        <v>1784</v>
      </c>
      <c r="C652" s="6" t="s">
        <v>1785</v>
      </c>
      <c r="E652" s="6" t="s">
        <v>1786</v>
      </c>
      <c r="G652" s="7">
        <v>999</v>
      </c>
      <c r="H652" s="7">
        <v>1128.87</v>
      </c>
      <c r="I652" s="7">
        <f t="shared" si="50"/>
        <v>619.38</v>
      </c>
      <c r="J652" s="7">
        <f t="shared" si="51"/>
        <v>649.35</v>
      </c>
      <c r="K652" s="7">
        <f t="shared" si="52"/>
        <v>669.33</v>
      </c>
      <c r="L652" s="7">
        <f t="shared" si="53"/>
        <v>699.3</v>
      </c>
      <c r="M652" s="7">
        <f t="shared" si="54"/>
        <v>719.28</v>
      </c>
    </row>
    <row r="653" ht="63.75" spans="1:13">
      <c r="A653" s="6" t="s">
        <v>548</v>
      </c>
      <c r="B653" s="6" t="s">
        <v>1787</v>
      </c>
      <c r="C653" s="6" t="s">
        <v>1788</v>
      </c>
      <c r="E653" s="6" t="s">
        <v>1789</v>
      </c>
      <c r="G653" s="7">
        <v>599</v>
      </c>
      <c r="H653" s="7">
        <v>676.87</v>
      </c>
      <c r="I653" s="7">
        <f t="shared" si="50"/>
        <v>371.38</v>
      </c>
      <c r="J653" s="7">
        <f t="shared" si="51"/>
        <v>389.35</v>
      </c>
      <c r="K653" s="7">
        <f t="shared" si="52"/>
        <v>401.33</v>
      </c>
      <c r="L653" s="7">
        <f t="shared" si="53"/>
        <v>419.3</v>
      </c>
      <c r="M653" s="7">
        <f t="shared" si="54"/>
        <v>431.28</v>
      </c>
    </row>
    <row r="654" spans="1:13">
      <c r="A654" s="6" t="s">
        <v>18</v>
      </c>
      <c r="B654" s="6" t="s">
        <v>1790</v>
      </c>
      <c r="C654" s="6" t="s">
        <v>1791</v>
      </c>
      <c r="E654" s="6" t="s">
        <v>1791</v>
      </c>
      <c r="G654" s="7">
        <v>19</v>
      </c>
      <c r="H654" s="7">
        <v>21.47</v>
      </c>
      <c r="I654" s="7">
        <f t="shared" si="50"/>
        <v>11.78</v>
      </c>
      <c r="J654" s="7">
        <f t="shared" si="51"/>
        <v>12.35</v>
      </c>
      <c r="K654" s="7">
        <f t="shared" si="52"/>
        <v>12.73</v>
      </c>
      <c r="L654" s="7">
        <f t="shared" si="53"/>
        <v>13.3</v>
      </c>
      <c r="M654" s="7">
        <f t="shared" si="54"/>
        <v>13.68</v>
      </c>
    </row>
    <row r="655" ht="25.5" spans="1:13">
      <c r="A655" s="6" t="s">
        <v>18</v>
      </c>
      <c r="B655" s="6" t="s">
        <v>1792</v>
      </c>
      <c r="C655" s="6" t="s">
        <v>1793</v>
      </c>
      <c r="E655" s="6" t="s">
        <v>1794</v>
      </c>
      <c r="G655" s="7">
        <v>19</v>
      </c>
      <c r="H655" s="7">
        <v>21.47</v>
      </c>
      <c r="I655" s="7">
        <f t="shared" si="50"/>
        <v>11.78</v>
      </c>
      <c r="J655" s="7">
        <f t="shared" si="51"/>
        <v>12.35</v>
      </c>
      <c r="K655" s="7">
        <f t="shared" si="52"/>
        <v>12.73</v>
      </c>
      <c r="L655" s="7">
        <f t="shared" si="53"/>
        <v>13.3</v>
      </c>
      <c r="M655" s="7">
        <f t="shared" si="54"/>
        <v>13.68</v>
      </c>
    </row>
    <row r="656" ht="51" spans="1:13">
      <c r="A656" s="6" t="s">
        <v>548</v>
      </c>
      <c r="B656" s="6" t="s">
        <v>1795</v>
      </c>
      <c r="C656" s="6" t="s">
        <v>1796</v>
      </c>
      <c r="E656" s="6" t="s">
        <v>1797</v>
      </c>
      <c r="G656" s="7">
        <v>749</v>
      </c>
      <c r="H656" s="7">
        <v>846.37</v>
      </c>
      <c r="I656" s="7">
        <f t="shared" si="50"/>
        <v>464.38</v>
      </c>
      <c r="J656" s="7">
        <f t="shared" si="51"/>
        <v>486.85</v>
      </c>
      <c r="K656" s="7">
        <f t="shared" si="52"/>
        <v>501.83</v>
      </c>
      <c r="L656" s="7">
        <f t="shared" si="53"/>
        <v>524.3</v>
      </c>
      <c r="M656" s="7">
        <f t="shared" si="54"/>
        <v>539.28</v>
      </c>
    </row>
    <row r="657" ht="25.5" spans="1:13">
      <c r="A657" s="6" t="s">
        <v>548</v>
      </c>
      <c r="B657" s="6" t="s">
        <v>1798</v>
      </c>
      <c r="C657" s="6" t="s">
        <v>1799</v>
      </c>
      <c r="E657" s="6" t="s">
        <v>1800</v>
      </c>
      <c r="G657" s="7">
        <v>1449</v>
      </c>
      <c r="H657" s="7">
        <v>1637.37</v>
      </c>
      <c r="I657" s="7">
        <f t="shared" si="50"/>
        <v>898.38</v>
      </c>
      <c r="J657" s="7">
        <f t="shared" si="51"/>
        <v>941.85</v>
      </c>
      <c r="K657" s="7">
        <f t="shared" si="52"/>
        <v>970.83</v>
      </c>
      <c r="L657" s="7">
        <f t="shared" si="53"/>
        <v>1014.3</v>
      </c>
      <c r="M657" s="7">
        <f t="shared" si="54"/>
        <v>1043.28</v>
      </c>
    </row>
    <row r="658" spans="1:13">
      <c r="A658" s="6" t="s">
        <v>18</v>
      </c>
      <c r="B658" s="6" t="s">
        <v>1801</v>
      </c>
      <c r="C658" s="6" t="s">
        <v>1802</v>
      </c>
      <c r="E658" s="6" t="s">
        <v>1803</v>
      </c>
      <c r="G658" s="7">
        <v>39</v>
      </c>
      <c r="H658" s="7">
        <v>44.07</v>
      </c>
      <c r="I658" s="7">
        <f t="shared" si="50"/>
        <v>24.18</v>
      </c>
      <c r="J658" s="7">
        <f t="shared" si="51"/>
        <v>25.35</v>
      </c>
      <c r="K658" s="7">
        <f t="shared" si="52"/>
        <v>26.13</v>
      </c>
      <c r="L658" s="7">
        <f t="shared" si="53"/>
        <v>27.3</v>
      </c>
      <c r="M658" s="7">
        <f t="shared" si="54"/>
        <v>28.08</v>
      </c>
    </row>
    <row r="659" ht="51" spans="1:13">
      <c r="A659" s="6" t="s">
        <v>548</v>
      </c>
      <c r="B659" s="6" t="s">
        <v>1804</v>
      </c>
      <c r="C659" s="6" t="s">
        <v>1805</v>
      </c>
      <c r="E659" s="6" t="s">
        <v>1806</v>
      </c>
      <c r="G659" s="7">
        <v>1249</v>
      </c>
      <c r="H659" s="7">
        <v>1411.37</v>
      </c>
      <c r="I659" s="7">
        <f t="shared" si="50"/>
        <v>774.38</v>
      </c>
      <c r="J659" s="7">
        <f t="shared" si="51"/>
        <v>811.85</v>
      </c>
      <c r="K659" s="7">
        <f t="shared" si="52"/>
        <v>836.83</v>
      </c>
      <c r="L659" s="7">
        <f t="shared" si="53"/>
        <v>874.3</v>
      </c>
      <c r="M659" s="7">
        <f t="shared" si="54"/>
        <v>899.28</v>
      </c>
    </row>
    <row r="660" spans="1:13">
      <c r="A660" s="6" t="s">
        <v>18</v>
      </c>
      <c r="B660" s="6" t="s">
        <v>1807</v>
      </c>
      <c r="C660" s="6" t="s">
        <v>1808</v>
      </c>
      <c r="E660" s="6" t="s">
        <v>1809</v>
      </c>
      <c r="G660" s="7">
        <v>40</v>
      </c>
      <c r="H660" s="7">
        <v>45.2</v>
      </c>
      <c r="I660" s="7">
        <f t="shared" si="50"/>
        <v>24.8</v>
      </c>
      <c r="J660" s="7">
        <f t="shared" si="51"/>
        <v>26</v>
      </c>
      <c r="K660" s="7">
        <f t="shared" si="52"/>
        <v>26.8</v>
      </c>
      <c r="L660" s="7">
        <f t="shared" si="53"/>
        <v>28</v>
      </c>
      <c r="M660" s="7">
        <f t="shared" si="54"/>
        <v>28.8</v>
      </c>
    </row>
    <row r="661" ht="63.75" spans="1:13">
      <c r="A661" s="6" t="s">
        <v>432</v>
      </c>
      <c r="B661" s="6" t="s">
        <v>1810</v>
      </c>
      <c r="C661" s="6" t="s">
        <v>1811</v>
      </c>
      <c r="E661" s="6" t="s">
        <v>1812</v>
      </c>
      <c r="G661" s="7">
        <v>431</v>
      </c>
      <c r="H661" s="7">
        <v>487.03</v>
      </c>
      <c r="I661" s="7">
        <f t="shared" si="50"/>
        <v>267.22</v>
      </c>
      <c r="J661" s="7">
        <f t="shared" si="51"/>
        <v>280.15</v>
      </c>
      <c r="K661" s="7">
        <f t="shared" si="52"/>
        <v>288.77</v>
      </c>
      <c r="L661" s="7">
        <f t="shared" si="53"/>
        <v>301.7</v>
      </c>
      <c r="M661" s="7">
        <f t="shared" si="54"/>
        <v>310.32</v>
      </c>
    </row>
    <row r="662" spans="1:13">
      <c r="A662" s="6" t="s">
        <v>370</v>
      </c>
      <c r="B662" s="6" t="s">
        <v>1813</v>
      </c>
      <c r="C662" s="6" t="s">
        <v>1814</v>
      </c>
      <c r="E662" s="6" t="s">
        <v>1814</v>
      </c>
      <c r="G662" s="7">
        <v>59</v>
      </c>
      <c r="H662" s="7">
        <v>66.67</v>
      </c>
      <c r="I662" s="7">
        <f t="shared" si="50"/>
        <v>36.58</v>
      </c>
      <c r="J662" s="7">
        <f t="shared" si="51"/>
        <v>38.35</v>
      </c>
      <c r="K662" s="7">
        <f t="shared" si="52"/>
        <v>39.53</v>
      </c>
      <c r="L662" s="7">
        <f t="shared" si="53"/>
        <v>41.3</v>
      </c>
      <c r="M662" s="7">
        <f t="shared" si="54"/>
        <v>42.48</v>
      </c>
    </row>
    <row r="663" spans="1:13">
      <c r="A663" s="6" t="s">
        <v>25</v>
      </c>
      <c r="B663" s="6" t="s">
        <v>1815</v>
      </c>
      <c r="C663" s="6" t="s">
        <v>1816</v>
      </c>
      <c r="E663" s="6" t="s">
        <v>1816</v>
      </c>
      <c r="G663" s="7">
        <v>79</v>
      </c>
      <c r="H663" s="7">
        <v>89.27</v>
      </c>
      <c r="I663" s="7">
        <f t="shared" si="50"/>
        <v>48.98</v>
      </c>
      <c r="J663" s="7">
        <f t="shared" si="51"/>
        <v>51.35</v>
      </c>
      <c r="K663" s="7">
        <f t="shared" si="52"/>
        <v>52.93</v>
      </c>
      <c r="L663" s="7">
        <f t="shared" si="53"/>
        <v>55.3</v>
      </c>
      <c r="M663" s="7">
        <f t="shared" si="54"/>
        <v>56.88</v>
      </c>
    </row>
    <row r="664" spans="1:13">
      <c r="A664" s="6" t="s">
        <v>18</v>
      </c>
      <c r="B664" s="6" t="s">
        <v>1817</v>
      </c>
      <c r="C664" s="6" t="s">
        <v>1818</v>
      </c>
      <c r="E664" s="6" t="s">
        <v>1819</v>
      </c>
      <c r="G664" s="7">
        <v>218</v>
      </c>
      <c r="H664" s="7">
        <v>246.34</v>
      </c>
      <c r="I664" s="7">
        <f t="shared" si="50"/>
        <v>135.16</v>
      </c>
      <c r="J664" s="7">
        <f t="shared" si="51"/>
        <v>141.7</v>
      </c>
      <c r="K664" s="7">
        <f t="shared" si="52"/>
        <v>146.06</v>
      </c>
      <c r="L664" s="7">
        <f t="shared" si="53"/>
        <v>152.6</v>
      </c>
      <c r="M664" s="7">
        <f t="shared" si="54"/>
        <v>156.96</v>
      </c>
    </row>
    <row r="665" spans="1:13">
      <c r="A665" s="6" t="s">
        <v>25</v>
      </c>
      <c r="B665" s="6" t="s">
        <v>1820</v>
      </c>
      <c r="C665" s="6" t="s">
        <v>1821</v>
      </c>
      <c r="E665" s="6" t="s">
        <v>1821</v>
      </c>
      <c r="G665" s="7">
        <v>210</v>
      </c>
      <c r="H665" s="7">
        <v>237.3</v>
      </c>
      <c r="I665" s="7">
        <f t="shared" si="50"/>
        <v>130.2</v>
      </c>
      <c r="J665" s="7">
        <f t="shared" si="51"/>
        <v>136.5</v>
      </c>
      <c r="K665" s="7">
        <f t="shared" si="52"/>
        <v>140.7</v>
      </c>
      <c r="L665" s="7">
        <f t="shared" si="53"/>
        <v>147</v>
      </c>
      <c r="M665" s="7">
        <f t="shared" si="54"/>
        <v>151.2</v>
      </c>
    </row>
    <row r="666" spans="1:13">
      <c r="A666" s="6" t="s">
        <v>228</v>
      </c>
      <c r="B666" s="6" t="s">
        <v>1822</v>
      </c>
      <c r="C666" s="6" t="s">
        <v>1823</v>
      </c>
      <c r="E666" s="6" t="s">
        <v>1823</v>
      </c>
      <c r="G666" s="7">
        <v>851</v>
      </c>
      <c r="H666" s="7">
        <v>961.63</v>
      </c>
      <c r="I666" s="7">
        <f t="shared" si="50"/>
        <v>527.62</v>
      </c>
      <c r="J666" s="7">
        <f t="shared" si="51"/>
        <v>553.15</v>
      </c>
      <c r="K666" s="7">
        <f t="shared" si="52"/>
        <v>570.17</v>
      </c>
      <c r="L666" s="7">
        <f t="shared" si="53"/>
        <v>595.7</v>
      </c>
      <c r="M666" s="7">
        <f t="shared" si="54"/>
        <v>612.72</v>
      </c>
    </row>
    <row r="667" ht="38.25" spans="1:13">
      <c r="A667" s="6" t="s">
        <v>432</v>
      </c>
      <c r="B667" s="6" t="s">
        <v>1824</v>
      </c>
      <c r="C667" s="6" t="s">
        <v>1825</v>
      </c>
      <c r="E667" s="6" t="s">
        <v>1826</v>
      </c>
      <c r="G667" s="7">
        <v>533</v>
      </c>
      <c r="H667" s="7">
        <v>602.29</v>
      </c>
      <c r="I667" s="7">
        <f t="shared" si="50"/>
        <v>330.46</v>
      </c>
      <c r="J667" s="7">
        <f t="shared" si="51"/>
        <v>346.45</v>
      </c>
      <c r="K667" s="7">
        <f t="shared" si="52"/>
        <v>357.11</v>
      </c>
      <c r="L667" s="7">
        <f t="shared" si="53"/>
        <v>373.1</v>
      </c>
      <c r="M667" s="7">
        <f t="shared" si="54"/>
        <v>383.76</v>
      </c>
    </row>
    <row r="668" ht="25.5" spans="1:13">
      <c r="A668" s="6" t="s">
        <v>18</v>
      </c>
      <c r="B668" s="6" t="s">
        <v>1827</v>
      </c>
      <c r="C668" s="6" t="s">
        <v>1828</v>
      </c>
      <c r="E668" s="6" t="s">
        <v>1829</v>
      </c>
      <c r="G668" s="7">
        <v>79</v>
      </c>
      <c r="H668" s="7">
        <v>89.27</v>
      </c>
      <c r="I668" s="7">
        <f t="shared" si="50"/>
        <v>48.98</v>
      </c>
      <c r="J668" s="7">
        <f t="shared" si="51"/>
        <v>51.35</v>
      </c>
      <c r="K668" s="7">
        <f t="shared" si="52"/>
        <v>52.93</v>
      </c>
      <c r="L668" s="7">
        <f t="shared" si="53"/>
        <v>55.3</v>
      </c>
      <c r="M668" s="7">
        <f t="shared" si="54"/>
        <v>56.88</v>
      </c>
    </row>
    <row r="669" ht="38.25" spans="1:13">
      <c r="A669" s="6" t="s">
        <v>25</v>
      </c>
      <c r="B669" s="6" t="s">
        <v>1830</v>
      </c>
      <c r="C669" s="6" t="s">
        <v>1831</v>
      </c>
      <c r="E669" s="6" t="s">
        <v>1832</v>
      </c>
      <c r="G669" s="7">
        <v>119</v>
      </c>
      <c r="H669" s="7">
        <v>134.47</v>
      </c>
      <c r="I669" s="7">
        <f t="shared" si="50"/>
        <v>73.78</v>
      </c>
      <c r="J669" s="7">
        <f t="shared" si="51"/>
        <v>77.35</v>
      </c>
      <c r="K669" s="7">
        <f t="shared" si="52"/>
        <v>79.73</v>
      </c>
      <c r="L669" s="7">
        <f t="shared" si="53"/>
        <v>83.3</v>
      </c>
      <c r="M669" s="7">
        <f t="shared" si="54"/>
        <v>85.68</v>
      </c>
    </row>
    <row r="670" spans="1:13">
      <c r="A670" s="6" t="s">
        <v>25</v>
      </c>
      <c r="B670" s="6" t="s">
        <v>1833</v>
      </c>
      <c r="C670" s="6" t="s">
        <v>1834</v>
      </c>
      <c r="E670" s="6" t="s">
        <v>1834</v>
      </c>
      <c r="G670" s="7">
        <v>19</v>
      </c>
      <c r="H670" s="7">
        <v>21.47</v>
      </c>
      <c r="I670" s="7">
        <f t="shared" si="50"/>
        <v>11.78</v>
      </c>
      <c r="J670" s="7">
        <f t="shared" si="51"/>
        <v>12.35</v>
      </c>
      <c r="K670" s="7">
        <f t="shared" si="52"/>
        <v>12.73</v>
      </c>
      <c r="L670" s="7">
        <f t="shared" si="53"/>
        <v>13.3</v>
      </c>
      <c r="M670" s="7">
        <f t="shared" si="54"/>
        <v>13.68</v>
      </c>
    </row>
    <row r="671" spans="1:13">
      <c r="A671" s="6" t="s">
        <v>25</v>
      </c>
      <c r="B671" s="6" t="s">
        <v>1835</v>
      </c>
      <c r="C671" s="6" t="s">
        <v>1836</v>
      </c>
      <c r="E671" s="6" t="s">
        <v>1836</v>
      </c>
      <c r="G671" s="7">
        <v>19</v>
      </c>
      <c r="H671" s="7">
        <v>21.47</v>
      </c>
      <c r="I671" s="7">
        <f t="shared" si="50"/>
        <v>11.78</v>
      </c>
      <c r="J671" s="7">
        <f t="shared" si="51"/>
        <v>12.35</v>
      </c>
      <c r="K671" s="7">
        <f t="shared" si="52"/>
        <v>12.73</v>
      </c>
      <c r="L671" s="7">
        <f t="shared" si="53"/>
        <v>13.3</v>
      </c>
      <c r="M671" s="7">
        <f t="shared" si="54"/>
        <v>13.68</v>
      </c>
    </row>
    <row r="672" spans="1:13">
      <c r="A672" s="6" t="s">
        <v>18</v>
      </c>
      <c r="B672" s="6" t="s">
        <v>1837</v>
      </c>
      <c r="C672" s="6" t="s">
        <v>1838</v>
      </c>
      <c r="E672" s="6" t="s">
        <v>1838</v>
      </c>
      <c r="G672" s="7">
        <v>59</v>
      </c>
      <c r="H672" s="7">
        <v>66.67</v>
      </c>
      <c r="I672" s="7">
        <f t="shared" si="50"/>
        <v>36.58</v>
      </c>
      <c r="J672" s="7">
        <f t="shared" si="51"/>
        <v>38.35</v>
      </c>
      <c r="K672" s="7">
        <f t="shared" si="52"/>
        <v>39.53</v>
      </c>
      <c r="L672" s="7">
        <f t="shared" si="53"/>
        <v>41.3</v>
      </c>
      <c r="M672" s="7">
        <f t="shared" si="54"/>
        <v>42.48</v>
      </c>
    </row>
    <row r="673" spans="1:13">
      <c r="A673" s="6" t="s">
        <v>18</v>
      </c>
      <c r="B673" s="6" t="s">
        <v>1839</v>
      </c>
      <c r="C673" s="6" t="s">
        <v>1840</v>
      </c>
      <c r="E673" s="6" t="s">
        <v>1840</v>
      </c>
      <c r="G673" s="7">
        <v>39</v>
      </c>
      <c r="H673" s="7">
        <v>44.07</v>
      </c>
      <c r="I673" s="7">
        <f t="shared" si="50"/>
        <v>24.18</v>
      </c>
      <c r="J673" s="7">
        <f t="shared" si="51"/>
        <v>25.35</v>
      </c>
      <c r="K673" s="7">
        <f t="shared" si="52"/>
        <v>26.13</v>
      </c>
      <c r="L673" s="7">
        <f t="shared" si="53"/>
        <v>27.3</v>
      </c>
      <c r="M673" s="7">
        <f t="shared" si="54"/>
        <v>28.08</v>
      </c>
    </row>
    <row r="674" spans="1:13">
      <c r="A674" s="6" t="s">
        <v>25</v>
      </c>
      <c r="B674" s="6" t="s">
        <v>1841</v>
      </c>
      <c r="C674" s="6" t="s">
        <v>1842</v>
      </c>
      <c r="E674" s="6" t="s">
        <v>1842</v>
      </c>
      <c r="G674" s="7">
        <v>39</v>
      </c>
      <c r="H674" s="7">
        <v>44.07</v>
      </c>
      <c r="I674" s="7">
        <f t="shared" si="50"/>
        <v>24.18</v>
      </c>
      <c r="J674" s="7">
        <f t="shared" si="51"/>
        <v>25.35</v>
      </c>
      <c r="K674" s="7">
        <f t="shared" si="52"/>
        <v>26.13</v>
      </c>
      <c r="L674" s="7">
        <f t="shared" si="53"/>
        <v>27.3</v>
      </c>
      <c r="M674" s="7">
        <f t="shared" si="54"/>
        <v>28.08</v>
      </c>
    </row>
    <row r="675" spans="1:13">
      <c r="A675" s="6" t="s">
        <v>1843</v>
      </c>
      <c r="B675" s="6" t="s">
        <v>1844</v>
      </c>
      <c r="C675" s="6" t="s">
        <v>1845</v>
      </c>
      <c r="E675" s="6" t="s">
        <v>1846</v>
      </c>
      <c r="G675" s="7">
        <v>399</v>
      </c>
      <c r="H675" s="7">
        <v>450.87</v>
      </c>
      <c r="I675" s="7">
        <f t="shared" si="50"/>
        <v>247.38</v>
      </c>
      <c r="J675" s="7">
        <f t="shared" si="51"/>
        <v>259.35</v>
      </c>
      <c r="K675" s="7">
        <f t="shared" si="52"/>
        <v>267.33</v>
      </c>
      <c r="L675" s="7">
        <f t="shared" si="53"/>
        <v>279.3</v>
      </c>
      <c r="M675" s="7">
        <f t="shared" si="54"/>
        <v>287.28</v>
      </c>
    </row>
    <row r="676" spans="1:13">
      <c r="A676" s="6" t="s">
        <v>25</v>
      </c>
      <c r="B676" s="6" t="s">
        <v>1847</v>
      </c>
      <c r="C676" s="6" t="s">
        <v>1848</v>
      </c>
      <c r="E676" s="6" t="s">
        <v>1848</v>
      </c>
      <c r="G676" s="7">
        <v>19</v>
      </c>
      <c r="H676" s="7">
        <v>21.47</v>
      </c>
      <c r="I676" s="7">
        <f t="shared" si="50"/>
        <v>11.78</v>
      </c>
      <c r="J676" s="7">
        <f t="shared" si="51"/>
        <v>12.35</v>
      </c>
      <c r="K676" s="7">
        <f t="shared" si="52"/>
        <v>12.73</v>
      </c>
      <c r="L676" s="7">
        <f t="shared" si="53"/>
        <v>13.3</v>
      </c>
      <c r="M676" s="7">
        <f t="shared" si="54"/>
        <v>13.68</v>
      </c>
    </row>
    <row r="677" ht="25.5" spans="1:13">
      <c r="A677" s="6" t="s">
        <v>25</v>
      </c>
      <c r="B677" s="6" t="s">
        <v>1849</v>
      </c>
      <c r="C677" s="6" t="s">
        <v>1850</v>
      </c>
      <c r="E677" s="6" t="s">
        <v>1851</v>
      </c>
      <c r="G677" s="7">
        <v>19</v>
      </c>
      <c r="H677" s="7">
        <v>21.47</v>
      </c>
      <c r="I677" s="7">
        <f t="shared" si="50"/>
        <v>11.78</v>
      </c>
      <c r="J677" s="7">
        <f t="shared" si="51"/>
        <v>12.35</v>
      </c>
      <c r="K677" s="7">
        <f t="shared" si="52"/>
        <v>12.73</v>
      </c>
      <c r="L677" s="7">
        <f t="shared" si="53"/>
        <v>13.3</v>
      </c>
      <c r="M677" s="7">
        <f t="shared" si="54"/>
        <v>13.68</v>
      </c>
    </row>
    <row r="678" spans="1:13">
      <c r="A678" s="6" t="s">
        <v>1843</v>
      </c>
      <c r="B678" s="6" t="s">
        <v>1852</v>
      </c>
      <c r="C678" s="6" t="s">
        <v>1853</v>
      </c>
      <c r="E678" s="6" t="s">
        <v>1854</v>
      </c>
      <c r="G678" s="7">
        <v>799</v>
      </c>
      <c r="H678" s="7">
        <v>902.87</v>
      </c>
      <c r="I678" s="7">
        <f t="shared" si="50"/>
        <v>495.38</v>
      </c>
      <c r="J678" s="7">
        <f t="shared" si="51"/>
        <v>519.35</v>
      </c>
      <c r="K678" s="7">
        <f t="shared" si="52"/>
        <v>535.33</v>
      </c>
      <c r="L678" s="7">
        <f t="shared" si="53"/>
        <v>559.3</v>
      </c>
      <c r="M678" s="7">
        <f t="shared" si="54"/>
        <v>575.28</v>
      </c>
    </row>
    <row r="679" spans="1:13">
      <c r="A679" s="6" t="s">
        <v>25</v>
      </c>
      <c r="B679" s="6" t="s">
        <v>1855</v>
      </c>
      <c r="C679" s="6" t="s">
        <v>1856</v>
      </c>
      <c r="E679" s="6" t="s">
        <v>1857</v>
      </c>
      <c r="G679" s="7">
        <v>39</v>
      </c>
      <c r="H679" s="7">
        <v>44.07</v>
      </c>
      <c r="I679" s="7">
        <f t="shared" si="50"/>
        <v>24.18</v>
      </c>
      <c r="J679" s="7">
        <f t="shared" si="51"/>
        <v>25.35</v>
      </c>
      <c r="K679" s="7">
        <f t="shared" si="52"/>
        <v>26.13</v>
      </c>
      <c r="L679" s="7">
        <f t="shared" si="53"/>
        <v>27.3</v>
      </c>
      <c r="M679" s="7">
        <f t="shared" si="54"/>
        <v>28.08</v>
      </c>
    </row>
    <row r="680" spans="1:13">
      <c r="A680" s="6" t="s">
        <v>25</v>
      </c>
      <c r="B680" s="6" t="s">
        <v>1858</v>
      </c>
      <c r="C680" s="6" t="s">
        <v>1859</v>
      </c>
      <c r="E680" s="6" t="s">
        <v>1859</v>
      </c>
      <c r="G680" s="7">
        <v>39</v>
      </c>
      <c r="H680" s="7">
        <v>44.07</v>
      </c>
      <c r="I680" s="7">
        <f t="shared" si="50"/>
        <v>24.18</v>
      </c>
      <c r="J680" s="7">
        <f t="shared" si="51"/>
        <v>25.35</v>
      </c>
      <c r="K680" s="7">
        <f t="shared" si="52"/>
        <v>26.13</v>
      </c>
      <c r="L680" s="7">
        <f t="shared" si="53"/>
        <v>27.3</v>
      </c>
      <c r="M680" s="7">
        <f t="shared" si="54"/>
        <v>28.08</v>
      </c>
    </row>
    <row r="681" spans="1:13">
      <c r="A681" s="6" t="s">
        <v>18</v>
      </c>
      <c r="B681" s="6" t="s">
        <v>1860</v>
      </c>
      <c r="C681" s="6" t="s">
        <v>1861</v>
      </c>
      <c r="E681" s="6" t="s">
        <v>1861</v>
      </c>
      <c r="G681" s="7">
        <v>249</v>
      </c>
      <c r="H681" s="7">
        <v>281.37</v>
      </c>
      <c r="I681" s="7">
        <f t="shared" si="50"/>
        <v>154.38</v>
      </c>
      <c r="J681" s="7">
        <f t="shared" si="51"/>
        <v>161.85</v>
      </c>
      <c r="K681" s="7">
        <f t="shared" si="52"/>
        <v>166.83</v>
      </c>
      <c r="L681" s="7">
        <f t="shared" si="53"/>
        <v>174.3</v>
      </c>
      <c r="M681" s="7">
        <f t="shared" si="54"/>
        <v>179.28</v>
      </c>
    </row>
    <row r="682" spans="1:13">
      <c r="A682" s="6" t="s">
        <v>18</v>
      </c>
      <c r="B682" s="6" t="s">
        <v>1862</v>
      </c>
      <c r="C682" s="6" t="s">
        <v>1863</v>
      </c>
      <c r="E682" s="6" t="s">
        <v>1864</v>
      </c>
      <c r="G682" s="7">
        <v>393.99</v>
      </c>
      <c r="H682" s="7">
        <v>445.2087</v>
      </c>
      <c r="I682" s="7">
        <f t="shared" si="50"/>
        <v>244.2738</v>
      </c>
      <c r="J682" s="7">
        <f t="shared" si="51"/>
        <v>256.0935</v>
      </c>
      <c r="K682" s="7">
        <f t="shared" si="52"/>
        <v>263.9733</v>
      </c>
      <c r="L682" s="7">
        <f t="shared" si="53"/>
        <v>275.793</v>
      </c>
      <c r="M682" s="7">
        <f t="shared" si="54"/>
        <v>283.6728</v>
      </c>
    </row>
    <row r="683" ht="38.25" spans="1:13">
      <c r="A683" s="6" t="s">
        <v>45</v>
      </c>
      <c r="B683" s="6" t="s">
        <v>1865</v>
      </c>
      <c r="C683" s="6" t="s">
        <v>1866</v>
      </c>
      <c r="E683" s="6" t="s">
        <v>1867</v>
      </c>
      <c r="G683" s="7">
        <v>2549</v>
      </c>
      <c r="H683" s="7">
        <v>2880.37</v>
      </c>
      <c r="I683" s="7">
        <f t="shared" si="50"/>
        <v>1580.38</v>
      </c>
      <c r="J683" s="7">
        <f t="shared" si="51"/>
        <v>1656.85</v>
      </c>
      <c r="K683" s="7">
        <f t="shared" si="52"/>
        <v>1707.83</v>
      </c>
      <c r="L683" s="7">
        <f t="shared" si="53"/>
        <v>1784.3</v>
      </c>
      <c r="M683" s="7">
        <f t="shared" si="54"/>
        <v>1835.28</v>
      </c>
    </row>
    <row r="684" ht="51" spans="1:13">
      <c r="A684" s="6" t="s">
        <v>45</v>
      </c>
      <c r="B684" s="6" t="s">
        <v>1868</v>
      </c>
      <c r="C684" s="6" t="s">
        <v>1869</v>
      </c>
      <c r="E684" s="6" t="s">
        <v>644</v>
      </c>
      <c r="G684" s="7">
        <v>3099</v>
      </c>
      <c r="H684" s="7">
        <v>3501.87</v>
      </c>
      <c r="I684" s="7">
        <f t="shared" si="50"/>
        <v>1921.38</v>
      </c>
      <c r="J684" s="7">
        <f t="shared" si="51"/>
        <v>2014.35</v>
      </c>
      <c r="K684" s="7">
        <f t="shared" si="52"/>
        <v>2076.33</v>
      </c>
      <c r="L684" s="7">
        <f t="shared" si="53"/>
        <v>2169.3</v>
      </c>
      <c r="M684" s="7">
        <f t="shared" si="54"/>
        <v>2231.28</v>
      </c>
    </row>
    <row r="685" ht="51" spans="1:13">
      <c r="A685" s="6" t="s">
        <v>45</v>
      </c>
      <c r="B685" s="6" t="s">
        <v>1870</v>
      </c>
      <c r="C685" s="6" t="s">
        <v>1871</v>
      </c>
      <c r="E685" s="6" t="s">
        <v>647</v>
      </c>
      <c r="G685" s="7">
        <v>3699</v>
      </c>
      <c r="H685" s="7">
        <v>4179.87</v>
      </c>
      <c r="I685" s="7">
        <f t="shared" si="50"/>
        <v>2293.38</v>
      </c>
      <c r="J685" s="7">
        <f t="shared" si="51"/>
        <v>2404.35</v>
      </c>
      <c r="K685" s="7">
        <f t="shared" si="52"/>
        <v>2478.33</v>
      </c>
      <c r="L685" s="7">
        <f t="shared" si="53"/>
        <v>2589.3</v>
      </c>
      <c r="M685" s="7">
        <f t="shared" si="54"/>
        <v>2663.28</v>
      </c>
    </row>
    <row r="686" spans="1:13">
      <c r="A686" s="6" t="s">
        <v>18</v>
      </c>
      <c r="B686" s="6" t="s">
        <v>1872</v>
      </c>
      <c r="C686" s="6" t="s">
        <v>1873</v>
      </c>
      <c r="E686" s="6" t="s">
        <v>1874</v>
      </c>
      <c r="G686" s="7">
        <v>48.99</v>
      </c>
      <c r="H686" s="7">
        <v>55.3587</v>
      </c>
      <c r="I686" s="7">
        <f t="shared" si="50"/>
        <v>30.3738</v>
      </c>
      <c r="J686" s="7">
        <f t="shared" si="51"/>
        <v>31.8435</v>
      </c>
      <c r="K686" s="7">
        <f t="shared" si="52"/>
        <v>32.8233</v>
      </c>
      <c r="L686" s="7">
        <f t="shared" si="53"/>
        <v>34.293</v>
      </c>
      <c r="M686" s="7">
        <f t="shared" si="54"/>
        <v>35.2728</v>
      </c>
    </row>
    <row r="687" ht="25.5" spans="1:13">
      <c r="A687" s="6" t="s">
        <v>25</v>
      </c>
      <c r="B687" s="6" t="s">
        <v>1875</v>
      </c>
      <c r="C687" s="6" t="s">
        <v>1876</v>
      </c>
      <c r="E687" s="6" t="s">
        <v>1877</v>
      </c>
      <c r="G687" s="7">
        <v>35.99</v>
      </c>
      <c r="H687" s="7">
        <v>40.6687</v>
      </c>
      <c r="I687" s="7">
        <f t="shared" si="50"/>
        <v>22.3138</v>
      </c>
      <c r="J687" s="7">
        <f t="shared" si="51"/>
        <v>23.3935</v>
      </c>
      <c r="K687" s="7">
        <f t="shared" si="52"/>
        <v>24.1133</v>
      </c>
      <c r="L687" s="7">
        <f t="shared" si="53"/>
        <v>25.193</v>
      </c>
      <c r="M687" s="7">
        <f t="shared" si="54"/>
        <v>25.9128</v>
      </c>
    </row>
    <row r="688" ht="38.25" spans="1:13">
      <c r="A688" s="6" t="s">
        <v>25</v>
      </c>
      <c r="B688" s="6" t="s">
        <v>1878</v>
      </c>
      <c r="C688" s="6" t="s">
        <v>1879</v>
      </c>
      <c r="E688" s="6" t="s">
        <v>1880</v>
      </c>
      <c r="G688" s="7">
        <v>179</v>
      </c>
      <c r="H688" s="7">
        <v>202.27</v>
      </c>
      <c r="I688" s="7">
        <f t="shared" si="50"/>
        <v>110.98</v>
      </c>
      <c r="J688" s="7">
        <f t="shared" si="51"/>
        <v>116.35</v>
      </c>
      <c r="K688" s="7">
        <f t="shared" si="52"/>
        <v>119.93</v>
      </c>
      <c r="L688" s="7">
        <f t="shared" si="53"/>
        <v>125.3</v>
      </c>
      <c r="M688" s="7">
        <f t="shared" si="54"/>
        <v>128.88</v>
      </c>
    </row>
    <row r="689" spans="1:13">
      <c r="A689" s="6" t="s">
        <v>18</v>
      </c>
      <c r="B689" s="6" t="s">
        <v>1881</v>
      </c>
      <c r="C689" s="6" t="s">
        <v>1882</v>
      </c>
      <c r="E689" s="6" t="s">
        <v>1883</v>
      </c>
      <c r="G689" s="7">
        <v>79</v>
      </c>
      <c r="H689" s="7">
        <v>89.27</v>
      </c>
      <c r="I689" s="7">
        <f t="shared" si="50"/>
        <v>48.98</v>
      </c>
      <c r="J689" s="7">
        <f t="shared" si="51"/>
        <v>51.35</v>
      </c>
      <c r="K689" s="7">
        <f t="shared" si="52"/>
        <v>52.93</v>
      </c>
      <c r="L689" s="7">
        <f t="shared" si="53"/>
        <v>55.3</v>
      </c>
      <c r="M689" s="7">
        <f t="shared" si="54"/>
        <v>56.88</v>
      </c>
    </row>
    <row r="690" spans="1:13">
      <c r="A690" s="6" t="s">
        <v>18</v>
      </c>
      <c r="B690" s="6" t="s">
        <v>1884</v>
      </c>
      <c r="C690" s="6" t="s">
        <v>1885</v>
      </c>
      <c r="E690" s="6" t="s">
        <v>1886</v>
      </c>
      <c r="G690" s="7">
        <v>168</v>
      </c>
      <c r="H690" s="7">
        <v>189.84</v>
      </c>
      <c r="I690" s="7">
        <f t="shared" si="50"/>
        <v>104.16</v>
      </c>
      <c r="J690" s="7">
        <f t="shared" si="51"/>
        <v>109.2</v>
      </c>
      <c r="K690" s="7">
        <f t="shared" si="52"/>
        <v>112.56</v>
      </c>
      <c r="L690" s="7">
        <f t="shared" si="53"/>
        <v>117.6</v>
      </c>
      <c r="M690" s="7">
        <f t="shared" si="54"/>
        <v>120.96</v>
      </c>
    </row>
    <row r="691" ht="51" spans="1:13">
      <c r="A691" s="6" t="s">
        <v>18</v>
      </c>
      <c r="B691" s="6" t="s">
        <v>1887</v>
      </c>
      <c r="C691" s="6" t="s">
        <v>1888</v>
      </c>
      <c r="E691" s="6" t="s">
        <v>1889</v>
      </c>
      <c r="G691" s="7">
        <v>359</v>
      </c>
      <c r="H691" s="7">
        <v>405.67</v>
      </c>
      <c r="I691" s="7">
        <f t="shared" si="50"/>
        <v>222.58</v>
      </c>
      <c r="J691" s="7">
        <f t="shared" si="51"/>
        <v>233.35</v>
      </c>
      <c r="K691" s="7">
        <f t="shared" si="52"/>
        <v>240.53</v>
      </c>
      <c r="L691" s="7">
        <f t="shared" si="53"/>
        <v>251.3</v>
      </c>
      <c r="M691" s="7">
        <f t="shared" si="54"/>
        <v>258.48</v>
      </c>
    </row>
    <row r="692" ht="25.5" spans="1:13">
      <c r="A692" s="6" t="s">
        <v>18</v>
      </c>
      <c r="B692" s="6" t="s">
        <v>1890</v>
      </c>
      <c r="C692" s="6" t="s">
        <v>1891</v>
      </c>
      <c r="E692" s="6" t="s">
        <v>1892</v>
      </c>
      <c r="G692" s="7">
        <v>239</v>
      </c>
      <c r="H692" s="7">
        <v>270.07</v>
      </c>
      <c r="I692" s="7">
        <f t="shared" si="50"/>
        <v>148.18</v>
      </c>
      <c r="J692" s="7">
        <f t="shared" si="51"/>
        <v>155.35</v>
      </c>
      <c r="K692" s="7">
        <f t="shared" si="52"/>
        <v>160.13</v>
      </c>
      <c r="L692" s="7">
        <f t="shared" si="53"/>
        <v>167.3</v>
      </c>
      <c r="M692" s="7">
        <f t="shared" si="54"/>
        <v>172.08</v>
      </c>
    </row>
    <row r="693" ht="51" spans="1:13">
      <c r="A693" s="6" t="s">
        <v>682</v>
      </c>
      <c r="B693" s="6" t="s">
        <v>1893</v>
      </c>
      <c r="C693" s="6" t="s">
        <v>1894</v>
      </c>
      <c r="E693" s="6" t="s">
        <v>1895</v>
      </c>
      <c r="G693" s="7">
        <v>4899</v>
      </c>
      <c r="H693" s="7">
        <v>5535.87</v>
      </c>
      <c r="I693" s="7">
        <f t="shared" si="50"/>
        <v>3037.38</v>
      </c>
      <c r="J693" s="7">
        <f t="shared" si="51"/>
        <v>3184.35</v>
      </c>
      <c r="K693" s="7">
        <f t="shared" si="52"/>
        <v>3282.33</v>
      </c>
      <c r="L693" s="7">
        <f t="shared" si="53"/>
        <v>3429.3</v>
      </c>
      <c r="M693" s="7">
        <f t="shared" si="54"/>
        <v>3527.28</v>
      </c>
    </row>
    <row r="694" ht="38.25" spans="1:13">
      <c r="A694" s="6" t="s">
        <v>682</v>
      </c>
      <c r="B694" s="6" t="s">
        <v>1896</v>
      </c>
      <c r="C694" s="6" t="s">
        <v>1897</v>
      </c>
      <c r="E694" s="6" t="s">
        <v>1898</v>
      </c>
      <c r="G694" s="7">
        <v>4899</v>
      </c>
      <c r="H694" s="7">
        <v>5535.87</v>
      </c>
      <c r="I694" s="7">
        <f t="shared" si="50"/>
        <v>3037.38</v>
      </c>
      <c r="J694" s="7">
        <f t="shared" si="51"/>
        <v>3184.35</v>
      </c>
      <c r="K694" s="7">
        <f t="shared" si="52"/>
        <v>3282.33</v>
      </c>
      <c r="L694" s="7">
        <f t="shared" si="53"/>
        <v>3429.3</v>
      </c>
      <c r="M694" s="7">
        <f t="shared" si="54"/>
        <v>3527.28</v>
      </c>
    </row>
    <row r="695" ht="38.25" spans="1:13">
      <c r="A695" s="6" t="s">
        <v>682</v>
      </c>
      <c r="B695" s="6" t="s">
        <v>1899</v>
      </c>
      <c r="C695" s="6" t="s">
        <v>1900</v>
      </c>
      <c r="E695" s="6" t="s">
        <v>1901</v>
      </c>
      <c r="G695" s="7">
        <v>5199</v>
      </c>
      <c r="H695" s="7">
        <v>5874.87</v>
      </c>
      <c r="I695" s="7">
        <f t="shared" si="50"/>
        <v>3223.38</v>
      </c>
      <c r="J695" s="7">
        <f t="shared" si="51"/>
        <v>3379.35</v>
      </c>
      <c r="K695" s="7">
        <f t="shared" si="52"/>
        <v>3483.33</v>
      </c>
      <c r="L695" s="7">
        <f t="shared" si="53"/>
        <v>3639.3</v>
      </c>
      <c r="M695" s="7">
        <f t="shared" si="54"/>
        <v>3743.28</v>
      </c>
    </row>
    <row r="696" spans="1:13">
      <c r="A696" s="6" t="s">
        <v>18</v>
      </c>
      <c r="B696" s="6" t="s">
        <v>1902</v>
      </c>
      <c r="C696" s="6" t="s">
        <v>1903</v>
      </c>
      <c r="E696" s="6" t="s">
        <v>1904</v>
      </c>
      <c r="G696" s="7">
        <v>199</v>
      </c>
      <c r="H696" s="7">
        <v>224.87</v>
      </c>
      <c r="I696" s="7">
        <f t="shared" si="50"/>
        <v>123.38</v>
      </c>
      <c r="J696" s="7">
        <f t="shared" si="51"/>
        <v>129.35</v>
      </c>
      <c r="K696" s="7">
        <f t="shared" si="52"/>
        <v>133.33</v>
      </c>
      <c r="L696" s="7">
        <f t="shared" si="53"/>
        <v>139.3</v>
      </c>
      <c r="M696" s="7">
        <f t="shared" si="54"/>
        <v>143.28</v>
      </c>
    </row>
    <row r="697" spans="1:13">
      <c r="A697" s="6" t="s">
        <v>18</v>
      </c>
      <c r="B697" s="6" t="s">
        <v>1905</v>
      </c>
      <c r="C697" s="6" t="s">
        <v>1906</v>
      </c>
      <c r="E697" s="6" t="s">
        <v>1907</v>
      </c>
      <c r="G697" s="7">
        <v>299</v>
      </c>
      <c r="H697" s="7">
        <v>337.87</v>
      </c>
      <c r="I697" s="7">
        <f t="shared" si="50"/>
        <v>185.38</v>
      </c>
      <c r="J697" s="7">
        <f t="shared" si="51"/>
        <v>194.35</v>
      </c>
      <c r="K697" s="7">
        <f t="shared" si="52"/>
        <v>200.33</v>
      </c>
      <c r="L697" s="7">
        <f t="shared" si="53"/>
        <v>209.3</v>
      </c>
      <c r="M697" s="7">
        <f t="shared" si="54"/>
        <v>215.28</v>
      </c>
    </row>
    <row r="698" spans="1:13">
      <c r="A698" s="6" t="s">
        <v>18</v>
      </c>
      <c r="B698" s="6" t="s">
        <v>1908</v>
      </c>
      <c r="C698" s="6" t="s">
        <v>1909</v>
      </c>
      <c r="E698" s="6" t="s">
        <v>1910</v>
      </c>
      <c r="G698" s="7">
        <v>159</v>
      </c>
      <c r="H698" s="7">
        <v>179.67</v>
      </c>
      <c r="I698" s="7">
        <f t="shared" si="50"/>
        <v>98.58</v>
      </c>
      <c r="J698" s="7">
        <f t="shared" si="51"/>
        <v>103.35</v>
      </c>
      <c r="K698" s="7">
        <f t="shared" si="52"/>
        <v>106.53</v>
      </c>
      <c r="L698" s="7">
        <f t="shared" si="53"/>
        <v>111.3</v>
      </c>
      <c r="M698" s="7">
        <f t="shared" si="54"/>
        <v>114.48</v>
      </c>
    </row>
    <row r="699" ht="25.5" spans="1:13">
      <c r="A699" s="6" t="s">
        <v>18</v>
      </c>
      <c r="B699" s="6" t="s">
        <v>1911</v>
      </c>
      <c r="C699" s="6" t="s">
        <v>1912</v>
      </c>
      <c r="E699" s="6" t="s">
        <v>1913</v>
      </c>
      <c r="G699" s="7">
        <v>26.3</v>
      </c>
      <c r="H699" s="7">
        <v>29.719</v>
      </c>
      <c r="I699" s="7">
        <f t="shared" si="50"/>
        <v>16.306</v>
      </c>
      <c r="J699" s="7">
        <f t="shared" si="51"/>
        <v>17.095</v>
      </c>
      <c r="K699" s="7">
        <f t="shared" si="52"/>
        <v>17.621</v>
      </c>
      <c r="L699" s="7">
        <f t="shared" si="53"/>
        <v>18.41</v>
      </c>
      <c r="M699" s="7">
        <f t="shared" si="54"/>
        <v>18.936</v>
      </c>
    </row>
    <row r="700" spans="1:13">
      <c r="A700" s="6" t="s">
        <v>18</v>
      </c>
      <c r="B700" s="6" t="s">
        <v>1914</v>
      </c>
      <c r="C700" s="6" t="s">
        <v>1915</v>
      </c>
      <c r="E700" s="6" t="s">
        <v>1916</v>
      </c>
      <c r="G700" s="7">
        <v>1260</v>
      </c>
      <c r="H700" s="7">
        <v>1423.8</v>
      </c>
      <c r="I700" s="7">
        <f t="shared" si="50"/>
        <v>781.2</v>
      </c>
      <c r="J700" s="7">
        <f t="shared" si="51"/>
        <v>819</v>
      </c>
      <c r="K700" s="7">
        <f t="shared" si="52"/>
        <v>844.2</v>
      </c>
      <c r="L700" s="7">
        <f t="shared" si="53"/>
        <v>882</v>
      </c>
      <c r="M700" s="7">
        <f t="shared" si="54"/>
        <v>907.2</v>
      </c>
    </row>
    <row r="701" spans="1:13">
      <c r="A701" s="6" t="s">
        <v>18</v>
      </c>
      <c r="B701" s="6" t="s">
        <v>1917</v>
      </c>
      <c r="C701" s="6" t="s">
        <v>1918</v>
      </c>
      <c r="E701" s="6" t="s">
        <v>1919</v>
      </c>
      <c r="G701" s="7">
        <v>5206</v>
      </c>
      <c r="H701" s="7">
        <v>5882.78</v>
      </c>
      <c r="I701" s="7">
        <f t="shared" si="50"/>
        <v>3227.72</v>
      </c>
      <c r="J701" s="7">
        <f t="shared" si="51"/>
        <v>3383.9</v>
      </c>
      <c r="K701" s="7">
        <f t="shared" si="52"/>
        <v>3488.02</v>
      </c>
      <c r="L701" s="7">
        <f t="shared" si="53"/>
        <v>3644.2</v>
      </c>
      <c r="M701" s="7">
        <f t="shared" si="54"/>
        <v>3748.32</v>
      </c>
    </row>
    <row r="702" ht="25.5" spans="1:13">
      <c r="A702" s="6" t="s">
        <v>18</v>
      </c>
      <c r="B702" s="6" t="s">
        <v>1920</v>
      </c>
      <c r="C702" s="6" t="s">
        <v>1921</v>
      </c>
      <c r="E702" s="6" t="s">
        <v>1922</v>
      </c>
      <c r="G702" s="7">
        <v>2650</v>
      </c>
      <c r="H702" s="7">
        <v>2994.5</v>
      </c>
      <c r="I702" s="7">
        <f t="shared" si="50"/>
        <v>1643</v>
      </c>
      <c r="J702" s="7">
        <f t="shared" si="51"/>
        <v>1722.5</v>
      </c>
      <c r="K702" s="7">
        <f t="shared" si="52"/>
        <v>1775.5</v>
      </c>
      <c r="L702" s="7">
        <f t="shared" si="53"/>
        <v>1855</v>
      </c>
      <c r="M702" s="7">
        <f t="shared" si="54"/>
        <v>1908</v>
      </c>
    </row>
    <row r="703" ht="25.5" spans="1:13">
      <c r="A703" s="6" t="s">
        <v>18</v>
      </c>
      <c r="B703" s="6" t="s">
        <v>1923</v>
      </c>
      <c r="C703" s="6" t="s">
        <v>1924</v>
      </c>
      <c r="E703" s="6" t="s">
        <v>1925</v>
      </c>
      <c r="G703" s="7">
        <v>549</v>
      </c>
      <c r="H703" s="7">
        <v>620.37</v>
      </c>
      <c r="I703" s="7">
        <f t="shared" si="50"/>
        <v>340.38</v>
      </c>
      <c r="J703" s="7">
        <f t="shared" si="51"/>
        <v>356.85</v>
      </c>
      <c r="K703" s="7">
        <f t="shared" si="52"/>
        <v>367.83</v>
      </c>
      <c r="L703" s="7">
        <f t="shared" si="53"/>
        <v>384.3</v>
      </c>
      <c r="M703" s="7">
        <f t="shared" si="54"/>
        <v>395.28</v>
      </c>
    </row>
    <row r="704" ht="38.25" spans="1:13">
      <c r="A704" s="6" t="s">
        <v>548</v>
      </c>
      <c r="B704" s="6" t="s">
        <v>1926</v>
      </c>
      <c r="C704" s="6" t="s">
        <v>1927</v>
      </c>
      <c r="E704" s="6" t="s">
        <v>1928</v>
      </c>
      <c r="G704" s="7">
        <v>1050</v>
      </c>
      <c r="H704" s="7">
        <v>1186.5</v>
      </c>
      <c r="I704" s="7">
        <f t="shared" si="50"/>
        <v>651</v>
      </c>
      <c r="J704" s="7">
        <f t="shared" si="51"/>
        <v>682.5</v>
      </c>
      <c r="K704" s="7">
        <f t="shared" si="52"/>
        <v>703.5</v>
      </c>
      <c r="L704" s="7">
        <f t="shared" si="53"/>
        <v>735</v>
      </c>
      <c r="M704" s="7">
        <f t="shared" si="54"/>
        <v>756</v>
      </c>
    </row>
    <row r="705" ht="38.25" spans="1:13">
      <c r="A705" s="6" t="s">
        <v>548</v>
      </c>
      <c r="B705" s="6" t="s">
        <v>1929</v>
      </c>
      <c r="C705" s="6" t="s">
        <v>1930</v>
      </c>
      <c r="E705" s="6" t="s">
        <v>1928</v>
      </c>
      <c r="G705" s="7">
        <v>1149</v>
      </c>
      <c r="H705" s="7">
        <v>1298.37</v>
      </c>
      <c r="I705" s="7">
        <f t="shared" si="50"/>
        <v>712.38</v>
      </c>
      <c r="J705" s="7">
        <f t="shared" si="51"/>
        <v>746.85</v>
      </c>
      <c r="K705" s="7">
        <f t="shared" si="52"/>
        <v>769.83</v>
      </c>
      <c r="L705" s="7">
        <f t="shared" si="53"/>
        <v>804.3</v>
      </c>
      <c r="M705" s="7">
        <f t="shared" si="54"/>
        <v>827.28</v>
      </c>
    </row>
    <row r="706" spans="1:13">
      <c r="A706" s="6" t="s">
        <v>18</v>
      </c>
      <c r="B706" s="6" t="s">
        <v>1931</v>
      </c>
      <c r="C706" s="6" t="s">
        <v>1932</v>
      </c>
      <c r="E706" s="6" t="s">
        <v>1933</v>
      </c>
      <c r="G706" s="7">
        <v>189</v>
      </c>
      <c r="H706" s="7">
        <v>213.57</v>
      </c>
      <c r="I706" s="7">
        <f t="shared" ref="I706:I769" si="55">G706*0.62</f>
        <v>117.18</v>
      </c>
      <c r="J706" s="7">
        <f t="shared" ref="J706:J769" si="56">G706*0.65</f>
        <v>122.85</v>
      </c>
      <c r="K706" s="7">
        <f t="shared" ref="K706:K769" si="57">G706*0.67</f>
        <v>126.63</v>
      </c>
      <c r="L706" s="7">
        <f t="shared" ref="L706:L769" si="58">G706*0.7</f>
        <v>132.3</v>
      </c>
      <c r="M706" s="7">
        <f t="shared" ref="M706:M769" si="59">G706*0.72</f>
        <v>136.08</v>
      </c>
    </row>
    <row r="707" spans="1:13">
      <c r="A707" s="6" t="s">
        <v>25</v>
      </c>
      <c r="B707" s="6" t="s">
        <v>1934</v>
      </c>
      <c r="C707" s="6" t="s">
        <v>1935</v>
      </c>
      <c r="E707" s="6" t="s">
        <v>1935</v>
      </c>
      <c r="G707" s="7">
        <v>139</v>
      </c>
      <c r="H707" s="7">
        <v>157.07</v>
      </c>
      <c r="I707" s="7">
        <f t="shared" si="55"/>
        <v>86.18</v>
      </c>
      <c r="J707" s="7">
        <f t="shared" si="56"/>
        <v>90.35</v>
      </c>
      <c r="K707" s="7">
        <f t="shared" si="57"/>
        <v>93.13</v>
      </c>
      <c r="L707" s="7">
        <f t="shared" si="58"/>
        <v>97.3</v>
      </c>
      <c r="M707" s="7">
        <f t="shared" si="59"/>
        <v>100.08</v>
      </c>
    </row>
    <row r="708" ht="25.5" spans="1:13">
      <c r="A708" s="6" t="s">
        <v>18</v>
      </c>
      <c r="B708" s="6" t="s">
        <v>1936</v>
      </c>
      <c r="C708" s="6" t="s">
        <v>1937</v>
      </c>
      <c r="E708" s="6" t="s">
        <v>1938</v>
      </c>
      <c r="G708" s="7">
        <v>99</v>
      </c>
      <c r="H708" s="7">
        <v>111.87</v>
      </c>
      <c r="I708" s="7">
        <f t="shared" si="55"/>
        <v>61.38</v>
      </c>
      <c r="J708" s="7">
        <f t="shared" si="56"/>
        <v>64.35</v>
      </c>
      <c r="K708" s="7">
        <f t="shared" si="57"/>
        <v>66.33</v>
      </c>
      <c r="L708" s="7">
        <f t="shared" si="58"/>
        <v>69.3</v>
      </c>
      <c r="M708" s="7">
        <f t="shared" si="59"/>
        <v>71.28</v>
      </c>
    </row>
    <row r="709" spans="1:13">
      <c r="A709" s="6" t="s">
        <v>25</v>
      </c>
      <c r="B709" s="6" t="s">
        <v>1939</v>
      </c>
      <c r="C709" s="6" t="s">
        <v>1940</v>
      </c>
      <c r="E709" s="6" t="s">
        <v>1940</v>
      </c>
      <c r="G709" s="7">
        <v>99</v>
      </c>
      <c r="H709" s="7">
        <v>111.87</v>
      </c>
      <c r="I709" s="7">
        <f t="shared" si="55"/>
        <v>61.38</v>
      </c>
      <c r="J709" s="7">
        <f t="shared" si="56"/>
        <v>64.35</v>
      </c>
      <c r="K709" s="7">
        <f t="shared" si="57"/>
        <v>66.33</v>
      </c>
      <c r="L709" s="7">
        <f t="shared" si="58"/>
        <v>69.3</v>
      </c>
      <c r="M709" s="7">
        <f t="shared" si="59"/>
        <v>71.28</v>
      </c>
    </row>
    <row r="710" ht="25.5" spans="1:13">
      <c r="A710" s="6" t="s">
        <v>18</v>
      </c>
      <c r="B710" s="6" t="s">
        <v>1941</v>
      </c>
      <c r="C710" s="6" t="s">
        <v>1942</v>
      </c>
      <c r="E710" s="6" t="s">
        <v>1943</v>
      </c>
      <c r="G710" s="7">
        <v>39</v>
      </c>
      <c r="H710" s="7">
        <v>44.07</v>
      </c>
      <c r="I710" s="7">
        <f t="shared" si="55"/>
        <v>24.18</v>
      </c>
      <c r="J710" s="7">
        <f t="shared" si="56"/>
        <v>25.35</v>
      </c>
      <c r="K710" s="7">
        <f t="shared" si="57"/>
        <v>26.13</v>
      </c>
      <c r="L710" s="7">
        <f t="shared" si="58"/>
        <v>27.3</v>
      </c>
      <c r="M710" s="7">
        <f t="shared" si="59"/>
        <v>28.08</v>
      </c>
    </row>
    <row r="711" ht="25.5" spans="1:13">
      <c r="A711" s="6" t="s">
        <v>18</v>
      </c>
      <c r="B711" s="6" t="s">
        <v>1944</v>
      </c>
      <c r="C711" s="6" t="s">
        <v>1945</v>
      </c>
      <c r="E711" s="6" t="s">
        <v>1946</v>
      </c>
      <c r="G711" s="7">
        <v>159</v>
      </c>
      <c r="H711" s="7">
        <v>179.67</v>
      </c>
      <c r="I711" s="7">
        <f t="shared" si="55"/>
        <v>98.58</v>
      </c>
      <c r="J711" s="7">
        <f t="shared" si="56"/>
        <v>103.35</v>
      </c>
      <c r="K711" s="7">
        <f t="shared" si="57"/>
        <v>106.53</v>
      </c>
      <c r="L711" s="7">
        <f t="shared" si="58"/>
        <v>111.3</v>
      </c>
      <c r="M711" s="7">
        <f t="shared" si="59"/>
        <v>114.48</v>
      </c>
    </row>
    <row r="712" spans="1:13">
      <c r="A712" s="6" t="s">
        <v>25</v>
      </c>
      <c r="B712" s="6" t="s">
        <v>1947</v>
      </c>
      <c r="C712" s="6" t="s">
        <v>1948</v>
      </c>
      <c r="E712" s="6" t="s">
        <v>1948</v>
      </c>
      <c r="G712" s="7">
        <v>79</v>
      </c>
      <c r="H712" s="7">
        <v>89.27</v>
      </c>
      <c r="I712" s="7">
        <f t="shared" si="55"/>
        <v>48.98</v>
      </c>
      <c r="J712" s="7">
        <f t="shared" si="56"/>
        <v>51.35</v>
      </c>
      <c r="K712" s="7">
        <f t="shared" si="57"/>
        <v>52.93</v>
      </c>
      <c r="L712" s="7">
        <f t="shared" si="58"/>
        <v>55.3</v>
      </c>
      <c r="M712" s="7">
        <f t="shared" si="59"/>
        <v>56.88</v>
      </c>
    </row>
    <row r="713" ht="25.5" spans="1:13">
      <c r="A713" s="6" t="s">
        <v>18</v>
      </c>
      <c r="B713" s="6" t="s">
        <v>1949</v>
      </c>
      <c r="C713" s="6" t="s">
        <v>1950</v>
      </c>
      <c r="E713" s="6" t="s">
        <v>1951</v>
      </c>
      <c r="G713" s="7">
        <v>59</v>
      </c>
      <c r="H713" s="7">
        <v>66.67</v>
      </c>
      <c r="I713" s="7">
        <f t="shared" si="55"/>
        <v>36.58</v>
      </c>
      <c r="J713" s="7">
        <f t="shared" si="56"/>
        <v>38.35</v>
      </c>
      <c r="K713" s="7">
        <f t="shared" si="57"/>
        <v>39.53</v>
      </c>
      <c r="L713" s="7">
        <f t="shared" si="58"/>
        <v>41.3</v>
      </c>
      <c r="M713" s="7">
        <f t="shared" si="59"/>
        <v>42.48</v>
      </c>
    </row>
    <row r="714" ht="25.5" spans="1:13">
      <c r="A714" s="6" t="s">
        <v>682</v>
      </c>
      <c r="B714" s="6" t="s">
        <v>1952</v>
      </c>
      <c r="C714" s="6" t="s">
        <v>1953</v>
      </c>
      <c r="E714" s="6" t="s">
        <v>1954</v>
      </c>
      <c r="G714" s="7">
        <v>279</v>
      </c>
      <c r="H714" s="7">
        <v>315.27</v>
      </c>
      <c r="I714" s="7">
        <f t="shared" si="55"/>
        <v>172.98</v>
      </c>
      <c r="J714" s="7">
        <f t="shared" si="56"/>
        <v>181.35</v>
      </c>
      <c r="K714" s="7">
        <f t="shared" si="57"/>
        <v>186.93</v>
      </c>
      <c r="L714" s="7">
        <f t="shared" si="58"/>
        <v>195.3</v>
      </c>
      <c r="M714" s="7">
        <f t="shared" si="59"/>
        <v>200.88</v>
      </c>
    </row>
    <row r="715" ht="25.5" spans="1:13">
      <c r="A715" s="6" t="s">
        <v>733</v>
      </c>
      <c r="B715" s="6" t="s">
        <v>1955</v>
      </c>
      <c r="C715" s="6" t="s">
        <v>1956</v>
      </c>
      <c r="E715" s="6" t="s">
        <v>1957</v>
      </c>
      <c r="G715" s="7">
        <v>66</v>
      </c>
      <c r="H715" s="7">
        <v>74.58</v>
      </c>
      <c r="I715" s="7">
        <f t="shared" si="55"/>
        <v>40.92</v>
      </c>
      <c r="J715" s="7">
        <f t="shared" si="56"/>
        <v>42.9</v>
      </c>
      <c r="K715" s="7">
        <f t="shared" si="57"/>
        <v>44.22</v>
      </c>
      <c r="L715" s="7">
        <f t="shared" si="58"/>
        <v>46.2</v>
      </c>
      <c r="M715" s="7">
        <f t="shared" si="59"/>
        <v>47.52</v>
      </c>
    </row>
    <row r="716" ht="25.5" spans="1:13">
      <c r="A716" s="6" t="s">
        <v>733</v>
      </c>
      <c r="B716" s="6" t="s">
        <v>1958</v>
      </c>
      <c r="C716" s="6" t="s">
        <v>1959</v>
      </c>
      <c r="E716" s="6" t="s">
        <v>1960</v>
      </c>
      <c r="G716" s="7">
        <v>77</v>
      </c>
      <c r="H716" s="7">
        <v>87.01</v>
      </c>
      <c r="I716" s="7">
        <f t="shared" si="55"/>
        <v>47.74</v>
      </c>
      <c r="J716" s="7">
        <f t="shared" si="56"/>
        <v>50.05</v>
      </c>
      <c r="K716" s="7">
        <f t="shared" si="57"/>
        <v>51.59</v>
      </c>
      <c r="L716" s="7">
        <f t="shared" si="58"/>
        <v>53.9</v>
      </c>
      <c r="M716" s="7">
        <f t="shared" si="59"/>
        <v>55.44</v>
      </c>
    </row>
    <row r="717" ht="38.25" spans="1:13">
      <c r="A717" s="6" t="s">
        <v>228</v>
      </c>
      <c r="B717" s="6" t="s">
        <v>1961</v>
      </c>
      <c r="C717" s="6" t="s">
        <v>1962</v>
      </c>
      <c r="E717" s="6" t="s">
        <v>1963</v>
      </c>
      <c r="G717" s="7">
        <v>5282</v>
      </c>
      <c r="H717" s="7">
        <v>5968.66</v>
      </c>
      <c r="I717" s="7">
        <f t="shared" si="55"/>
        <v>3274.84</v>
      </c>
      <c r="J717" s="7">
        <f t="shared" si="56"/>
        <v>3433.3</v>
      </c>
      <c r="K717" s="7">
        <f t="shared" si="57"/>
        <v>3538.94</v>
      </c>
      <c r="L717" s="7">
        <f t="shared" si="58"/>
        <v>3697.4</v>
      </c>
      <c r="M717" s="7">
        <f t="shared" si="59"/>
        <v>3803.04</v>
      </c>
    </row>
    <row r="718" ht="38.25" spans="1:13">
      <c r="A718" s="6" t="s">
        <v>18</v>
      </c>
      <c r="B718" s="6" t="s">
        <v>1964</v>
      </c>
      <c r="C718" s="6" t="s">
        <v>1965</v>
      </c>
      <c r="E718" s="6" t="s">
        <v>1966</v>
      </c>
      <c r="G718" s="7">
        <v>770</v>
      </c>
      <c r="H718" s="7">
        <v>870.1</v>
      </c>
      <c r="I718" s="7">
        <f t="shared" si="55"/>
        <v>477.4</v>
      </c>
      <c r="J718" s="7">
        <f t="shared" si="56"/>
        <v>500.5</v>
      </c>
      <c r="K718" s="7">
        <f t="shared" si="57"/>
        <v>515.9</v>
      </c>
      <c r="L718" s="7">
        <f t="shared" si="58"/>
        <v>539</v>
      </c>
      <c r="M718" s="7">
        <f t="shared" si="59"/>
        <v>554.4</v>
      </c>
    </row>
    <row r="719" spans="1:13">
      <c r="A719" s="6" t="s">
        <v>228</v>
      </c>
      <c r="B719" s="6" t="s">
        <v>1967</v>
      </c>
      <c r="C719" s="6" t="s">
        <v>1968</v>
      </c>
      <c r="E719" s="6" t="s">
        <v>1969</v>
      </c>
      <c r="G719" s="7">
        <v>6600</v>
      </c>
      <c r="H719" s="7">
        <v>7458</v>
      </c>
      <c r="I719" s="7">
        <f t="shared" si="55"/>
        <v>4092</v>
      </c>
      <c r="J719" s="7">
        <f t="shared" si="56"/>
        <v>4290</v>
      </c>
      <c r="K719" s="7">
        <f t="shared" si="57"/>
        <v>4422</v>
      </c>
      <c r="L719" s="7">
        <f t="shared" si="58"/>
        <v>4620</v>
      </c>
      <c r="M719" s="7">
        <f t="shared" si="59"/>
        <v>4752</v>
      </c>
    </row>
    <row r="720" spans="1:13">
      <c r="A720" s="6" t="s">
        <v>228</v>
      </c>
      <c r="B720" s="6" t="s">
        <v>1970</v>
      </c>
      <c r="C720" s="6" t="s">
        <v>1971</v>
      </c>
      <c r="E720" s="6" t="s">
        <v>1971</v>
      </c>
      <c r="G720" s="7">
        <v>9549</v>
      </c>
      <c r="H720" s="7">
        <v>10790.37</v>
      </c>
      <c r="I720" s="7">
        <f t="shared" si="55"/>
        <v>5920.38</v>
      </c>
      <c r="J720" s="7">
        <f t="shared" si="56"/>
        <v>6206.85</v>
      </c>
      <c r="K720" s="7">
        <f t="shared" si="57"/>
        <v>6397.83</v>
      </c>
      <c r="L720" s="7">
        <f t="shared" si="58"/>
        <v>6684.3</v>
      </c>
      <c r="M720" s="7">
        <f t="shared" si="59"/>
        <v>6875.28</v>
      </c>
    </row>
    <row r="721" spans="1:13">
      <c r="A721" s="6" t="s">
        <v>228</v>
      </c>
      <c r="B721" s="6" t="s">
        <v>1972</v>
      </c>
      <c r="C721" s="6" t="s">
        <v>1973</v>
      </c>
      <c r="E721" s="6" t="s">
        <v>1974</v>
      </c>
      <c r="G721" s="7">
        <v>6949</v>
      </c>
      <c r="H721" s="7">
        <v>7852.37</v>
      </c>
      <c r="I721" s="7">
        <f t="shared" si="55"/>
        <v>4308.38</v>
      </c>
      <c r="J721" s="7">
        <f t="shared" si="56"/>
        <v>4516.85</v>
      </c>
      <c r="K721" s="7">
        <f t="shared" si="57"/>
        <v>4655.83</v>
      </c>
      <c r="L721" s="7">
        <f t="shared" si="58"/>
        <v>4864.3</v>
      </c>
      <c r="M721" s="7">
        <f t="shared" si="59"/>
        <v>5003.28</v>
      </c>
    </row>
    <row r="722" spans="1:13">
      <c r="A722" s="6" t="s">
        <v>25</v>
      </c>
      <c r="B722" s="6" t="s">
        <v>1975</v>
      </c>
      <c r="C722" s="6" t="s">
        <v>1976</v>
      </c>
      <c r="E722" s="6" t="s">
        <v>1976</v>
      </c>
      <c r="G722" s="7">
        <v>9749</v>
      </c>
      <c r="H722" s="7">
        <v>11016.37</v>
      </c>
      <c r="I722" s="7">
        <f t="shared" si="55"/>
        <v>6044.38</v>
      </c>
      <c r="J722" s="7">
        <f t="shared" si="56"/>
        <v>6336.85</v>
      </c>
      <c r="K722" s="7">
        <f t="shared" si="57"/>
        <v>6531.83</v>
      </c>
      <c r="L722" s="7">
        <f t="shared" si="58"/>
        <v>6824.3</v>
      </c>
      <c r="M722" s="7">
        <f t="shared" si="59"/>
        <v>7019.28</v>
      </c>
    </row>
    <row r="723" spans="1:13">
      <c r="A723" s="6" t="s">
        <v>228</v>
      </c>
      <c r="B723" s="6" t="s">
        <v>1977</v>
      </c>
      <c r="C723" s="6" t="s">
        <v>1978</v>
      </c>
      <c r="E723" s="6" t="s">
        <v>1979</v>
      </c>
      <c r="G723" s="7">
        <v>6900</v>
      </c>
      <c r="H723" s="7">
        <v>7797</v>
      </c>
      <c r="I723" s="7">
        <f t="shared" si="55"/>
        <v>4278</v>
      </c>
      <c r="J723" s="7">
        <f t="shared" si="56"/>
        <v>4485</v>
      </c>
      <c r="K723" s="7">
        <f t="shared" si="57"/>
        <v>4623</v>
      </c>
      <c r="L723" s="7">
        <f t="shared" si="58"/>
        <v>4830</v>
      </c>
      <c r="M723" s="7">
        <f t="shared" si="59"/>
        <v>4968</v>
      </c>
    </row>
    <row r="724" ht="38.25" spans="1:13">
      <c r="A724" s="6" t="s">
        <v>18</v>
      </c>
      <c r="B724" s="6" t="s">
        <v>1980</v>
      </c>
      <c r="C724" s="6" t="s">
        <v>1981</v>
      </c>
      <c r="E724" s="6" t="s">
        <v>1982</v>
      </c>
      <c r="G724" s="7">
        <v>1749</v>
      </c>
      <c r="H724" s="7">
        <v>1976.37</v>
      </c>
      <c r="I724" s="7">
        <f t="shared" si="55"/>
        <v>1084.38</v>
      </c>
      <c r="J724" s="7">
        <f t="shared" si="56"/>
        <v>1136.85</v>
      </c>
      <c r="K724" s="7">
        <f t="shared" si="57"/>
        <v>1171.83</v>
      </c>
      <c r="L724" s="7">
        <f t="shared" si="58"/>
        <v>1224.3</v>
      </c>
      <c r="M724" s="7">
        <f t="shared" si="59"/>
        <v>1259.28</v>
      </c>
    </row>
    <row r="725" ht="25.5" spans="1:13">
      <c r="A725" s="6" t="s">
        <v>18</v>
      </c>
      <c r="B725" s="6" t="s">
        <v>1983</v>
      </c>
      <c r="C725" s="6" t="s">
        <v>1984</v>
      </c>
      <c r="E725" s="6" t="s">
        <v>1985</v>
      </c>
      <c r="G725" s="7">
        <v>2426</v>
      </c>
      <c r="H725" s="7">
        <v>2741.38</v>
      </c>
      <c r="I725" s="7">
        <f t="shared" si="55"/>
        <v>1504.12</v>
      </c>
      <c r="J725" s="7">
        <f t="shared" si="56"/>
        <v>1576.9</v>
      </c>
      <c r="K725" s="7">
        <f t="shared" si="57"/>
        <v>1625.42</v>
      </c>
      <c r="L725" s="7">
        <f t="shared" si="58"/>
        <v>1698.2</v>
      </c>
      <c r="M725" s="7">
        <f t="shared" si="59"/>
        <v>1746.72</v>
      </c>
    </row>
    <row r="726" ht="25.5" spans="1:13">
      <c r="A726" s="6" t="s">
        <v>18</v>
      </c>
      <c r="B726" s="6" t="s">
        <v>1986</v>
      </c>
      <c r="C726" s="6" t="s">
        <v>1987</v>
      </c>
      <c r="E726" s="6" t="s">
        <v>1987</v>
      </c>
      <c r="G726" s="7">
        <v>32.9</v>
      </c>
      <c r="H726" s="7">
        <v>37.177</v>
      </c>
      <c r="I726" s="7">
        <f t="shared" si="55"/>
        <v>20.398</v>
      </c>
      <c r="J726" s="7">
        <f t="shared" si="56"/>
        <v>21.385</v>
      </c>
      <c r="K726" s="7">
        <f t="shared" si="57"/>
        <v>22.043</v>
      </c>
      <c r="L726" s="7">
        <f t="shared" si="58"/>
        <v>23.03</v>
      </c>
      <c r="M726" s="7">
        <f t="shared" si="59"/>
        <v>23.688</v>
      </c>
    </row>
    <row r="727" spans="1:13">
      <c r="A727" s="6" t="s">
        <v>18</v>
      </c>
      <c r="B727" s="6" t="s">
        <v>1988</v>
      </c>
      <c r="C727" s="6" t="s">
        <v>1989</v>
      </c>
      <c r="E727" s="6" t="s">
        <v>1990</v>
      </c>
      <c r="G727" s="7">
        <v>19</v>
      </c>
      <c r="H727" s="7">
        <v>21.47</v>
      </c>
      <c r="I727" s="7">
        <f t="shared" si="55"/>
        <v>11.78</v>
      </c>
      <c r="J727" s="7">
        <f t="shared" si="56"/>
        <v>12.35</v>
      </c>
      <c r="K727" s="7">
        <f t="shared" si="57"/>
        <v>12.73</v>
      </c>
      <c r="L727" s="7">
        <f t="shared" si="58"/>
        <v>13.3</v>
      </c>
      <c r="M727" s="7">
        <f t="shared" si="59"/>
        <v>13.68</v>
      </c>
    </row>
    <row r="728" ht="63.75" spans="1:13">
      <c r="A728" s="6" t="s">
        <v>682</v>
      </c>
      <c r="B728" s="6" t="s">
        <v>1991</v>
      </c>
      <c r="C728" s="6" t="s">
        <v>1992</v>
      </c>
      <c r="E728" s="6" t="s">
        <v>1993</v>
      </c>
      <c r="G728" s="7">
        <v>3949</v>
      </c>
      <c r="H728" s="7">
        <v>4462.37</v>
      </c>
      <c r="I728" s="7">
        <f t="shared" si="55"/>
        <v>2448.38</v>
      </c>
      <c r="J728" s="7">
        <f t="shared" si="56"/>
        <v>2566.85</v>
      </c>
      <c r="K728" s="7">
        <f t="shared" si="57"/>
        <v>2645.83</v>
      </c>
      <c r="L728" s="7">
        <f t="shared" si="58"/>
        <v>2764.3</v>
      </c>
      <c r="M728" s="7">
        <f t="shared" si="59"/>
        <v>2843.28</v>
      </c>
    </row>
    <row r="729" ht="63.75" spans="1:13">
      <c r="A729" s="6" t="s">
        <v>682</v>
      </c>
      <c r="B729" s="6" t="s">
        <v>1994</v>
      </c>
      <c r="C729" s="6" t="s">
        <v>1995</v>
      </c>
      <c r="E729" s="6" t="s">
        <v>1996</v>
      </c>
      <c r="G729" s="7">
        <v>8099</v>
      </c>
      <c r="H729" s="7">
        <v>9151.87</v>
      </c>
      <c r="I729" s="7">
        <f t="shared" si="55"/>
        <v>5021.38</v>
      </c>
      <c r="J729" s="7">
        <f t="shared" si="56"/>
        <v>5264.35</v>
      </c>
      <c r="K729" s="7">
        <f t="shared" si="57"/>
        <v>5426.33</v>
      </c>
      <c r="L729" s="7">
        <f t="shared" si="58"/>
        <v>5669.3</v>
      </c>
      <c r="M729" s="7">
        <f t="shared" si="59"/>
        <v>5831.28</v>
      </c>
    </row>
    <row r="730" ht="38.25" spans="1:13">
      <c r="A730" s="6" t="s">
        <v>682</v>
      </c>
      <c r="B730" s="6" t="s">
        <v>1997</v>
      </c>
      <c r="C730" s="6" t="s">
        <v>1998</v>
      </c>
      <c r="E730" s="6" t="s">
        <v>1999</v>
      </c>
      <c r="G730" s="7">
        <v>7799</v>
      </c>
      <c r="H730" s="7">
        <v>8812.87</v>
      </c>
      <c r="I730" s="7">
        <f t="shared" si="55"/>
        <v>4835.38</v>
      </c>
      <c r="J730" s="7">
        <f t="shared" si="56"/>
        <v>5069.35</v>
      </c>
      <c r="K730" s="7">
        <f t="shared" si="57"/>
        <v>5225.33</v>
      </c>
      <c r="L730" s="7">
        <f t="shared" si="58"/>
        <v>5459.3</v>
      </c>
      <c r="M730" s="7">
        <f t="shared" si="59"/>
        <v>5615.28</v>
      </c>
    </row>
    <row r="731" ht="38.25" spans="1:13">
      <c r="A731" s="6" t="s">
        <v>682</v>
      </c>
      <c r="B731" s="6" t="s">
        <v>2000</v>
      </c>
      <c r="C731" s="6" t="s">
        <v>2001</v>
      </c>
      <c r="E731" s="6" t="s">
        <v>2002</v>
      </c>
      <c r="G731" s="7">
        <v>5799</v>
      </c>
      <c r="H731" s="7">
        <v>6552.87</v>
      </c>
      <c r="I731" s="7">
        <f t="shared" si="55"/>
        <v>3595.38</v>
      </c>
      <c r="J731" s="7">
        <f t="shared" si="56"/>
        <v>3769.35</v>
      </c>
      <c r="K731" s="7">
        <f t="shared" si="57"/>
        <v>3885.33</v>
      </c>
      <c r="L731" s="7">
        <f t="shared" si="58"/>
        <v>4059.3</v>
      </c>
      <c r="M731" s="7">
        <f t="shared" si="59"/>
        <v>4175.28</v>
      </c>
    </row>
    <row r="732" ht="25.5" spans="1:13">
      <c r="A732" s="6" t="s">
        <v>18</v>
      </c>
      <c r="B732" s="6" t="s">
        <v>2003</v>
      </c>
      <c r="C732" s="6" t="s">
        <v>2004</v>
      </c>
      <c r="E732" s="6" t="s">
        <v>2005</v>
      </c>
      <c r="G732" s="7">
        <v>39</v>
      </c>
      <c r="H732" s="7">
        <v>44.07</v>
      </c>
      <c r="I732" s="7">
        <f t="shared" si="55"/>
        <v>24.18</v>
      </c>
      <c r="J732" s="7">
        <f t="shared" si="56"/>
        <v>25.35</v>
      </c>
      <c r="K732" s="7">
        <f t="shared" si="57"/>
        <v>26.13</v>
      </c>
      <c r="L732" s="7">
        <f t="shared" si="58"/>
        <v>27.3</v>
      </c>
      <c r="M732" s="7">
        <f t="shared" si="59"/>
        <v>28.08</v>
      </c>
    </row>
    <row r="733" ht="25.5" spans="1:13">
      <c r="A733" s="6" t="s">
        <v>18</v>
      </c>
      <c r="B733" s="6" t="s">
        <v>2006</v>
      </c>
      <c r="C733" s="6" t="s">
        <v>2007</v>
      </c>
      <c r="E733" s="6" t="s">
        <v>2008</v>
      </c>
      <c r="G733" s="7">
        <v>42</v>
      </c>
      <c r="H733" s="7">
        <v>47.46</v>
      </c>
      <c r="I733" s="7">
        <f t="shared" si="55"/>
        <v>26.04</v>
      </c>
      <c r="J733" s="7">
        <f t="shared" si="56"/>
        <v>27.3</v>
      </c>
      <c r="K733" s="7">
        <f t="shared" si="57"/>
        <v>28.14</v>
      </c>
      <c r="L733" s="7">
        <f t="shared" si="58"/>
        <v>29.4</v>
      </c>
      <c r="M733" s="7">
        <f t="shared" si="59"/>
        <v>30.24</v>
      </c>
    </row>
    <row r="734" spans="1:13">
      <c r="A734" s="6" t="s">
        <v>18</v>
      </c>
      <c r="B734" s="6" t="s">
        <v>2009</v>
      </c>
      <c r="C734" s="6" t="s">
        <v>2010</v>
      </c>
      <c r="E734" s="6" t="s">
        <v>2010</v>
      </c>
      <c r="G734" s="7">
        <v>72</v>
      </c>
      <c r="H734" s="7">
        <v>81.36</v>
      </c>
      <c r="I734" s="7">
        <f t="shared" si="55"/>
        <v>44.64</v>
      </c>
      <c r="J734" s="7">
        <f t="shared" si="56"/>
        <v>46.8</v>
      </c>
      <c r="K734" s="7">
        <f t="shared" si="57"/>
        <v>48.24</v>
      </c>
      <c r="L734" s="7">
        <f t="shared" si="58"/>
        <v>50.4</v>
      </c>
      <c r="M734" s="7">
        <f t="shared" si="59"/>
        <v>51.84</v>
      </c>
    </row>
    <row r="735" spans="1:13">
      <c r="A735" s="6" t="s">
        <v>18</v>
      </c>
      <c r="B735" s="6" t="s">
        <v>2011</v>
      </c>
      <c r="C735" s="6" t="s">
        <v>2012</v>
      </c>
      <c r="E735" s="6" t="s">
        <v>2012</v>
      </c>
      <c r="G735" s="7">
        <v>66</v>
      </c>
      <c r="H735" s="7">
        <v>74.58</v>
      </c>
      <c r="I735" s="7">
        <f t="shared" si="55"/>
        <v>40.92</v>
      </c>
      <c r="J735" s="7">
        <f t="shared" si="56"/>
        <v>42.9</v>
      </c>
      <c r="K735" s="7">
        <f t="shared" si="57"/>
        <v>44.22</v>
      </c>
      <c r="L735" s="7">
        <f t="shared" si="58"/>
        <v>46.2</v>
      </c>
      <c r="M735" s="7">
        <f t="shared" si="59"/>
        <v>47.52</v>
      </c>
    </row>
    <row r="736" ht="25.5" spans="1:13">
      <c r="A736" s="6" t="s">
        <v>18</v>
      </c>
      <c r="B736" s="6" t="s">
        <v>2013</v>
      </c>
      <c r="C736" s="6" t="s">
        <v>2014</v>
      </c>
      <c r="E736" s="6" t="s">
        <v>2015</v>
      </c>
      <c r="G736" s="7">
        <v>99</v>
      </c>
      <c r="H736" s="7">
        <v>111.87</v>
      </c>
      <c r="I736" s="7">
        <f t="shared" si="55"/>
        <v>61.38</v>
      </c>
      <c r="J736" s="7">
        <f t="shared" si="56"/>
        <v>64.35</v>
      </c>
      <c r="K736" s="7">
        <f t="shared" si="57"/>
        <v>66.33</v>
      </c>
      <c r="L736" s="7">
        <f t="shared" si="58"/>
        <v>69.3</v>
      </c>
      <c r="M736" s="7">
        <f t="shared" si="59"/>
        <v>71.28</v>
      </c>
    </row>
    <row r="737" spans="1:13">
      <c r="A737" s="6" t="s">
        <v>18</v>
      </c>
      <c r="B737" s="6" t="s">
        <v>2016</v>
      </c>
      <c r="C737" s="6" t="s">
        <v>2017</v>
      </c>
      <c r="E737" s="6" t="s">
        <v>2018</v>
      </c>
      <c r="G737" s="7">
        <v>116</v>
      </c>
      <c r="H737" s="7">
        <v>131.08</v>
      </c>
      <c r="I737" s="7">
        <f t="shared" si="55"/>
        <v>71.92</v>
      </c>
      <c r="J737" s="7">
        <f t="shared" si="56"/>
        <v>75.4</v>
      </c>
      <c r="K737" s="7">
        <f t="shared" si="57"/>
        <v>77.72</v>
      </c>
      <c r="L737" s="7">
        <f t="shared" si="58"/>
        <v>81.2</v>
      </c>
      <c r="M737" s="7">
        <f t="shared" si="59"/>
        <v>83.52</v>
      </c>
    </row>
    <row r="738" ht="38.25" spans="1:13">
      <c r="A738" s="6" t="s">
        <v>1358</v>
      </c>
      <c r="B738" s="6" t="s">
        <v>2019</v>
      </c>
      <c r="C738" s="6" t="s">
        <v>2020</v>
      </c>
      <c r="E738" s="6" t="s">
        <v>2021</v>
      </c>
      <c r="G738" s="7">
        <v>1249</v>
      </c>
      <c r="H738" s="7">
        <v>1411.37</v>
      </c>
      <c r="I738" s="7">
        <f t="shared" si="55"/>
        <v>774.38</v>
      </c>
      <c r="J738" s="7">
        <f t="shared" si="56"/>
        <v>811.85</v>
      </c>
      <c r="K738" s="7">
        <f t="shared" si="57"/>
        <v>836.83</v>
      </c>
      <c r="L738" s="7">
        <f t="shared" si="58"/>
        <v>874.3</v>
      </c>
      <c r="M738" s="7">
        <f t="shared" si="59"/>
        <v>899.28</v>
      </c>
    </row>
    <row r="739" ht="38.25" spans="1:13">
      <c r="A739" s="6" t="s">
        <v>1358</v>
      </c>
      <c r="B739" s="6" t="s">
        <v>2022</v>
      </c>
      <c r="C739" s="6" t="s">
        <v>2023</v>
      </c>
      <c r="E739" s="6" t="s">
        <v>2024</v>
      </c>
      <c r="G739" s="7">
        <v>1599</v>
      </c>
      <c r="H739" s="7">
        <v>1806.87</v>
      </c>
      <c r="I739" s="7">
        <f t="shared" si="55"/>
        <v>991.38</v>
      </c>
      <c r="J739" s="7">
        <f t="shared" si="56"/>
        <v>1039.35</v>
      </c>
      <c r="K739" s="7">
        <f t="shared" si="57"/>
        <v>1071.33</v>
      </c>
      <c r="L739" s="7">
        <f t="shared" si="58"/>
        <v>1119.3</v>
      </c>
      <c r="M739" s="7">
        <f t="shared" si="59"/>
        <v>1151.28</v>
      </c>
    </row>
    <row r="740" ht="25.5" spans="1:13">
      <c r="A740" s="6" t="s">
        <v>733</v>
      </c>
      <c r="B740" s="6" t="s">
        <v>2025</v>
      </c>
      <c r="C740" s="6" t="s">
        <v>2026</v>
      </c>
      <c r="E740" s="6" t="s">
        <v>2027</v>
      </c>
      <c r="G740" s="7">
        <v>79</v>
      </c>
      <c r="H740" s="7">
        <v>89.27</v>
      </c>
      <c r="I740" s="7">
        <f t="shared" si="55"/>
        <v>48.98</v>
      </c>
      <c r="J740" s="7">
        <f t="shared" si="56"/>
        <v>51.35</v>
      </c>
      <c r="K740" s="7">
        <f t="shared" si="57"/>
        <v>52.93</v>
      </c>
      <c r="L740" s="7">
        <f t="shared" si="58"/>
        <v>55.3</v>
      </c>
      <c r="M740" s="7">
        <f t="shared" si="59"/>
        <v>56.88</v>
      </c>
    </row>
    <row r="741" ht="38.25" spans="1:13">
      <c r="A741" s="6" t="s">
        <v>733</v>
      </c>
      <c r="B741" s="6" t="s">
        <v>2028</v>
      </c>
      <c r="C741" s="6" t="s">
        <v>2029</v>
      </c>
      <c r="E741" s="6" t="s">
        <v>2030</v>
      </c>
      <c r="G741" s="7">
        <v>119</v>
      </c>
      <c r="H741" s="7">
        <v>134.47</v>
      </c>
      <c r="I741" s="7">
        <f t="shared" si="55"/>
        <v>73.78</v>
      </c>
      <c r="J741" s="7">
        <f t="shared" si="56"/>
        <v>77.35</v>
      </c>
      <c r="K741" s="7">
        <f t="shared" si="57"/>
        <v>79.73</v>
      </c>
      <c r="L741" s="7">
        <f t="shared" si="58"/>
        <v>83.3</v>
      </c>
      <c r="M741" s="7">
        <f t="shared" si="59"/>
        <v>85.68</v>
      </c>
    </row>
    <row r="742" ht="25.5" spans="1:13">
      <c r="A742" s="6" t="s">
        <v>733</v>
      </c>
      <c r="B742" s="6" t="s">
        <v>2031</v>
      </c>
      <c r="C742" s="6" t="s">
        <v>2032</v>
      </c>
      <c r="E742" s="6" t="s">
        <v>2033</v>
      </c>
      <c r="G742" s="7">
        <v>39</v>
      </c>
      <c r="H742" s="7">
        <v>44.07</v>
      </c>
      <c r="I742" s="7">
        <f t="shared" si="55"/>
        <v>24.18</v>
      </c>
      <c r="J742" s="7">
        <f t="shared" si="56"/>
        <v>25.35</v>
      </c>
      <c r="K742" s="7">
        <f t="shared" si="57"/>
        <v>26.13</v>
      </c>
      <c r="L742" s="7">
        <f t="shared" si="58"/>
        <v>27.3</v>
      </c>
      <c r="M742" s="7">
        <f t="shared" si="59"/>
        <v>28.08</v>
      </c>
    </row>
    <row r="743" ht="38.25" spans="1:13">
      <c r="A743" s="6" t="s">
        <v>733</v>
      </c>
      <c r="B743" s="6" t="s">
        <v>2034</v>
      </c>
      <c r="C743" s="6" t="s">
        <v>2035</v>
      </c>
      <c r="E743" s="6" t="s">
        <v>2036</v>
      </c>
      <c r="G743" s="7">
        <v>39</v>
      </c>
      <c r="H743" s="7">
        <v>44.07</v>
      </c>
      <c r="I743" s="7">
        <f t="shared" si="55"/>
        <v>24.18</v>
      </c>
      <c r="J743" s="7">
        <f t="shared" si="56"/>
        <v>25.35</v>
      </c>
      <c r="K743" s="7">
        <f t="shared" si="57"/>
        <v>26.13</v>
      </c>
      <c r="L743" s="7">
        <f t="shared" si="58"/>
        <v>27.3</v>
      </c>
      <c r="M743" s="7">
        <f t="shared" si="59"/>
        <v>28.08</v>
      </c>
    </row>
    <row r="744" ht="25.5" spans="1:13">
      <c r="A744" s="6" t="s">
        <v>733</v>
      </c>
      <c r="B744" s="6" t="s">
        <v>2037</v>
      </c>
      <c r="C744" s="6" t="s">
        <v>2038</v>
      </c>
      <c r="E744" s="6" t="s">
        <v>2039</v>
      </c>
      <c r="G744" s="7">
        <v>39</v>
      </c>
      <c r="H744" s="7">
        <v>44.07</v>
      </c>
      <c r="I744" s="7">
        <f t="shared" si="55"/>
        <v>24.18</v>
      </c>
      <c r="J744" s="7">
        <f t="shared" si="56"/>
        <v>25.35</v>
      </c>
      <c r="K744" s="7">
        <f t="shared" si="57"/>
        <v>26.13</v>
      </c>
      <c r="L744" s="7">
        <f t="shared" si="58"/>
        <v>27.3</v>
      </c>
      <c r="M744" s="7">
        <f t="shared" si="59"/>
        <v>28.08</v>
      </c>
    </row>
    <row r="745" ht="25.5" spans="1:13">
      <c r="A745" s="6" t="s">
        <v>370</v>
      </c>
      <c r="B745" s="6" t="s">
        <v>2040</v>
      </c>
      <c r="C745" s="6" t="s">
        <v>2041</v>
      </c>
      <c r="E745" s="6" t="s">
        <v>2042</v>
      </c>
      <c r="G745" s="7">
        <v>59</v>
      </c>
      <c r="H745" s="7">
        <v>66.67</v>
      </c>
      <c r="I745" s="7">
        <f t="shared" si="55"/>
        <v>36.58</v>
      </c>
      <c r="J745" s="7">
        <f t="shared" si="56"/>
        <v>38.35</v>
      </c>
      <c r="K745" s="7">
        <f t="shared" si="57"/>
        <v>39.53</v>
      </c>
      <c r="L745" s="7">
        <f t="shared" si="58"/>
        <v>41.3</v>
      </c>
      <c r="M745" s="7">
        <f t="shared" si="59"/>
        <v>42.48</v>
      </c>
    </row>
    <row r="746" ht="25.5" spans="1:13">
      <c r="A746" s="6" t="s">
        <v>733</v>
      </c>
      <c r="B746" s="6" t="s">
        <v>2043</v>
      </c>
      <c r="C746" s="6" t="s">
        <v>2044</v>
      </c>
      <c r="E746" s="6" t="s">
        <v>2045</v>
      </c>
      <c r="G746" s="7">
        <v>59</v>
      </c>
      <c r="H746" s="7">
        <v>66.67</v>
      </c>
      <c r="I746" s="7">
        <f t="shared" si="55"/>
        <v>36.58</v>
      </c>
      <c r="J746" s="7">
        <f t="shared" si="56"/>
        <v>38.35</v>
      </c>
      <c r="K746" s="7">
        <f t="shared" si="57"/>
        <v>39.53</v>
      </c>
      <c r="L746" s="7">
        <f t="shared" si="58"/>
        <v>41.3</v>
      </c>
      <c r="M746" s="7">
        <f t="shared" si="59"/>
        <v>42.48</v>
      </c>
    </row>
    <row r="747" ht="25.5" spans="1:13">
      <c r="A747" s="6" t="s">
        <v>733</v>
      </c>
      <c r="B747" s="6" t="s">
        <v>2046</v>
      </c>
      <c r="C747" s="6" t="s">
        <v>2047</v>
      </c>
      <c r="E747" s="6" t="s">
        <v>2048</v>
      </c>
      <c r="G747" s="7">
        <v>79</v>
      </c>
      <c r="H747" s="7">
        <v>89.27</v>
      </c>
      <c r="I747" s="7">
        <f t="shared" si="55"/>
        <v>48.98</v>
      </c>
      <c r="J747" s="7">
        <f t="shared" si="56"/>
        <v>51.35</v>
      </c>
      <c r="K747" s="7">
        <f t="shared" si="57"/>
        <v>52.93</v>
      </c>
      <c r="L747" s="7">
        <f t="shared" si="58"/>
        <v>55.3</v>
      </c>
      <c r="M747" s="7">
        <f t="shared" si="59"/>
        <v>56.88</v>
      </c>
    </row>
    <row r="748" ht="25.5" spans="1:13">
      <c r="A748" s="6" t="s">
        <v>733</v>
      </c>
      <c r="B748" s="6" t="s">
        <v>2049</v>
      </c>
      <c r="C748" s="6" t="s">
        <v>2050</v>
      </c>
      <c r="E748" s="6" t="s">
        <v>2051</v>
      </c>
      <c r="G748" s="7">
        <v>99</v>
      </c>
      <c r="H748" s="7">
        <v>111.87</v>
      </c>
      <c r="I748" s="7">
        <f t="shared" si="55"/>
        <v>61.38</v>
      </c>
      <c r="J748" s="7">
        <f t="shared" si="56"/>
        <v>64.35</v>
      </c>
      <c r="K748" s="7">
        <f t="shared" si="57"/>
        <v>66.33</v>
      </c>
      <c r="L748" s="7">
        <f t="shared" si="58"/>
        <v>69.3</v>
      </c>
      <c r="M748" s="7">
        <f t="shared" si="59"/>
        <v>71.28</v>
      </c>
    </row>
    <row r="749" ht="25.5" spans="1:13">
      <c r="A749" s="6" t="s">
        <v>733</v>
      </c>
      <c r="B749" s="6" t="s">
        <v>2052</v>
      </c>
      <c r="C749" s="6" t="s">
        <v>2053</v>
      </c>
      <c r="E749" s="6" t="s">
        <v>2054</v>
      </c>
      <c r="G749" s="7">
        <v>119</v>
      </c>
      <c r="H749" s="7">
        <v>134.47</v>
      </c>
      <c r="I749" s="7">
        <f t="shared" si="55"/>
        <v>73.78</v>
      </c>
      <c r="J749" s="7">
        <f t="shared" si="56"/>
        <v>77.35</v>
      </c>
      <c r="K749" s="7">
        <f t="shared" si="57"/>
        <v>79.73</v>
      </c>
      <c r="L749" s="7">
        <f t="shared" si="58"/>
        <v>83.3</v>
      </c>
      <c r="M749" s="7">
        <f t="shared" si="59"/>
        <v>85.68</v>
      </c>
    </row>
    <row r="750" ht="51" spans="1:13">
      <c r="A750" s="6" t="s">
        <v>733</v>
      </c>
      <c r="B750" s="6" t="s">
        <v>2055</v>
      </c>
      <c r="C750" s="6" t="s">
        <v>2056</v>
      </c>
      <c r="E750" s="6" t="s">
        <v>2057</v>
      </c>
      <c r="G750" s="7">
        <v>119</v>
      </c>
      <c r="H750" s="7">
        <v>134.47</v>
      </c>
      <c r="I750" s="7">
        <f t="shared" si="55"/>
        <v>73.78</v>
      </c>
      <c r="J750" s="7">
        <f t="shared" si="56"/>
        <v>77.35</v>
      </c>
      <c r="K750" s="7">
        <f t="shared" si="57"/>
        <v>79.73</v>
      </c>
      <c r="L750" s="7">
        <f t="shared" si="58"/>
        <v>83.3</v>
      </c>
      <c r="M750" s="7">
        <f t="shared" si="59"/>
        <v>85.68</v>
      </c>
    </row>
    <row r="751" ht="25.5" spans="1:13">
      <c r="A751" s="6" t="s">
        <v>733</v>
      </c>
      <c r="B751" s="6" t="s">
        <v>2058</v>
      </c>
      <c r="C751" s="6" t="s">
        <v>2059</v>
      </c>
      <c r="E751" s="6" t="s">
        <v>2060</v>
      </c>
      <c r="G751" s="7">
        <v>79</v>
      </c>
      <c r="H751" s="7">
        <v>89.27</v>
      </c>
      <c r="I751" s="7">
        <f t="shared" si="55"/>
        <v>48.98</v>
      </c>
      <c r="J751" s="7">
        <f t="shared" si="56"/>
        <v>51.35</v>
      </c>
      <c r="K751" s="7">
        <f t="shared" si="57"/>
        <v>52.93</v>
      </c>
      <c r="L751" s="7">
        <f t="shared" si="58"/>
        <v>55.3</v>
      </c>
      <c r="M751" s="7">
        <f t="shared" si="59"/>
        <v>56.88</v>
      </c>
    </row>
    <row r="752" ht="25.5" spans="1:13">
      <c r="A752" s="6" t="s">
        <v>733</v>
      </c>
      <c r="B752" s="6" t="s">
        <v>2061</v>
      </c>
      <c r="C752" s="6" t="s">
        <v>2062</v>
      </c>
      <c r="E752" s="6" t="s">
        <v>2063</v>
      </c>
      <c r="G752" s="7">
        <v>99</v>
      </c>
      <c r="H752" s="7">
        <v>111.87</v>
      </c>
      <c r="I752" s="7">
        <f t="shared" si="55"/>
        <v>61.38</v>
      </c>
      <c r="J752" s="7">
        <f t="shared" si="56"/>
        <v>64.35</v>
      </c>
      <c r="K752" s="7">
        <f t="shared" si="57"/>
        <v>66.33</v>
      </c>
      <c r="L752" s="7">
        <f t="shared" si="58"/>
        <v>69.3</v>
      </c>
      <c r="M752" s="7">
        <f t="shared" si="59"/>
        <v>71.28</v>
      </c>
    </row>
    <row r="753" ht="25.5" spans="1:13">
      <c r="A753" s="6" t="s">
        <v>733</v>
      </c>
      <c r="B753" s="6" t="s">
        <v>2064</v>
      </c>
      <c r="C753" s="6" t="s">
        <v>2065</v>
      </c>
      <c r="E753" s="6" t="s">
        <v>2066</v>
      </c>
      <c r="G753" s="7">
        <v>39</v>
      </c>
      <c r="H753" s="7">
        <v>44.07</v>
      </c>
      <c r="I753" s="7">
        <f t="shared" si="55"/>
        <v>24.18</v>
      </c>
      <c r="J753" s="7">
        <f t="shared" si="56"/>
        <v>25.35</v>
      </c>
      <c r="K753" s="7">
        <f t="shared" si="57"/>
        <v>26.13</v>
      </c>
      <c r="L753" s="7">
        <f t="shared" si="58"/>
        <v>27.3</v>
      </c>
      <c r="M753" s="7">
        <f t="shared" si="59"/>
        <v>28.08</v>
      </c>
    </row>
    <row r="754" ht="25.5" spans="1:13">
      <c r="A754" s="6" t="s">
        <v>733</v>
      </c>
      <c r="B754" s="6" t="s">
        <v>2067</v>
      </c>
      <c r="C754" s="6" t="s">
        <v>2068</v>
      </c>
      <c r="E754" s="6" t="s">
        <v>2069</v>
      </c>
      <c r="G754" s="7">
        <v>79</v>
      </c>
      <c r="H754" s="7">
        <v>89.27</v>
      </c>
      <c r="I754" s="7">
        <f t="shared" si="55"/>
        <v>48.98</v>
      </c>
      <c r="J754" s="7">
        <f t="shared" si="56"/>
        <v>51.35</v>
      </c>
      <c r="K754" s="7">
        <f t="shared" si="57"/>
        <v>52.93</v>
      </c>
      <c r="L754" s="7">
        <f t="shared" si="58"/>
        <v>55.3</v>
      </c>
      <c r="M754" s="7">
        <f t="shared" si="59"/>
        <v>56.88</v>
      </c>
    </row>
    <row r="755" ht="25.5" spans="1:13">
      <c r="A755" s="6" t="s">
        <v>733</v>
      </c>
      <c r="B755" s="6" t="s">
        <v>2070</v>
      </c>
      <c r="C755" s="6" t="s">
        <v>2071</v>
      </c>
      <c r="E755" s="6" t="s">
        <v>2072</v>
      </c>
      <c r="G755" s="7">
        <v>39</v>
      </c>
      <c r="H755" s="7">
        <v>44.07</v>
      </c>
      <c r="I755" s="7">
        <f t="shared" si="55"/>
        <v>24.18</v>
      </c>
      <c r="J755" s="7">
        <f t="shared" si="56"/>
        <v>25.35</v>
      </c>
      <c r="K755" s="7">
        <f t="shared" si="57"/>
        <v>26.13</v>
      </c>
      <c r="L755" s="7">
        <f t="shared" si="58"/>
        <v>27.3</v>
      </c>
      <c r="M755" s="7">
        <f t="shared" si="59"/>
        <v>28.08</v>
      </c>
    </row>
    <row r="756" ht="25.5" spans="1:13">
      <c r="A756" s="6" t="s">
        <v>733</v>
      </c>
      <c r="B756" s="6" t="s">
        <v>2073</v>
      </c>
      <c r="C756" s="6" t="s">
        <v>2074</v>
      </c>
      <c r="E756" s="6" t="s">
        <v>2075</v>
      </c>
      <c r="G756" s="7">
        <v>59</v>
      </c>
      <c r="H756" s="7">
        <v>66.67</v>
      </c>
      <c r="I756" s="7">
        <f t="shared" si="55"/>
        <v>36.58</v>
      </c>
      <c r="J756" s="7">
        <f t="shared" si="56"/>
        <v>38.35</v>
      </c>
      <c r="K756" s="7">
        <f t="shared" si="57"/>
        <v>39.53</v>
      </c>
      <c r="L756" s="7">
        <f t="shared" si="58"/>
        <v>41.3</v>
      </c>
      <c r="M756" s="7">
        <f t="shared" si="59"/>
        <v>42.48</v>
      </c>
    </row>
    <row r="757" ht="51" spans="1:13">
      <c r="A757" s="6" t="s">
        <v>733</v>
      </c>
      <c r="B757" s="6" t="s">
        <v>2076</v>
      </c>
      <c r="C757" s="6" t="s">
        <v>2077</v>
      </c>
      <c r="E757" s="6" t="s">
        <v>2078</v>
      </c>
      <c r="G757" s="7">
        <v>119</v>
      </c>
      <c r="H757" s="7">
        <v>134.47</v>
      </c>
      <c r="I757" s="7">
        <f t="shared" si="55"/>
        <v>73.78</v>
      </c>
      <c r="J757" s="7">
        <f t="shared" si="56"/>
        <v>77.35</v>
      </c>
      <c r="K757" s="7">
        <f t="shared" si="57"/>
        <v>79.73</v>
      </c>
      <c r="L757" s="7">
        <f t="shared" si="58"/>
        <v>83.3</v>
      </c>
      <c r="M757" s="7">
        <f t="shared" si="59"/>
        <v>85.68</v>
      </c>
    </row>
    <row r="758" spans="1:13">
      <c r="A758" s="6" t="s">
        <v>733</v>
      </c>
      <c r="B758" s="6" t="s">
        <v>2079</v>
      </c>
      <c r="C758" s="6" t="s">
        <v>2080</v>
      </c>
      <c r="E758" s="6" t="s">
        <v>2081</v>
      </c>
      <c r="G758" s="7">
        <v>39</v>
      </c>
      <c r="H758" s="7">
        <v>44.07</v>
      </c>
      <c r="I758" s="7">
        <f t="shared" si="55"/>
        <v>24.18</v>
      </c>
      <c r="J758" s="7">
        <f t="shared" si="56"/>
        <v>25.35</v>
      </c>
      <c r="K758" s="7">
        <f t="shared" si="57"/>
        <v>26.13</v>
      </c>
      <c r="L758" s="7">
        <f t="shared" si="58"/>
        <v>27.3</v>
      </c>
      <c r="M758" s="7">
        <f t="shared" si="59"/>
        <v>28.08</v>
      </c>
    </row>
    <row r="759" ht="25.5" spans="1:13">
      <c r="A759" s="6" t="s">
        <v>733</v>
      </c>
      <c r="B759" s="6" t="s">
        <v>2082</v>
      </c>
      <c r="C759" s="6" t="s">
        <v>2083</v>
      </c>
      <c r="E759" s="6" t="s">
        <v>2084</v>
      </c>
      <c r="G759" s="7">
        <v>39</v>
      </c>
      <c r="H759" s="7">
        <v>44.07</v>
      </c>
      <c r="I759" s="7">
        <f t="shared" si="55"/>
        <v>24.18</v>
      </c>
      <c r="J759" s="7">
        <f t="shared" si="56"/>
        <v>25.35</v>
      </c>
      <c r="K759" s="7">
        <f t="shared" si="57"/>
        <v>26.13</v>
      </c>
      <c r="L759" s="7">
        <f t="shared" si="58"/>
        <v>27.3</v>
      </c>
      <c r="M759" s="7">
        <f t="shared" si="59"/>
        <v>28.08</v>
      </c>
    </row>
    <row r="760" spans="1:13">
      <c r="A760" s="6" t="s">
        <v>733</v>
      </c>
      <c r="B760" s="6" t="s">
        <v>2085</v>
      </c>
      <c r="C760" s="6" t="s">
        <v>2086</v>
      </c>
      <c r="E760" s="6" t="s">
        <v>2087</v>
      </c>
      <c r="G760" s="7">
        <v>119</v>
      </c>
      <c r="H760" s="7">
        <v>134.47</v>
      </c>
      <c r="I760" s="7">
        <f t="shared" si="55"/>
        <v>73.78</v>
      </c>
      <c r="J760" s="7">
        <f t="shared" si="56"/>
        <v>77.35</v>
      </c>
      <c r="K760" s="7">
        <f t="shared" si="57"/>
        <v>79.73</v>
      </c>
      <c r="L760" s="7">
        <f t="shared" si="58"/>
        <v>83.3</v>
      </c>
      <c r="M760" s="7">
        <f t="shared" si="59"/>
        <v>85.68</v>
      </c>
    </row>
    <row r="761" spans="1:13">
      <c r="A761" s="6" t="s">
        <v>733</v>
      </c>
      <c r="B761" s="6" t="s">
        <v>2088</v>
      </c>
      <c r="C761" s="6" t="s">
        <v>2089</v>
      </c>
      <c r="E761" s="6" t="s">
        <v>2090</v>
      </c>
      <c r="G761" s="7">
        <v>159</v>
      </c>
      <c r="H761" s="7">
        <v>179.67</v>
      </c>
      <c r="I761" s="7">
        <f t="shared" si="55"/>
        <v>98.58</v>
      </c>
      <c r="J761" s="7">
        <f t="shared" si="56"/>
        <v>103.35</v>
      </c>
      <c r="K761" s="7">
        <f t="shared" si="57"/>
        <v>106.53</v>
      </c>
      <c r="L761" s="7">
        <f t="shared" si="58"/>
        <v>111.3</v>
      </c>
      <c r="M761" s="7">
        <f t="shared" si="59"/>
        <v>114.48</v>
      </c>
    </row>
    <row r="762" spans="1:13">
      <c r="A762" s="6" t="s">
        <v>18</v>
      </c>
      <c r="B762" s="6" t="s">
        <v>2091</v>
      </c>
      <c r="C762" s="6" t="s">
        <v>2092</v>
      </c>
      <c r="E762" s="6" t="s">
        <v>2093</v>
      </c>
      <c r="G762" s="7">
        <v>59</v>
      </c>
      <c r="H762" s="7">
        <v>66.67</v>
      </c>
      <c r="I762" s="7">
        <f t="shared" si="55"/>
        <v>36.58</v>
      </c>
      <c r="J762" s="7">
        <f t="shared" si="56"/>
        <v>38.35</v>
      </c>
      <c r="K762" s="7">
        <f t="shared" si="57"/>
        <v>39.53</v>
      </c>
      <c r="L762" s="7">
        <f t="shared" si="58"/>
        <v>41.3</v>
      </c>
      <c r="M762" s="7">
        <f t="shared" si="59"/>
        <v>42.48</v>
      </c>
    </row>
    <row r="763" ht="38.25" spans="1:13">
      <c r="A763" s="6" t="s">
        <v>18</v>
      </c>
      <c r="B763" s="6" t="s">
        <v>2094</v>
      </c>
      <c r="C763" s="6" t="s">
        <v>2095</v>
      </c>
      <c r="E763" s="6" t="s">
        <v>2096</v>
      </c>
      <c r="G763" s="7">
        <v>59</v>
      </c>
      <c r="H763" s="7">
        <v>66.67</v>
      </c>
      <c r="I763" s="7">
        <f t="shared" si="55"/>
        <v>36.58</v>
      </c>
      <c r="J763" s="7">
        <f t="shared" si="56"/>
        <v>38.35</v>
      </c>
      <c r="K763" s="7">
        <f t="shared" si="57"/>
        <v>39.53</v>
      </c>
      <c r="L763" s="7">
        <f t="shared" si="58"/>
        <v>41.3</v>
      </c>
      <c r="M763" s="7">
        <f t="shared" si="59"/>
        <v>42.48</v>
      </c>
    </row>
    <row r="764" ht="38.25" spans="1:13">
      <c r="A764" s="6" t="s">
        <v>432</v>
      </c>
      <c r="B764" s="6" t="s">
        <v>2097</v>
      </c>
      <c r="C764" s="6" t="s">
        <v>2098</v>
      </c>
      <c r="E764" s="6" t="s">
        <v>2099</v>
      </c>
      <c r="G764" s="7">
        <v>899</v>
      </c>
      <c r="H764" s="7">
        <v>1015.87</v>
      </c>
      <c r="I764" s="7">
        <f t="shared" si="55"/>
        <v>557.38</v>
      </c>
      <c r="J764" s="7">
        <f t="shared" si="56"/>
        <v>584.35</v>
      </c>
      <c r="K764" s="7">
        <f t="shared" si="57"/>
        <v>602.33</v>
      </c>
      <c r="L764" s="7">
        <f t="shared" si="58"/>
        <v>629.3</v>
      </c>
      <c r="M764" s="7">
        <f t="shared" si="59"/>
        <v>647.28</v>
      </c>
    </row>
    <row r="765" ht="51" spans="1:13">
      <c r="A765" s="6" t="s">
        <v>432</v>
      </c>
      <c r="B765" s="6" t="s">
        <v>2100</v>
      </c>
      <c r="C765" s="6" t="s">
        <v>2101</v>
      </c>
      <c r="E765" s="6" t="s">
        <v>2102</v>
      </c>
      <c r="G765" s="7">
        <v>1749</v>
      </c>
      <c r="H765" s="7">
        <v>1976.37</v>
      </c>
      <c r="I765" s="7">
        <f t="shared" si="55"/>
        <v>1084.38</v>
      </c>
      <c r="J765" s="7">
        <f t="shared" si="56"/>
        <v>1136.85</v>
      </c>
      <c r="K765" s="7">
        <f t="shared" si="57"/>
        <v>1171.83</v>
      </c>
      <c r="L765" s="7">
        <f t="shared" si="58"/>
        <v>1224.3</v>
      </c>
      <c r="M765" s="7">
        <f t="shared" si="59"/>
        <v>1259.28</v>
      </c>
    </row>
    <row r="766" ht="51" spans="1:13">
      <c r="A766" s="6" t="s">
        <v>432</v>
      </c>
      <c r="B766" s="6" t="s">
        <v>2103</v>
      </c>
      <c r="C766" s="6" t="s">
        <v>2104</v>
      </c>
      <c r="E766" s="6" t="s">
        <v>2105</v>
      </c>
      <c r="G766" s="7">
        <v>2499</v>
      </c>
      <c r="H766" s="7">
        <v>2823.87</v>
      </c>
      <c r="I766" s="7">
        <f t="shared" si="55"/>
        <v>1549.38</v>
      </c>
      <c r="J766" s="7">
        <f t="shared" si="56"/>
        <v>1624.35</v>
      </c>
      <c r="K766" s="7">
        <f t="shared" si="57"/>
        <v>1674.33</v>
      </c>
      <c r="L766" s="7">
        <f t="shared" si="58"/>
        <v>1749.3</v>
      </c>
      <c r="M766" s="7">
        <f t="shared" si="59"/>
        <v>1799.28</v>
      </c>
    </row>
    <row r="767" ht="51" spans="1:13">
      <c r="A767" s="6" t="s">
        <v>432</v>
      </c>
      <c r="B767" s="6" t="s">
        <v>2106</v>
      </c>
      <c r="C767" s="6" t="s">
        <v>2107</v>
      </c>
      <c r="E767" s="6" t="s">
        <v>2108</v>
      </c>
      <c r="G767" s="7">
        <v>1199</v>
      </c>
      <c r="H767" s="7">
        <v>1354.87</v>
      </c>
      <c r="I767" s="7">
        <f t="shared" si="55"/>
        <v>743.38</v>
      </c>
      <c r="J767" s="7">
        <f t="shared" si="56"/>
        <v>779.35</v>
      </c>
      <c r="K767" s="7">
        <f t="shared" si="57"/>
        <v>803.33</v>
      </c>
      <c r="L767" s="7">
        <f t="shared" si="58"/>
        <v>839.3</v>
      </c>
      <c r="M767" s="7">
        <f t="shared" si="59"/>
        <v>863.28</v>
      </c>
    </row>
    <row r="768" ht="25.5" spans="1:13">
      <c r="A768" s="6" t="s">
        <v>432</v>
      </c>
      <c r="B768" s="6" t="s">
        <v>2109</v>
      </c>
      <c r="C768" s="6" t="s">
        <v>2110</v>
      </c>
      <c r="E768" s="6" t="s">
        <v>2111</v>
      </c>
      <c r="G768" s="7">
        <v>2099</v>
      </c>
      <c r="H768" s="7">
        <v>2371.87</v>
      </c>
      <c r="I768" s="7">
        <f t="shared" si="55"/>
        <v>1301.38</v>
      </c>
      <c r="J768" s="7">
        <f t="shared" si="56"/>
        <v>1364.35</v>
      </c>
      <c r="K768" s="7">
        <f t="shared" si="57"/>
        <v>1406.33</v>
      </c>
      <c r="L768" s="7">
        <f t="shared" si="58"/>
        <v>1469.3</v>
      </c>
      <c r="M768" s="7">
        <f t="shared" si="59"/>
        <v>1511.28</v>
      </c>
    </row>
    <row r="769" spans="1:13">
      <c r="A769" s="6" t="s">
        <v>18</v>
      </c>
      <c r="B769" s="6" t="s">
        <v>2112</v>
      </c>
      <c r="C769" s="6" t="s">
        <v>2113</v>
      </c>
      <c r="E769" s="6" t="s">
        <v>2114</v>
      </c>
      <c r="G769" s="7">
        <v>59</v>
      </c>
      <c r="H769" s="7">
        <v>66.67</v>
      </c>
      <c r="I769" s="7">
        <f t="shared" si="55"/>
        <v>36.58</v>
      </c>
      <c r="J769" s="7">
        <f t="shared" si="56"/>
        <v>38.35</v>
      </c>
      <c r="K769" s="7">
        <f t="shared" si="57"/>
        <v>39.53</v>
      </c>
      <c r="L769" s="7">
        <f t="shared" si="58"/>
        <v>41.3</v>
      </c>
      <c r="M769" s="7">
        <f t="shared" si="59"/>
        <v>42.48</v>
      </c>
    </row>
    <row r="770" ht="25.5" spans="1:13">
      <c r="A770" s="6" t="s">
        <v>432</v>
      </c>
      <c r="B770" s="6" t="s">
        <v>2115</v>
      </c>
      <c r="C770" s="6" t="s">
        <v>2116</v>
      </c>
      <c r="E770" s="6" t="s">
        <v>2117</v>
      </c>
      <c r="G770" s="7">
        <v>1899</v>
      </c>
      <c r="H770" s="7">
        <v>2145.87</v>
      </c>
      <c r="I770" s="7">
        <f t="shared" ref="I770:I833" si="60">G770*0.62</f>
        <v>1177.38</v>
      </c>
      <c r="J770" s="7">
        <f t="shared" ref="J770:J833" si="61">G770*0.65</f>
        <v>1234.35</v>
      </c>
      <c r="K770" s="7">
        <f t="shared" ref="K770:K833" si="62">G770*0.67</f>
        <v>1272.33</v>
      </c>
      <c r="L770" s="7">
        <f t="shared" ref="L770:L833" si="63">G770*0.7</f>
        <v>1329.3</v>
      </c>
      <c r="M770" s="7">
        <f t="shared" ref="M770:M833" si="64">G770*0.72</f>
        <v>1367.28</v>
      </c>
    </row>
    <row r="771" ht="51" spans="1:13">
      <c r="A771" s="6" t="s">
        <v>432</v>
      </c>
      <c r="B771" s="6" t="s">
        <v>2118</v>
      </c>
      <c r="C771" s="6" t="s">
        <v>2119</v>
      </c>
      <c r="E771" s="6" t="s">
        <v>2120</v>
      </c>
      <c r="G771" s="7">
        <v>2149</v>
      </c>
      <c r="H771" s="7">
        <v>2428.37</v>
      </c>
      <c r="I771" s="7">
        <f t="shared" si="60"/>
        <v>1332.38</v>
      </c>
      <c r="J771" s="7">
        <f t="shared" si="61"/>
        <v>1396.85</v>
      </c>
      <c r="K771" s="7">
        <f t="shared" si="62"/>
        <v>1439.83</v>
      </c>
      <c r="L771" s="7">
        <f t="shared" si="63"/>
        <v>1504.3</v>
      </c>
      <c r="M771" s="7">
        <f t="shared" si="64"/>
        <v>1547.28</v>
      </c>
    </row>
    <row r="772" ht="25.5" spans="1:13">
      <c r="A772" s="6" t="s">
        <v>432</v>
      </c>
      <c r="B772" s="6" t="s">
        <v>2121</v>
      </c>
      <c r="C772" s="6" t="s">
        <v>2122</v>
      </c>
      <c r="E772" s="6" t="s">
        <v>2123</v>
      </c>
      <c r="G772" s="7">
        <v>3049</v>
      </c>
      <c r="H772" s="7">
        <v>3445.37</v>
      </c>
      <c r="I772" s="7">
        <f t="shared" si="60"/>
        <v>1890.38</v>
      </c>
      <c r="J772" s="7">
        <f t="shared" si="61"/>
        <v>1981.85</v>
      </c>
      <c r="K772" s="7">
        <f t="shared" si="62"/>
        <v>2042.83</v>
      </c>
      <c r="L772" s="7">
        <f t="shared" si="63"/>
        <v>2134.3</v>
      </c>
      <c r="M772" s="7">
        <f t="shared" si="64"/>
        <v>2195.28</v>
      </c>
    </row>
    <row r="773" ht="25.5" spans="1:13">
      <c r="A773" s="6" t="s">
        <v>432</v>
      </c>
      <c r="B773" s="6" t="s">
        <v>2124</v>
      </c>
      <c r="C773" s="6" t="s">
        <v>2125</v>
      </c>
      <c r="E773" s="6" t="s">
        <v>2126</v>
      </c>
      <c r="G773" s="7">
        <v>2749</v>
      </c>
      <c r="H773" s="7">
        <v>3106.37</v>
      </c>
      <c r="I773" s="7">
        <f t="shared" si="60"/>
        <v>1704.38</v>
      </c>
      <c r="J773" s="7">
        <f t="shared" si="61"/>
        <v>1786.85</v>
      </c>
      <c r="K773" s="7">
        <f t="shared" si="62"/>
        <v>1841.83</v>
      </c>
      <c r="L773" s="7">
        <f t="shared" si="63"/>
        <v>1924.3</v>
      </c>
      <c r="M773" s="7">
        <f t="shared" si="64"/>
        <v>1979.28</v>
      </c>
    </row>
    <row r="774" ht="63.75" spans="1:13">
      <c r="A774" s="6" t="s">
        <v>432</v>
      </c>
      <c r="B774" s="6" t="s">
        <v>2127</v>
      </c>
      <c r="C774" s="6" t="s">
        <v>2128</v>
      </c>
      <c r="E774" s="6" t="s">
        <v>2129</v>
      </c>
      <c r="G774" s="7">
        <v>1249</v>
      </c>
      <c r="H774" s="7">
        <v>1411.37</v>
      </c>
      <c r="I774" s="7">
        <f t="shared" si="60"/>
        <v>774.38</v>
      </c>
      <c r="J774" s="7">
        <f t="shared" si="61"/>
        <v>811.85</v>
      </c>
      <c r="K774" s="7">
        <f t="shared" si="62"/>
        <v>836.83</v>
      </c>
      <c r="L774" s="7">
        <f t="shared" si="63"/>
        <v>874.3</v>
      </c>
      <c r="M774" s="7">
        <f t="shared" si="64"/>
        <v>899.28</v>
      </c>
    </row>
    <row r="775" ht="25.5" spans="1:13">
      <c r="A775" s="6" t="s">
        <v>2130</v>
      </c>
      <c r="B775" s="6" t="s">
        <v>2131</v>
      </c>
      <c r="C775" s="6" t="s">
        <v>2132</v>
      </c>
      <c r="E775" s="6" t="s">
        <v>2133</v>
      </c>
      <c r="G775" s="7">
        <v>70</v>
      </c>
      <c r="H775" s="7">
        <v>79.1</v>
      </c>
      <c r="I775" s="7">
        <f t="shared" si="60"/>
        <v>43.4</v>
      </c>
      <c r="J775" s="7">
        <f t="shared" si="61"/>
        <v>45.5</v>
      </c>
      <c r="K775" s="7">
        <f t="shared" si="62"/>
        <v>46.9</v>
      </c>
      <c r="L775" s="7">
        <f t="shared" si="63"/>
        <v>49</v>
      </c>
      <c r="M775" s="7">
        <f t="shared" si="64"/>
        <v>50.4</v>
      </c>
    </row>
    <row r="776" ht="51" spans="1:13">
      <c r="A776" s="6" t="s">
        <v>25</v>
      </c>
      <c r="B776" s="6" t="s">
        <v>2134</v>
      </c>
      <c r="C776" s="6" t="s">
        <v>2135</v>
      </c>
      <c r="E776" s="6" t="s">
        <v>2136</v>
      </c>
      <c r="G776" s="7">
        <v>829</v>
      </c>
      <c r="H776" s="7">
        <v>936.77</v>
      </c>
      <c r="I776" s="7">
        <f t="shared" si="60"/>
        <v>513.98</v>
      </c>
      <c r="J776" s="7">
        <f t="shared" si="61"/>
        <v>538.85</v>
      </c>
      <c r="K776" s="7">
        <f t="shared" si="62"/>
        <v>555.43</v>
      </c>
      <c r="L776" s="7">
        <f t="shared" si="63"/>
        <v>580.3</v>
      </c>
      <c r="M776" s="7">
        <f t="shared" si="64"/>
        <v>596.88</v>
      </c>
    </row>
    <row r="777" ht="51" spans="1:13">
      <c r="A777" s="6" t="s">
        <v>552</v>
      </c>
      <c r="B777" s="6" t="s">
        <v>2137</v>
      </c>
      <c r="C777" s="6" t="s">
        <v>2138</v>
      </c>
      <c r="E777" s="6" t="s">
        <v>2139</v>
      </c>
      <c r="G777" s="7">
        <v>869</v>
      </c>
      <c r="H777" s="7">
        <v>981.97</v>
      </c>
      <c r="I777" s="7">
        <f t="shared" si="60"/>
        <v>538.78</v>
      </c>
      <c r="J777" s="7">
        <f t="shared" si="61"/>
        <v>564.85</v>
      </c>
      <c r="K777" s="7">
        <f t="shared" si="62"/>
        <v>582.23</v>
      </c>
      <c r="L777" s="7">
        <f t="shared" si="63"/>
        <v>608.3</v>
      </c>
      <c r="M777" s="7">
        <f t="shared" si="64"/>
        <v>625.68</v>
      </c>
    </row>
    <row r="778" ht="51" spans="1:13">
      <c r="A778" s="6" t="s">
        <v>552</v>
      </c>
      <c r="B778" s="6" t="s">
        <v>2140</v>
      </c>
      <c r="C778" s="6" t="s">
        <v>2141</v>
      </c>
      <c r="E778" s="6" t="s">
        <v>2142</v>
      </c>
      <c r="G778" s="7">
        <v>1119</v>
      </c>
      <c r="H778" s="7">
        <v>1264.47</v>
      </c>
      <c r="I778" s="7">
        <f t="shared" si="60"/>
        <v>693.78</v>
      </c>
      <c r="J778" s="7">
        <f t="shared" si="61"/>
        <v>727.35</v>
      </c>
      <c r="K778" s="7">
        <f t="shared" si="62"/>
        <v>749.73</v>
      </c>
      <c r="L778" s="7">
        <f t="shared" si="63"/>
        <v>783.3</v>
      </c>
      <c r="M778" s="7">
        <f t="shared" si="64"/>
        <v>805.68</v>
      </c>
    </row>
    <row r="779" ht="38.25" spans="1:13">
      <c r="A779" s="6" t="s">
        <v>2130</v>
      </c>
      <c r="B779" s="6" t="s">
        <v>2143</v>
      </c>
      <c r="C779" s="6" t="s">
        <v>2144</v>
      </c>
      <c r="E779" s="6" t="s">
        <v>2145</v>
      </c>
      <c r="G779" s="7">
        <v>339</v>
      </c>
      <c r="H779" s="7">
        <v>383.07</v>
      </c>
      <c r="I779" s="7">
        <f t="shared" si="60"/>
        <v>210.18</v>
      </c>
      <c r="J779" s="7">
        <f t="shared" si="61"/>
        <v>220.35</v>
      </c>
      <c r="K779" s="7">
        <f t="shared" si="62"/>
        <v>227.13</v>
      </c>
      <c r="L779" s="7">
        <f t="shared" si="63"/>
        <v>237.3</v>
      </c>
      <c r="M779" s="7">
        <f t="shared" si="64"/>
        <v>244.08</v>
      </c>
    </row>
    <row r="780" spans="1:13">
      <c r="A780" s="6" t="s">
        <v>2130</v>
      </c>
      <c r="B780" s="6" t="s">
        <v>2146</v>
      </c>
      <c r="C780" s="6" t="s">
        <v>2147</v>
      </c>
      <c r="E780" s="6" t="s">
        <v>2147</v>
      </c>
      <c r="G780" s="7">
        <v>79</v>
      </c>
      <c r="H780" s="7">
        <v>89.27</v>
      </c>
      <c r="I780" s="7">
        <f t="shared" si="60"/>
        <v>48.98</v>
      </c>
      <c r="J780" s="7">
        <f t="shared" si="61"/>
        <v>51.35</v>
      </c>
      <c r="K780" s="7">
        <f t="shared" si="62"/>
        <v>52.93</v>
      </c>
      <c r="L780" s="7">
        <f t="shared" si="63"/>
        <v>55.3</v>
      </c>
      <c r="M780" s="7">
        <f t="shared" si="64"/>
        <v>56.88</v>
      </c>
    </row>
    <row r="781" spans="1:13">
      <c r="A781" s="6" t="s">
        <v>2130</v>
      </c>
      <c r="B781" s="6" t="s">
        <v>2148</v>
      </c>
      <c r="C781" s="6" t="s">
        <v>2149</v>
      </c>
      <c r="E781" s="6" t="s">
        <v>2149</v>
      </c>
      <c r="G781" s="7">
        <v>79</v>
      </c>
      <c r="H781" s="7">
        <v>89.27</v>
      </c>
      <c r="I781" s="7">
        <f t="shared" si="60"/>
        <v>48.98</v>
      </c>
      <c r="J781" s="7">
        <f t="shared" si="61"/>
        <v>51.35</v>
      </c>
      <c r="K781" s="7">
        <f t="shared" si="62"/>
        <v>52.93</v>
      </c>
      <c r="L781" s="7">
        <f t="shared" si="63"/>
        <v>55.3</v>
      </c>
      <c r="M781" s="7">
        <f t="shared" si="64"/>
        <v>56.88</v>
      </c>
    </row>
    <row r="782" spans="1:13">
      <c r="A782" s="6" t="s">
        <v>2130</v>
      </c>
      <c r="B782" s="6" t="s">
        <v>2150</v>
      </c>
      <c r="C782" s="6" t="s">
        <v>2151</v>
      </c>
      <c r="E782" s="6" t="s">
        <v>2151</v>
      </c>
      <c r="G782" s="7">
        <v>849</v>
      </c>
      <c r="H782" s="7">
        <v>959.37</v>
      </c>
      <c r="I782" s="7">
        <f t="shared" si="60"/>
        <v>526.38</v>
      </c>
      <c r="J782" s="7">
        <f t="shared" si="61"/>
        <v>551.85</v>
      </c>
      <c r="K782" s="7">
        <f t="shared" si="62"/>
        <v>568.83</v>
      </c>
      <c r="L782" s="7">
        <f t="shared" si="63"/>
        <v>594.3</v>
      </c>
      <c r="M782" s="7">
        <f t="shared" si="64"/>
        <v>611.28</v>
      </c>
    </row>
    <row r="783" spans="1:13">
      <c r="A783" s="6" t="s">
        <v>2130</v>
      </c>
      <c r="B783" s="6" t="s">
        <v>2152</v>
      </c>
      <c r="C783" s="6" t="s">
        <v>2153</v>
      </c>
      <c r="E783" s="6" t="s">
        <v>2153</v>
      </c>
      <c r="G783" s="7">
        <v>849</v>
      </c>
      <c r="H783" s="7">
        <v>959.37</v>
      </c>
      <c r="I783" s="7">
        <f t="shared" si="60"/>
        <v>526.38</v>
      </c>
      <c r="J783" s="7">
        <f t="shared" si="61"/>
        <v>551.85</v>
      </c>
      <c r="K783" s="7">
        <f t="shared" si="62"/>
        <v>568.83</v>
      </c>
      <c r="L783" s="7">
        <f t="shared" si="63"/>
        <v>594.3</v>
      </c>
      <c r="M783" s="7">
        <f t="shared" si="64"/>
        <v>611.28</v>
      </c>
    </row>
    <row r="784" spans="1:13">
      <c r="A784" s="6" t="s">
        <v>2130</v>
      </c>
      <c r="B784" s="6" t="s">
        <v>2154</v>
      </c>
      <c r="C784" s="6" t="s">
        <v>2155</v>
      </c>
      <c r="E784" s="6" t="s">
        <v>2155</v>
      </c>
      <c r="G784" s="7">
        <v>849</v>
      </c>
      <c r="H784" s="7">
        <v>959.37</v>
      </c>
      <c r="I784" s="7">
        <f t="shared" si="60"/>
        <v>526.38</v>
      </c>
      <c r="J784" s="7">
        <f t="shared" si="61"/>
        <v>551.85</v>
      </c>
      <c r="K784" s="7">
        <f t="shared" si="62"/>
        <v>568.83</v>
      </c>
      <c r="L784" s="7">
        <f t="shared" si="63"/>
        <v>594.3</v>
      </c>
      <c r="M784" s="7">
        <f t="shared" si="64"/>
        <v>611.28</v>
      </c>
    </row>
    <row r="785" spans="1:13">
      <c r="A785" s="6" t="s">
        <v>2130</v>
      </c>
      <c r="B785" s="6" t="s">
        <v>2156</v>
      </c>
      <c r="C785" s="6" t="s">
        <v>2157</v>
      </c>
      <c r="E785" s="6" t="s">
        <v>2158</v>
      </c>
      <c r="G785" s="7">
        <v>79</v>
      </c>
      <c r="H785" s="7">
        <v>89.27</v>
      </c>
      <c r="I785" s="7">
        <f t="shared" si="60"/>
        <v>48.98</v>
      </c>
      <c r="J785" s="7">
        <f t="shared" si="61"/>
        <v>51.35</v>
      </c>
      <c r="K785" s="7">
        <f t="shared" si="62"/>
        <v>52.93</v>
      </c>
      <c r="L785" s="7">
        <f t="shared" si="63"/>
        <v>55.3</v>
      </c>
      <c r="M785" s="7">
        <f t="shared" si="64"/>
        <v>56.88</v>
      </c>
    </row>
    <row r="786" spans="1:13">
      <c r="A786" s="6" t="s">
        <v>2130</v>
      </c>
      <c r="B786" s="6" t="s">
        <v>2159</v>
      </c>
      <c r="C786" s="6" t="s">
        <v>2160</v>
      </c>
      <c r="E786" s="6" t="s">
        <v>2158</v>
      </c>
      <c r="G786" s="7">
        <v>79</v>
      </c>
      <c r="H786" s="7">
        <v>89.27</v>
      </c>
      <c r="I786" s="7">
        <f t="shared" si="60"/>
        <v>48.98</v>
      </c>
      <c r="J786" s="7">
        <f t="shared" si="61"/>
        <v>51.35</v>
      </c>
      <c r="K786" s="7">
        <f t="shared" si="62"/>
        <v>52.93</v>
      </c>
      <c r="L786" s="7">
        <f t="shared" si="63"/>
        <v>55.3</v>
      </c>
      <c r="M786" s="7">
        <f t="shared" si="64"/>
        <v>56.88</v>
      </c>
    </row>
    <row r="787" spans="1:13">
      <c r="A787" s="6" t="s">
        <v>2130</v>
      </c>
      <c r="B787" s="6" t="s">
        <v>2161</v>
      </c>
      <c r="C787" s="6" t="s">
        <v>2162</v>
      </c>
      <c r="E787" s="6" t="s">
        <v>2163</v>
      </c>
      <c r="G787" s="7">
        <v>79</v>
      </c>
      <c r="H787" s="7">
        <v>89.27</v>
      </c>
      <c r="I787" s="7">
        <f t="shared" si="60"/>
        <v>48.98</v>
      </c>
      <c r="J787" s="7">
        <f t="shared" si="61"/>
        <v>51.35</v>
      </c>
      <c r="K787" s="7">
        <f t="shared" si="62"/>
        <v>52.93</v>
      </c>
      <c r="L787" s="7">
        <f t="shared" si="63"/>
        <v>55.3</v>
      </c>
      <c r="M787" s="7">
        <f t="shared" si="64"/>
        <v>56.88</v>
      </c>
    </row>
    <row r="788" spans="1:13">
      <c r="A788" s="6" t="s">
        <v>2130</v>
      </c>
      <c r="B788" s="6" t="s">
        <v>2164</v>
      </c>
      <c r="C788" s="6" t="s">
        <v>2165</v>
      </c>
      <c r="E788" s="6" t="s">
        <v>2166</v>
      </c>
      <c r="G788" s="7">
        <v>79</v>
      </c>
      <c r="H788" s="7">
        <v>89.27</v>
      </c>
      <c r="I788" s="7">
        <f t="shared" si="60"/>
        <v>48.98</v>
      </c>
      <c r="J788" s="7">
        <f t="shared" si="61"/>
        <v>51.35</v>
      </c>
      <c r="K788" s="7">
        <f t="shared" si="62"/>
        <v>52.93</v>
      </c>
      <c r="L788" s="7">
        <f t="shared" si="63"/>
        <v>55.3</v>
      </c>
      <c r="M788" s="7">
        <f t="shared" si="64"/>
        <v>56.88</v>
      </c>
    </row>
    <row r="789" ht="38.25" spans="1:13">
      <c r="A789" s="6" t="s">
        <v>2130</v>
      </c>
      <c r="B789" s="6" t="s">
        <v>2167</v>
      </c>
      <c r="C789" s="6" t="s">
        <v>2168</v>
      </c>
      <c r="E789" s="6" t="s">
        <v>2169</v>
      </c>
      <c r="G789" s="7">
        <v>59</v>
      </c>
      <c r="H789" s="7">
        <v>66.67</v>
      </c>
      <c r="I789" s="7">
        <f t="shared" si="60"/>
        <v>36.58</v>
      </c>
      <c r="J789" s="7">
        <f t="shared" si="61"/>
        <v>38.35</v>
      </c>
      <c r="K789" s="7">
        <f t="shared" si="62"/>
        <v>39.53</v>
      </c>
      <c r="L789" s="7">
        <f t="shared" si="63"/>
        <v>41.3</v>
      </c>
      <c r="M789" s="7">
        <f t="shared" si="64"/>
        <v>42.48</v>
      </c>
    </row>
    <row r="790" ht="25.5" spans="1:13">
      <c r="A790" s="6" t="s">
        <v>2130</v>
      </c>
      <c r="B790" s="6" t="s">
        <v>2170</v>
      </c>
      <c r="C790" s="6" t="s">
        <v>2171</v>
      </c>
      <c r="E790" s="6" t="s">
        <v>2172</v>
      </c>
      <c r="G790" s="7">
        <v>1249</v>
      </c>
      <c r="H790" s="7">
        <v>1411.37</v>
      </c>
      <c r="I790" s="7">
        <f t="shared" si="60"/>
        <v>774.38</v>
      </c>
      <c r="J790" s="7">
        <f t="shared" si="61"/>
        <v>811.85</v>
      </c>
      <c r="K790" s="7">
        <f t="shared" si="62"/>
        <v>836.83</v>
      </c>
      <c r="L790" s="7">
        <f t="shared" si="63"/>
        <v>874.3</v>
      </c>
      <c r="M790" s="7">
        <f t="shared" si="64"/>
        <v>899.28</v>
      </c>
    </row>
    <row r="791" ht="25.5" spans="1:13">
      <c r="A791" s="6" t="s">
        <v>2130</v>
      </c>
      <c r="B791" s="6" t="s">
        <v>2173</v>
      </c>
      <c r="C791" s="6" t="s">
        <v>2174</v>
      </c>
      <c r="E791" s="6" t="s">
        <v>2175</v>
      </c>
      <c r="G791" s="7">
        <v>1299</v>
      </c>
      <c r="H791" s="7">
        <v>1467.87</v>
      </c>
      <c r="I791" s="7">
        <f t="shared" si="60"/>
        <v>805.38</v>
      </c>
      <c r="J791" s="7">
        <f t="shared" si="61"/>
        <v>844.35</v>
      </c>
      <c r="K791" s="7">
        <f t="shared" si="62"/>
        <v>870.33</v>
      </c>
      <c r="L791" s="7">
        <f t="shared" si="63"/>
        <v>909.3</v>
      </c>
      <c r="M791" s="7">
        <f t="shared" si="64"/>
        <v>935.28</v>
      </c>
    </row>
    <row r="792" spans="1:13">
      <c r="A792" s="6" t="s">
        <v>2130</v>
      </c>
      <c r="B792" s="6" t="s">
        <v>2176</v>
      </c>
      <c r="C792" s="6" t="s">
        <v>2177</v>
      </c>
      <c r="E792" s="6" t="s">
        <v>2177</v>
      </c>
      <c r="G792" s="7">
        <v>39</v>
      </c>
      <c r="H792" s="7">
        <v>44.07</v>
      </c>
      <c r="I792" s="7">
        <f t="shared" si="60"/>
        <v>24.18</v>
      </c>
      <c r="J792" s="7">
        <f t="shared" si="61"/>
        <v>25.35</v>
      </c>
      <c r="K792" s="7">
        <f t="shared" si="62"/>
        <v>26.13</v>
      </c>
      <c r="L792" s="7">
        <f t="shared" si="63"/>
        <v>27.3</v>
      </c>
      <c r="M792" s="7">
        <f t="shared" si="64"/>
        <v>28.08</v>
      </c>
    </row>
    <row r="793" spans="1:13">
      <c r="A793" s="6" t="s">
        <v>2130</v>
      </c>
      <c r="B793" s="6" t="s">
        <v>2178</v>
      </c>
      <c r="C793" s="6" t="s">
        <v>2179</v>
      </c>
      <c r="E793" s="6" t="s">
        <v>2180</v>
      </c>
      <c r="G793" s="7">
        <v>1249</v>
      </c>
      <c r="H793" s="7">
        <v>1411.37</v>
      </c>
      <c r="I793" s="7">
        <f t="shared" si="60"/>
        <v>774.38</v>
      </c>
      <c r="J793" s="7">
        <f t="shared" si="61"/>
        <v>811.85</v>
      </c>
      <c r="K793" s="7">
        <f t="shared" si="62"/>
        <v>836.83</v>
      </c>
      <c r="L793" s="7">
        <f t="shared" si="63"/>
        <v>874.3</v>
      </c>
      <c r="M793" s="7">
        <f t="shared" si="64"/>
        <v>899.28</v>
      </c>
    </row>
    <row r="794" ht="25.5" spans="1:13">
      <c r="A794" s="6" t="s">
        <v>2130</v>
      </c>
      <c r="B794" s="6" t="s">
        <v>2181</v>
      </c>
      <c r="C794" s="6" t="s">
        <v>2182</v>
      </c>
      <c r="E794" s="6" t="s">
        <v>2183</v>
      </c>
      <c r="G794" s="7">
        <v>1299</v>
      </c>
      <c r="H794" s="7">
        <v>1467.87</v>
      </c>
      <c r="I794" s="7">
        <f t="shared" si="60"/>
        <v>805.38</v>
      </c>
      <c r="J794" s="7">
        <f t="shared" si="61"/>
        <v>844.35</v>
      </c>
      <c r="K794" s="7">
        <f t="shared" si="62"/>
        <v>870.33</v>
      </c>
      <c r="L794" s="7">
        <f t="shared" si="63"/>
        <v>909.3</v>
      </c>
      <c r="M794" s="7">
        <f t="shared" si="64"/>
        <v>935.28</v>
      </c>
    </row>
    <row r="795" ht="51" spans="1:13">
      <c r="A795" s="6" t="s">
        <v>2130</v>
      </c>
      <c r="B795" s="6" t="s">
        <v>2184</v>
      </c>
      <c r="C795" s="6" t="s">
        <v>2185</v>
      </c>
      <c r="E795" s="6" t="s">
        <v>2186</v>
      </c>
      <c r="G795" s="7">
        <v>1999</v>
      </c>
      <c r="H795" s="7">
        <v>2258.87</v>
      </c>
      <c r="I795" s="7">
        <f t="shared" si="60"/>
        <v>1239.38</v>
      </c>
      <c r="J795" s="7">
        <f t="shared" si="61"/>
        <v>1299.35</v>
      </c>
      <c r="K795" s="7">
        <f t="shared" si="62"/>
        <v>1339.33</v>
      </c>
      <c r="L795" s="7">
        <f t="shared" si="63"/>
        <v>1399.3</v>
      </c>
      <c r="M795" s="7">
        <f t="shared" si="64"/>
        <v>1439.28</v>
      </c>
    </row>
    <row r="796" ht="51" spans="1:13">
      <c r="A796" s="6" t="s">
        <v>2130</v>
      </c>
      <c r="B796" s="6" t="s">
        <v>2187</v>
      </c>
      <c r="C796" s="6" t="s">
        <v>2188</v>
      </c>
      <c r="E796" s="6" t="s">
        <v>2189</v>
      </c>
      <c r="G796" s="7">
        <v>3199</v>
      </c>
      <c r="H796" s="7">
        <v>3614.87</v>
      </c>
      <c r="I796" s="7">
        <f t="shared" si="60"/>
        <v>1983.38</v>
      </c>
      <c r="J796" s="7">
        <f t="shared" si="61"/>
        <v>2079.35</v>
      </c>
      <c r="K796" s="7">
        <f t="shared" si="62"/>
        <v>2143.33</v>
      </c>
      <c r="L796" s="7">
        <f t="shared" si="63"/>
        <v>2239.3</v>
      </c>
      <c r="M796" s="7">
        <f t="shared" si="64"/>
        <v>2303.28</v>
      </c>
    </row>
    <row r="797" ht="51" spans="1:13">
      <c r="A797" s="6" t="s">
        <v>2130</v>
      </c>
      <c r="B797" s="6" t="s">
        <v>2190</v>
      </c>
      <c r="C797" s="6" t="s">
        <v>2191</v>
      </c>
      <c r="E797" s="6" t="s">
        <v>2192</v>
      </c>
      <c r="G797" s="7">
        <v>1299</v>
      </c>
      <c r="H797" s="7">
        <v>1467.87</v>
      </c>
      <c r="I797" s="7">
        <f t="shared" si="60"/>
        <v>805.38</v>
      </c>
      <c r="J797" s="7">
        <f t="shared" si="61"/>
        <v>844.35</v>
      </c>
      <c r="K797" s="7">
        <f t="shared" si="62"/>
        <v>870.33</v>
      </c>
      <c r="L797" s="7">
        <f t="shared" si="63"/>
        <v>909.3</v>
      </c>
      <c r="M797" s="7">
        <f t="shared" si="64"/>
        <v>935.28</v>
      </c>
    </row>
    <row r="798" ht="51" spans="1:13">
      <c r="A798" s="6" t="s">
        <v>2130</v>
      </c>
      <c r="B798" s="6" t="s">
        <v>2193</v>
      </c>
      <c r="C798" s="6" t="s">
        <v>2194</v>
      </c>
      <c r="E798" s="6" t="s">
        <v>2195</v>
      </c>
      <c r="G798" s="7">
        <v>2129</v>
      </c>
      <c r="H798" s="7">
        <v>2405.77</v>
      </c>
      <c r="I798" s="7">
        <f t="shared" si="60"/>
        <v>1319.98</v>
      </c>
      <c r="J798" s="7">
        <f t="shared" si="61"/>
        <v>1383.85</v>
      </c>
      <c r="K798" s="7">
        <f t="shared" si="62"/>
        <v>1426.43</v>
      </c>
      <c r="L798" s="7">
        <f t="shared" si="63"/>
        <v>1490.3</v>
      </c>
      <c r="M798" s="7">
        <f t="shared" si="64"/>
        <v>1532.88</v>
      </c>
    </row>
    <row r="799" ht="25.5" spans="1:13">
      <c r="A799" s="6" t="s">
        <v>2130</v>
      </c>
      <c r="B799" s="6" t="s">
        <v>2196</v>
      </c>
      <c r="C799" s="6" t="s">
        <v>2197</v>
      </c>
      <c r="E799" s="6" t="s">
        <v>2198</v>
      </c>
      <c r="G799" s="7">
        <v>1169</v>
      </c>
      <c r="H799" s="7">
        <v>1320.97</v>
      </c>
      <c r="I799" s="7">
        <f t="shared" si="60"/>
        <v>724.78</v>
      </c>
      <c r="J799" s="7">
        <f t="shared" si="61"/>
        <v>759.85</v>
      </c>
      <c r="K799" s="7">
        <f t="shared" si="62"/>
        <v>783.23</v>
      </c>
      <c r="L799" s="7">
        <f t="shared" si="63"/>
        <v>818.3</v>
      </c>
      <c r="M799" s="7">
        <f t="shared" si="64"/>
        <v>841.68</v>
      </c>
    </row>
    <row r="800" spans="1:13">
      <c r="A800" s="6" t="s">
        <v>2130</v>
      </c>
      <c r="B800" s="6" t="s">
        <v>2199</v>
      </c>
      <c r="C800" s="6" t="s">
        <v>2200</v>
      </c>
      <c r="E800" s="6" t="s">
        <v>2200</v>
      </c>
      <c r="G800" s="7">
        <v>1499</v>
      </c>
      <c r="H800" s="7">
        <v>1693.87</v>
      </c>
      <c r="I800" s="7">
        <f t="shared" si="60"/>
        <v>929.38</v>
      </c>
      <c r="J800" s="7">
        <f t="shared" si="61"/>
        <v>974.35</v>
      </c>
      <c r="K800" s="7">
        <f t="shared" si="62"/>
        <v>1004.33</v>
      </c>
      <c r="L800" s="7">
        <f t="shared" si="63"/>
        <v>1049.3</v>
      </c>
      <c r="M800" s="7">
        <f t="shared" si="64"/>
        <v>1079.28</v>
      </c>
    </row>
    <row r="801" spans="1:13">
      <c r="A801" s="6" t="s">
        <v>2130</v>
      </c>
      <c r="B801" s="6" t="s">
        <v>2201</v>
      </c>
      <c r="C801" s="6" t="s">
        <v>2202</v>
      </c>
      <c r="E801" s="6" t="s">
        <v>2202</v>
      </c>
      <c r="G801" s="7">
        <v>79</v>
      </c>
      <c r="H801" s="7">
        <v>89.27</v>
      </c>
      <c r="I801" s="7">
        <f t="shared" si="60"/>
        <v>48.98</v>
      </c>
      <c r="J801" s="7">
        <f t="shared" si="61"/>
        <v>51.35</v>
      </c>
      <c r="K801" s="7">
        <f t="shared" si="62"/>
        <v>52.93</v>
      </c>
      <c r="L801" s="7">
        <f t="shared" si="63"/>
        <v>55.3</v>
      </c>
      <c r="M801" s="7">
        <f t="shared" si="64"/>
        <v>56.88</v>
      </c>
    </row>
    <row r="802" ht="76.5" spans="1:13">
      <c r="A802" s="6" t="s">
        <v>2130</v>
      </c>
      <c r="B802" s="6" t="s">
        <v>2203</v>
      </c>
      <c r="C802" s="6" t="s">
        <v>2204</v>
      </c>
      <c r="E802" s="6" t="s">
        <v>2205</v>
      </c>
      <c r="G802" s="7">
        <v>1249</v>
      </c>
      <c r="H802" s="7">
        <v>1411.37</v>
      </c>
      <c r="I802" s="7">
        <f t="shared" si="60"/>
        <v>774.38</v>
      </c>
      <c r="J802" s="7">
        <f t="shared" si="61"/>
        <v>811.85</v>
      </c>
      <c r="K802" s="7">
        <f t="shared" si="62"/>
        <v>836.83</v>
      </c>
      <c r="L802" s="7">
        <f t="shared" si="63"/>
        <v>874.3</v>
      </c>
      <c r="M802" s="7">
        <f t="shared" si="64"/>
        <v>899.28</v>
      </c>
    </row>
    <row r="803" ht="76.5" spans="1:13">
      <c r="A803" s="6" t="s">
        <v>2130</v>
      </c>
      <c r="B803" s="6" t="s">
        <v>2206</v>
      </c>
      <c r="C803" s="6" t="s">
        <v>2207</v>
      </c>
      <c r="E803" s="6" t="s">
        <v>2208</v>
      </c>
      <c r="G803" s="7">
        <v>1299</v>
      </c>
      <c r="H803" s="7">
        <v>1467.87</v>
      </c>
      <c r="I803" s="7">
        <f t="shared" si="60"/>
        <v>805.38</v>
      </c>
      <c r="J803" s="7">
        <f t="shared" si="61"/>
        <v>844.35</v>
      </c>
      <c r="K803" s="7">
        <f t="shared" si="62"/>
        <v>870.33</v>
      </c>
      <c r="L803" s="7">
        <f t="shared" si="63"/>
        <v>909.3</v>
      </c>
      <c r="M803" s="7">
        <f t="shared" si="64"/>
        <v>935.28</v>
      </c>
    </row>
    <row r="804" spans="1:13">
      <c r="A804" s="6" t="s">
        <v>2130</v>
      </c>
      <c r="B804" s="6" t="s">
        <v>2209</v>
      </c>
      <c r="C804" s="6" t="s">
        <v>2210</v>
      </c>
      <c r="E804" s="6" t="s">
        <v>2210</v>
      </c>
      <c r="G804" s="7">
        <v>139</v>
      </c>
      <c r="H804" s="7">
        <v>157.07</v>
      </c>
      <c r="I804" s="7">
        <f t="shared" si="60"/>
        <v>86.18</v>
      </c>
      <c r="J804" s="7">
        <f t="shared" si="61"/>
        <v>90.35</v>
      </c>
      <c r="K804" s="7">
        <f t="shared" si="62"/>
        <v>93.13</v>
      </c>
      <c r="L804" s="7">
        <f t="shared" si="63"/>
        <v>97.3</v>
      </c>
      <c r="M804" s="7">
        <f t="shared" si="64"/>
        <v>100.08</v>
      </c>
    </row>
    <row r="805" ht="25.5" spans="1:13">
      <c r="A805" s="6" t="s">
        <v>18</v>
      </c>
      <c r="B805" s="6" t="s">
        <v>2211</v>
      </c>
      <c r="C805" s="6" t="s">
        <v>2212</v>
      </c>
      <c r="E805" s="6" t="s">
        <v>2213</v>
      </c>
      <c r="G805" s="7">
        <v>165</v>
      </c>
      <c r="H805" s="7">
        <v>186.45</v>
      </c>
      <c r="I805" s="7">
        <f t="shared" si="60"/>
        <v>102.3</v>
      </c>
      <c r="J805" s="7">
        <f t="shared" si="61"/>
        <v>107.25</v>
      </c>
      <c r="K805" s="7">
        <f t="shared" si="62"/>
        <v>110.55</v>
      </c>
      <c r="L805" s="7">
        <f t="shared" si="63"/>
        <v>115.5</v>
      </c>
      <c r="M805" s="7">
        <f t="shared" si="64"/>
        <v>118.8</v>
      </c>
    </row>
    <row r="806" ht="38.25" spans="1:13">
      <c r="A806" s="6" t="s">
        <v>39</v>
      </c>
      <c r="B806" s="6" t="s">
        <v>2214</v>
      </c>
      <c r="C806" s="6" t="s">
        <v>2215</v>
      </c>
      <c r="E806" s="6" t="s">
        <v>2216</v>
      </c>
      <c r="G806" s="7">
        <v>3599</v>
      </c>
      <c r="H806" s="7">
        <v>4066.87</v>
      </c>
      <c r="I806" s="7">
        <f t="shared" si="60"/>
        <v>2231.38</v>
      </c>
      <c r="J806" s="7">
        <f t="shared" si="61"/>
        <v>2339.35</v>
      </c>
      <c r="K806" s="7">
        <f t="shared" si="62"/>
        <v>2411.33</v>
      </c>
      <c r="L806" s="7">
        <f t="shared" si="63"/>
        <v>2519.3</v>
      </c>
      <c r="M806" s="7">
        <f t="shared" si="64"/>
        <v>2591.28</v>
      </c>
    </row>
    <row r="807" ht="38.25" spans="1:13">
      <c r="A807" s="6" t="s">
        <v>39</v>
      </c>
      <c r="B807" s="6" t="s">
        <v>2217</v>
      </c>
      <c r="C807" s="6" t="s">
        <v>2218</v>
      </c>
      <c r="E807" s="6" t="s">
        <v>2219</v>
      </c>
      <c r="G807" s="7">
        <v>2399</v>
      </c>
      <c r="H807" s="7">
        <v>2710.87</v>
      </c>
      <c r="I807" s="7">
        <f t="shared" si="60"/>
        <v>1487.38</v>
      </c>
      <c r="J807" s="7">
        <f t="shared" si="61"/>
        <v>1559.35</v>
      </c>
      <c r="K807" s="7">
        <f t="shared" si="62"/>
        <v>1607.33</v>
      </c>
      <c r="L807" s="7">
        <f t="shared" si="63"/>
        <v>1679.3</v>
      </c>
      <c r="M807" s="7">
        <f t="shared" si="64"/>
        <v>1727.28</v>
      </c>
    </row>
    <row r="808" ht="51" spans="1:13">
      <c r="A808" s="6" t="s">
        <v>39</v>
      </c>
      <c r="B808" s="6" t="s">
        <v>2220</v>
      </c>
      <c r="C808" s="6" t="s">
        <v>2221</v>
      </c>
      <c r="E808" s="6" t="s">
        <v>2222</v>
      </c>
      <c r="G808" s="7">
        <v>649</v>
      </c>
      <c r="H808" s="7">
        <v>733.37</v>
      </c>
      <c r="I808" s="7">
        <f t="shared" si="60"/>
        <v>402.38</v>
      </c>
      <c r="J808" s="7">
        <f t="shared" si="61"/>
        <v>421.85</v>
      </c>
      <c r="K808" s="7">
        <f t="shared" si="62"/>
        <v>434.83</v>
      </c>
      <c r="L808" s="7">
        <f t="shared" si="63"/>
        <v>454.3</v>
      </c>
      <c r="M808" s="7">
        <f t="shared" si="64"/>
        <v>467.28</v>
      </c>
    </row>
    <row r="809" ht="38.25" spans="1:13">
      <c r="A809" s="6" t="s">
        <v>733</v>
      </c>
      <c r="B809" s="6" t="s">
        <v>2223</v>
      </c>
      <c r="C809" s="6" t="s">
        <v>2224</v>
      </c>
      <c r="E809" s="6" t="s">
        <v>2225</v>
      </c>
      <c r="G809" s="7">
        <v>499</v>
      </c>
      <c r="H809" s="7">
        <v>563.87</v>
      </c>
      <c r="I809" s="7">
        <f t="shared" si="60"/>
        <v>309.38</v>
      </c>
      <c r="J809" s="7">
        <f t="shared" si="61"/>
        <v>324.35</v>
      </c>
      <c r="K809" s="7">
        <f t="shared" si="62"/>
        <v>334.33</v>
      </c>
      <c r="L809" s="7">
        <f t="shared" si="63"/>
        <v>349.3</v>
      </c>
      <c r="M809" s="7">
        <f t="shared" si="64"/>
        <v>359.28</v>
      </c>
    </row>
    <row r="810" spans="1:13">
      <c r="A810" s="6" t="s">
        <v>733</v>
      </c>
      <c r="B810" s="6" t="s">
        <v>2226</v>
      </c>
      <c r="C810" s="6" t="s">
        <v>2227</v>
      </c>
      <c r="E810" s="6" t="s">
        <v>2228</v>
      </c>
      <c r="G810" s="7">
        <v>549</v>
      </c>
      <c r="H810" s="7">
        <v>620.37</v>
      </c>
      <c r="I810" s="7">
        <f t="shared" si="60"/>
        <v>340.38</v>
      </c>
      <c r="J810" s="7">
        <f t="shared" si="61"/>
        <v>356.85</v>
      </c>
      <c r="K810" s="7">
        <f t="shared" si="62"/>
        <v>367.83</v>
      </c>
      <c r="L810" s="7">
        <f t="shared" si="63"/>
        <v>384.3</v>
      </c>
      <c r="M810" s="7">
        <f t="shared" si="64"/>
        <v>395.28</v>
      </c>
    </row>
    <row r="811" spans="1:13">
      <c r="A811" s="6" t="s">
        <v>755</v>
      </c>
      <c r="B811" s="6" t="s">
        <v>2229</v>
      </c>
      <c r="C811" s="6" t="s">
        <v>2230</v>
      </c>
      <c r="E811" s="6" t="s">
        <v>2231</v>
      </c>
      <c r="G811" s="7">
        <v>129</v>
      </c>
      <c r="H811" s="7">
        <v>145.77</v>
      </c>
      <c r="I811" s="7">
        <f t="shared" si="60"/>
        <v>79.98</v>
      </c>
      <c r="J811" s="7">
        <f t="shared" si="61"/>
        <v>83.85</v>
      </c>
      <c r="K811" s="7">
        <f t="shared" si="62"/>
        <v>86.43</v>
      </c>
      <c r="L811" s="7">
        <f t="shared" si="63"/>
        <v>90.3</v>
      </c>
      <c r="M811" s="7">
        <f t="shared" si="64"/>
        <v>92.88</v>
      </c>
    </row>
    <row r="812" ht="25.5" spans="1:13">
      <c r="A812" s="6" t="s">
        <v>432</v>
      </c>
      <c r="B812" s="6" t="s">
        <v>2232</v>
      </c>
      <c r="C812" s="6" t="s">
        <v>2233</v>
      </c>
      <c r="E812" s="6" t="s">
        <v>2234</v>
      </c>
      <c r="G812" s="7">
        <v>1099</v>
      </c>
      <c r="H812" s="7">
        <v>1241.87</v>
      </c>
      <c r="I812" s="7">
        <f t="shared" si="60"/>
        <v>681.38</v>
      </c>
      <c r="J812" s="7">
        <f t="shared" si="61"/>
        <v>714.35</v>
      </c>
      <c r="K812" s="7">
        <f t="shared" si="62"/>
        <v>736.33</v>
      </c>
      <c r="L812" s="7">
        <f t="shared" si="63"/>
        <v>769.3</v>
      </c>
      <c r="M812" s="7">
        <f t="shared" si="64"/>
        <v>791.28</v>
      </c>
    </row>
    <row r="813" ht="25.5" spans="1:13">
      <c r="A813" s="6" t="s">
        <v>733</v>
      </c>
      <c r="B813" s="6" t="s">
        <v>2235</v>
      </c>
      <c r="C813" s="6" t="s">
        <v>2236</v>
      </c>
      <c r="E813" s="6" t="s">
        <v>2237</v>
      </c>
      <c r="G813" s="7">
        <v>279</v>
      </c>
      <c r="H813" s="7">
        <v>315.27</v>
      </c>
      <c r="I813" s="7">
        <f t="shared" si="60"/>
        <v>172.98</v>
      </c>
      <c r="J813" s="7">
        <f t="shared" si="61"/>
        <v>181.35</v>
      </c>
      <c r="K813" s="7">
        <f t="shared" si="62"/>
        <v>186.93</v>
      </c>
      <c r="L813" s="7">
        <f t="shared" si="63"/>
        <v>195.3</v>
      </c>
      <c r="M813" s="7">
        <f t="shared" si="64"/>
        <v>200.88</v>
      </c>
    </row>
    <row r="814" ht="38.25" spans="1:13">
      <c r="A814" s="6" t="s">
        <v>733</v>
      </c>
      <c r="B814" s="6" t="s">
        <v>2238</v>
      </c>
      <c r="C814" s="6" t="s">
        <v>2239</v>
      </c>
      <c r="E814" s="6" t="s">
        <v>2240</v>
      </c>
      <c r="G814" s="7">
        <v>259</v>
      </c>
      <c r="H814" s="7">
        <v>292.67</v>
      </c>
      <c r="I814" s="7">
        <f t="shared" si="60"/>
        <v>160.58</v>
      </c>
      <c r="J814" s="7">
        <f t="shared" si="61"/>
        <v>168.35</v>
      </c>
      <c r="K814" s="7">
        <f t="shared" si="62"/>
        <v>173.53</v>
      </c>
      <c r="L814" s="7">
        <f t="shared" si="63"/>
        <v>181.3</v>
      </c>
      <c r="M814" s="7">
        <f t="shared" si="64"/>
        <v>186.48</v>
      </c>
    </row>
    <row r="815" spans="1:13">
      <c r="A815" s="6" t="s">
        <v>217</v>
      </c>
      <c r="B815" s="6" t="s">
        <v>2241</v>
      </c>
      <c r="C815" s="6" t="s">
        <v>2242</v>
      </c>
      <c r="E815" s="6" t="s">
        <v>2242</v>
      </c>
      <c r="G815" s="7">
        <v>749</v>
      </c>
      <c r="H815" s="7">
        <v>846.37</v>
      </c>
      <c r="I815" s="7">
        <f t="shared" si="60"/>
        <v>464.38</v>
      </c>
      <c r="J815" s="7">
        <f t="shared" si="61"/>
        <v>486.85</v>
      </c>
      <c r="K815" s="7">
        <f t="shared" si="62"/>
        <v>501.83</v>
      </c>
      <c r="L815" s="7">
        <f t="shared" si="63"/>
        <v>524.3</v>
      </c>
      <c r="M815" s="7">
        <f t="shared" si="64"/>
        <v>539.28</v>
      </c>
    </row>
    <row r="816" spans="1:13">
      <c r="A816" s="6" t="s">
        <v>18</v>
      </c>
      <c r="B816" s="6" t="s">
        <v>2243</v>
      </c>
      <c r="C816" s="6" t="s">
        <v>2244</v>
      </c>
      <c r="E816" s="6" t="s">
        <v>2244</v>
      </c>
      <c r="G816" s="7">
        <v>59</v>
      </c>
      <c r="H816" s="7">
        <v>66.67</v>
      </c>
      <c r="I816" s="7">
        <f t="shared" si="60"/>
        <v>36.58</v>
      </c>
      <c r="J816" s="7">
        <f t="shared" si="61"/>
        <v>38.35</v>
      </c>
      <c r="K816" s="7">
        <f t="shared" si="62"/>
        <v>39.53</v>
      </c>
      <c r="L816" s="7">
        <f t="shared" si="63"/>
        <v>41.3</v>
      </c>
      <c r="M816" s="7">
        <f t="shared" si="64"/>
        <v>42.48</v>
      </c>
    </row>
    <row r="817" spans="1:13">
      <c r="A817" s="6" t="s">
        <v>18</v>
      </c>
      <c r="B817" s="6" t="s">
        <v>2245</v>
      </c>
      <c r="C817" s="6" t="s">
        <v>2246</v>
      </c>
      <c r="E817" s="6" t="s">
        <v>2247</v>
      </c>
      <c r="G817" s="7">
        <v>749</v>
      </c>
      <c r="H817" s="7">
        <v>846.37</v>
      </c>
      <c r="I817" s="7">
        <f t="shared" si="60"/>
        <v>464.38</v>
      </c>
      <c r="J817" s="7">
        <f t="shared" si="61"/>
        <v>486.85</v>
      </c>
      <c r="K817" s="7">
        <f t="shared" si="62"/>
        <v>501.83</v>
      </c>
      <c r="L817" s="7">
        <f t="shared" si="63"/>
        <v>524.3</v>
      </c>
      <c r="M817" s="7">
        <f t="shared" si="64"/>
        <v>539.28</v>
      </c>
    </row>
    <row r="818" ht="38.25" spans="1:13">
      <c r="A818" s="6" t="s">
        <v>18</v>
      </c>
      <c r="B818" s="6" t="s">
        <v>2248</v>
      </c>
      <c r="C818" s="6" t="s">
        <v>2249</v>
      </c>
      <c r="E818" s="6" t="s">
        <v>2250</v>
      </c>
      <c r="G818" s="7">
        <v>139</v>
      </c>
      <c r="H818" s="7">
        <v>157.07</v>
      </c>
      <c r="I818" s="7">
        <f t="shared" si="60"/>
        <v>86.18</v>
      </c>
      <c r="J818" s="7">
        <f t="shared" si="61"/>
        <v>90.35</v>
      </c>
      <c r="K818" s="7">
        <f t="shared" si="62"/>
        <v>93.13</v>
      </c>
      <c r="L818" s="7">
        <f t="shared" si="63"/>
        <v>97.3</v>
      </c>
      <c r="M818" s="7">
        <f t="shared" si="64"/>
        <v>100.08</v>
      </c>
    </row>
    <row r="819" ht="25.5" spans="1:13">
      <c r="A819" s="6" t="s">
        <v>18</v>
      </c>
      <c r="B819" s="6" t="s">
        <v>2251</v>
      </c>
      <c r="C819" s="6" t="s">
        <v>2252</v>
      </c>
      <c r="E819" s="6" t="s">
        <v>2253</v>
      </c>
      <c r="G819" s="7">
        <v>1339</v>
      </c>
      <c r="H819" s="7">
        <v>1513.07</v>
      </c>
      <c r="I819" s="7">
        <f t="shared" si="60"/>
        <v>830.18</v>
      </c>
      <c r="J819" s="7">
        <f t="shared" si="61"/>
        <v>870.35</v>
      </c>
      <c r="K819" s="7">
        <f t="shared" si="62"/>
        <v>897.13</v>
      </c>
      <c r="L819" s="7">
        <f t="shared" si="63"/>
        <v>937.3</v>
      </c>
      <c r="M819" s="7">
        <f t="shared" si="64"/>
        <v>964.08</v>
      </c>
    </row>
    <row r="820" ht="38.25" spans="1:13">
      <c r="A820" s="6" t="s">
        <v>682</v>
      </c>
      <c r="B820" s="6" t="s">
        <v>2254</v>
      </c>
      <c r="C820" s="6" t="s">
        <v>2255</v>
      </c>
      <c r="E820" s="6" t="s">
        <v>2256</v>
      </c>
      <c r="G820" s="7">
        <v>9749</v>
      </c>
      <c r="H820" s="7">
        <v>11016.37</v>
      </c>
      <c r="I820" s="7">
        <f t="shared" si="60"/>
        <v>6044.38</v>
      </c>
      <c r="J820" s="7">
        <f t="shared" si="61"/>
        <v>6336.85</v>
      </c>
      <c r="K820" s="7">
        <f t="shared" si="62"/>
        <v>6531.83</v>
      </c>
      <c r="L820" s="7">
        <f t="shared" si="63"/>
        <v>6824.3</v>
      </c>
      <c r="M820" s="7">
        <f t="shared" si="64"/>
        <v>7019.28</v>
      </c>
    </row>
    <row r="821" ht="51" spans="1:13">
      <c r="A821" s="6" t="s">
        <v>682</v>
      </c>
      <c r="B821" s="6" t="s">
        <v>2257</v>
      </c>
      <c r="C821" s="6" t="s">
        <v>2258</v>
      </c>
      <c r="E821" s="6" t="s">
        <v>2259</v>
      </c>
      <c r="G821" s="7">
        <v>10599</v>
      </c>
      <c r="H821" s="7">
        <v>11976.87</v>
      </c>
      <c r="I821" s="7">
        <f t="shared" si="60"/>
        <v>6571.38</v>
      </c>
      <c r="J821" s="7">
        <f t="shared" si="61"/>
        <v>6889.35</v>
      </c>
      <c r="K821" s="7">
        <f t="shared" si="62"/>
        <v>7101.33</v>
      </c>
      <c r="L821" s="7">
        <f t="shared" si="63"/>
        <v>7419.3</v>
      </c>
      <c r="M821" s="7">
        <f t="shared" si="64"/>
        <v>7631.28</v>
      </c>
    </row>
    <row r="822" ht="38.25" spans="1:13">
      <c r="A822" s="6" t="s">
        <v>682</v>
      </c>
      <c r="B822" s="6" t="s">
        <v>2260</v>
      </c>
      <c r="C822" s="6" t="s">
        <v>2261</v>
      </c>
      <c r="E822" s="6" t="s">
        <v>2262</v>
      </c>
      <c r="G822" s="7">
        <v>12299</v>
      </c>
      <c r="H822" s="7">
        <v>13897.87</v>
      </c>
      <c r="I822" s="7">
        <f t="shared" si="60"/>
        <v>7625.38</v>
      </c>
      <c r="J822" s="7">
        <f t="shared" si="61"/>
        <v>7994.35</v>
      </c>
      <c r="K822" s="7">
        <f t="shared" si="62"/>
        <v>8240.33</v>
      </c>
      <c r="L822" s="7">
        <f t="shared" si="63"/>
        <v>8609.3</v>
      </c>
      <c r="M822" s="7">
        <f t="shared" si="64"/>
        <v>8855.28</v>
      </c>
    </row>
    <row r="823" ht="51" spans="1:13">
      <c r="A823" s="6" t="s">
        <v>682</v>
      </c>
      <c r="B823" s="6" t="s">
        <v>2263</v>
      </c>
      <c r="C823" s="6" t="s">
        <v>2264</v>
      </c>
      <c r="E823" s="6" t="s">
        <v>2265</v>
      </c>
      <c r="G823" s="7">
        <v>12999</v>
      </c>
      <c r="H823" s="7">
        <v>14688.87</v>
      </c>
      <c r="I823" s="7">
        <f t="shared" si="60"/>
        <v>8059.38</v>
      </c>
      <c r="J823" s="7">
        <f t="shared" si="61"/>
        <v>8449.35</v>
      </c>
      <c r="K823" s="7">
        <f t="shared" si="62"/>
        <v>8709.33</v>
      </c>
      <c r="L823" s="7">
        <f t="shared" si="63"/>
        <v>9099.3</v>
      </c>
      <c r="M823" s="7">
        <f t="shared" si="64"/>
        <v>9359.28</v>
      </c>
    </row>
    <row r="824" ht="38.25" spans="1:13">
      <c r="A824" s="6" t="s">
        <v>682</v>
      </c>
      <c r="B824" s="6" t="s">
        <v>2266</v>
      </c>
      <c r="C824" s="6" t="s">
        <v>2267</v>
      </c>
      <c r="E824" s="6" t="s">
        <v>2268</v>
      </c>
      <c r="G824" s="7">
        <v>15349</v>
      </c>
      <c r="H824" s="7">
        <v>17344.37</v>
      </c>
      <c r="I824" s="7">
        <f t="shared" si="60"/>
        <v>9516.38</v>
      </c>
      <c r="J824" s="7">
        <f t="shared" si="61"/>
        <v>9976.85</v>
      </c>
      <c r="K824" s="7">
        <f t="shared" si="62"/>
        <v>10283.83</v>
      </c>
      <c r="L824" s="7">
        <f t="shared" si="63"/>
        <v>10744.3</v>
      </c>
      <c r="M824" s="7">
        <f t="shared" si="64"/>
        <v>11051.28</v>
      </c>
    </row>
    <row r="825" ht="51" spans="1:13">
      <c r="A825" s="6" t="s">
        <v>682</v>
      </c>
      <c r="B825" s="6" t="s">
        <v>2269</v>
      </c>
      <c r="C825" s="6" t="s">
        <v>2270</v>
      </c>
      <c r="E825" s="6" t="s">
        <v>2271</v>
      </c>
      <c r="G825" s="7">
        <v>16149</v>
      </c>
      <c r="H825" s="7">
        <v>18248.37</v>
      </c>
      <c r="I825" s="7">
        <f t="shared" si="60"/>
        <v>10012.38</v>
      </c>
      <c r="J825" s="7">
        <f t="shared" si="61"/>
        <v>10496.85</v>
      </c>
      <c r="K825" s="7">
        <f t="shared" si="62"/>
        <v>10819.83</v>
      </c>
      <c r="L825" s="7">
        <f t="shared" si="63"/>
        <v>11304.3</v>
      </c>
      <c r="M825" s="7">
        <f t="shared" si="64"/>
        <v>11627.28</v>
      </c>
    </row>
    <row r="826" ht="51" spans="1:13">
      <c r="A826" s="6" t="s">
        <v>682</v>
      </c>
      <c r="B826" s="6" t="s">
        <v>2272</v>
      </c>
      <c r="C826" s="6" t="s">
        <v>2273</v>
      </c>
      <c r="E826" s="6" t="s">
        <v>2274</v>
      </c>
      <c r="G826" s="7">
        <v>5699</v>
      </c>
      <c r="H826" s="7">
        <v>6439.87</v>
      </c>
      <c r="I826" s="7">
        <f t="shared" si="60"/>
        <v>3533.38</v>
      </c>
      <c r="J826" s="7">
        <f t="shared" si="61"/>
        <v>3704.35</v>
      </c>
      <c r="K826" s="7">
        <f t="shared" si="62"/>
        <v>3818.33</v>
      </c>
      <c r="L826" s="7">
        <f t="shared" si="63"/>
        <v>3989.3</v>
      </c>
      <c r="M826" s="7">
        <f t="shared" si="64"/>
        <v>4103.28</v>
      </c>
    </row>
    <row r="827" ht="38.25" spans="1:13">
      <c r="A827" s="6" t="s">
        <v>682</v>
      </c>
      <c r="B827" s="6" t="s">
        <v>2275</v>
      </c>
      <c r="C827" s="6" t="s">
        <v>2276</v>
      </c>
      <c r="E827" s="6" t="s">
        <v>2277</v>
      </c>
      <c r="G827" s="7">
        <v>7849</v>
      </c>
      <c r="H827" s="7">
        <v>8869.37</v>
      </c>
      <c r="I827" s="7">
        <f t="shared" si="60"/>
        <v>4866.38</v>
      </c>
      <c r="J827" s="7">
        <f t="shared" si="61"/>
        <v>5101.85</v>
      </c>
      <c r="K827" s="7">
        <f t="shared" si="62"/>
        <v>5258.83</v>
      </c>
      <c r="L827" s="7">
        <f t="shared" si="63"/>
        <v>5494.3</v>
      </c>
      <c r="M827" s="7">
        <f t="shared" si="64"/>
        <v>5651.28</v>
      </c>
    </row>
    <row r="828" ht="38.25" spans="1:13">
      <c r="A828" s="6" t="s">
        <v>682</v>
      </c>
      <c r="B828" s="6" t="s">
        <v>2278</v>
      </c>
      <c r="C828" s="6" t="s">
        <v>2279</v>
      </c>
      <c r="E828" s="6" t="s">
        <v>2280</v>
      </c>
      <c r="G828" s="7">
        <v>10149</v>
      </c>
      <c r="H828" s="7">
        <v>11468.37</v>
      </c>
      <c r="I828" s="7">
        <f t="shared" si="60"/>
        <v>6292.38</v>
      </c>
      <c r="J828" s="7">
        <f t="shared" si="61"/>
        <v>6596.85</v>
      </c>
      <c r="K828" s="7">
        <f t="shared" si="62"/>
        <v>6799.83</v>
      </c>
      <c r="L828" s="7">
        <f t="shared" si="63"/>
        <v>7104.3</v>
      </c>
      <c r="M828" s="7">
        <f t="shared" si="64"/>
        <v>7307.28</v>
      </c>
    </row>
    <row r="829" ht="38.25" spans="1:13">
      <c r="A829" s="6" t="s">
        <v>682</v>
      </c>
      <c r="B829" s="6" t="s">
        <v>2281</v>
      </c>
      <c r="C829" s="6" t="s">
        <v>2282</v>
      </c>
      <c r="E829" s="6" t="s">
        <v>2283</v>
      </c>
      <c r="G829" s="7">
        <v>11799</v>
      </c>
      <c r="H829" s="7">
        <v>13332.87</v>
      </c>
      <c r="I829" s="7">
        <f t="shared" si="60"/>
        <v>7315.38</v>
      </c>
      <c r="J829" s="7">
        <f t="shared" si="61"/>
        <v>7669.35</v>
      </c>
      <c r="K829" s="7">
        <f t="shared" si="62"/>
        <v>7905.33</v>
      </c>
      <c r="L829" s="7">
        <f t="shared" si="63"/>
        <v>8259.3</v>
      </c>
      <c r="M829" s="7">
        <f t="shared" si="64"/>
        <v>8495.28</v>
      </c>
    </row>
    <row r="830" ht="38.25" spans="1:13">
      <c r="A830" s="6" t="s">
        <v>682</v>
      </c>
      <c r="B830" s="6" t="s">
        <v>2284</v>
      </c>
      <c r="C830" s="6" t="s">
        <v>2285</v>
      </c>
      <c r="E830" s="6" t="s">
        <v>2286</v>
      </c>
      <c r="G830" s="7">
        <v>11799</v>
      </c>
      <c r="H830" s="7">
        <v>13332.87</v>
      </c>
      <c r="I830" s="7">
        <f t="shared" si="60"/>
        <v>7315.38</v>
      </c>
      <c r="J830" s="7">
        <f t="shared" si="61"/>
        <v>7669.35</v>
      </c>
      <c r="K830" s="7">
        <f t="shared" si="62"/>
        <v>7905.33</v>
      </c>
      <c r="L830" s="7">
        <f t="shared" si="63"/>
        <v>8259.3</v>
      </c>
      <c r="M830" s="7">
        <f t="shared" si="64"/>
        <v>8495.28</v>
      </c>
    </row>
    <row r="831" ht="38.25" spans="1:13">
      <c r="A831" s="6" t="s">
        <v>682</v>
      </c>
      <c r="B831" s="6" t="s">
        <v>2287</v>
      </c>
      <c r="C831" s="6" t="s">
        <v>2288</v>
      </c>
      <c r="E831" s="6" t="s">
        <v>2289</v>
      </c>
      <c r="G831" s="7">
        <v>13849</v>
      </c>
      <c r="H831" s="7">
        <v>15649.37</v>
      </c>
      <c r="I831" s="7">
        <f t="shared" si="60"/>
        <v>8586.38</v>
      </c>
      <c r="J831" s="7">
        <f t="shared" si="61"/>
        <v>9001.85</v>
      </c>
      <c r="K831" s="7">
        <f t="shared" si="62"/>
        <v>9278.83</v>
      </c>
      <c r="L831" s="7">
        <f t="shared" si="63"/>
        <v>9694.3</v>
      </c>
      <c r="M831" s="7">
        <f t="shared" si="64"/>
        <v>9971.28</v>
      </c>
    </row>
    <row r="832" ht="25.5" spans="1:13">
      <c r="A832" s="6" t="s">
        <v>18</v>
      </c>
      <c r="B832" s="6" t="s">
        <v>2290</v>
      </c>
      <c r="C832" s="6" t="s">
        <v>2291</v>
      </c>
      <c r="E832" s="6" t="s">
        <v>2292</v>
      </c>
      <c r="G832" s="7">
        <v>39</v>
      </c>
      <c r="H832" s="7">
        <v>44.07</v>
      </c>
      <c r="I832" s="7">
        <f t="shared" si="60"/>
        <v>24.18</v>
      </c>
      <c r="J832" s="7">
        <f t="shared" si="61"/>
        <v>25.35</v>
      </c>
      <c r="K832" s="7">
        <f t="shared" si="62"/>
        <v>26.13</v>
      </c>
      <c r="L832" s="7">
        <f t="shared" si="63"/>
        <v>27.3</v>
      </c>
      <c r="M832" s="7">
        <f t="shared" si="64"/>
        <v>28.08</v>
      </c>
    </row>
    <row r="833" ht="38.25" spans="1:13">
      <c r="A833" s="6" t="s">
        <v>18</v>
      </c>
      <c r="B833" s="6" t="s">
        <v>2293</v>
      </c>
      <c r="C833" s="6" t="s">
        <v>2294</v>
      </c>
      <c r="E833" s="6" t="s">
        <v>2295</v>
      </c>
      <c r="G833" s="7">
        <v>57.49</v>
      </c>
      <c r="H833" s="7">
        <v>64.9637</v>
      </c>
      <c r="I833" s="7">
        <f t="shared" si="60"/>
        <v>35.6438</v>
      </c>
      <c r="J833" s="7">
        <f t="shared" si="61"/>
        <v>37.3685</v>
      </c>
      <c r="K833" s="7">
        <f t="shared" si="62"/>
        <v>38.5183</v>
      </c>
      <c r="L833" s="7">
        <f t="shared" si="63"/>
        <v>40.243</v>
      </c>
      <c r="M833" s="7">
        <f t="shared" si="64"/>
        <v>41.3928</v>
      </c>
    </row>
    <row r="834" ht="25.5" spans="1:13">
      <c r="A834" s="6" t="s">
        <v>552</v>
      </c>
      <c r="B834" s="6" t="s">
        <v>2296</v>
      </c>
      <c r="C834" s="6" t="s">
        <v>2297</v>
      </c>
      <c r="E834" s="6" t="s">
        <v>2298</v>
      </c>
      <c r="G834" s="7">
        <v>289</v>
      </c>
      <c r="H834" s="7">
        <v>326.57</v>
      </c>
      <c r="I834" s="7">
        <f t="shared" ref="I834:I897" si="65">G834*0.62</f>
        <v>179.18</v>
      </c>
      <c r="J834" s="7">
        <f t="shared" ref="J834:J897" si="66">G834*0.65</f>
        <v>187.85</v>
      </c>
      <c r="K834" s="7">
        <f t="shared" ref="K834:K897" si="67">G834*0.67</f>
        <v>193.63</v>
      </c>
      <c r="L834" s="7">
        <f t="shared" ref="L834:L897" si="68">G834*0.7</f>
        <v>202.3</v>
      </c>
      <c r="M834" s="7">
        <f t="shared" ref="M834:M897" si="69">G834*0.72</f>
        <v>208.08</v>
      </c>
    </row>
    <row r="835" ht="63.75" spans="1:13">
      <c r="A835" s="6" t="s">
        <v>682</v>
      </c>
      <c r="B835" s="6" t="s">
        <v>2299</v>
      </c>
      <c r="C835" s="6" t="s">
        <v>2300</v>
      </c>
      <c r="E835" s="6" t="s">
        <v>2301</v>
      </c>
      <c r="G835" s="7">
        <v>3499</v>
      </c>
      <c r="H835" s="7">
        <v>3953.87</v>
      </c>
      <c r="I835" s="7">
        <f t="shared" si="65"/>
        <v>2169.38</v>
      </c>
      <c r="J835" s="7">
        <f t="shared" si="66"/>
        <v>2274.35</v>
      </c>
      <c r="K835" s="7">
        <f t="shared" si="67"/>
        <v>2344.33</v>
      </c>
      <c r="L835" s="7">
        <f t="shared" si="68"/>
        <v>2449.3</v>
      </c>
      <c r="M835" s="7">
        <f t="shared" si="69"/>
        <v>2519.28</v>
      </c>
    </row>
    <row r="836" ht="63.75" spans="1:13">
      <c r="A836" s="6" t="s">
        <v>682</v>
      </c>
      <c r="B836" s="6" t="s">
        <v>2302</v>
      </c>
      <c r="C836" s="6" t="s">
        <v>2303</v>
      </c>
      <c r="E836" s="6" t="s">
        <v>2304</v>
      </c>
      <c r="G836" s="7">
        <v>3899</v>
      </c>
      <c r="H836" s="7">
        <v>4405.87</v>
      </c>
      <c r="I836" s="7">
        <f t="shared" si="65"/>
        <v>2417.38</v>
      </c>
      <c r="J836" s="7">
        <f t="shared" si="66"/>
        <v>2534.35</v>
      </c>
      <c r="K836" s="7">
        <f t="shared" si="67"/>
        <v>2612.33</v>
      </c>
      <c r="L836" s="7">
        <f t="shared" si="68"/>
        <v>2729.3</v>
      </c>
      <c r="M836" s="7">
        <f t="shared" si="69"/>
        <v>2807.28</v>
      </c>
    </row>
    <row r="837" spans="1:13">
      <c r="A837" s="6" t="s">
        <v>18</v>
      </c>
      <c r="B837" s="6" t="s">
        <v>2305</v>
      </c>
      <c r="C837" s="6" t="s">
        <v>2306</v>
      </c>
      <c r="E837" s="6" t="s">
        <v>2306</v>
      </c>
      <c r="G837" s="7">
        <v>38.4945</v>
      </c>
      <c r="H837" s="7">
        <v>43.498785</v>
      </c>
      <c r="I837" s="7">
        <f t="shared" si="65"/>
        <v>23.86659</v>
      </c>
      <c r="J837" s="7">
        <f t="shared" si="66"/>
        <v>25.021425</v>
      </c>
      <c r="K837" s="7">
        <f t="shared" si="67"/>
        <v>25.791315</v>
      </c>
      <c r="L837" s="7">
        <f t="shared" si="68"/>
        <v>26.94615</v>
      </c>
      <c r="M837" s="7">
        <f t="shared" si="69"/>
        <v>27.71604</v>
      </c>
    </row>
    <row r="838" ht="63.75" spans="1:13">
      <c r="A838" s="6" t="s">
        <v>682</v>
      </c>
      <c r="B838" s="6" t="s">
        <v>2307</v>
      </c>
      <c r="C838" s="6" t="s">
        <v>2308</v>
      </c>
      <c r="E838" s="6" t="s">
        <v>2309</v>
      </c>
      <c r="G838" s="7">
        <v>5099</v>
      </c>
      <c r="H838" s="7">
        <v>5761.87</v>
      </c>
      <c r="I838" s="7">
        <f t="shared" si="65"/>
        <v>3161.38</v>
      </c>
      <c r="J838" s="7">
        <f t="shared" si="66"/>
        <v>3314.35</v>
      </c>
      <c r="K838" s="7">
        <f t="shared" si="67"/>
        <v>3416.33</v>
      </c>
      <c r="L838" s="7">
        <f t="shared" si="68"/>
        <v>3569.3</v>
      </c>
      <c r="M838" s="7">
        <f t="shared" si="69"/>
        <v>3671.28</v>
      </c>
    </row>
    <row r="839" ht="63.75" spans="1:13">
      <c r="A839" s="6" t="s">
        <v>682</v>
      </c>
      <c r="B839" s="6" t="s">
        <v>2310</v>
      </c>
      <c r="C839" s="6" t="s">
        <v>2311</v>
      </c>
      <c r="E839" s="6" t="s">
        <v>2312</v>
      </c>
      <c r="G839" s="7">
        <v>5599</v>
      </c>
      <c r="H839" s="7">
        <v>6326.87</v>
      </c>
      <c r="I839" s="7">
        <f t="shared" si="65"/>
        <v>3471.38</v>
      </c>
      <c r="J839" s="7">
        <f t="shared" si="66"/>
        <v>3639.35</v>
      </c>
      <c r="K839" s="7">
        <f t="shared" si="67"/>
        <v>3751.33</v>
      </c>
      <c r="L839" s="7">
        <f t="shared" si="68"/>
        <v>3919.3</v>
      </c>
      <c r="M839" s="7">
        <f t="shared" si="69"/>
        <v>4031.28</v>
      </c>
    </row>
    <row r="840" spans="1:13">
      <c r="A840" s="6" t="s">
        <v>18</v>
      </c>
      <c r="B840" s="6" t="s">
        <v>2313</v>
      </c>
      <c r="C840" s="6" t="s">
        <v>2314</v>
      </c>
      <c r="E840" s="6" t="s">
        <v>2314</v>
      </c>
      <c r="G840" s="7">
        <v>43.9953</v>
      </c>
      <c r="H840" s="7">
        <v>49.714689</v>
      </c>
      <c r="I840" s="7">
        <f t="shared" si="65"/>
        <v>27.277086</v>
      </c>
      <c r="J840" s="7">
        <f t="shared" si="66"/>
        <v>28.596945</v>
      </c>
      <c r="K840" s="7">
        <f t="shared" si="67"/>
        <v>29.476851</v>
      </c>
      <c r="L840" s="7">
        <f t="shared" si="68"/>
        <v>30.79671</v>
      </c>
      <c r="M840" s="7">
        <f t="shared" si="69"/>
        <v>31.676616</v>
      </c>
    </row>
    <row r="841" ht="63.75" spans="1:13">
      <c r="A841" s="6" t="s">
        <v>682</v>
      </c>
      <c r="B841" s="6" t="s">
        <v>2315</v>
      </c>
      <c r="C841" s="6" t="s">
        <v>2316</v>
      </c>
      <c r="E841" s="6" t="s">
        <v>2317</v>
      </c>
      <c r="G841" s="7">
        <v>7799</v>
      </c>
      <c r="H841" s="7">
        <v>8812.87</v>
      </c>
      <c r="I841" s="7">
        <f t="shared" si="65"/>
        <v>4835.38</v>
      </c>
      <c r="J841" s="7">
        <f t="shared" si="66"/>
        <v>5069.35</v>
      </c>
      <c r="K841" s="7">
        <f t="shared" si="67"/>
        <v>5225.33</v>
      </c>
      <c r="L841" s="7">
        <f t="shared" si="68"/>
        <v>5459.3</v>
      </c>
      <c r="M841" s="7">
        <f t="shared" si="69"/>
        <v>5615.28</v>
      </c>
    </row>
    <row r="842" ht="63.75" spans="1:13">
      <c r="A842" s="6" t="s">
        <v>682</v>
      </c>
      <c r="B842" s="6" t="s">
        <v>2318</v>
      </c>
      <c r="C842" s="6" t="s">
        <v>2319</v>
      </c>
      <c r="E842" s="6" t="s">
        <v>2320</v>
      </c>
      <c r="G842" s="7">
        <v>8299</v>
      </c>
      <c r="H842" s="7">
        <v>9377.87</v>
      </c>
      <c r="I842" s="7">
        <f t="shared" si="65"/>
        <v>5145.38</v>
      </c>
      <c r="J842" s="7">
        <f t="shared" si="66"/>
        <v>5394.35</v>
      </c>
      <c r="K842" s="7">
        <f t="shared" si="67"/>
        <v>5560.33</v>
      </c>
      <c r="L842" s="7">
        <f t="shared" si="68"/>
        <v>5809.3</v>
      </c>
      <c r="M842" s="7">
        <f t="shared" si="69"/>
        <v>5975.28</v>
      </c>
    </row>
    <row r="843" spans="1:13">
      <c r="A843" s="6" t="s">
        <v>18</v>
      </c>
      <c r="B843" s="6" t="s">
        <v>2321</v>
      </c>
      <c r="C843" s="6" t="s">
        <v>2322</v>
      </c>
      <c r="E843" s="6" t="s">
        <v>2322</v>
      </c>
      <c r="G843" s="7">
        <v>49.4961</v>
      </c>
      <c r="H843" s="7">
        <v>55.930593</v>
      </c>
      <c r="I843" s="7">
        <f t="shared" si="65"/>
        <v>30.687582</v>
      </c>
      <c r="J843" s="7">
        <f t="shared" si="66"/>
        <v>32.172465</v>
      </c>
      <c r="K843" s="7">
        <f t="shared" si="67"/>
        <v>33.162387</v>
      </c>
      <c r="L843" s="7">
        <f t="shared" si="68"/>
        <v>34.64727</v>
      </c>
      <c r="M843" s="7">
        <f t="shared" si="69"/>
        <v>35.637192</v>
      </c>
    </row>
    <row r="844" spans="1:13">
      <c r="A844" s="6" t="s">
        <v>18</v>
      </c>
      <c r="B844" s="6" t="s">
        <v>2323</v>
      </c>
      <c r="C844" s="6" t="s">
        <v>2324</v>
      </c>
      <c r="E844" s="6" t="s">
        <v>2324</v>
      </c>
      <c r="G844" s="7">
        <v>20</v>
      </c>
      <c r="H844" s="7">
        <v>22.6</v>
      </c>
      <c r="I844" s="7">
        <f t="shared" si="65"/>
        <v>12.4</v>
      </c>
      <c r="J844" s="7">
        <f t="shared" si="66"/>
        <v>13</v>
      </c>
      <c r="K844" s="7">
        <f t="shared" si="67"/>
        <v>13.4</v>
      </c>
      <c r="L844" s="7">
        <f t="shared" si="68"/>
        <v>14</v>
      </c>
      <c r="M844" s="7">
        <f t="shared" si="69"/>
        <v>14.4</v>
      </c>
    </row>
    <row r="845" spans="1:13">
      <c r="A845" s="6" t="s">
        <v>18</v>
      </c>
      <c r="B845" s="6" t="s">
        <v>2325</v>
      </c>
      <c r="C845" s="6" t="s">
        <v>2326</v>
      </c>
      <c r="E845" s="6" t="s">
        <v>2327</v>
      </c>
      <c r="G845" s="7">
        <v>17</v>
      </c>
      <c r="H845" s="7">
        <v>19.21</v>
      </c>
      <c r="I845" s="7">
        <f t="shared" si="65"/>
        <v>10.54</v>
      </c>
      <c r="J845" s="7">
        <f t="shared" si="66"/>
        <v>11.05</v>
      </c>
      <c r="K845" s="7">
        <f t="shared" si="67"/>
        <v>11.39</v>
      </c>
      <c r="L845" s="7">
        <f t="shared" si="68"/>
        <v>11.9</v>
      </c>
      <c r="M845" s="7">
        <f t="shared" si="69"/>
        <v>12.24</v>
      </c>
    </row>
    <row r="846" spans="1:13">
      <c r="A846" s="6" t="s">
        <v>18</v>
      </c>
      <c r="B846" s="6" t="s">
        <v>2328</v>
      </c>
      <c r="C846" s="6" t="s">
        <v>2329</v>
      </c>
      <c r="E846" s="6" t="s">
        <v>2329</v>
      </c>
      <c r="G846" s="7">
        <v>19</v>
      </c>
      <c r="H846" s="7">
        <v>21.47</v>
      </c>
      <c r="I846" s="7">
        <f t="shared" si="65"/>
        <v>11.78</v>
      </c>
      <c r="J846" s="7">
        <f t="shared" si="66"/>
        <v>12.35</v>
      </c>
      <c r="K846" s="7">
        <f t="shared" si="67"/>
        <v>12.73</v>
      </c>
      <c r="L846" s="7">
        <f t="shared" si="68"/>
        <v>13.3</v>
      </c>
      <c r="M846" s="7">
        <f t="shared" si="69"/>
        <v>13.68</v>
      </c>
    </row>
    <row r="847" ht="25.5" spans="1:13">
      <c r="A847" s="6" t="s">
        <v>18</v>
      </c>
      <c r="B847" s="6" t="s">
        <v>2330</v>
      </c>
      <c r="C847" s="6" t="s">
        <v>2331</v>
      </c>
      <c r="E847" s="6" t="s">
        <v>2331</v>
      </c>
      <c r="G847" s="7">
        <v>23</v>
      </c>
      <c r="H847" s="7">
        <v>25.99</v>
      </c>
      <c r="I847" s="7">
        <f t="shared" si="65"/>
        <v>14.26</v>
      </c>
      <c r="J847" s="7">
        <f t="shared" si="66"/>
        <v>14.95</v>
      </c>
      <c r="K847" s="7">
        <f t="shared" si="67"/>
        <v>15.41</v>
      </c>
      <c r="L847" s="7">
        <f t="shared" si="68"/>
        <v>16.1</v>
      </c>
      <c r="M847" s="7">
        <f t="shared" si="69"/>
        <v>16.56</v>
      </c>
    </row>
    <row r="848" spans="1:13">
      <c r="A848" s="6" t="s">
        <v>18</v>
      </c>
      <c r="B848" s="6" t="s">
        <v>2332</v>
      </c>
      <c r="C848" s="6" t="s">
        <v>2333</v>
      </c>
      <c r="E848" s="6" t="s">
        <v>2333</v>
      </c>
      <c r="G848" s="7">
        <v>38.9</v>
      </c>
      <c r="H848" s="7">
        <v>43.957</v>
      </c>
      <c r="I848" s="7">
        <f t="shared" si="65"/>
        <v>24.118</v>
      </c>
      <c r="J848" s="7">
        <f t="shared" si="66"/>
        <v>25.285</v>
      </c>
      <c r="K848" s="7">
        <f t="shared" si="67"/>
        <v>26.063</v>
      </c>
      <c r="L848" s="7">
        <f t="shared" si="68"/>
        <v>27.23</v>
      </c>
      <c r="M848" s="7">
        <f t="shared" si="69"/>
        <v>28.008</v>
      </c>
    </row>
    <row r="849" spans="1:13">
      <c r="A849" s="6" t="s">
        <v>18</v>
      </c>
      <c r="B849" s="6" t="s">
        <v>2334</v>
      </c>
      <c r="C849" s="6" t="s">
        <v>2335</v>
      </c>
      <c r="E849" s="6" t="s">
        <v>2335</v>
      </c>
      <c r="G849" s="7">
        <v>39.9</v>
      </c>
      <c r="H849" s="7">
        <v>45.087</v>
      </c>
      <c r="I849" s="7">
        <f t="shared" si="65"/>
        <v>24.738</v>
      </c>
      <c r="J849" s="7">
        <f t="shared" si="66"/>
        <v>25.935</v>
      </c>
      <c r="K849" s="7">
        <f t="shared" si="67"/>
        <v>26.733</v>
      </c>
      <c r="L849" s="7">
        <f t="shared" si="68"/>
        <v>27.93</v>
      </c>
      <c r="M849" s="7">
        <f t="shared" si="69"/>
        <v>28.728</v>
      </c>
    </row>
    <row r="850" ht="38.25" spans="1:13">
      <c r="A850" s="6" t="s">
        <v>682</v>
      </c>
      <c r="B850" s="6" t="s">
        <v>2336</v>
      </c>
      <c r="C850" s="6" t="s">
        <v>2337</v>
      </c>
      <c r="E850" s="6" t="s">
        <v>2338</v>
      </c>
      <c r="G850" s="7">
        <v>4519</v>
      </c>
      <c r="H850" s="7">
        <v>5106.47</v>
      </c>
      <c r="I850" s="7">
        <f t="shared" si="65"/>
        <v>2801.78</v>
      </c>
      <c r="J850" s="7">
        <f t="shared" si="66"/>
        <v>2937.35</v>
      </c>
      <c r="K850" s="7">
        <f t="shared" si="67"/>
        <v>3027.73</v>
      </c>
      <c r="L850" s="7">
        <f t="shared" si="68"/>
        <v>3163.3</v>
      </c>
      <c r="M850" s="7">
        <f t="shared" si="69"/>
        <v>3253.68</v>
      </c>
    </row>
    <row r="851" spans="1:13">
      <c r="A851" s="6" t="s">
        <v>18</v>
      </c>
      <c r="B851" s="6" t="s">
        <v>2339</v>
      </c>
      <c r="C851" s="6" t="s">
        <v>2340</v>
      </c>
      <c r="E851" s="6" t="s">
        <v>2340</v>
      </c>
      <c r="G851" s="7">
        <v>24.2</v>
      </c>
      <c r="H851" s="7">
        <v>27.346</v>
      </c>
      <c r="I851" s="7">
        <f t="shared" si="65"/>
        <v>15.004</v>
      </c>
      <c r="J851" s="7">
        <f t="shared" si="66"/>
        <v>15.73</v>
      </c>
      <c r="K851" s="7">
        <f t="shared" si="67"/>
        <v>16.214</v>
      </c>
      <c r="L851" s="7">
        <f t="shared" si="68"/>
        <v>16.94</v>
      </c>
      <c r="M851" s="7">
        <f t="shared" si="69"/>
        <v>17.424</v>
      </c>
    </row>
    <row r="852" spans="1:13">
      <c r="A852" s="6" t="s">
        <v>18</v>
      </c>
      <c r="B852" s="6" t="s">
        <v>2341</v>
      </c>
      <c r="C852" s="6" t="s">
        <v>2342</v>
      </c>
      <c r="E852" s="6" t="s">
        <v>2342</v>
      </c>
      <c r="G852" s="7">
        <v>43.1</v>
      </c>
      <c r="H852" s="7">
        <v>48.703</v>
      </c>
      <c r="I852" s="7">
        <f t="shared" si="65"/>
        <v>26.722</v>
      </c>
      <c r="J852" s="7">
        <f t="shared" si="66"/>
        <v>28.015</v>
      </c>
      <c r="K852" s="7">
        <f t="shared" si="67"/>
        <v>28.877</v>
      </c>
      <c r="L852" s="7">
        <f t="shared" si="68"/>
        <v>30.17</v>
      </c>
      <c r="M852" s="7">
        <f t="shared" si="69"/>
        <v>31.032</v>
      </c>
    </row>
    <row r="853" spans="1:13">
      <c r="A853" s="6" t="s">
        <v>18</v>
      </c>
      <c r="B853" s="6" t="s">
        <v>2343</v>
      </c>
      <c r="C853" s="6" t="s">
        <v>2344</v>
      </c>
      <c r="E853" s="6" t="s">
        <v>2344</v>
      </c>
      <c r="G853" s="7">
        <v>31.5</v>
      </c>
      <c r="H853" s="7">
        <v>35.595</v>
      </c>
      <c r="I853" s="7">
        <f t="shared" si="65"/>
        <v>19.53</v>
      </c>
      <c r="J853" s="7">
        <f t="shared" si="66"/>
        <v>20.475</v>
      </c>
      <c r="K853" s="7">
        <f t="shared" si="67"/>
        <v>21.105</v>
      </c>
      <c r="L853" s="7">
        <f t="shared" si="68"/>
        <v>22.05</v>
      </c>
      <c r="M853" s="7">
        <f t="shared" si="69"/>
        <v>22.68</v>
      </c>
    </row>
    <row r="854" spans="1:13">
      <c r="A854" s="6" t="s">
        <v>18</v>
      </c>
      <c r="B854" s="6" t="s">
        <v>2345</v>
      </c>
      <c r="C854" s="6" t="s">
        <v>2346</v>
      </c>
      <c r="E854" s="6" t="s">
        <v>2346</v>
      </c>
      <c r="G854" s="7">
        <v>41</v>
      </c>
      <c r="H854" s="7">
        <v>46.33</v>
      </c>
      <c r="I854" s="7">
        <f t="shared" si="65"/>
        <v>25.42</v>
      </c>
      <c r="J854" s="7">
        <f t="shared" si="66"/>
        <v>26.65</v>
      </c>
      <c r="K854" s="7">
        <f t="shared" si="67"/>
        <v>27.47</v>
      </c>
      <c r="L854" s="7">
        <f t="shared" si="68"/>
        <v>28.7</v>
      </c>
      <c r="M854" s="7">
        <f t="shared" si="69"/>
        <v>29.52</v>
      </c>
    </row>
    <row r="855" ht="38.25" spans="1:13">
      <c r="A855" s="6" t="s">
        <v>682</v>
      </c>
      <c r="B855" s="6" t="s">
        <v>2347</v>
      </c>
      <c r="C855" s="6" t="s">
        <v>2348</v>
      </c>
      <c r="E855" s="6" t="s">
        <v>2349</v>
      </c>
      <c r="G855" s="7">
        <v>6249</v>
      </c>
      <c r="H855" s="7">
        <v>7061.37</v>
      </c>
      <c r="I855" s="7">
        <f t="shared" si="65"/>
        <v>3874.38</v>
      </c>
      <c r="J855" s="7">
        <f t="shared" si="66"/>
        <v>4061.85</v>
      </c>
      <c r="K855" s="7">
        <f t="shared" si="67"/>
        <v>4186.83</v>
      </c>
      <c r="L855" s="7">
        <f t="shared" si="68"/>
        <v>4374.3</v>
      </c>
      <c r="M855" s="7">
        <f t="shared" si="69"/>
        <v>4499.28</v>
      </c>
    </row>
    <row r="856" spans="1:13">
      <c r="A856" s="6" t="s">
        <v>18</v>
      </c>
      <c r="B856" s="6" t="s">
        <v>2350</v>
      </c>
      <c r="C856" s="6" t="s">
        <v>2351</v>
      </c>
      <c r="E856" s="6" t="s">
        <v>2351</v>
      </c>
      <c r="G856" s="7">
        <v>33.6</v>
      </c>
      <c r="H856" s="7">
        <v>37.968</v>
      </c>
      <c r="I856" s="7">
        <f t="shared" si="65"/>
        <v>20.832</v>
      </c>
      <c r="J856" s="7">
        <f t="shared" si="66"/>
        <v>21.84</v>
      </c>
      <c r="K856" s="7">
        <f t="shared" si="67"/>
        <v>22.512</v>
      </c>
      <c r="L856" s="7">
        <f t="shared" si="68"/>
        <v>23.52</v>
      </c>
      <c r="M856" s="7">
        <f t="shared" si="69"/>
        <v>24.192</v>
      </c>
    </row>
    <row r="857" spans="1:13">
      <c r="A857" s="6" t="s">
        <v>18</v>
      </c>
      <c r="B857" s="6" t="s">
        <v>2352</v>
      </c>
      <c r="C857" s="6" t="s">
        <v>2353</v>
      </c>
      <c r="E857" s="6" t="s">
        <v>2353</v>
      </c>
      <c r="G857" s="7">
        <v>23.1</v>
      </c>
      <c r="H857" s="7">
        <v>26.103</v>
      </c>
      <c r="I857" s="7">
        <f t="shared" si="65"/>
        <v>14.322</v>
      </c>
      <c r="J857" s="7">
        <f t="shared" si="66"/>
        <v>15.015</v>
      </c>
      <c r="K857" s="7">
        <f t="shared" si="67"/>
        <v>15.477</v>
      </c>
      <c r="L857" s="7">
        <f t="shared" si="68"/>
        <v>16.17</v>
      </c>
      <c r="M857" s="7">
        <f t="shared" si="69"/>
        <v>16.632</v>
      </c>
    </row>
    <row r="858" ht="38.25" spans="1:13">
      <c r="A858" s="6" t="s">
        <v>682</v>
      </c>
      <c r="B858" s="6" t="s">
        <v>2354</v>
      </c>
      <c r="C858" s="6" t="s">
        <v>2355</v>
      </c>
      <c r="E858" s="6" t="s">
        <v>2356</v>
      </c>
      <c r="G858" s="7">
        <v>1889</v>
      </c>
      <c r="H858" s="7">
        <v>2134.57</v>
      </c>
      <c r="I858" s="7">
        <f t="shared" si="65"/>
        <v>1171.18</v>
      </c>
      <c r="J858" s="7">
        <f t="shared" si="66"/>
        <v>1227.85</v>
      </c>
      <c r="K858" s="7">
        <f t="shared" si="67"/>
        <v>1265.63</v>
      </c>
      <c r="L858" s="7">
        <f t="shared" si="68"/>
        <v>1322.3</v>
      </c>
      <c r="M858" s="7">
        <f t="shared" si="69"/>
        <v>1360.08</v>
      </c>
    </row>
    <row r="859" spans="1:13">
      <c r="A859" s="6" t="s">
        <v>18</v>
      </c>
      <c r="B859" s="6" t="s">
        <v>2357</v>
      </c>
      <c r="C859" s="6" t="s">
        <v>2358</v>
      </c>
      <c r="E859" s="6" t="s">
        <v>2359</v>
      </c>
      <c r="G859" s="7">
        <v>61</v>
      </c>
      <c r="H859" s="7">
        <v>68.93</v>
      </c>
      <c r="I859" s="7">
        <f t="shared" si="65"/>
        <v>37.82</v>
      </c>
      <c r="J859" s="7">
        <f t="shared" si="66"/>
        <v>39.65</v>
      </c>
      <c r="K859" s="7">
        <f t="shared" si="67"/>
        <v>40.87</v>
      </c>
      <c r="L859" s="7">
        <f t="shared" si="68"/>
        <v>42.7</v>
      </c>
      <c r="M859" s="7">
        <f t="shared" si="69"/>
        <v>43.92</v>
      </c>
    </row>
    <row r="860" spans="1:13">
      <c r="A860" s="6" t="s">
        <v>18</v>
      </c>
      <c r="B860" s="6" t="s">
        <v>2360</v>
      </c>
      <c r="C860" s="6" t="s">
        <v>2361</v>
      </c>
      <c r="E860" s="6" t="s">
        <v>2361</v>
      </c>
      <c r="G860" s="7">
        <v>35.7</v>
      </c>
      <c r="H860" s="7">
        <v>40.341</v>
      </c>
      <c r="I860" s="7">
        <f t="shared" si="65"/>
        <v>22.134</v>
      </c>
      <c r="J860" s="7">
        <f t="shared" si="66"/>
        <v>23.205</v>
      </c>
      <c r="K860" s="7">
        <f t="shared" si="67"/>
        <v>23.919</v>
      </c>
      <c r="L860" s="7">
        <f t="shared" si="68"/>
        <v>24.99</v>
      </c>
      <c r="M860" s="7">
        <f t="shared" si="69"/>
        <v>25.704</v>
      </c>
    </row>
    <row r="861" spans="1:13">
      <c r="A861" s="6" t="s">
        <v>18</v>
      </c>
      <c r="B861" s="6" t="s">
        <v>2362</v>
      </c>
      <c r="C861" s="6" t="s">
        <v>2363</v>
      </c>
      <c r="E861" s="6" t="s">
        <v>2363</v>
      </c>
      <c r="G861" s="7">
        <v>36.8</v>
      </c>
      <c r="H861" s="7">
        <v>41.584</v>
      </c>
      <c r="I861" s="7">
        <f t="shared" si="65"/>
        <v>22.816</v>
      </c>
      <c r="J861" s="7">
        <f t="shared" si="66"/>
        <v>23.92</v>
      </c>
      <c r="K861" s="7">
        <f t="shared" si="67"/>
        <v>24.656</v>
      </c>
      <c r="L861" s="7">
        <f t="shared" si="68"/>
        <v>25.76</v>
      </c>
      <c r="M861" s="7">
        <f t="shared" si="69"/>
        <v>26.496</v>
      </c>
    </row>
    <row r="862" ht="38.25" spans="1:13">
      <c r="A862" s="6" t="s">
        <v>682</v>
      </c>
      <c r="B862" s="6" t="s">
        <v>2364</v>
      </c>
      <c r="C862" s="6" t="s">
        <v>2365</v>
      </c>
      <c r="E862" s="6" t="s">
        <v>2366</v>
      </c>
      <c r="G862" s="7">
        <v>3149</v>
      </c>
      <c r="H862" s="7">
        <v>3558.37</v>
      </c>
      <c r="I862" s="7">
        <f t="shared" si="65"/>
        <v>1952.38</v>
      </c>
      <c r="J862" s="7">
        <f t="shared" si="66"/>
        <v>2046.85</v>
      </c>
      <c r="K862" s="7">
        <f t="shared" si="67"/>
        <v>2109.83</v>
      </c>
      <c r="L862" s="7">
        <f t="shared" si="68"/>
        <v>2204.3</v>
      </c>
      <c r="M862" s="7">
        <f t="shared" si="69"/>
        <v>2267.28</v>
      </c>
    </row>
    <row r="863" spans="1:13">
      <c r="A863" s="6" t="s">
        <v>18</v>
      </c>
      <c r="B863" s="6" t="s">
        <v>2367</v>
      </c>
      <c r="C863" s="6" t="s">
        <v>2368</v>
      </c>
      <c r="E863" s="6" t="s">
        <v>2368</v>
      </c>
      <c r="G863" s="7">
        <v>23</v>
      </c>
      <c r="H863" s="7">
        <v>25.99</v>
      </c>
      <c r="I863" s="7">
        <f t="shared" si="65"/>
        <v>14.26</v>
      </c>
      <c r="J863" s="7">
        <f t="shared" si="66"/>
        <v>14.95</v>
      </c>
      <c r="K863" s="7">
        <f t="shared" si="67"/>
        <v>15.41</v>
      </c>
      <c r="L863" s="7">
        <f t="shared" si="68"/>
        <v>16.1</v>
      </c>
      <c r="M863" s="7">
        <f t="shared" si="69"/>
        <v>16.56</v>
      </c>
    </row>
    <row r="864" spans="1:13">
      <c r="A864" s="6" t="s">
        <v>18</v>
      </c>
      <c r="B864" s="6" t="s">
        <v>2369</v>
      </c>
      <c r="C864" s="6" t="s">
        <v>2370</v>
      </c>
      <c r="E864" s="6" t="s">
        <v>2370</v>
      </c>
      <c r="G864" s="7">
        <v>19</v>
      </c>
      <c r="H864" s="7">
        <v>21.47</v>
      </c>
      <c r="I864" s="7">
        <f t="shared" si="65"/>
        <v>11.78</v>
      </c>
      <c r="J864" s="7">
        <f t="shared" si="66"/>
        <v>12.35</v>
      </c>
      <c r="K864" s="7">
        <f t="shared" si="67"/>
        <v>12.73</v>
      </c>
      <c r="L864" s="7">
        <f t="shared" si="68"/>
        <v>13.3</v>
      </c>
      <c r="M864" s="7">
        <f t="shared" si="69"/>
        <v>13.68</v>
      </c>
    </row>
    <row r="865" spans="1:13">
      <c r="A865" s="6" t="s">
        <v>18</v>
      </c>
      <c r="B865" s="6" t="s">
        <v>2371</v>
      </c>
      <c r="C865" s="6" t="s">
        <v>2372</v>
      </c>
      <c r="E865" s="6" t="s">
        <v>2372</v>
      </c>
      <c r="G865" s="7">
        <v>14</v>
      </c>
      <c r="H865" s="7">
        <v>15.82</v>
      </c>
      <c r="I865" s="7">
        <f t="shared" si="65"/>
        <v>8.68</v>
      </c>
      <c r="J865" s="7">
        <f t="shared" si="66"/>
        <v>9.1</v>
      </c>
      <c r="K865" s="7">
        <f t="shared" si="67"/>
        <v>9.38</v>
      </c>
      <c r="L865" s="7">
        <f t="shared" si="68"/>
        <v>9.8</v>
      </c>
      <c r="M865" s="7">
        <f t="shared" si="69"/>
        <v>10.08</v>
      </c>
    </row>
    <row r="866" spans="1:13">
      <c r="A866" s="6" t="s">
        <v>18</v>
      </c>
      <c r="B866" s="6" t="s">
        <v>2373</v>
      </c>
      <c r="C866" s="6" t="s">
        <v>2374</v>
      </c>
      <c r="E866" s="6" t="s">
        <v>2375</v>
      </c>
      <c r="G866" s="7">
        <v>26.3</v>
      </c>
      <c r="H866" s="7">
        <v>29.719</v>
      </c>
      <c r="I866" s="7">
        <f t="shared" si="65"/>
        <v>16.306</v>
      </c>
      <c r="J866" s="7">
        <f t="shared" si="66"/>
        <v>17.095</v>
      </c>
      <c r="K866" s="7">
        <f t="shared" si="67"/>
        <v>17.621</v>
      </c>
      <c r="L866" s="7">
        <f t="shared" si="68"/>
        <v>18.41</v>
      </c>
      <c r="M866" s="7">
        <f t="shared" si="69"/>
        <v>18.936</v>
      </c>
    </row>
    <row r="867" spans="1:13">
      <c r="A867" s="6" t="s">
        <v>18</v>
      </c>
      <c r="B867" s="6" t="s">
        <v>2376</v>
      </c>
      <c r="C867" s="6" t="s">
        <v>2377</v>
      </c>
      <c r="E867" s="6" t="s">
        <v>2377</v>
      </c>
      <c r="G867" s="7">
        <v>32</v>
      </c>
      <c r="H867" s="7">
        <v>36.16</v>
      </c>
      <c r="I867" s="7">
        <f t="shared" si="65"/>
        <v>19.84</v>
      </c>
      <c r="J867" s="7">
        <f t="shared" si="66"/>
        <v>20.8</v>
      </c>
      <c r="K867" s="7">
        <f t="shared" si="67"/>
        <v>21.44</v>
      </c>
      <c r="L867" s="7">
        <f t="shared" si="68"/>
        <v>22.4</v>
      </c>
      <c r="M867" s="7">
        <f t="shared" si="69"/>
        <v>23.04</v>
      </c>
    </row>
    <row r="868" spans="1:13">
      <c r="A868" s="6" t="s">
        <v>18</v>
      </c>
      <c r="B868" s="6" t="s">
        <v>2378</v>
      </c>
      <c r="C868" s="6" t="s">
        <v>2379</v>
      </c>
      <c r="E868" s="6" t="s">
        <v>2379</v>
      </c>
      <c r="G868" s="7">
        <v>23</v>
      </c>
      <c r="H868" s="7">
        <v>25.99</v>
      </c>
      <c r="I868" s="7">
        <f t="shared" si="65"/>
        <v>14.26</v>
      </c>
      <c r="J868" s="7">
        <f t="shared" si="66"/>
        <v>14.95</v>
      </c>
      <c r="K868" s="7">
        <f t="shared" si="67"/>
        <v>15.41</v>
      </c>
      <c r="L868" s="7">
        <f t="shared" si="68"/>
        <v>16.1</v>
      </c>
      <c r="M868" s="7">
        <f t="shared" si="69"/>
        <v>16.56</v>
      </c>
    </row>
    <row r="869" spans="1:13">
      <c r="A869" s="6" t="s">
        <v>18</v>
      </c>
      <c r="B869" s="6" t="s">
        <v>2380</v>
      </c>
      <c r="C869" s="6" t="s">
        <v>2381</v>
      </c>
      <c r="E869" s="6" t="s">
        <v>2381</v>
      </c>
      <c r="G869" s="7">
        <v>73</v>
      </c>
      <c r="H869" s="7">
        <v>82.49</v>
      </c>
      <c r="I869" s="7">
        <f t="shared" si="65"/>
        <v>45.26</v>
      </c>
      <c r="J869" s="7">
        <f t="shared" si="66"/>
        <v>47.45</v>
      </c>
      <c r="K869" s="7">
        <f t="shared" si="67"/>
        <v>48.91</v>
      </c>
      <c r="L869" s="7">
        <f t="shared" si="68"/>
        <v>51.1</v>
      </c>
      <c r="M869" s="7">
        <f t="shared" si="69"/>
        <v>52.56</v>
      </c>
    </row>
    <row r="870" spans="1:13">
      <c r="A870" s="6" t="s">
        <v>18</v>
      </c>
      <c r="B870" s="6" t="s">
        <v>2382</v>
      </c>
      <c r="C870" s="6" t="s">
        <v>2383</v>
      </c>
      <c r="E870" s="6" t="s">
        <v>2383</v>
      </c>
      <c r="G870" s="7">
        <v>41</v>
      </c>
      <c r="H870" s="7">
        <v>46.33</v>
      </c>
      <c r="I870" s="7">
        <f t="shared" si="65"/>
        <v>25.42</v>
      </c>
      <c r="J870" s="7">
        <f t="shared" si="66"/>
        <v>26.65</v>
      </c>
      <c r="K870" s="7">
        <f t="shared" si="67"/>
        <v>27.47</v>
      </c>
      <c r="L870" s="7">
        <f t="shared" si="68"/>
        <v>28.7</v>
      </c>
      <c r="M870" s="7">
        <f t="shared" si="69"/>
        <v>29.52</v>
      </c>
    </row>
    <row r="871" spans="1:13">
      <c r="A871" s="6" t="s">
        <v>18</v>
      </c>
      <c r="B871" s="6" t="s">
        <v>2384</v>
      </c>
      <c r="C871" s="6" t="s">
        <v>2385</v>
      </c>
      <c r="E871" s="6" t="s">
        <v>2385</v>
      </c>
      <c r="G871" s="7">
        <v>27</v>
      </c>
      <c r="H871" s="7">
        <v>30.51</v>
      </c>
      <c r="I871" s="7">
        <f t="shared" si="65"/>
        <v>16.74</v>
      </c>
      <c r="J871" s="7">
        <f t="shared" si="66"/>
        <v>17.55</v>
      </c>
      <c r="K871" s="7">
        <f t="shared" si="67"/>
        <v>18.09</v>
      </c>
      <c r="L871" s="7">
        <f t="shared" si="68"/>
        <v>18.9</v>
      </c>
      <c r="M871" s="7">
        <f t="shared" si="69"/>
        <v>19.44</v>
      </c>
    </row>
    <row r="872" spans="1:13">
      <c r="A872" s="6" t="s">
        <v>18</v>
      </c>
      <c r="B872" s="6" t="s">
        <v>2386</v>
      </c>
      <c r="C872" s="6" t="s">
        <v>2387</v>
      </c>
      <c r="E872" s="6" t="s">
        <v>2388</v>
      </c>
      <c r="G872" s="7">
        <v>77</v>
      </c>
      <c r="H872" s="7">
        <v>87.01</v>
      </c>
      <c r="I872" s="7">
        <f t="shared" si="65"/>
        <v>47.74</v>
      </c>
      <c r="J872" s="7">
        <f t="shared" si="66"/>
        <v>50.05</v>
      </c>
      <c r="K872" s="7">
        <f t="shared" si="67"/>
        <v>51.59</v>
      </c>
      <c r="L872" s="7">
        <f t="shared" si="68"/>
        <v>53.9</v>
      </c>
      <c r="M872" s="7">
        <f t="shared" si="69"/>
        <v>55.44</v>
      </c>
    </row>
    <row r="873" spans="1:13">
      <c r="A873" s="6" t="s">
        <v>18</v>
      </c>
      <c r="B873" s="6" t="s">
        <v>2389</v>
      </c>
      <c r="C873" s="6" t="s">
        <v>2390</v>
      </c>
      <c r="E873" s="6" t="s">
        <v>2390</v>
      </c>
      <c r="G873" s="7">
        <v>26</v>
      </c>
      <c r="H873" s="7">
        <v>29.38</v>
      </c>
      <c r="I873" s="7">
        <f t="shared" si="65"/>
        <v>16.12</v>
      </c>
      <c r="J873" s="7">
        <f t="shared" si="66"/>
        <v>16.9</v>
      </c>
      <c r="K873" s="7">
        <f t="shared" si="67"/>
        <v>17.42</v>
      </c>
      <c r="L873" s="7">
        <f t="shared" si="68"/>
        <v>18.2</v>
      </c>
      <c r="M873" s="7">
        <f t="shared" si="69"/>
        <v>18.72</v>
      </c>
    </row>
    <row r="874" spans="1:13">
      <c r="A874" s="6" t="s">
        <v>18</v>
      </c>
      <c r="B874" s="6" t="s">
        <v>2391</v>
      </c>
      <c r="C874" s="6" t="s">
        <v>2392</v>
      </c>
      <c r="E874" s="6" t="s">
        <v>2392</v>
      </c>
      <c r="G874" s="7">
        <v>21</v>
      </c>
      <c r="H874" s="7">
        <v>23.73</v>
      </c>
      <c r="I874" s="7">
        <f t="shared" si="65"/>
        <v>13.02</v>
      </c>
      <c r="J874" s="7">
        <f t="shared" si="66"/>
        <v>13.65</v>
      </c>
      <c r="K874" s="7">
        <f t="shared" si="67"/>
        <v>14.07</v>
      </c>
      <c r="L874" s="7">
        <f t="shared" si="68"/>
        <v>14.7</v>
      </c>
      <c r="M874" s="7">
        <f t="shared" si="69"/>
        <v>15.12</v>
      </c>
    </row>
    <row r="875" spans="1:13">
      <c r="A875" s="6" t="s">
        <v>18</v>
      </c>
      <c r="B875" s="6" t="s">
        <v>2393</v>
      </c>
      <c r="C875" s="6" t="s">
        <v>2394</v>
      </c>
      <c r="E875" s="6" t="s">
        <v>2395</v>
      </c>
      <c r="G875" s="7">
        <v>39</v>
      </c>
      <c r="H875" s="7">
        <v>44.07</v>
      </c>
      <c r="I875" s="7">
        <f t="shared" si="65"/>
        <v>24.18</v>
      </c>
      <c r="J875" s="7">
        <f t="shared" si="66"/>
        <v>25.35</v>
      </c>
      <c r="K875" s="7">
        <f t="shared" si="67"/>
        <v>26.13</v>
      </c>
      <c r="L875" s="7">
        <f t="shared" si="68"/>
        <v>27.3</v>
      </c>
      <c r="M875" s="7">
        <f t="shared" si="69"/>
        <v>28.08</v>
      </c>
    </row>
    <row r="876" spans="1:13">
      <c r="A876" s="6" t="s">
        <v>18</v>
      </c>
      <c r="B876" s="6" t="s">
        <v>2396</v>
      </c>
      <c r="C876" s="6" t="s">
        <v>2397</v>
      </c>
      <c r="E876" s="6" t="s">
        <v>2398</v>
      </c>
      <c r="G876" s="7">
        <v>39.99</v>
      </c>
      <c r="H876" s="7">
        <v>45.1887</v>
      </c>
      <c r="I876" s="7">
        <f t="shared" si="65"/>
        <v>24.7938</v>
      </c>
      <c r="J876" s="7">
        <f t="shared" si="66"/>
        <v>25.9935</v>
      </c>
      <c r="K876" s="7">
        <f t="shared" si="67"/>
        <v>26.7933</v>
      </c>
      <c r="L876" s="7">
        <f t="shared" si="68"/>
        <v>27.993</v>
      </c>
      <c r="M876" s="7">
        <f t="shared" si="69"/>
        <v>28.7928</v>
      </c>
    </row>
    <row r="877" spans="1:13">
      <c r="A877" s="6" t="s">
        <v>18</v>
      </c>
      <c r="B877" s="6" t="s">
        <v>2399</v>
      </c>
      <c r="C877" s="6" t="s">
        <v>2400</v>
      </c>
      <c r="E877" s="6" t="s">
        <v>2401</v>
      </c>
      <c r="G877" s="7">
        <v>39.99</v>
      </c>
      <c r="H877" s="7">
        <v>45.1887</v>
      </c>
      <c r="I877" s="7">
        <f t="shared" si="65"/>
        <v>24.7938</v>
      </c>
      <c r="J877" s="7">
        <f t="shared" si="66"/>
        <v>25.9935</v>
      </c>
      <c r="K877" s="7">
        <f t="shared" si="67"/>
        <v>26.7933</v>
      </c>
      <c r="L877" s="7">
        <f t="shared" si="68"/>
        <v>27.993</v>
      </c>
      <c r="M877" s="7">
        <f t="shared" si="69"/>
        <v>28.7928</v>
      </c>
    </row>
    <row r="878" ht="25.5" spans="1:13">
      <c r="A878" s="6" t="s">
        <v>18</v>
      </c>
      <c r="B878" s="6" t="s">
        <v>2402</v>
      </c>
      <c r="C878" s="6" t="s">
        <v>2403</v>
      </c>
      <c r="E878" s="6" t="s">
        <v>2404</v>
      </c>
      <c r="G878" s="7">
        <v>41</v>
      </c>
      <c r="H878" s="7">
        <v>46.33</v>
      </c>
      <c r="I878" s="7">
        <f t="shared" si="65"/>
        <v>25.42</v>
      </c>
      <c r="J878" s="7">
        <f t="shared" si="66"/>
        <v>26.65</v>
      </c>
      <c r="K878" s="7">
        <f t="shared" si="67"/>
        <v>27.47</v>
      </c>
      <c r="L878" s="7">
        <f t="shared" si="68"/>
        <v>28.7</v>
      </c>
      <c r="M878" s="7">
        <f t="shared" si="69"/>
        <v>29.52</v>
      </c>
    </row>
    <row r="879" ht="51" spans="1:13">
      <c r="A879" s="6" t="s">
        <v>682</v>
      </c>
      <c r="B879" s="6" t="s">
        <v>2405</v>
      </c>
      <c r="C879" s="6" t="s">
        <v>2406</v>
      </c>
      <c r="E879" s="6" t="s">
        <v>2407</v>
      </c>
      <c r="G879" s="7">
        <v>1199</v>
      </c>
      <c r="H879" s="7">
        <v>1354.87</v>
      </c>
      <c r="I879" s="7">
        <f t="shared" si="65"/>
        <v>743.38</v>
      </c>
      <c r="J879" s="7">
        <f t="shared" si="66"/>
        <v>779.35</v>
      </c>
      <c r="K879" s="7">
        <f t="shared" si="67"/>
        <v>803.33</v>
      </c>
      <c r="L879" s="7">
        <f t="shared" si="68"/>
        <v>839.3</v>
      </c>
      <c r="M879" s="7">
        <f t="shared" si="69"/>
        <v>863.28</v>
      </c>
    </row>
    <row r="880" spans="1:13">
      <c r="A880" s="6" t="s">
        <v>18</v>
      </c>
      <c r="B880" s="6" t="s">
        <v>2408</v>
      </c>
      <c r="C880" s="6" t="s">
        <v>2409</v>
      </c>
      <c r="E880" s="6" t="s">
        <v>2409</v>
      </c>
      <c r="G880" s="7">
        <v>51</v>
      </c>
      <c r="H880" s="7">
        <v>57.63</v>
      </c>
      <c r="I880" s="7">
        <f t="shared" si="65"/>
        <v>31.62</v>
      </c>
      <c r="J880" s="7">
        <f t="shared" si="66"/>
        <v>33.15</v>
      </c>
      <c r="K880" s="7">
        <f t="shared" si="67"/>
        <v>34.17</v>
      </c>
      <c r="L880" s="7">
        <f t="shared" si="68"/>
        <v>35.7</v>
      </c>
      <c r="M880" s="7">
        <f t="shared" si="69"/>
        <v>36.72</v>
      </c>
    </row>
    <row r="881" ht="25.5" spans="1:13">
      <c r="A881" s="6" t="s">
        <v>18</v>
      </c>
      <c r="B881" s="6" t="s">
        <v>2410</v>
      </c>
      <c r="C881" s="6" t="s">
        <v>2411</v>
      </c>
      <c r="E881" s="6" t="s">
        <v>2412</v>
      </c>
      <c r="G881" s="7">
        <v>41</v>
      </c>
      <c r="H881" s="7">
        <v>46.33</v>
      </c>
      <c r="I881" s="7">
        <f t="shared" si="65"/>
        <v>25.42</v>
      </c>
      <c r="J881" s="7">
        <f t="shared" si="66"/>
        <v>26.65</v>
      </c>
      <c r="K881" s="7">
        <f t="shared" si="67"/>
        <v>27.47</v>
      </c>
      <c r="L881" s="7">
        <f t="shared" si="68"/>
        <v>28.7</v>
      </c>
      <c r="M881" s="7">
        <f t="shared" si="69"/>
        <v>29.52</v>
      </c>
    </row>
    <row r="882" ht="51" spans="1:13">
      <c r="A882" s="6" t="s">
        <v>682</v>
      </c>
      <c r="B882" s="6" t="s">
        <v>2413</v>
      </c>
      <c r="C882" s="6" t="s">
        <v>2414</v>
      </c>
      <c r="E882" s="6" t="s">
        <v>2415</v>
      </c>
      <c r="G882" s="7">
        <v>1499</v>
      </c>
      <c r="H882" s="7">
        <v>1693.87</v>
      </c>
      <c r="I882" s="7">
        <f t="shared" si="65"/>
        <v>929.38</v>
      </c>
      <c r="J882" s="7">
        <f t="shared" si="66"/>
        <v>974.35</v>
      </c>
      <c r="K882" s="7">
        <f t="shared" si="67"/>
        <v>1004.33</v>
      </c>
      <c r="L882" s="7">
        <f t="shared" si="68"/>
        <v>1049.3</v>
      </c>
      <c r="M882" s="7">
        <f t="shared" si="69"/>
        <v>1079.28</v>
      </c>
    </row>
    <row r="883" spans="1:13">
      <c r="A883" s="6" t="s">
        <v>18</v>
      </c>
      <c r="B883" s="6" t="s">
        <v>2416</v>
      </c>
      <c r="C883" s="6" t="s">
        <v>2417</v>
      </c>
      <c r="E883" s="6" t="s">
        <v>2417</v>
      </c>
      <c r="G883" s="7">
        <v>51</v>
      </c>
      <c r="H883" s="7">
        <v>57.63</v>
      </c>
      <c r="I883" s="7">
        <f t="shared" si="65"/>
        <v>31.62</v>
      </c>
      <c r="J883" s="7">
        <f t="shared" si="66"/>
        <v>33.15</v>
      </c>
      <c r="K883" s="7">
        <f t="shared" si="67"/>
        <v>34.17</v>
      </c>
      <c r="L883" s="7">
        <f t="shared" si="68"/>
        <v>35.7</v>
      </c>
      <c r="M883" s="7">
        <f t="shared" si="69"/>
        <v>36.72</v>
      </c>
    </row>
    <row r="884" ht="25.5" spans="1:13">
      <c r="A884" s="6" t="s">
        <v>18</v>
      </c>
      <c r="B884" s="6" t="s">
        <v>2418</v>
      </c>
      <c r="C884" s="6" t="s">
        <v>2419</v>
      </c>
      <c r="E884" s="6" t="s">
        <v>2420</v>
      </c>
      <c r="G884" s="7">
        <v>41</v>
      </c>
      <c r="H884" s="7">
        <v>46.33</v>
      </c>
      <c r="I884" s="7">
        <f t="shared" si="65"/>
        <v>25.42</v>
      </c>
      <c r="J884" s="7">
        <f t="shared" si="66"/>
        <v>26.65</v>
      </c>
      <c r="K884" s="7">
        <f t="shared" si="67"/>
        <v>27.47</v>
      </c>
      <c r="L884" s="7">
        <f t="shared" si="68"/>
        <v>28.7</v>
      </c>
      <c r="M884" s="7">
        <f t="shared" si="69"/>
        <v>29.52</v>
      </c>
    </row>
    <row r="885" ht="51" spans="1:13">
      <c r="A885" s="6" t="s">
        <v>682</v>
      </c>
      <c r="B885" s="6" t="s">
        <v>2421</v>
      </c>
      <c r="C885" s="6" t="s">
        <v>2422</v>
      </c>
      <c r="E885" s="6" t="s">
        <v>2423</v>
      </c>
      <c r="G885" s="7">
        <v>2699</v>
      </c>
      <c r="H885" s="7">
        <v>3049.87</v>
      </c>
      <c r="I885" s="7">
        <f t="shared" si="65"/>
        <v>1673.38</v>
      </c>
      <c r="J885" s="7">
        <f t="shared" si="66"/>
        <v>1754.35</v>
      </c>
      <c r="K885" s="7">
        <f t="shared" si="67"/>
        <v>1808.33</v>
      </c>
      <c r="L885" s="7">
        <f t="shared" si="68"/>
        <v>1889.3</v>
      </c>
      <c r="M885" s="7">
        <f t="shared" si="69"/>
        <v>1943.28</v>
      </c>
    </row>
    <row r="886" spans="1:13">
      <c r="A886" s="6" t="s">
        <v>18</v>
      </c>
      <c r="B886" s="6" t="s">
        <v>2424</v>
      </c>
      <c r="C886" s="6" t="s">
        <v>2425</v>
      </c>
      <c r="E886" s="6" t="s">
        <v>2425</v>
      </c>
      <c r="G886" s="7">
        <v>51</v>
      </c>
      <c r="H886" s="7">
        <v>57.63</v>
      </c>
      <c r="I886" s="7">
        <f t="shared" si="65"/>
        <v>31.62</v>
      </c>
      <c r="J886" s="7">
        <f t="shared" si="66"/>
        <v>33.15</v>
      </c>
      <c r="K886" s="7">
        <f t="shared" si="67"/>
        <v>34.17</v>
      </c>
      <c r="L886" s="7">
        <f t="shared" si="68"/>
        <v>35.7</v>
      </c>
      <c r="M886" s="7">
        <f t="shared" si="69"/>
        <v>36.72</v>
      </c>
    </row>
    <row r="887" ht="51" spans="1:13">
      <c r="A887" s="6" t="s">
        <v>682</v>
      </c>
      <c r="B887" s="6" t="s">
        <v>2426</v>
      </c>
      <c r="C887" s="6" t="s">
        <v>2427</v>
      </c>
      <c r="E887" s="6" t="s">
        <v>2428</v>
      </c>
      <c r="G887" s="7">
        <v>2849</v>
      </c>
      <c r="H887" s="7">
        <v>3219.37</v>
      </c>
      <c r="I887" s="7">
        <f t="shared" si="65"/>
        <v>1766.38</v>
      </c>
      <c r="J887" s="7">
        <f t="shared" si="66"/>
        <v>1851.85</v>
      </c>
      <c r="K887" s="7">
        <f t="shared" si="67"/>
        <v>1908.83</v>
      </c>
      <c r="L887" s="7">
        <f t="shared" si="68"/>
        <v>1994.3</v>
      </c>
      <c r="M887" s="7">
        <f t="shared" si="69"/>
        <v>2051.28</v>
      </c>
    </row>
    <row r="888" spans="1:13">
      <c r="A888" s="6" t="s">
        <v>18</v>
      </c>
      <c r="B888" s="6" t="s">
        <v>2429</v>
      </c>
      <c r="C888" s="6" t="s">
        <v>2430</v>
      </c>
      <c r="E888" s="6" t="s">
        <v>2430</v>
      </c>
      <c r="G888" s="7">
        <v>54.99</v>
      </c>
      <c r="H888" s="7">
        <v>62.1387</v>
      </c>
      <c r="I888" s="7">
        <f t="shared" si="65"/>
        <v>34.0938</v>
      </c>
      <c r="J888" s="7">
        <f t="shared" si="66"/>
        <v>35.7435</v>
      </c>
      <c r="K888" s="7">
        <f t="shared" si="67"/>
        <v>36.8433</v>
      </c>
      <c r="L888" s="7">
        <f t="shared" si="68"/>
        <v>38.493</v>
      </c>
      <c r="M888" s="7">
        <f t="shared" si="69"/>
        <v>39.5928</v>
      </c>
    </row>
    <row r="889" ht="51" spans="1:13">
      <c r="A889" s="6" t="s">
        <v>682</v>
      </c>
      <c r="B889" s="6" t="s">
        <v>2431</v>
      </c>
      <c r="C889" s="6" t="s">
        <v>2432</v>
      </c>
      <c r="E889" s="6" t="s">
        <v>2433</v>
      </c>
      <c r="G889" s="7">
        <v>2949</v>
      </c>
      <c r="H889" s="7">
        <v>3332.37</v>
      </c>
      <c r="I889" s="7">
        <f t="shared" si="65"/>
        <v>1828.38</v>
      </c>
      <c r="J889" s="7">
        <f t="shared" si="66"/>
        <v>1916.85</v>
      </c>
      <c r="K889" s="7">
        <f t="shared" si="67"/>
        <v>1975.83</v>
      </c>
      <c r="L889" s="7">
        <f t="shared" si="68"/>
        <v>2064.3</v>
      </c>
      <c r="M889" s="7">
        <f t="shared" si="69"/>
        <v>2123.28</v>
      </c>
    </row>
    <row r="890" ht="51" spans="1:13">
      <c r="A890" s="6" t="s">
        <v>682</v>
      </c>
      <c r="B890" s="6" t="s">
        <v>2434</v>
      </c>
      <c r="C890" s="6" t="s">
        <v>2435</v>
      </c>
      <c r="E890" s="6" t="s">
        <v>2436</v>
      </c>
      <c r="G890" s="7">
        <v>3499</v>
      </c>
      <c r="H890" s="7">
        <v>3953.87</v>
      </c>
      <c r="I890" s="7">
        <f t="shared" si="65"/>
        <v>2169.38</v>
      </c>
      <c r="J890" s="7">
        <f t="shared" si="66"/>
        <v>2274.35</v>
      </c>
      <c r="K890" s="7">
        <f t="shared" si="67"/>
        <v>2344.33</v>
      </c>
      <c r="L890" s="7">
        <f t="shared" si="68"/>
        <v>2449.3</v>
      </c>
      <c r="M890" s="7">
        <f t="shared" si="69"/>
        <v>2519.28</v>
      </c>
    </row>
    <row r="891" spans="1:13">
      <c r="A891" s="6" t="s">
        <v>18</v>
      </c>
      <c r="B891" s="6" t="s">
        <v>2437</v>
      </c>
      <c r="C891" s="6" t="s">
        <v>2438</v>
      </c>
      <c r="E891" s="6" t="s">
        <v>2438</v>
      </c>
      <c r="G891" s="7">
        <v>54.99</v>
      </c>
      <c r="H891" s="7">
        <v>62.1387</v>
      </c>
      <c r="I891" s="7">
        <f t="shared" si="65"/>
        <v>34.0938</v>
      </c>
      <c r="J891" s="7">
        <f t="shared" si="66"/>
        <v>35.7435</v>
      </c>
      <c r="K891" s="7">
        <f t="shared" si="67"/>
        <v>36.8433</v>
      </c>
      <c r="L891" s="7">
        <f t="shared" si="68"/>
        <v>38.493</v>
      </c>
      <c r="M891" s="7">
        <f t="shared" si="69"/>
        <v>39.5928</v>
      </c>
    </row>
    <row r="892" ht="38.25" spans="1:13">
      <c r="A892" s="6" t="s">
        <v>18</v>
      </c>
      <c r="B892" s="6" t="s">
        <v>2439</v>
      </c>
      <c r="C892" s="6" t="s">
        <v>2440</v>
      </c>
      <c r="E892" s="6" t="s">
        <v>2441</v>
      </c>
      <c r="G892" s="7">
        <v>64.99</v>
      </c>
      <c r="H892" s="7">
        <v>73.4387</v>
      </c>
      <c r="I892" s="7">
        <f t="shared" si="65"/>
        <v>40.2938</v>
      </c>
      <c r="J892" s="7">
        <f t="shared" si="66"/>
        <v>42.2435</v>
      </c>
      <c r="K892" s="7">
        <f t="shared" si="67"/>
        <v>43.5433</v>
      </c>
      <c r="L892" s="7">
        <f t="shared" si="68"/>
        <v>45.493</v>
      </c>
      <c r="M892" s="7">
        <f t="shared" si="69"/>
        <v>46.7928</v>
      </c>
    </row>
    <row r="893" ht="51" spans="1:13">
      <c r="A893" s="6" t="s">
        <v>682</v>
      </c>
      <c r="B893" s="6" t="s">
        <v>2442</v>
      </c>
      <c r="C893" s="6" t="s">
        <v>2443</v>
      </c>
      <c r="E893" s="6" t="s">
        <v>2444</v>
      </c>
      <c r="G893" s="7">
        <v>3699</v>
      </c>
      <c r="H893" s="7">
        <v>4179.87</v>
      </c>
      <c r="I893" s="7">
        <f t="shared" si="65"/>
        <v>2293.38</v>
      </c>
      <c r="J893" s="7">
        <f t="shared" si="66"/>
        <v>2404.35</v>
      </c>
      <c r="K893" s="7">
        <f t="shared" si="67"/>
        <v>2478.33</v>
      </c>
      <c r="L893" s="7">
        <f t="shared" si="68"/>
        <v>2589.3</v>
      </c>
      <c r="M893" s="7">
        <f t="shared" si="69"/>
        <v>2663.28</v>
      </c>
    </row>
    <row r="894" spans="1:13">
      <c r="A894" s="6" t="s">
        <v>18</v>
      </c>
      <c r="B894" s="6" t="s">
        <v>2445</v>
      </c>
      <c r="C894" s="6" t="s">
        <v>2446</v>
      </c>
      <c r="E894" s="6" t="s">
        <v>2447</v>
      </c>
      <c r="G894" s="7">
        <v>41</v>
      </c>
      <c r="H894" s="7">
        <v>46.33</v>
      </c>
      <c r="I894" s="7">
        <f t="shared" si="65"/>
        <v>25.42</v>
      </c>
      <c r="J894" s="7">
        <f t="shared" si="66"/>
        <v>26.65</v>
      </c>
      <c r="K894" s="7">
        <f t="shared" si="67"/>
        <v>27.47</v>
      </c>
      <c r="L894" s="7">
        <f t="shared" si="68"/>
        <v>28.7</v>
      </c>
      <c r="M894" s="7">
        <f t="shared" si="69"/>
        <v>29.52</v>
      </c>
    </row>
    <row r="895" ht="25.5" spans="1:13">
      <c r="A895" s="6" t="s">
        <v>18</v>
      </c>
      <c r="B895" s="6" t="s">
        <v>2448</v>
      </c>
      <c r="C895" s="6" t="s">
        <v>2449</v>
      </c>
      <c r="E895" s="6" t="s">
        <v>2450</v>
      </c>
      <c r="G895" s="7">
        <v>59</v>
      </c>
      <c r="H895" s="7">
        <v>66.67</v>
      </c>
      <c r="I895" s="7">
        <f t="shared" si="65"/>
        <v>36.58</v>
      </c>
      <c r="J895" s="7">
        <f t="shared" si="66"/>
        <v>38.35</v>
      </c>
      <c r="K895" s="7">
        <f t="shared" si="67"/>
        <v>39.53</v>
      </c>
      <c r="L895" s="7">
        <f t="shared" si="68"/>
        <v>41.3</v>
      </c>
      <c r="M895" s="7">
        <f t="shared" si="69"/>
        <v>42.48</v>
      </c>
    </row>
    <row r="896" ht="25.5" spans="1:13">
      <c r="A896" s="6" t="s">
        <v>22</v>
      </c>
      <c r="B896" s="6" t="s">
        <v>2451</v>
      </c>
      <c r="C896" s="6" t="s">
        <v>2452</v>
      </c>
      <c r="E896" s="6" t="s">
        <v>2453</v>
      </c>
      <c r="G896" s="7">
        <v>239</v>
      </c>
      <c r="H896" s="7">
        <v>270.07</v>
      </c>
      <c r="I896" s="7">
        <f t="shared" si="65"/>
        <v>148.18</v>
      </c>
      <c r="J896" s="7">
        <f t="shared" si="66"/>
        <v>155.35</v>
      </c>
      <c r="K896" s="7">
        <f t="shared" si="67"/>
        <v>160.13</v>
      </c>
      <c r="L896" s="7">
        <f t="shared" si="68"/>
        <v>167.3</v>
      </c>
      <c r="M896" s="7">
        <f t="shared" si="69"/>
        <v>172.08</v>
      </c>
    </row>
    <row r="897" ht="25.5" spans="1:13">
      <c r="A897" s="6" t="s">
        <v>45</v>
      </c>
      <c r="B897" s="6" t="s">
        <v>2454</v>
      </c>
      <c r="C897" s="6" t="s">
        <v>2455</v>
      </c>
      <c r="E897" s="6" t="s">
        <v>2456</v>
      </c>
      <c r="G897" s="7">
        <v>599</v>
      </c>
      <c r="H897" s="7">
        <v>676.87</v>
      </c>
      <c r="I897" s="7">
        <f t="shared" si="65"/>
        <v>371.38</v>
      </c>
      <c r="J897" s="7">
        <f t="shared" si="66"/>
        <v>389.35</v>
      </c>
      <c r="K897" s="7">
        <f t="shared" si="67"/>
        <v>401.33</v>
      </c>
      <c r="L897" s="7">
        <f t="shared" si="68"/>
        <v>419.3</v>
      </c>
      <c r="M897" s="7">
        <f t="shared" si="69"/>
        <v>431.28</v>
      </c>
    </row>
    <row r="898" ht="51" spans="1:13">
      <c r="A898" s="6" t="s">
        <v>22</v>
      </c>
      <c r="B898" s="6" t="s">
        <v>2457</v>
      </c>
      <c r="C898" s="6" t="s">
        <v>2458</v>
      </c>
      <c r="E898" s="6" t="s">
        <v>2459</v>
      </c>
      <c r="G898" s="7">
        <v>649</v>
      </c>
      <c r="H898" s="7">
        <v>733.37</v>
      </c>
      <c r="I898" s="7">
        <f t="shared" ref="I898:I961" si="70">G898*0.62</f>
        <v>402.38</v>
      </c>
      <c r="J898" s="7">
        <f t="shared" ref="J898:J961" si="71">G898*0.65</f>
        <v>421.85</v>
      </c>
      <c r="K898" s="7">
        <f t="shared" ref="K898:K961" si="72">G898*0.67</f>
        <v>434.83</v>
      </c>
      <c r="L898" s="7">
        <f t="shared" ref="L898:L961" si="73">G898*0.7</f>
        <v>454.3</v>
      </c>
      <c r="M898" s="7">
        <f t="shared" ref="M898:M961" si="74">G898*0.72</f>
        <v>467.28</v>
      </c>
    </row>
    <row r="899" ht="38.25" spans="1:13">
      <c r="A899" s="6" t="s">
        <v>432</v>
      </c>
      <c r="B899" s="6" t="s">
        <v>2460</v>
      </c>
      <c r="C899" s="6" t="s">
        <v>2461</v>
      </c>
      <c r="E899" s="6" t="s">
        <v>2462</v>
      </c>
      <c r="G899" s="7">
        <v>459</v>
      </c>
      <c r="H899" s="7">
        <v>518.67</v>
      </c>
      <c r="I899" s="7">
        <f t="shared" si="70"/>
        <v>284.58</v>
      </c>
      <c r="J899" s="7">
        <f t="shared" si="71"/>
        <v>298.35</v>
      </c>
      <c r="K899" s="7">
        <f t="shared" si="72"/>
        <v>307.53</v>
      </c>
      <c r="L899" s="7">
        <f t="shared" si="73"/>
        <v>321.3</v>
      </c>
      <c r="M899" s="7">
        <f t="shared" si="74"/>
        <v>330.48</v>
      </c>
    </row>
    <row r="900" ht="38.25" spans="1:13">
      <c r="A900" s="6" t="s">
        <v>228</v>
      </c>
      <c r="B900" s="6" t="s">
        <v>2463</v>
      </c>
      <c r="C900" s="6" t="s">
        <v>2464</v>
      </c>
      <c r="E900" s="6" t="s">
        <v>2465</v>
      </c>
      <c r="G900" s="7">
        <v>1199</v>
      </c>
      <c r="H900" s="7">
        <v>1354.87</v>
      </c>
      <c r="I900" s="7">
        <f t="shared" si="70"/>
        <v>743.38</v>
      </c>
      <c r="J900" s="7">
        <f t="shared" si="71"/>
        <v>779.35</v>
      </c>
      <c r="K900" s="7">
        <f t="shared" si="72"/>
        <v>803.33</v>
      </c>
      <c r="L900" s="7">
        <f t="shared" si="73"/>
        <v>839.3</v>
      </c>
      <c r="M900" s="7">
        <f t="shared" si="74"/>
        <v>863.28</v>
      </c>
    </row>
    <row r="901" ht="38.25" spans="1:13">
      <c r="A901" s="6" t="s">
        <v>228</v>
      </c>
      <c r="B901" s="6" t="s">
        <v>2466</v>
      </c>
      <c r="C901" s="6" t="s">
        <v>2467</v>
      </c>
      <c r="E901" s="6" t="s">
        <v>2468</v>
      </c>
      <c r="G901" s="7">
        <v>1149</v>
      </c>
      <c r="H901" s="7">
        <v>1298.37</v>
      </c>
      <c r="I901" s="7">
        <f t="shared" si="70"/>
        <v>712.38</v>
      </c>
      <c r="J901" s="7">
        <f t="shared" si="71"/>
        <v>746.85</v>
      </c>
      <c r="K901" s="7">
        <f t="shared" si="72"/>
        <v>769.83</v>
      </c>
      <c r="L901" s="7">
        <f t="shared" si="73"/>
        <v>804.3</v>
      </c>
      <c r="M901" s="7">
        <f t="shared" si="74"/>
        <v>827.28</v>
      </c>
    </row>
    <row r="902" spans="1:13">
      <c r="A902" s="6" t="s">
        <v>18</v>
      </c>
      <c r="B902" s="6" t="s">
        <v>2469</v>
      </c>
      <c r="C902" s="6" t="s">
        <v>2470</v>
      </c>
      <c r="E902" s="6" t="s">
        <v>2470</v>
      </c>
      <c r="G902" s="7">
        <v>19</v>
      </c>
      <c r="H902" s="7">
        <v>21.47</v>
      </c>
      <c r="I902" s="7">
        <f t="shared" si="70"/>
        <v>11.78</v>
      </c>
      <c r="J902" s="7">
        <f t="shared" si="71"/>
        <v>12.35</v>
      </c>
      <c r="K902" s="7">
        <f t="shared" si="72"/>
        <v>12.73</v>
      </c>
      <c r="L902" s="7">
        <f t="shared" si="73"/>
        <v>13.3</v>
      </c>
      <c r="M902" s="7">
        <f t="shared" si="74"/>
        <v>13.68</v>
      </c>
    </row>
    <row r="903" spans="1:13">
      <c r="A903" s="6" t="s">
        <v>18</v>
      </c>
      <c r="B903" s="6" t="s">
        <v>2471</v>
      </c>
      <c r="C903" s="6" t="s">
        <v>2472</v>
      </c>
      <c r="E903" s="6" t="s">
        <v>2472</v>
      </c>
      <c r="G903" s="7">
        <v>119</v>
      </c>
      <c r="H903" s="7">
        <v>134.47</v>
      </c>
      <c r="I903" s="7">
        <f t="shared" si="70"/>
        <v>73.78</v>
      </c>
      <c r="J903" s="7">
        <f t="shared" si="71"/>
        <v>77.35</v>
      </c>
      <c r="K903" s="7">
        <f t="shared" si="72"/>
        <v>79.73</v>
      </c>
      <c r="L903" s="7">
        <f t="shared" si="73"/>
        <v>83.3</v>
      </c>
      <c r="M903" s="7">
        <f t="shared" si="74"/>
        <v>85.68</v>
      </c>
    </row>
    <row r="904" spans="1:13">
      <c r="A904" s="6" t="s">
        <v>18</v>
      </c>
      <c r="B904" s="6" t="s">
        <v>2473</v>
      </c>
      <c r="C904" s="6" t="s">
        <v>2474</v>
      </c>
      <c r="E904" s="6" t="s">
        <v>2474</v>
      </c>
      <c r="G904" s="7">
        <v>19</v>
      </c>
      <c r="H904" s="7">
        <v>21.47</v>
      </c>
      <c r="I904" s="7">
        <f t="shared" si="70"/>
        <v>11.78</v>
      </c>
      <c r="J904" s="7">
        <f t="shared" si="71"/>
        <v>12.35</v>
      </c>
      <c r="K904" s="7">
        <f t="shared" si="72"/>
        <v>12.73</v>
      </c>
      <c r="L904" s="7">
        <f t="shared" si="73"/>
        <v>13.3</v>
      </c>
      <c r="M904" s="7">
        <f t="shared" si="74"/>
        <v>13.68</v>
      </c>
    </row>
    <row r="905" ht="38.25" spans="1:13">
      <c r="A905" s="6" t="s">
        <v>682</v>
      </c>
      <c r="B905" s="6" t="s">
        <v>2475</v>
      </c>
      <c r="C905" s="6" t="s">
        <v>2476</v>
      </c>
      <c r="E905" s="6" t="s">
        <v>2477</v>
      </c>
      <c r="G905" s="7">
        <v>649</v>
      </c>
      <c r="H905" s="7">
        <v>733.37</v>
      </c>
      <c r="I905" s="7">
        <f t="shared" si="70"/>
        <v>402.38</v>
      </c>
      <c r="J905" s="7">
        <f t="shared" si="71"/>
        <v>421.85</v>
      </c>
      <c r="K905" s="7">
        <f t="shared" si="72"/>
        <v>434.83</v>
      </c>
      <c r="L905" s="7">
        <f t="shared" si="73"/>
        <v>454.3</v>
      </c>
      <c r="M905" s="7">
        <f t="shared" si="74"/>
        <v>467.28</v>
      </c>
    </row>
    <row r="906" ht="38.25" spans="1:13">
      <c r="A906" s="6" t="s">
        <v>682</v>
      </c>
      <c r="B906" s="6" t="s">
        <v>2478</v>
      </c>
      <c r="C906" s="6" t="s">
        <v>2479</v>
      </c>
      <c r="E906" s="6" t="s">
        <v>2480</v>
      </c>
      <c r="G906" s="7">
        <v>649</v>
      </c>
      <c r="H906" s="7">
        <v>733.37</v>
      </c>
      <c r="I906" s="7">
        <f t="shared" si="70"/>
        <v>402.38</v>
      </c>
      <c r="J906" s="7">
        <f t="shared" si="71"/>
        <v>421.85</v>
      </c>
      <c r="K906" s="7">
        <f t="shared" si="72"/>
        <v>434.83</v>
      </c>
      <c r="L906" s="7">
        <f t="shared" si="73"/>
        <v>454.3</v>
      </c>
      <c r="M906" s="7">
        <f t="shared" si="74"/>
        <v>467.28</v>
      </c>
    </row>
    <row r="907" ht="38.25" spans="1:13">
      <c r="A907" s="6" t="s">
        <v>432</v>
      </c>
      <c r="B907" s="6" t="s">
        <v>2481</v>
      </c>
      <c r="C907" s="6" t="s">
        <v>2482</v>
      </c>
      <c r="E907" s="6" t="s">
        <v>2483</v>
      </c>
      <c r="G907" s="7">
        <v>1849</v>
      </c>
      <c r="H907" s="7">
        <v>2089.37</v>
      </c>
      <c r="I907" s="7">
        <f t="shared" si="70"/>
        <v>1146.38</v>
      </c>
      <c r="J907" s="7">
        <f t="shared" si="71"/>
        <v>1201.85</v>
      </c>
      <c r="K907" s="7">
        <f t="shared" si="72"/>
        <v>1238.83</v>
      </c>
      <c r="L907" s="7">
        <f t="shared" si="73"/>
        <v>1294.3</v>
      </c>
      <c r="M907" s="7">
        <f t="shared" si="74"/>
        <v>1331.28</v>
      </c>
    </row>
    <row r="908" ht="25.5" spans="1:13">
      <c r="A908" s="6" t="s">
        <v>228</v>
      </c>
      <c r="B908" s="6" t="s">
        <v>2484</v>
      </c>
      <c r="C908" s="6" t="s">
        <v>2485</v>
      </c>
      <c r="E908" s="6" t="s">
        <v>2486</v>
      </c>
      <c r="G908" s="7">
        <v>549</v>
      </c>
      <c r="H908" s="7">
        <v>620.37</v>
      </c>
      <c r="I908" s="7">
        <f t="shared" si="70"/>
        <v>340.38</v>
      </c>
      <c r="J908" s="7">
        <f t="shared" si="71"/>
        <v>356.85</v>
      </c>
      <c r="K908" s="7">
        <f t="shared" si="72"/>
        <v>367.83</v>
      </c>
      <c r="L908" s="7">
        <f t="shared" si="73"/>
        <v>384.3</v>
      </c>
      <c r="M908" s="7">
        <f t="shared" si="74"/>
        <v>395.28</v>
      </c>
    </row>
    <row r="909" ht="51" spans="1:13">
      <c r="A909" s="6" t="s">
        <v>1358</v>
      </c>
      <c r="B909" s="6" t="s">
        <v>2487</v>
      </c>
      <c r="C909" s="6" t="s">
        <v>2488</v>
      </c>
      <c r="E909" s="6" t="s">
        <v>2489</v>
      </c>
      <c r="G909" s="7">
        <v>699</v>
      </c>
      <c r="H909" s="7">
        <v>789.87</v>
      </c>
      <c r="I909" s="7">
        <f t="shared" si="70"/>
        <v>433.38</v>
      </c>
      <c r="J909" s="7">
        <f t="shared" si="71"/>
        <v>454.35</v>
      </c>
      <c r="K909" s="7">
        <f t="shared" si="72"/>
        <v>468.33</v>
      </c>
      <c r="L909" s="7">
        <f t="shared" si="73"/>
        <v>489.3</v>
      </c>
      <c r="M909" s="7">
        <f t="shared" si="74"/>
        <v>503.28</v>
      </c>
    </row>
    <row r="910" ht="63.75" spans="1:13">
      <c r="A910" s="6" t="s">
        <v>1358</v>
      </c>
      <c r="B910" s="6" t="s">
        <v>2490</v>
      </c>
      <c r="C910" s="6" t="s">
        <v>2491</v>
      </c>
      <c r="E910" s="6" t="s">
        <v>2492</v>
      </c>
      <c r="G910" s="7">
        <v>1349</v>
      </c>
      <c r="H910" s="7">
        <v>1524.37</v>
      </c>
      <c r="I910" s="7">
        <f t="shared" si="70"/>
        <v>836.38</v>
      </c>
      <c r="J910" s="7">
        <f t="shared" si="71"/>
        <v>876.85</v>
      </c>
      <c r="K910" s="7">
        <f t="shared" si="72"/>
        <v>903.83</v>
      </c>
      <c r="L910" s="7">
        <f t="shared" si="73"/>
        <v>944.3</v>
      </c>
      <c r="M910" s="7">
        <f t="shared" si="74"/>
        <v>971.28</v>
      </c>
    </row>
    <row r="911" ht="51" spans="1:13">
      <c r="A911" s="6" t="s">
        <v>1358</v>
      </c>
      <c r="B911" s="6" t="s">
        <v>2493</v>
      </c>
      <c r="C911" s="6" t="s">
        <v>2494</v>
      </c>
      <c r="E911" s="6" t="s">
        <v>2495</v>
      </c>
      <c r="G911" s="7">
        <v>1749</v>
      </c>
      <c r="H911" s="7">
        <v>1976.37</v>
      </c>
      <c r="I911" s="7">
        <f t="shared" si="70"/>
        <v>1084.38</v>
      </c>
      <c r="J911" s="7">
        <f t="shared" si="71"/>
        <v>1136.85</v>
      </c>
      <c r="K911" s="7">
        <f t="shared" si="72"/>
        <v>1171.83</v>
      </c>
      <c r="L911" s="7">
        <f t="shared" si="73"/>
        <v>1224.3</v>
      </c>
      <c r="M911" s="7">
        <f t="shared" si="74"/>
        <v>1259.28</v>
      </c>
    </row>
    <row r="912" ht="63.75" spans="1:13">
      <c r="A912" s="6" t="s">
        <v>1358</v>
      </c>
      <c r="B912" s="6" t="s">
        <v>2496</v>
      </c>
      <c r="C912" s="6" t="s">
        <v>2497</v>
      </c>
      <c r="E912" s="6" t="s">
        <v>2498</v>
      </c>
      <c r="G912" s="7">
        <v>2449</v>
      </c>
      <c r="H912" s="7">
        <v>2767.37</v>
      </c>
      <c r="I912" s="7">
        <f t="shared" si="70"/>
        <v>1518.38</v>
      </c>
      <c r="J912" s="7">
        <f t="shared" si="71"/>
        <v>1591.85</v>
      </c>
      <c r="K912" s="7">
        <f t="shared" si="72"/>
        <v>1640.83</v>
      </c>
      <c r="L912" s="7">
        <f t="shared" si="73"/>
        <v>1714.3</v>
      </c>
      <c r="M912" s="7">
        <f t="shared" si="74"/>
        <v>1763.28</v>
      </c>
    </row>
    <row r="913" spans="1:13">
      <c r="A913" s="6" t="s">
        <v>18</v>
      </c>
      <c r="B913" s="6" t="s">
        <v>2499</v>
      </c>
      <c r="C913" s="6" t="s">
        <v>2500</v>
      </c>
      <c r="E913" s="6" t="s">
        <v>2500</v>
      </c>
      <c r="G913" s="7">
        <v>119</v>
      </c>
      <c r="H913" s="7">
        <v>134.47</v>
      </c>
      <c r="I913" s="7">
        <f t="shared" si="70"/>
        <v>73.78</v>
      </c>
      <c r="J913" s="7">
        <f t="shared" si="71"/>
        <v>77.35</v>
      </c>
      <c r="K913" s="7">
        <f t="shared" si="72"/>
        <v>79.73</v>
      </c>
      <c r="L913" s="7">
        <f t="shared" si="73"/>
        <v>83.3</v>
      </c>
      <c r="M913" s="7">
        <f t="shared" si="74"/>
        <v>85.68</v>
      </c>
    </row>
    <row r="914" spans="1:13">
      <c r="A914" s="6" t="s">
        <v>18</v>
      </c>
      <c r="B914" s="6" t="s">
        <v>2501</v>
      </c>
      <c r="C914" s="6" t="s">
        <v>2502</v>
      </c>
      <c r="E914" s="6" t="s">
        <v>2502</v>
      </c>
      <c r="G914" s="7">
        <v>119</v>
      </c>
      <c r="H914" s="7">
        <v>134.47</v>
      </c>
      <c r="I914" s="7">
        <f t="shared" si="70"/>
        <v>73.78</v>
      </c>
      <c r="J914" s="7">
        <f t="shared" si="71"/>
        <v>77.35</v>
      </c>
      <c r="K914" s="7">
        <f t="shared" si="72"/>
        <v>79.73</v>
      </c>
      <c r="L914" s="7">
        <f t="shared" si="73"/>
        <v>83.3</v>
      </c>
      <c r="M914" s="7">
        <f t="shared" si="74"/>
        <v>85.68</v>
      </c>
    </row>
    <row r="915" spans="1:13">
      <c r="A915" s="6" t="s">
        <v>25</v>
      </c>
      <c r="B915" s="6" t="s">
        <v>2503</v>
      </c>
      <c r="C915" s="6" t="s">
        <v>2504</v>
      </c>
      <c r="E915" s="6" t="s">
        <v>2504</v>
      </c>
      <c r="G915" s="7">
        <v>119</v>
      </c>
      <c r="H915" s="7">
        <v>134.47</v>
      </c>
      <c r="I915" s="7">
        <f t="shared" si="70"/>
        <v>73.78</v>
      </c>
      <c r="J915" s="7">
        <f t="shared" si="71"/>
        <v>77.35</v>
      </c>
      <c r="K915" s="7">
        <f t="shared" si="72"/>
        <v>79.73</v>
      </c>
      <c r="L915" s="7">
        <f t="shared" si="73"/>
        <v>83.3</v>
      </c>
      <c r="M915" s="7">
        <f t="shared" si="74"/>
        <v>85.68</v>
      </c>
    </row>
    <row r="916" ht="38.25" spans="1:13">
      <c r="A916" s="6" t="s">
        <v>548</v>
      </c>
      <c r="B916" s="6" t="s">
        <v>2505</v>
      </c>
      <c r="C916" s="6" t="s">
        <v>2506</v>
      </c>
      <c r="E916" s="6" t="s">
        <v>2507</v>
      </c>
      <c r="G916" s="7">
        <v>2909</v>
      </c>
      <c r="H916" s="7">
        <v>3287.17</v>
      </c>
      <c r="I916" s="7">
        <f t="shared" si="70"/>
        <v>1803.58</v>
      </c>
      <c r="J916" s="7">
        <f t="shared" si="71"/>
        <v>1890.85</v>
      </c>
      <c r="K916" s="7">
        <f t="shared" si="72"/>
        <v>1949.03</v>
      </c>
      <c r="L916" s="7">
        <f t="shared" si="73"/>
        <v>2036.3</v>
      </c>
      <c r="M916" s="7">
        <f t="shared" si="74"/>
        <v>2094.48</v>
      </c>
    </row>
    <row r="917" spans="1:13">
      <c r="A917" s="6" t="s">
        <v>18</v>
      </c>
      <c r="B917" s="6" t="s">
        <v>2508</v>
      </c>
      <c r="C917" s="6" t="s">
        <v>2508</v>
      </c>
      <c r="E917" s="6" t="s">
        <v>2509</v>
      </c>
      <c r="G917" s="7">
        <v>99</v>
      </c>
      <c r="H917" s="7">
        <v>111.87</v>
      </c>
      <c r="I917" s="7">
        <f t="shared" si="70"/>
        <v>61.38</v>
      </c>
      <c r="J917" s="7">
        <f t="shared" si="71"/>
        <v>64.35</v>
      </c>
      <c r="K917" s="7">
        <f t="shared" si="72"/>
        <v>66.33</v>
      </c>
      <c r="L917" s="7">
        <f t="shared" si="73"/>
        <v>69.3</v>
      </c>
      <c r="M917" s="7">
        <f t="shared" si="74"/>
        <v>71.28</v>
      </c>
    </row>
    <row r="918" spans="1:13">
      <c r="A918" s="6" t="s">
        <v>18</v>
      </c>
      <c r="B918" s="6" t="s">
        <v>2510</v>
      </c>
      <c r="C918" s="6" t="s">
        <v>2510</v>
      </c>
      <c r="E918" s="6" t="s">
        <v>2511</v>
      </c>
      <c r="G918" s="7">
        <v>99</v>
      </c>
      <c r="H918" s="7">
        <v>111.87</v>
      </c>
      <c r="I918" s="7">
        <f t="shared" si="70"/>
        <v>61.38</v>
      </c>
      <c r="J918" s="7">
        <f t="shared" si="71"/>
        <v>64.35</v>
      </c>
      <c r="K918" s="7">
        <f t="shared" si="72"/>
        <v>66.33</v>
      </c>
      <c r="L918" s="7">
        <f t="shared" si="73"/>
        <v>69.3</v>
      </c>
      <c r="M918" s="7">
        <f t="shared" si="74"/>
        <v>71.28</v>
      </c>
    </row>
    <row r="919" spans="1:13">
      <c r="A919" s="6" t="s">
        <v>18</v>
      </c>
      <c r="B919" s="6" t="s">
        <v>2512</v>
      </c>
      <c r="C919" s="6" t="s">
        <v>2512</v>
      </c>
      <c r="E919" s="6" t="s">
        <v>2513</v>
      </c>
      <c r="G919" s="7">
        <v>99</v>
      </c>
      <c r="H919" s="7">
        <v>111.87</v>
      </c>
      <c r="I919" s="7">
        <f t="shared" si="70"/>
        <v>61.38</v>
      </c>
      <c r="J919" s="7">
        <f t="shared" si="71"/>
        <v>64.35</v>
      </c>
      <c r="K919" s="7">
        <f t="shared" si="72"/>
        <v>66.33</v>
      </c>
      <c r="L919" s="7">
        <f t="shared" si="73"/>
        <v>69.3</v>
      </c>
      <c r="M919" s="7">
        <f t="shared" si="74"/>
        <v>71.28</v>
      </c>
    </row>
    <row r="920" spans="1:13">
      <c r="A920" s="6" t="s">
        <v>25</v>
      </c>
      <c r="B920" s="6" t="s">
        <v>2514</v>
      </c>
      <c r="C920" s="6" t="s">
        <v>2515</v>
      </c>
      <c r="E920" s="6" t="s">
        <v>2516</v>
      </c>
      <c r="G920" s="7">
        <v>39</v>
      </c>
      <c r="H920" s="7">
        <v>44.07</v>
      </c>
      <c r="I920" s="7">
        <f t="shared" si="70"/>
        <v>24.18</v>
      </c>
      <c r="J920" s="7">
        <f t="shared" si="71"/>
        <v>25.35</v>
      </c>
      <c r="K920" s="7">
        <f t="shared" si="72"/>
        <v>26.13</v>
      </c>
      <c r="L920" s="7">
        <f t="shared" si="73"/>
        <v>27.3</v>
      </c>
      <c r="M920" s="7">
        <f t="shared" si="74"/>
        <v>28.08</v>
      </c>
    </row>
    <row r="921" spans="1:13">
      <c r="A921" s="6" t="s">
        <v>25</v>
      </c>
      <c r="B921" s="6" t="s">
        <v>2517</v>
      </c>
      <c r="C921" s="6" t="s">
        <v>2518</v>
      </c>
      <c r="E921" s="6" t="s">
        <v>2519</v>
      </c>
      <c r="G921" s="7">
        <v>79</v>
      </c>
      <c r="H921" s="7">
        <v>89.27</v>
      </c>
      <c r="I921" s="7">
        <f t="shared" si="70"/>
        <v>48.98</v>
      </c>
      <c r="J921" s="7">
        <f t="shared" si="71"/>
        <v>51.35</v>
      </c>
      <c r="K921" s="7">
        <f t="shared" si="72"/>
        <v>52.93</v>
      </c>
      <c r="L921" s="7">
        <f t="shared" si="73"/>
        <v>55.3</v>
      </c>
      <c r="M921" s="7">
        <f t="shared" si="74"/>
        <v>56.88</v>
      </c>
    </row>
    <row r="922" ht="38.25" spans="1:13">
      <c r="A922" s="6" t="s">
        <v>376</v>
      </c>
      <c r="B922" s="6" t="s">
        <v>2520</v>
      </c>
      <c r="C922" s="6" t="s">
        <v>2521</v>
      </c>
      <c r="E922" s="6" t="s">
        <v>2522</v>
      </c>
      <c r="G922" s="7">
        <v>119</v>
      </c>
      <c r="H922" s="7">
        <v>134.47</v>
      </c>
      <c r="I922" s="7">
        <f t="shared" si="70"/>
        <v>73.78</v>
      </c>
      <c r="J922" s="7">
        <f t="shared" si="71"/>
        <v>77.35</v>
      </c>
      <c r="K922" s="7">
        <f t="shared" si="72"/>
        <v>79.73</v>
      </c>
      <c r="L922" s="7">
        <f t="shared" si="73"/>
        <v>83.3</v>
      </c>
      <c r="M922" s="7">
        <f t="shared" si="74"/>
        <v>85.68</v>
      </c>
    </row>
    <row r="923" ht="25.5" spans="1:13">
      <c r="A923" s="6" t="s">
        <v>376</v>
      </c>
      <c r="B923" s="6" t="s">
        <v>2523</v>
      </c>
      <c r="C923" s="6" t="s">
        <v>2524</v>
      </c>
      <c r="E923" s="6" t="s">
        <v>2525</v>
      </c>
      <c r="G923" s="7">
        <v>99</v>
      </c>
      <c r="H923" s="7">
        <v>111.87</v>
      </c>
      <c r="I923" s="7">
        <f t="shared" si="70"/>
        <v>61.38</v>
      </c>
      <c r="J923" s="7">
        <f t="shared" si="71"/>
        <v>64.35</v>
      </c>
      <c r="K923" s="7">
        <f t="shared" si="72"/>
        <v>66.33</v>
      </c>
      <c r="L923" s="7">
        <f t="shared" si="73"/>
        <v>69.3</v>
      </c>
      <c r="M923" s="7">
        <f t="shared" si="74"/>
        <v>71.28</v>
      </c>
    </row>
    <row r="924" ht="25.5" spans="1:13">
      <c r="A924" s="6" t="s">
        <v>376</v>
      </c>
      <c r="B924" s="6" t="s">
        <v>2526</v>
      </c>
      <c r="C924" s="6" t="s">
        <v>2527</v>
      </c>
      <c r="E924" s="6" t="s">
        <v>2528</v>
      </c>
      <c r="G924" s="7">
        <v>99</v>
      </c>
      <c r="H924" s="7">
        <v>111.87</v>
      </c>
      <c r="I924" s="7">
        <f t="shared" si="70"/>
        <v>61.38</v>
      </c>
      <c r="J924" s="7">
        <f t="shared" si="71"/>
        <v>64.35</v>
      </c>
      <c r="K924" s="7">
        <f t="shared" si="72"/>
        <v>66.33</v>
      </c>
      <c r="L924" s="7">
        <f t="shared" si="73"/>
        <v>69.3</v>
      </c>
      <c r="M924" s="7">
        <f t="shared" si="74"/>
        <v>71.28</v>
      </c>
    </row>
    <row r="925" spans="1:13">
      <c r="A925" s="6" t="s">
        <v>18</v>
      </c>
      <c r="B925" s="6" t="s">
        <v>2529</v>
      </c>
      <c r="C925" s="6" t="s">
        <v>2530</v>
      </c>
      <c r="E925" s="6" t="s">
        <v>2530</v>
      </c>
      <c r="G925" s="7">
        <v>479</v>
      </c>
      <c r="H925" s="7">
        <v>541.27</v>
      </c>
      <c r="I925" s="7">
        <f t="shared" si="70"/>
        <v>296.98</v>
      </c>
      <c r="J925" s="7">
        <f t="shared" si="71"/>
        <v>311.35</v>
      </c>
      <c r="K925" s="7">
        <f t="shared" si="72"/>
        <v>320.93</v>
      </c>
      <c r="L925" s="7">
        <f t="shared" si="73"/>
        <v>335.3</v>
      </c>
      <c r="M925" s="7">
        <f t="shared" si="74"/>
        <v>344.88</v>
      </c>
    </row>
    <row r="926" ht="63.75" spans="1:13">
      <c r="A926" s="6" t="s">
        <v>25</v>
      </c>
      <c r="B926" s="6" t="s">
        <v>2531</v>
      </c>
      <c r="C926" s="6" t="s">
        <v>2532</v>
      </c>
      <c r="E926" s="6" t="s">
        <v>2533</v>
      </c>
      <c r="G926" s="7">
        <v>339</v>
      </c>
      <c r="H926" s="7">
        <v>383.07</v>
      </c>
      <c r="I926" s="7">
        <f t="shared" si="70"/>
        <v>210.18</v>
      </c>
      <c r="J926" s="7">
        <f t="shared" si="71"/>
        <v>220.35</v>
      </c>
      <c r="K926" s="7">
        <f t="shared" si="72"/>
        <v>227.13</v>
      </c>
      <c r="L926" s="7">
        <f t="shared" si="73"/>
        <v>237.3</v>
      </c>
      <c r="M926" s="7">
        <f t="shared" si="74"/>
        <v>244.08</v>
      </c>
    </row>
    <row r="927" ht="63.75" spans="1:13">
      <c r="A927" s="6" t="s">
        <v>733</v>
      </c>
      <c r="B927" s="6" t="s">
        <v>2534</v>
      </c>
      <c r="C927" s="6" t="s">
        <v>2535</v>
      </c>
      <c r="E927" s="6" t="s">
        <v>2536</v>
      </c>
      <c r="G927" s="7">
        <v>359</v>
      </c>
      <c r="H927" s="7">
        <v>405.67</v>
      </c>
      <c r="I927" s="7">
        <f t="shared" si="70"/>
        <v>222.58</v>
      </c>
      <c r="J927" s="7">
        <f t="shared" si="71"/>
        <v>233.35</v>
      </c>
      <c r="K927" s="7">
        <f t="shared" si="72"/>
        <v>240.53</v>
      </c>
      <c r="L927" s="7">
        <f t="shared" si="73"/>
        <v>251.3</v>
      </c>
      <c r="M927" s="7">
        <f t="shared" si="74"/>
        <v>258.48</v>
      </c>
    </row>
    <row r="928" spans="1:13">
      <c r="A928" s="6" t="s">
        <v>25</v>
      </c>
      <c r="B928" s="6" t="s">
        <v>2537</v>
      </c>
      <c r="C928" s="6" t="s">
        <v>2538</v>
      </c>
      <c r="E928" s="6" t="s">
        <v>2538</v>
      </c>
      <c r="G928" s="7">
        <v>39</v>
      </c>
      <c r="H928" s="7">
        <v>44.07</v>
      </c>
      <c r="I928" s="7">
        <f t="shared" si="70"/>
        <v>24.18</v>
      </c>
      <c r="J928" s="7">
        <f t="shared" si="71"/>
        <v>25.35</v>
      </c>
      <c r="K928" s="7">
        <f t="shared" si="72"/>
        <v>26.13</v>
      </c>
      <c r="L928" s="7">
        <f t="shared" si="73"/>
        <v>27.3</v>
      </c>
      <c r="M928" s="7">
        <f t="shared" si="74"/>
        <v>28.08</v>
      </c>
    </row>
    <row r="929" spans="1:13">
      <c r="A929" s="6" t="s">
        <v>18</v>
      </c>
      <c r="B929" s="6" t="s">
        <v>2539</v>
      </c>
      <c r="C929" s="6" t="s">
        <v>2540</v>
      </c>
      <c r="E929" s="6" t="s">
        <v>2540</v>
      </c>
      <c r="G929" s="7">
        <v>22.99</v>
      </c>
      <c r="H929" s="7">
        <v>25.9787</v>
      </c>
      <c r="I929" s="7">
        <f t="shared" si="70"/>
        <v>14.2538</v>
      </c>
      <c r="J929" s="7">
        <f t="shared" si="71"/>
        <v>14.9435</v>
      </c>
      <c r="K929" s="7">
        <f t="shared" si="72"/>
        <v>15.4033</v>
      </c>
      <c r="L929" s="7">
        <f t="shared" si="73"/>
        <v>16.093</v>
      </c>
      <c r="M929" s="7">
        <f t="shared" si="74"/>
        <v>16.5528</v>
      </c>
    </row>
    <row r="930" ht="25.5" spans="1:13">
      <c r="A930" s="6" t="s">
        <v>14</v>
      </c>
      <c r="B930" s="6" t="s">
        <v>2541</v>
      </c>
      <c r="C930" s="6" t="s">
        <v>2542</v>
      </c>
      <c r="E930" s="6" t="s">
        <v>2542</v>
      </c>
      <c r="G930" s="7">
        <v>59</v>
      </c>
      <c r="H930" s="7">
        <v>66.67</v>
      </c>
      <c r="I930" s="7">
        <f t="shared" si="70"/>
        <v>36.58</v>
      </c>
      <c r="J930" s="7">
        <f t="shared" si="71"/>
        <v>38.35</v>
      </c>
      <c r="K930" s="7">
        <f t="shared" si="72"/>
        <v>39.53</v>
      </c>
      <c r="L930" s="7">
        <f t="shared" si="73"/>
        <v>41.3</v>
      </c>
      <c r="M930" s="7">
        <f t="shared" si="74"/>
        <v>42.48</v>
      </c>
    </row>
    <row r="931" ht="25.5" spans="1:13">
      <c r="A931" s="6" t="s">
        <v>25</v>
      </c>
      <c r="B931" s="6" t="s">
        <v>2543</v>
      </c>
      <c r="C931" s="6" t="s">
        <v>2544</v>
      </c>
      <c r="E931" s="6" t="s">
        <v>2544</v>
      </c>
      <c r="G931" s="7">
        <v>987</v>
      </c>
      <c r="H931" s="7">
        <v>1115.31</v>
      </c>
      <c r="I931" s="7">
        <f t="shared" si="70"/>
        <v>611.94</v>
      </c>
      <c r="J931" s="7">
        <f t="shared" si="71"/>
        <v>641.55</v>
      </c>
      <c r="K931" s="7">
        <f t="shared" si="72"/>
        <v>661.29</v>
      </c>
      <c r="L931" s="7">
        <f t="shared" si="73"/>
        <v>690.9</v>
      </c>
      <c r="M931" s="7">
        <f t="shared" si="74"/>
        <v>710.64</v>
      </c>
    </row>
    <row r="932" spans="1:13">
      <c r="A932" s="6" t="s">
        <v>18</v>
      </c>
      <c r="B932" s="6" t="s">
        <v>2545</v>
      </c>
      <c r="C932" s="6" t="s">
        <v>2546</v>
      </c>
      <c r="E932" s="6" t="s">
        <v>2546</v>
      </c>
      <c r="G932" s="7">
        <v>1049</v>
      </c>
      <c r="H932" s="7">
        <v>1185.37</v>
      </c>
      <c r="I932" s="7">
        <f t="shared" si="70"/>
        <v>650.38</v>
      </c>
      <c r="J932" s="7">
        <f t="shared" si="71"/>
        <v>681.85</v>
      </c>
      <c r="K932" s="7">
        <f t="shared" si="72"/>
        <v>702.83</v>
      </c>
      <c r="L932" s="7">
        <f t="shared" si="73"/>
        <v>734.3</v>
      </c>
      <c r="M932" s="7">
        <f t="shared" si="74"/>
        <v>755.28</v>
      </c>
    </row>
    <row r="933" spans="1:13">
      <c r="A933" s="6" t="s">
        <v>18</v>
      </c>
      <c r="B933" s="6" t="s">
        <v>2547</v>
      </c>
      <c r="C933" s="6" t="s">
        <v>2547</v>
      </c>
      <c r="E933" s="6" t="s">
        <v>2548</v>
      </c>
      <c r="G933" s="7">
        <v>39</v>
      </c>
      <c r="H933" s="7">
        <v>44.07</v>
      </c>
      <c r="I933" s="7">
        <f t="shared" si="70"/>
        <v>24.18</v>
      </c>
      <c r="J933" s="7">
        <f t="shared" si="71"/>
        <v>25.35</v>
      </c>
      <c r="K933" s="7">
        <f t="shared" si="72"/>
        <v>26.13</v>
      </c>
      <c r="L933" s="7">
        <f t="shared" si="73"/>
        <v>27.3</v>
      </c>
      <c r="M933" s="7">
        <f t="shared" si="74"/>
        <v>28.08</v>
      </c>
    </row>
    <row r="934" spans="1:13">
      <c r="A934" s="6" t="s">
        <v>18</v>
      </c>
      <c r="B934" s="6" t="s">
        <v>2549</v>
      </c>
      <c r="C934" s="6" t="s">
        <v>2549</v>
      </c>
      <c r="E934" s="6" t="s">
        <v>2550</v>
      </c>
      <c r="G934" s="7">
        <v>39</v>
      </c>
      <c r="H934" s="7">
        <v>44.07</v>
      </c>
      <c r="I934" s="7">
        <f t="shared" si="70"/>
        <v>24.18</v>
      </c>
      <c r="J934" s="7">
        <f t="shared" si="71"/>
        <v>25.35</v>
      </c>
      <c r="K934" s="7">
        <f t="shared" si="72"/>
        <v>26.13</v>
      </c>
      <c r="L934" s="7">
        <f t="shared" si="73"/>
        <v>27.3</v>
      </c>
      <c r="M934" s="7">
        <f t="shared" si="74"/>
        <v>28.08</v>
      </c>
    </row>
    <row r="935" spans="1:13">
      <c r="A935" s="6" t="s">
        <v>18</v>
      </c>
      <c r="B935" s="6" t="s">
        <v>2551</v>
      </c>
      <c r="C935" s="6" t="s">
        <v>2551</v>
      </c>
      <c r="E935" s="6" t="s">
        <v>2552</v>
      </c>
      <c r="G935" s="7">
        <v>39</v>
      </c>
      <c r="H935" s="7">
        <v>44.07</v>
      </c>
      <c r="I935" s="7">
        <f t="shared" si="70"/>
        <v>24.18</v>
      </c>
      <c r="J935" s="7">
        <f t="shared" si="71"/>
        <v>25.35</v>
      </c>
      <c r="K935" s="7">
        <f t="shared" si="72"/>
        <v>26.13</v>
      </c>
      <c r="L935" s="7">
        <f t="shared" si="73"/>
        <v>27.3</v>
      </c>
      <c r="M935" s="7">
        <f t="shared" si="74"/>
        <v>28.08</v>
      </c>
    </row>
    <row r="936" spans="1:13">
      <c r="A936" s="6" t="s">
        <v>18</v>
      </c>
      <c r="B936" s="6" t="s">
        <v>2553</v>
      </c>
      <c r="C936" s="6" t="s">
        <v>2553</v>
      </c>
      <c r="E936" s="6" t="s">
        <v>2554</v>
      </c>
      <c r="G936" s="7">
        <v>79</v>
      </c>
      <c r="H936" s="7">
        <v>89.27</v>
      </c>
      <c r="I936" s="7">
        <f t="shared" si="70"/>
        <v>48.98</v>
      </c>
      <c r="J936" s="7">
        <f t="shared" si="71"/>
        <v>51.35</v>
      </c>
      <c r="K936" s="7">
        <f t="shared" si="72"/>
        <v>52.93</v>
      </c>
      <c r="L936" s="7">
        <f t="shared" si="73"/>
        <v>55.3</v>
      </c>
      <c r="M936" s="7">
        <f t="shared" si="74"/>
        <v>56.88</v>
      </c>
    </row>
    <row r="937" spans="1:13">
      <c r="A937" s="6" t="s">
        <v>18</v>
      </c>
      <c r="B937" s="6" t="s">
        <v>2555</v>
      </c>
      <c r="C937" s="6" t="s">
        <v>2555</v>
      </c>
      <c r="E937" s="6" t="s">
        <v>2556</v>
      </c>
      <c r="G937" s="7">
        <v>39</v>
      </c>
      <c r="H937" s="7">
        <v>44.07</v>
      </c>
      <c r="I937" s="7">
        <f t="shared" si="70"/>
        <v>24.18</v>
      </c>
      <c r="J937" s="7">
        <f t="shared" si="71"/>
        <v>25.35</v>
      </c>
      <c r="K937" s="7">
        <f t="shared" si="72"/>
        <v>26.13</v>
      </c>
      <c r="L937" s="7">
        <f t="shared" si="73"/>
        <v>27.3</v>
      </c>
      <c r="M937" s="7">
        <f t="shared" si="74"/>
        <v>28.08</v>
      </c>
    </row>
    <row r="938" spans="1:13">
      <c r="A938" s="6" t="s">
        <v>18</v>
      </c>
      <c r="B938" s="6" t="s">
        <v>2557</v>
      </c>
      <c r="C938" s="6" t="s">
        <v>2557</v>
      </c>
      <c r="E938" s="6" t="s">
        <v>2558</v>
      </c>
      <c r="G938" s="7">
        <v>39</v>
      </c>
      <c r="H938" s="7">
        <v>44.07</v>
      </c>
      <c r="I938" s="7">
        <f t="shared" si="70"/>
        <v>24.18</v>
      </c>
      <c r="J938" s="7">
        <f t="shared" si="71"/>
        <v>25.35</v>
      </c>
      <c r="K938" s="7">
        <f t="shared" si="72"/>
        <v>26.13</v>
      </c>
      <c r="L938" s="7">
        <f t="shared" si="73"/>
        <v>27.3</v>
      </c>
      <c r="M938" s="7">
        <f t="shared" si="74"/>
        <v>28.08</v>
      </c>
    </row>
    <row r="939" ht="25.5" spans="1:13">
      <c r="A939" s="6" t="s">
        <v>432</v>
      </c>
      <c r="B939" s="6" t="s">
        <v>2559</v>
      </c>
      <c r="C939" s="6" t="s">
        <v>2560</v>
      </c>
      <c r="E939" s="6" t="s">
        <v>2561</v>
      </c>
      <c r="G939" s="7">
        <v>899</v>
      </c>
      <c r="H939" s="7">
        <v>1015.87</v>
      </c>
      <c r="I939" s="7">
        <f t="shared" si="70"/>
        <v>557.38</v>
      </c>
      <c r="J939" s="7">
        <f t="shared" si="71"/>
        <v>584.35</v>
      </c>
      <c r="K939" s="7">
        <f t="shared" si="72"/>
        <v>602.33</v>
      </c>
      <c r="L939" s="7">
        <f t="shared" si="73"/>
        <v>629.3</v>
      </c>
      <c r="M939" s="7">
        <f t="shared" si="74"/>
        <v>647.28</v>
      </c>
    </row>
    <row r="940" ht="25.5" spans="1:13">
      <c r="A940" s="6" t="s">
        <v>733</v>
      </c>
      <c r="B940" s="6" t="s">
        <v>2562</v>
      </c>
      <c r="C940" s="6" t="s">
        <v>2563</v>
      </c>
      <c r="E940" s="6" t="s">
        <v>2564</v>
      </c>
      <c r="G940" s="7">
        <v>179</v>
      </c>
      <c r="H940" s="7">
        <v>202.27</v>
      </c>
      <c r="I940" s="7">
        <f t="shared" si="70"/>
        <v>110.98</v>
      </c>
      <c r="J940" s="7">
        <f t="shared" si="71"/>
        <v>116.35</v>
      </c>
      <c r="K940" s="7">
        <f t="shared" si="72"/>
        <v>119.93</v>
      </c>
      <c r="L940" s="7">
        <f t="shared" si="73"/>
        <v>125.3</v>
      </c>
      <c r="M940" s="7">
        <f t="shared" si="74"/>
        <v>128.88</v>
      </c>
    </row>
    <row r="941" ht="25.5" spans="1:13">
      <c r="A941" s="6" t="s">
        <v>18</v>
      </c>
      <c r="B941" s="6" t="s">
        <v>2565</v>
      </c>
      <c r="C941" s="6" t="s">
        <v>2566</v>
      </c>
      <c r="E941" s="6" t="s">
        <v>2566</v>
      </c>
      <c r="G941" s="7">
        <v>578</v>
      </c>
      <c r="H941" s="7">
        <v>653.14</v>
      </c>
      <c r="I941" s="7">
        <f t="shared" si="70"/>
        <v>358.36</v>
      </c>
      <c r="J941" s="7">
        <f t="shared" si="71"/>
        <v>375.7</v>
      </c>
      <c r="K941" s="7">
        <f t="shared" si="72"/>
        <v>387.26</v>
      </c>
      <c r="L941" s="7">
        <f t="shared" si="73"/>
        <v>404.6</v>
      </c>
      <c r="M941" s="7">
        <f t="shared" si="74"/>
        <v>416.16</v>
      </c>
    </row>
    <row r="942" spans="1:13">
      <c r="A942" s="6" t="s">
        <v>418</v>
      </c>
      <c r="B942" s="6" t="s">
        <v>2567</v>
      </c>
      <c r="C942" s="6" t="s">
        <v>2568</v>
      </c>
      <c r="E942" s="6" t="s">
        <v>2569</v>
      </c>
      <c r="G942" s="7">
        <v>99</v>
      </c>
      <c r="H942" s="7">
        <v>111.87</v>
      </c>
      <c r="I942" s="7">
        <f t="shared" si="70"/>
        <v>61.38</v>
      </c>
      <c r="J942" s="7">
        <f t="shared" si="71"/>
        <v>64.35</v>
      </c>
      <c r="K942" s="7">
        <f t="shared" si="72"/>
        <v>66.33</v>
      </c>
      <c r="L942" s="7">
        <f t="shared" si="73"/>
        <v>69.3</v>
      </c>
      <c r="M942" s="7">
        <f t="shared" si="74"/>
        <v>71.28</v>
      </c>
    </row>
    <row r="943" ht="25.5" spans="1:13">
      <c r="A943" s="6" t="s">
        <v>418</v>
      </c>
      <c r="B943" s="6" t="s">
        <v>2570</v>
      </c>
      <c r="C943" s="6" t="s">
        <v>2571</v>
      </c>
      <c r="E943" s="6" t="s">
        <v>2572</v>
      </c>
      <c r="G943" s="7">
        <v>139</v>
      </c>
      <c r="H943" s="7">
        <v>157.07</v>
      </c>
      <c r="I943" s="7">
        <f t="shared" si="70"/>
        <v>86.18</v>
      </c>
      <c r="J943" s="7">
        <f t="shared" si="71"/>
        <v>90.35</v>
      </c>
      <c r="K943" s="7">
        <f t="shared" si="72"/>
        <v>93.13</v>
      </c>
      <c r="L943" s="7">
        <f t="shared" si="73"/>
        <v>97.3</v>
      </c>
      <c r="M943" s="7">
        <f t="shared" si="74"/>
        <v>100.08</v>
      </c>
    </row>
    <row r="944" ht="38.25" spans="1:13">
      <c r="A944" s="6" t="s">
        <v>432</v>
      </c>
      <c r="B944" s="6" t="s">
        <v>2573</v>
      </c>
      <c r="C944" s="6" t="s">
        <v>2574</v>
      </c>
      <c r="E944" s="6" t="s">
        <v>2575</v>
      </c>
      <c r="G944" s="7">
        <v>849</v>
      </c>
      <c r="H944" s="7">
        <v>959.37</v>
      </c>
      <c r="I944" s="7">
        <f t="shared" si="70"/>
        <v>526.38</v>
      </c>
      <c r="J944" s="7">
        <f t="shared" si="71"/>
        <v>551.85</v>
      </c>
      <c r="K944" s="7">
        <f t="shared" si="72"/>
        <v>568.83</v>
      </c>
      <c r="L944" s="7">
        <f t="shared" si="73"/>
        <v>594.3</v>
      </c>
      <c r="M944" s="7">
        <f t="shared" si="74"/>
        <v>611.28</v>
      </c>
    </row>
    <row r="945" ht="51" spans="1:13">
      <c r="A945" s="6" t="s">
        <v>432</v>
      </c>
      <c r="B945" s="6" t="s">
        <v>2576</v>
      </c>
      <c r="C945" s="6" t="s">
        <v>2577</v>
      </c>
      <c r="E945" s="6" t="s">
        <v>2578</v>
      </c>
      <c r="G945" s="7">
        <v>1249</v>
      </c>
      <c r="H945" s="7">
        <v>1411.37</v>
      </c>
      <c r="I945" s="7">
        <f t="shared" si="70"/>
        <v>774.38</v>
      </c>
      <c r="J945" s="7">
        <f t="shared" si="71"/>
        <v>811.85</v>
      </c>
      <c r="K945" s="7">
        <f t="shared" si="72"/>
        <v>836.83</v>
      </c>
      <c r="L945" s="7">
        <f t="shared" si="73"/>
        <v>874.3</v>
      </c>
      <c r="M945" s="7">
        <f t="shared" si="74"/>
        <v>899.28</v>
      </c>
    </row>
    <row r="946" ht="51" spans="1:13">
      <c r="A946" s="6" t="s">
        <v>432</v>
      </c>
      <c r="B946" s="6" t="s">
        <v>2579</v>
      </c>
      <c r="C946" s="6" t="s">
        <v>2580</v>
      </c>
      <c r="E946" s="6" t="s">
        <v>2581</v>
      </c>
      <c r="G946" s="7">
        <v>1499</v>
      </c>
      <c r="H946" s="7">
        <v>1693.87</v>
      </c>
      <c r="I946" s="7">
        <f t="shared" si="70"/>
        <v>929.38</v>
      </c>
      <c r="J946" s="7">
        <f t="shared" si="71"/>
        <v>974.35</v>
      </c>
      <c r="K946" s="7">
        <f t="shared" si="72"/>
        <v>1004.33</v>
      </c>
      <c r="L946" s="7">
        <f t="shared" si="73"/>
        <v>1049.3</v>
      </c>
      <c r="M946" s="7">
        <f t="shared" si="74"/>
        <v>1079.28</v>
      </c>
    </row>
    <row r="947" ht="51" spans="1:13">
      <c r="A947" s="6" t="s">
        <v>432</v>
      </c>
      <c r="B947" s="6" t="s">
        <v>2582</v>
      </c>
      <c r="C947" s="6" t="s">
        <v>2583</v>
      </c>
      <c r="E947" s="6" t="s">
        <v>2584</v>
      </c>
      <c r="G947" s="7">
        <v>1999</v>
      </c>
      <c r="H947" s="7">
        <v>2258.87</v>
      </c>
      <c r="I947" s="7">
        <f t="shared" si="70"/>
        <v>1239.38</v>
      </c>
      <c r="J947" s="7">
        <f t="shared" si="71"/>
        <v>1299.35</v>
      </c>
      <c r="K947" s="7">
        <f t="shared" si="72"/>
        <v>1339.33</v>
      </c>
      <c r="L947" s="7">
        <f t="shared" si="73"/>
        <v>1399.3</v>
      </c>
      <c r="M947" s="7">
        <f t="shared" si="74"/>
        <v>1439.28</v>
      </c>
    </row>
    <row r="948" ht="51" spans="1:13">
      <c r="A948" s="6" t="s">
        <v>432</v>
      </c>
      <c r="B948" s="6" t="s">
        <v>2585</v>
      </c>
      <c r="C948" s="6" t="s">
        <v>2586</v>
      </c>
      <c r="E948" s="6" t="s">
        <v>2587</v>
      </c>
      <c r="G948" s="7">
        <v>1999</v>
      </c>
      <c r="H948" s="7">
        <v>2258.87</v>
      </c>
      <c r="I948" s="7">
        <f t="shared" si="70"/>
        <v>1239.38</v>
      </c>
      <c r="J948" s="7">
        <f t="shared" si="71"/>
        <v>1299.35</v>
      </c>
      <c r="K948" s="7">
        <f t="shared" si="72"/>
        <v>1339.33</v>
      </c>
      <c r="L948" s="7">
        <f t="shared" si="73"/>
        <v>1399.3</v>
      </c>
      <c r="M948" s="7">
        <f t="shared" si="74"/>
        <v>1439.28</v>
      </c>
    </row>
    <row r="949" ht="38.25" spans="1:13">
      <c r="A949" s="6" t="s">
        <v>18</v>
      </c>
      <c r="B949" s="6" t="s">
        <v>2588</v>
      </c>
      <c r="C949" s="6" t="s">
        <v>2589</v>
      </c>
      <c r="E949" s="6" t="s">
        <v>2590</v>
      </c>
      <c r="G949" s="7">
        <v>79</v>
      </c>
      <c r="H949" s="7">
        <v>89.27</v>
      </c>
      <c r="I949" s="7">
        <f t="shared" si="70"/>
        <v>48.98</v>
      </c>
      <c r="J949" s="7">
        <f t="shared" si="71"/>
        <v>51.35</v>
      </c>
      <c r="K949" s="7">
        <f t="shared" si="72"/>
        <v>52.93</v>
      </c>
      <c r="L949" s="7">
        <f t="shared" si="73"/>
        <v>55.3</v>
      </c>
      <c r="M949" s="7">
        <f t="shared" si="74"/>
        <v>56.88</v>
      </c>
    </row>
    <row r="950" spans="1:13">
      <c r="A950" s="6" t="s">
        <v>18</v>
      </c>
      <c r="B950" s="6" t="s">
        <v>2591</v>
      </c>
      <c r="C950" s="6" t="s">
        <v>2592</v>
      </c>
      <c r="E950" s="6" t="s">
        <v>2593</v>
      </c>
      <c r="G950" s="7">
        <v>59</v>
      </c>
      <c r="H950" s="7">
        <v>66.67</v>
      </c>
      <c r="I950" s="7">
        <f t="shared" si="70"/>
        <v>36.58</v>
      </c>
      <c r="J950" s="7">
        <f t="shared" si="71"/>
        <v>38.35</v>
      </c>
      <c r="K950" s="7">
        <f t="shared" si="72"/>
        <v>39.53</v>
      </c>
      <c r="L950" s="7">
        <f t="shared" si="73"/>
        <v>41.3</v>
      </c>
      <c r="M950" s="7">
        <f t="shared" si="74"/>
        <v>42.48</v>
      </c>
    </row>
    <row r="951" ht="25.5" spans="1:13">
      <c r="A951" s="6" t="s">
        <v>432</v>
      </c>
      <c r="B951" s="6" t="s">
        <v>2594</v>
      </c>
      <c r="C951" s="6" t="s">
        <v>2595</v>
      </c>
      <c r="E951" s="6" t="s">
        <v>2596</v>
      </c>
      <c r="G951" s="7">
        <v>1099</v>
      </c>
      <c r="H951" s="7">
        <v>1241.87</v>
      </c>
      <c r="I951" s="7">
        <f t="shared" si="70"/>
        <v>681.38</v>
      </c>
      <c r="J951" s="7">
        <f t="shared" si="71"/>
        <v>714.35</v>
      </c>
      <c r="K951" s="7">
        <f t="shared" si="72"/>
        <v>736.33</v>
      </c>
      <c r="L951" s="7">
        <f t="shared" si="73"/>
        <v>769.3</v>
      </c>
      <c r="M951" s="7">
        <f t="shared" si="74"/>
        <v>791.28</v>
      </c>
    </row>
    <row r="952" ht="25.5" spans="1:13">
      <c r="A952" s="6" t="s">
        <v>18</v>
      </c>
      <c r="B952" s="6" t="s">
        <v>2597</v>
      </c>
      <c r="C952" s="6" t="s">
        <v>2598</v>
      </c>
      <c r="E952" s="6" t="s">
        <v>2599</v>
      </c>
      <c r="G952" s="7">
        <v>28.99</v>
      </c>
      <c r="H952" s="7">
        <v>32.7587</v>
      </c>
      <c r="I952" s="7">
        <f t="shared" si="70"/>
        <v>17.9738</v>
      </c>
      <c r="J952" s="7">
        <f t="shared" si="71"/>
        <v>18.8435</v>
      </c>
      <c r="K952" s="7">
        <f t="shared" si="72"/>
        <v>19.4233</v>
      </c>
      <c r="L952" s="7">
        <f t="shared" si="73"/>
        <v>20.293</v>
      </c>
      <c r="M952" s="7">
        <f t="shared" si="74"/>
        <v>20.8728</v>
      </c>
    </row>
    <row r="953" ht="51" spans="1:13">
      <c r="A953" s="6" t="s">
        <v>45</v>
      </c>
      <c r="B953" s="6" t="s">
        <v>2600</v>
      </c>
      <c r="C953" s="6" t="s">
        <v>2601</v>
      </c>
      <c r="E953" s="6" t="s">
        <v>2602</v>
      </c>
      <c r="G953" s="7">
        <v>4099</v>
      </c>
      <c r="H953" s="7">
        <v>4631.87</v>
      </c>
      <c r="I953" s="7">
        <f t="shared" si="70"/>
        <v>2541.38</v>
      </c>
      <c r="J953" s="7">
        <f t="shared" si="71"/>
        <v>2664.35</v>
      </c>
      <c r="K953" s="7">
        <f t="shared" si="72"/>
        <v>2746.33</v>
      </c>
      <c r="L953" s="7">
        <f t="shared" si="73"/>
        <v>2869.3</v>
      </c>
      <c r="M953" s="7">
        <f t="shared" si="74"/>
        <v>2951.28</v>
      </c>
    </row>
    <row r="954" spans="1:13">
      <c r="A954" s="6" t="s">
        <v>45</v>
      </c>
      <c r="B954" s="6" t="s">
        <v>2603</v>
      </c>
      <c r="C954" s="6" t="s">
        <v>2604</v>
      </c>
      <c r="E954" s="6" t="s">
        <v>2604</v>
      </c>
      <c r="G954" s="7">
        <v>116</v>
      </c>
      <c r="H954" s="7">
        <v>131.08</v>
      </c>
      <c r="I954" s="7">
        <f t="shared" si="70"/>
        <v>71.92</v>
      </c>
      <c r="J954" s="7">
        <f t="shared" si="71"/>
        <v>75.4</v>
      </c>
      <c r="K954" s="7">
        <f t="shared" si="72"/>
        <v>77.72</v>
      </c>
      <c r="L954" s="7">
        <f t="shared" si="73"/>
        <v>81.2</v>
      </c>
      <c r="M954" s="7">
        <f t="shared" si="74"/>
        <v>83.52</v>
      </c>
    </row>
    <row r="955" ht="63.75" spans="1:13">
      <c r="A955" s="6" t="s">
        <v>45</v>
      </c>
      <c r="B955" s="6" t="s">
        <v>2605</v>
      </c>
      <c r="C955" s="6" t="s">
        <v>2606</v>
      </c>
      <c r="E955" s="6" t="s">
        <v>2607</v>
      </c>
      <c r="G955" s="7">
        <v>8249</v>
      </c>
      <c r="H955" s="7">
        <v>9321.37</v>
      </c>
      <c r="I955" s="7">
        <f t="shared" si="70"/>
        <v>5114.38</v>
      </c>
      <c r="J955" s="7">
        <f t="shared" si="71"/>
        <v>5361.85</v>
      </c>
      <c r="K955" s="7">
        <f t="shared" si="72"/>
        <v>5526.83</v>
      </c>
      <c r="L955" s="7">
        <f t="shared" si="73"/>
        <v>5774.3</v>
      </c>
      <c r="M955" s="7">
        <f t="shared" si="74"/>
        <v>5939.28</v>
      </c>
    </row>
    <row r="956" ht="51" spans="1:13">
      <c r="A956" s="6" t="s">
        <v>45</v>
      </c>
      <c r="B956" s="6" t="s">
        <v>2608</v>
      </c>
      <c r="C956" s="6" t="s">
        <v>2609</v>
      </c>
      <c r="E956" s="6" t="s">
        <v>2610</v>
      </c>
      <c r="G956" s="7">
        <v>1699</v>
      </c>
      <c r="H956" s="7">
        <v>1919.87</v>
      </c>
      <c r="I956" s="7">
        <f t="shared" si="70"/>
        <v>1053.38</v>
      </c>
      <c r="J956" s="7">
        <f t="shared" si="71"/>
        <v>1104.35</v>
      </c>
      <c r="K956" s="7">
        <f t="shared" si="72"/>
        <v>1138.33</v>
      </c>
      <c r="L956" s="7">
        <f t="shared" si="73"/>
        <v>1189.3</v>
      </c>
      <c r="M956" s="7">
        <f t="shared" si="74"/>
        <v>1223.28</v>
      </c>
    </row>
    <row r="957" ht="25.5" spans="1:13">
      <c r="A957" s="6" t="s">
        <v>22</v>
      </c>
      <c r="B957" s="6" t="s">
        <v>2611</v>
      </c>
      <c r="C957" s="6" t="s">
        <v>2612</v>
      </c>
      <c r="E957" s="6" t="s">
        <v>2613</v>
      </c>
      <c r="G957" s="7">
        <v>749</v>
      </c>
      <c r="H957" s="7">
        <v>846.37</v>
      </c>
      <c r="I957" s="7">
        <f t="shared" si="70"/>
        <v>464.38</v>
      </c>
      <c r="J957" s="7">
        <f t="shared" si="71"/>
        <v>486.85</v>
      </c>
      <c r="K957" s="7">
        <f t="shared" si="72"/>
        <v>501.83</v>
      </c>
      <c r="L957" s="7">
        <f t="shared" si="73"/>
        <v>524.3</v>
      </c>
      <c r="M957" s="7">
        <f t="shared" si="74"/>
        <v>539.28</v>
      </c>
    </row>
    <row r="958" ht="63.75" spans="1:13">
      <c r="A958" s="6" t="s">
        <v>45</v>
      </c>
      <c r="B958" s="6" t="s">
        <v>2614</v>
      </c>
      <c r="C958" s="6" t="s">
        <v>2615</v>
      </c>
      <c r="E958" s="6" t="s">
        <v>2616</v>
      </c>
      <c r="G958" s="7">
        <v>10949</v>
      </c>
      <c r="H958" s="7">
        <v>12372.37</v>
      </c>
      <c r="I958" s="7">
        <f t="shared" si="70"/>
        <v>6788.38</v>
      </c>
      <c r="J958" s="7">
        <f t="shared" si="71"/>
        <v>7116.85</v>
      </c>
      <c r="K958" s="7">
        <f t="shared" si="72"/>
        <v>7335.83</v>
      </c>
      <c r="L958" s="7">
        <f t="shared" si="73"/>
        <v>7664.3</v>
      </c>
      <c r="M958" s="7">
        <f t="shared" si="74"/>
        <v>7883.28</v>
      </c>
    </row>
    <row r="959" ht="63.75" spans="1:13">
      <c r="A959" s="6" t="s">
        <v>45</v>
      </c>
      <c r="B959" s="6" t="s">
        <v>2617</v>
      </c>
      <c r="C959" s="6" t="s">
        <v>2618</v>
      </c>
      <c r="E959" s="6" t="s">
        <v>2619</v>
      </c>
      <c r="G959" s="7">
        <v>11449</v>
      </c>
      <c r="H959" s="7">
        <v>12937.37</v>
      </c>
      <c r="I959" s="7">
        <f t="shared" si="70"/>
        <v>7098.38</v>
      </c>
      <c r="J959" s="7">
        <f t="shared" si="71"/>
        <v>7441.85</v>
      </c>
      <c r="K959" s="7">
        <f t="shared" si="72"/>
        <v>7670.83</v>
      </c>
      <c r="L959" s="7">
        <f t="shared" si="73"/>
        <v>8014.3</v>
      </c>
      <c r="M959" s="7">
        <f t="shared" si="74"/>
        <v>8243.28</v>
      </c>
    </row>
    <row r="960" ht="63.75" spans="1:13">
      <c r="A960" s="6" t="s">
        <v>45</v>
      </c>
      <c r="B960" s="6" t="s">
        <v>2620</v>
      </c>
      <c r="C960" s="6" t="s">
        <v>2621</v>
      </c>
      <c r="E960" s="6" t="s">
        <v>2622</v>
      </c>
      <c r="G960" s="7">
        <v>12450</v>
      </c>
      <c r="H960" s="7">
        <v>14068.5</v>
      </c>
      <c r="I960" s="7">
        <f t="shared" si="70"/>
        <v>7719</v>
      </c>
      <c r="J960" s="7">
        <f t="shared" si="71"/>
        <v>8092.5</v>
      </c>
      <c r="K960" s="7">
        <f t="shared" si="72"/>
        <v>8341.5</v>
      </c>
      <c r="L960" s="7">
        <f t="shared" si="73"/>
        <v>8715</v>
      </c>
      <c r="M960" s="7">
        <f t="shared" si="74"/>
        <v>8964</v>
      </c>
    </row>
    <row r="961" ht="63.75" spans="1:13">
      <c r="A961" s="6" t="s">
        <v>45</v>
      </c>
      <c r="B961" s="6" t="s">
        <v>2623</v>
      </c>
      <c r="C961" s="6" t="s">
        <v>2624</v>
      </c>
      <c r="E961" s="6" t="s">
        <v>2625</v>
      </c>
      <c r="G961" s="7">
        <v>13599</v>
      </c>
      <c r="H961" s="7">
        <v>15366.87</v>
      </c>
      <c r="I961" s="7">
        <f t="shared" si="70"/>
        <v>8431.38</v>
      </c>
      <c r="J961" s="7">
        <f t="shared" si="71"/>
        <v>8839.35</v>
      </c>
      <c r="K961" s="7">
        <f t="shared" si="72"/>
        <v>9111.33</v>
      </c>
      <c r="L961" s="7">
        <f t="shared" si="73"/>
        <v>9519.3</v>
      </c>
      <c r="M961" s="7">
        <f t="shared" si="74"/>
        <v>9791.28</v>
      </c>
    </row>
    <row r="962" ht="51" spans="1:13">
      <c r="A962" s="6" t="s">
        <v>45</v>
      </c>
      <c r="B962" s="6" t="s">
        <v>2626</v>
      </c>
      <c r="C962" s="6" t="s">
        <v>2627</v>
      </c>
      <c r="E962" s="6" t="s">
        <v>2628</v>
      </c>
      <c r="G962" s="7">
        <v>4499</v>
      </c>
      <c r="H962" s="7">
        <v>5083.87</v>
      </c>
      <c r="I962" s="7">
        <f t="shared" ref="I962:I1025" si="75">G962*0.62</f>
        <v>2789.38</v>
      </c>
      <c r="J962" s="7">
        <f t="shared" ref="J962:J1025" si="76">G962*0.65</f>
        <v>2924.35</v>
      </c>
      <c r="K962" s="7">
        <f t="shared" ref="K962:K1025" si="77">G962*0.67</f>
        <v>3014.33</v>
      </c>
      <c r="L962" s="7">
        <f t="shared" ref="L962:L1025" si="78">G962*0.7</f>
        <v>3149.3</v>
      </c>
      <c r="M962" s="7">
        <f t="shared" ref="M962:M1025" si="79">G962*0.72</f>
        <v>3239.28</v>
      </c>
    </row>
    <row r="963" ht="25.5" spans="1:13">
      <c r="A963" s="6" t="s">
        <v>22</v>
      </c>
      <c r="B963" s="6" t="s">
        <v>2629</v>
      </c>
      <c r="C963" s="6" t="s">
        <v>2630</v>
      </c>
      <c r="E963" s="6" t="s">
        <v>2631</v>
      </c>
      <c r="G963" s="7">
        <v>4199</v>
      </c>
      <c r="H963" s="7">
        <v>4744.87</v>
      </c>
      <c r="I963" s="7">
        <f t="shared" si="75"/>
        <v>2603.38</v>
      </c>
      <c r="J963" s="7">
        <f t="shared" si="76"/>
        <v>2729.35</v>
      </c>
      <c r="K963" s="7">
        <f t="shared" si="77"/>
        <v>2813.33</v>
      </c>
      <c r="L963" s="7">
        <f t="shared" si="78"/>
        <v>2939.3</v>
      </c>
      <c r="M963" s="7">
        <f t="shared" si="79"/>
        <v>3023.28</v>
      </c>
    </row>
    <row r="964" ht="51" spans="1:13">
      <c r="A964" s="6" t="s">
        <v>22</v>
      </c>
      <c r="B964" s="6" t="s">
        <v>2632</v>
      </c>
      <c r="C964" s="6" t="s">
        <v>2633</v>
      </c>
      <c r="E964" s="6" t="s">
        <v>2634</v>
      </c>
      <c r="G964" s="7">
        <v>2099</v>
      </c>
      <c r="H964" s="7">
        <v>2371.87</v>
      </c>
      <c r="I964" s="7">
        <f t="shared" si="75"/>
        <v>1301.38</v>
      </c>
      <c r="J964" s="7">
        <f t="shared" si="76"/>
        <v>1364.35</v>
      </c>
      <c r="K964" s="7">
        <f t="shared" si="77"/>
        <v>1406.33</v>
      </c>
      <c r="L964" s="7">
        <f t="shared" si="78"/>
        <v>1469.3</v>
      </c>
      <c r="M964" s="7">
        <f t="shared" si="79"/>
        <v>1511.28</v>
      </c>
    </row>
    <row r="965" ht="38.25" spans="1:13">
      <c r="A965" s="6" t="s">
        <v>22</v>
      </c>
      <c r="B965" s="6" t="s">
        <v>2635</v>
      </c>
      <c r="C965" s="6" t="s">
        <v>2636</v>
      </c>
      <c r="E965" s="6" t="s">
        <v>2637</v>
      </c>
      <c r="G965" s="7">
        <v>1549</v>
      </c>
      <c r="H965" s="7">
        <v>1750.37</v>
      </c>
      <c r="I965" s="7">
        <f t="shared" si="75"/>
        <v>960.38</v>
      </c>
      <c r="J965" s="7">
        <f t="shared" si="76"/>
        <v>1006.85</v>
      </c>
      <c r="K965" s="7">
        <f t="shared" si="77"/>
        <v>1037.83</v>
      </c>
      <c r="L965" s="7">
        <f t="shared" si="78"/>
        <v>1084.3</v>
      </c>
      <c r="M965" s="7">
        <f t="shared" si="79"/>
        <v>1115.28</v>
      </c>
    </row>
    <row r="966" spans="1:13">
      <c r="A966" s="6" t="s">
        <v>18</v>
      </c>
      <c r="B966" s="6" t="s">
        <v>2638</v>
      </c>
      <c r="C966" s="6" t="s">
        <v>2639</v>
      </c>
      <c r="E966" s="6" t="s">
        <v>2639</v>
      </c>
      <c r="G966" s="7">
        <v>1764</v>
      </c>
      <c r="H966" s="7">
        <v>1993.32</v>
      </c>
      <c r="I966" s="7">
        <f t="shared" si="75"/>
        <v>1093.68</v>
      </c>
      <c r="J966" s="7">
        <f t="shared" si="76"/>
        <v>1146.6</v>
      </c>
      <c r="K966" s="7">
        <f t="shared" si="77"/>
        <v>1181.88</v>
      </c>
      <c r="L966" s="7">
        <f t="shared" si="78"/>
        <v>1234.8</v>
      </c>
      <c r="M966" s="7">
        <f t="shared" si="79"/>
        <v>1270.08</v>
      </c>
    </row>
    <row r="967" spans="1:13">
      <c r="A967" s="6" t="s">
        <v>18</v>
      </c>
      <c r="B967" s="6" t="s">
        <v>2640</v>
      </c>
      <c r="C967" s="6" t="s">
        <v>2641</v>
      </c>
      <c r="E967" s="6" t="s">
        <v>2641</v>
      </c>
      <c r="G967" s="7">
        <v>1049</v>
      </c>
      <c r="H967" s="7">
        <v>1185.37</v>
      </c>
      <c r="I967" s="7">
        <f t="shared" si="75"/>
        <v>650.38</v>
      </c>
      <c r="J967" s="7">
        <f t="shared" si="76"/>
        <v>681.85</v>
      </c>
      <c r="K967" s="7">
        <f t="shared" si="77"/>
        <v>702.83</v>
      </c>
      <c r="L967" s="7">
        <f t="shared" si="78"/>
        <v>734.3</v>
      </c>
      <c r="M967" s="7">
        <f t="shared" si="79"/>
        <v>755.28</v>
      </c>
    </row>
    <row r="968" spans="1:13">
      <c r="A968" s="6" t="s">
        <v>18</v>
      </c>
      <c r="B968" s="6" t="s">
        <v>2642</v>
      </c>
      <c r="C968" s="6" t="s">
        <v>2643</v>
      </c>
      <c r="E968" s="6" t="s">
        <v>2643</v>
      </c>
      <c r="G968" s="7">
        <v>419</v>
      </c>
      <c r="H968" s="7">
        <v>473.47</v>
      </c>
      <c r="I968" s="7">
        <f t="shared" si="75"/>
        <v>259.78</v>
      </c>
      <c r="J968" s="7">
        <f t="shared" si="76"/>
        <v>272.35</v>
      </c>
      <c r="K968" s="7">
        <f t="shared" si="77"/>
        <v>280.73</v>
      </c>
      <c r="L968" s="7">
        <f t="shared" si="78"/>
        <v>293.3</v>
      </c>
      <c r="M968" s="7">
        <f t="shared" si="79"/>
        <v>301.68</v>
      </c>
    </row>
    <row r="969" ht="25.5" spans="1:13">
      <c r="A969" s="6" t="s">
        <v>22</v>
      </c>
      <c r="B969" s="6" t="s">
        <v>2644</v>
      </c>
      <c r="C969" s="6" t="s">
        <v>2645</v>
      </c>
      <c r="E969" s="6" t="s">
        <v>2646</v>
      </c>
      <c r="G969" s="7">
        <v>20849</v>
      </c>
      <c r="H969" s="7">
        <v>23559.37</v>
      </c>
      <c r="I969" s="7">
        <f t="shared" si="75"/>
        <v>12926.38</v>
      </c>
      <c r="J969" s="7">
        <f t="shared" si="76"/>
        <v>13551.85</v>
      </c>
      <c r="K969" s="7">
        <f t="shared" si="77"/>
        <v>13968.83</v>
      </c>
      <c r="L969" s="7">
        <f t="shared" si="78"/>
        <v>14594.3</v>
      </c>
      <c r="M969" s="7">
        <f t="shared" si="79"/>
        <v>15011.28</v>
      </c>
    </row>
    <row r="970" ht="25.5" spans="1:13">
      <c r="A970" s="6" t="s">
        <v>22</v>
      </c>
      <c r="B970" s="6" t="s">
        <v>2647</v>
      </c>
      <c r="C970" s="6" t="s">
        <v>2648</v>
      </c>
      <c r="E970" s="6" t="s">
        <v>2649</v>
      </c>
      <c r="G970" s="7">
        <v>21699</v>
      </c>
      <c r="H970" s="7">
        <v>24519.87</v>
      </c>
      <c r="I970" s="7">
        <f t="shared" si="75"/>
        <v>13453.38</v>
      </c>
      <c r="J970" s="7">
        <f t="shared" si="76"/>
        <v>14104.35</v>
      </c>
      <c r="K970" s="7">
        <f t="shared" si="77"/>
        <v>14538.33</v>
      </c>
      <c r="L970" s="7">
        <f t="shared" si="78"/>
        <v>15189.3</v>
      </c>
      <c r="M970" s="7">
        <f t="shared" si="79"/>
        <v>15623.28</v>
      </c>
    </row>
    <row r="971" ht="25.5" spans="1:13">
      <c r="A971" s="6" t="s">
        <v>22</v>
      </c>
      <c r="B971" s="6" t="s">
        <v>2650</v>
      </c>
      <c r="C971" s="6" t="s">
        <v>2651</v>
      </c>
      <c r="E971" s="6" t="s">
        <v>2652</v>
      </c>
      <c r="G971" s="7">
        <v>21725</v>
      </c>
      <c r="H971" s="7">
        <v>24549.25</v>
      </c>
      <c r="I971" s="7">
        <f t="shared" si="75"/>
        <v>13469.5</v>
      </c>
      <c r="J971" s="7">
        <f t="shared" si="76"/>
        <v>14121.25</v>
      </c>
      <c r="K971" s="7">
        <f t="shared" si="77"/>
        <v>14555.75</v>
      </c>
      <c r="L971" s="7">
        <f t="shared" si="78"/>
        <v>15207.5</v>
      </c>
      <c r="M971" s="7">
        <f t="shared" si="79"/>
        <v>15642</v>
      </c>
    </row>
    <row r="972" ht="25.5" spans="1:13">
      <c r="A972" s="6" t="s">
        <v>22</v>
      </c>
      <c r="B972" s="6" t="s">
        <v>2653</v>
      </c>
      <c r="C972" s="6" t="s">
        <v>2654</v>
      </c>
      <c r="E972" s="6" t="s">
        <v>2655</v>
      </c>
      <c r="G972" s="7">
        <v>24349</v>
      </c>
      <c r="H972" s="7">
        <v>27514.37</v>
      </c>
      <c r="I972" s="7">
        <f t="shared" si="75"/>
        <v>15096.38</v>
      </c>
      <c r="J972" s="7">
        <f t="shared" si="76"/>
        <v>15826.85</v>
      </c>
      <c r="K972" s="7">
        <f t="shared" si="77"/>
        <v>16313.83</v>
      </c>
      <c r="L972" s="7">
        <f t="shared" si="78"/>
        <v>17044.3</v>
      </c>
      <c r="M972" s="7">
        <f t="shared" si="79"/>
        <v>17531.28</v>
      </c>
    </row>
    <row r="973" ht="25.5" spans="1:13">
      <c r="A973" s="6" t="s">
        <v>22</v>
      </c>
      <c r="B973" s="6" t="s">
        <v>2656</v>
      </c>
      <c r="C973" s="6" t="s">
        <v>2657</v>
      </c>
      <c r="E973" s="6" t="s">
        <v>2658</v>
      </c>
      <c r="G973" s="7">
        <v>39399</v>
      </c>
      <c r="H973" s="7">
        <v>44520.87</v>
      </c>
      <c r="I973" s="7">
        <f t="shared" si="75"/>
        <v>24427.38</v>
      </c>
      <c r="J973" s="7">
        <f t="shared" si="76"/>
        <v>25609.35</v>
      </c>
      <c r="K973" s="7">
        <f t="shared" si="77"/>
        <v>26397.33</v>
      </c>
      <c r="L973" s="7">
        <f t="shared" si="78"/>
        <v>27579.3</v>
      </c>
      <c r="M973" s="7">
        <f t="shared" si="79"/>
        <v>28367.28</v>
      </c>
    </row>
    <row r="974" ht="38.25" spans="1:13">
      <c r="A974" s="6" t="s">
        <v>22</v>
      </c>
      <c r="B974" s="6" t="s">
        <v>2659</v>
      </c>
      <c r="C974" s="6" t="s">
        <v>2660</v>
      </c>
      <c r="E974" s="6" t="s">
        <v>2661</v>
      </c>
      <c r="G974" s="7">
        <v>19300</v>
      </c>
      <c r="H974" s="7">
        <v>21809</v>
      </c>
      <c r="I974" s="7">
        <f t="shared" si="75"/>
        <v>11966</v>
      </c>
      <c r="J974" s="7">
        <f t="shared" si="76"/>
        <v>12545</v>
      </c>
      <c r="K974" s="7">
        <f t="shared" si="77"/>
        <v>12931</v>
      </c>
      <c r="L974" s="7">
        <f t="shared" si="78"/>
        <v>13510</v>
      </c>
      <c r="M974" s="7">
        <f t="shared" si="79"/>
        <v>13896</v>
      </c>
    </row>
    <row r="975" ht="38.25" spans="1:13">
      <c r="A975" s="6" t="s">
        <v>22</v>
      </c>
      <c r="B975" s="6" t="s">
        <v>2662</v>
      </c>
      <c r="C975" s="6" t="s">
        <v>2663</v>
      </c>
      <c r="E975" s="6" t="s">
        <v>2664</v>
      </c>
      <c r="G975" s="7">
        <v>19449</v>
      </c>
      <c r="H975" s="7">
        <v>21977.37</v>
      </c>
      <c r="I975" s="7">
        <f t="shared" si="75"/>
        <v>12058.38</v>
      </c>
      <c r="J975" s="7">
        <f t="shared" si="76"/>
        <v>12641.85</v>
      </c>
      <c r="K975" s="7">
        <f t="shared" si="77"/>
        <v>13030.83</v>
      </c>
      <c r="L975" s="7">
        <f t="shared" si="78"/>
        <v>13614.3</v>
      </c>
      <c r="M975" s="7">
        <f t="shared" si="79"/>
        <v>14003.28</v>
      </c>
    </row>
    <row r="976" ht="38.25" spans="1:13">
      <c r="A976" s="6" t="s">
        <v>22</v>
      </c>
      <c r="B976" s="6" t="s">
        <v>2665</v>
      </c>
      <c r="C976" s="6" t="s">
        <v>2666</v>
      </c>
      <c r="E976" s="6" t="s">
        <v>2667</v>
      </c>
      <c r="G976" s="7">
        <v>20799</v>
      </c>
      <c r="H976" s="7">
        <v>23502.87</v>
      </c>
      <c r="I976" s="7">
        <f t="shared" si="75"/>
        <v>12895.38</v>
      </c>
      <c r="J976" s="7">
        <f t="shared" si="76"/>
        <v>13519.35</v>
      </c>
      <c r="K976" s="7">
        <f t="shared" si="77"/>
        <v>13935.33</v>
      </c>
      <c r="L976" s="7">
        <f t="shared" si="78"/>
        <v>14559.3</v>
      </c>
      <c r="M976" s="7">
        <f t="shared" si="79"/>
        <v>14975.28</v>
      </c>
    </row>
    <row r="977" ht="25.5" spans="1:13">
      <c r="A977" s="6" t="s">
        <v>22</v>
      </c>
      <c r="B977" s="6" t="s">
        <v>2668</v>
      </c>
      <c r="C977" s="6" t="s">
        <v>2669</v>
      </c>
      <c r="E977" s="6" t="s">
        <v>2670</v>
      </c>
      <c r="G977" s="7">
        <v>21449</v>
      </c>
      <c r="H977" s="7">
        <v>24237.37</v>
      </c>
      <c r="I977" s="7">
        <f t="shared" si="75"/>
        <v>13298.38</v>
      </c>
      <c r="J977" s="7">
        <f t="shared" si="76"/>
        <v>13941.85</v>
      </c>
      <c r="K977" s="7">
        <f t="shared" si="77"/>
        <v>14370.83</v>
      </c>
      <c r="L977" s="7">
        <f t="shared" si="78"/>
        <v>15014.3</v>
      </c>
      <c r="M977" s="7">
        <f t="shared" si="79"/>
        <v>15443.28</v>
      </c>
    </row>
    <row r="978" ht="25.5" spans="1:13">
      <c r="A978" s="6" t="s">
        <v>22</v>
      </c>
      <c r="B978" s="6" t="s">
        <v>2671</v>
      </c>
      <c r="C978" s="6" t="s">
        <v>2672</v>
      </c>
      <c r="E978" s="6" t="s">
        <v>2673</v>
      </c>
      <c r="G978" s="7">
        <v>24899</v>
      </c>
      <c r="H978" s="7">
        <v>28135.87</v>
      </c>
      <c r="I978" s="7">
        <f t="shared" si="75"/>
        <v>15437.38</v>
      </c>
      <c r="J978" s="7">
        <f t="shared" si="76"/>
        <v>16184.35</v>
      </c>
      <c r="K978" s="7">
        <f t="shared" si="77"/>
        <v>16682.33</v>
      </c>
      <c r="L978" s="7">
        <f t="shared" si="78"/>
        <v>17429.3</v>
      </c>
      <c r="M978" s="7">
        <f t="shared" si="79"/>
        <v>17927.28</v>
      </c>
    </row>
    <row r="979" ht="25.5" spans="1:13">
      <c r="A979" s="6" t="s">
        <v>22</v>
      </c>
      <c r="B979" s="6" t="s">
        <v>2674</v>
      </c>
      <c r="C979" s="6" t="s">
        <v>2675</v>
      </c>
      <c r="E979" s="6" t="s">
        <v>2676</v>
      </c>
      <c r="G979" s="7">
        <v>26099</v>
      </c>
      <c r="H979" s="7">
        <v>29491.87</v>
      </c>
      <c r="I979" s="7">
        <f t="shared" si="75"/>
        <v>16181.38</v>
      </c>
      <c r="J979" s="7">
        <f t="shared" si="76"/>
        <v>16964.35</v>
      </c>
      <c r="K979" s="7">
        <f t="shared" si="77"/>
        <v>17486.33</v>
      </c>
      <c r="L979" s="7">
        <f t="shared" si="78"/>
        <v>18269.3</v>
      </c>
      <c r="M979" s="7">
        <f t="shared" si="79"/>
        <v>18791.28</v>
      </c>
    </row>
    <row r="980" ht="25.5" spans="1:13">
      <c r="A980" s="6" t="s">
        <v>22</v>
      </c>
      <c r="B980" s="6" t="s">
        <v>2677</v>
      </c>
      <c r="C980" s="6" t="s">
        <v>2678</v>
      </c>
      <c r="E980" s="6" t="s">
        <v>2679</v>
      </c>
      <c r="G980" s="7">
        <v>39949</v>
      </c>
      <c r="H980" s="7">
        <v>45142.37</v>
      </c>
      <c r="I980" s="7">
        <f t="shared" si="75"/>
        <v>24768.38</v>
      </c>
      <c r="J980" s="7">
        <f t="shared" si="76"/>
        <v>25966.85</v>
      </c>
      <c r="K980" s="7">
        <f t="shared" si="77"/>
        <v>26765.83</v>
      </c>
      <c r="L980" s="7">
        <f t="shared" si="78"/>
        <v>27964.3</v>
      </c>
      <c r="M980" s="7">
        <f t="shared" si="79"/>
        <v>28763.28</v>
      </c>
    </row>
    <row r="981" ht="25.5" spans="1:13">
      <c r="A981" s="6" t="s">
        <v>25</v>
      </c>
      <c r="B981" s="6" t="s">
        <v>2680</v>
      </c>
      <c r="C981" s="6" t="s">
        <v>2681</v>
      </c>
      <c r="E981" s="6" t="s">
        <v>2682</v>
      </c>
      <c r="G981" s="7">
        <v>145.99</v>
      </c>
      <c r="H981" s="7">
        <v>164.9687</v>
      </c>
      <c r="I981" s="7">
        <f t="shared" si="75"/>
        <v>90.5138</v>
      </c>
      <c r="J981" s="7">
        <f t="shared" si="76"/>
        <v>94.8935</v>
      </c>
      <c r="K981" s="7">
        <f t="shared" si="77"/>
        <v>97.8133</v>
      </c>
      <c r="L981" s="7">
        <f t="shared" si="78"/>
        <v>102.193</v>
      </c>
      <c r="M981" s="7">
        <f t="shared" si="79"/>
        <v>105.1128</v>
      </c>
    </row>
    <row r="982" ht="25.5" spans="1:13">
      <c r="A982" s="6" t="s">
        <v>25</v>
      </c>
      <c r="B982" s="6" t="s">
        <v>2683</v>
      </c>
      <c r="C982" s="6" t="s">
        <v>2684</v>
      </c>
      <c r="E982" s="6" t="s">
        <v>2685</v>
      </c>
      <c r="G982" s="7">
        <v>80.99</v>
      </c>
      <c r="H982" s="7">
        <v>91.5187</v>
      </c>
      <c r="I982" s="7">
        <f t="shared" si="75"/>
        <v>50.2138</v>
      </c>
      <c r="J982" s="7">
        <f t="shared" si="76"/>
        <v>52.6435</v>
      </c>
      <c r="K982" s="7">
        <f t="shared" si="77"/>
        <v>54.2633</v>
      </c>
      <c r="L982" s="7">
        <f t="shared" si="78"/>
        <v>56.693</v>
      </c>
      <c r="M982" s="7">
        <f t="shared" si="79"/>
        <v>58.3128</v>
      </c>
    </row>
    <row r="983" spans="1:13">
      <c r="A983" s="6" t="s">
        <v>18</v>
      </c>
      <c r="B983" s="6" t="s">
        <v>2686</v>
      </c>
      <c r="C983" s="6" t="s">
        <v>2687</v>
      </c>
      <c r="E983" s="6" t="s">
        <v>2687</v>
      </c>
      <c r="G983" s="7">
        <v>499</v>
      </c>
      <c r="H983" s="7">
        <v>563.87</v>
      </c>
      <c r="I983" s="7">
        <f t="shared" si="75"/>
        <v>309.38</v>
      </c>
      <c r="J983" s="7">
        <f t="shared" si="76"/>
        <v>324.35</v>
      </c>
      <c r="K983" s="7">
        <f t="shared" si="77"/>
        <v>334.33</v>
      </c>
      <c r="L983" s="7">
        <f t="shared" si="78"/>
        <v>349.3</v>
      </c>
      <c r="M983" s="7">
        <f t="shared" si="79"/>
        <v>359.28</v>
      </c>
    </row>
    <row r="984" spans="1:13">
      <c r="A984" s="6" t="s">
        <v>18</v>
      </c>
      <c r="B984" s="6" t="s">
        <v>2688</v>
      </c>
      <c r="C984" s="6" t="s">
        <v>2689</v>
      </c>
      <c r="E984" s="6" t="s">
        <v>2689</v>
      </c>
      <c r="G984" s="7">
        <v>699</v>
      </c>
      <c r="H984" s="7">
        <v>789.87</v>
      </c>
      <c r="I984" s="7">
        <f t="shared" si="75"/>
        <v>433.38</v>
      </c>
      <c r="J984" s="7">
        <f t="shared" si="76"/>
        <v>454.35</v>
      </c>
      <c r="K984" s="7">
        <f t="shared" si="77"/>
        <v>468.33</v>
      </c>
      <c r="L984" s="7">
        <f t="shared" si="78"/>
        <v>489.3</v>
      </c>
      <c r="M984" s="7">
        <f t="shared" si="79"/>
        <v>503.28</v>
      </c>
    </row>
    <row r="985" ht="25.5" spans="1:13">
      <c r="A985" s="6" t="s">
        <v>18</v>
      </c>
      <c r="B985" s="6" t="s">
        <v>2690</v>
      </c>
      <c r="C985" s="6" t="s">
        <v>2691</v>
      </c>
      <c r="E985" s="6" t="s">
        <v>2692</v>
      </c>
      <c r="G985" s="7">
        <v>64.99</v>
      </c>
      <c r="H985" s="7">
        <v>73.4387</v>
      </c>
      <c r="I985" s="7">
        <f t="shared" si="75"/>
        <v>40.2938</v>
      </c>
      <c r="J985" s="7">
        <f t="shared" si="76"/>
        <v>42.2435</v>
      </c>
      <c r="K985" s="7">
        <f t="shared" si="77"/>
        <v>43.5433</v>
      </c>
      <c r="L985" s="7">
        <f t="shared" si="78"/>
        <v>45.493</v>
      </c>
      <c r="M985" s="7">
        <f t="shared" si="79"/>
        <v>46.7928</v>
      </c>
    </row>
    <row r="986" ht="25.5" spans="1:13">
      <c r="A986" s="6" t="s">
        <v>18</v>
      </c>
      <c r="B986" s="6" t="s">
        <v>2693</v>
      </c>
      <c r="C986" s="6" t="s">
        <v>2694</v>
      </c>
      <c r="E986" s="6" t="s">
        <v>2695</v>
      </c>
      <c r="G986" s="7">
        <v>62.9928</v>
      </c>
      <c r="H986" s="7">
        <v>71.181864</v>
      </c>
      <c r="I986" s="7">
        <f t="shared" si="75"/>
        <v>39.055536</v>
      </c>
      <c r="J986" s="7">
        <f t="shared" si="76"/>
        <v>40.94532</v>
      </c>
      <c r="K986" s="7">
        <f t="shared" si="77"/>
        <v>42.205176</v>
      </c>
      <c r="L986" s="7">
        <f t="shared" si="78"/>
        <v>44.09496</v>
      </c>
      <c r="M986" s="7">
        <f t="shared" si="79"/>
        <v>45.354816</v>
      </c>
    </row>
    <row r="987" ht="25.5" spans="1:13">
      <c r="A987" s="6" t="s">
        <v>18</v>
      </c>
      <c r="B987" s="6" t="s">
        <v>2696</v>
      </c>
      <c r="C987" s="6" t="s">
        <v>2697</v>
      </c>
      <c r="E987" s="6" t="s">
        <v>2698</v>
      </c>
      <c r="G987" s="7">
        <v>62.9928</v>
      </c>
      <c r="H987" s="7">
        <v>71.181864</v>
      </c>
      <c r="I987" s="7">
        <f t="shared" si="75"/>
        <v>39.055536</v>
      </c>
      <c r="J987" s="7">
        <f t="shared" si="76"/>
        <v>40.94532</v>
      </c>
      <c r="K987" s="7">
        <f t="shared" si="77"/>
        <v>42.205176</v>
      </c>
      <c r="L987" s="7">
        <f t="shared" si="78"/>
        <v>44.09496</v>
      </c>
      <c r="M987" s="7">
        <f t="shared" si="79"/>
        <v>45.354816</v>
      </c>
    </row>
    <row r="988" spans="1:13">
      <c r="A988" s="6" t="s">
        <v>18</v>
      </c>
      <c r="B988" s="6" t="s">
        <v>2699</v>
      </c>
      <c r="C988" s="6" t="s">
        <v>2700</v>
      </c>
      <c r="E988" s="6" t="s">
        <v>2701</v>
      </c>
      <c r="G988" s="7">
        <v>79</v>
      </c>
      <c r="H988" s="7">
        <v>89.27</v>
      </c>
      <c r="I988" s="7">
        <f t="shared" si="75"/>
        <v>48.98</v>
      </c>
      <c r="J988" s="7">
        <f t="shared" si="76"/>
        <v>51.35</v>
      </c>
      <c r="K988" s="7">
        <f t="shared" si="77"/>
        <v>52.93</v>
      </c>
      <c r="L988" s="7">
        <f t="shared" si="78"/>
        <v>55.3</v>
      </c>
      <c r="M988" s="7">
        <f t="shared" si="79"/>
        <v>56.88</v>
      </c>
    </row>
    <row r="989" spans="1:13">
      <c r="A989" s="6" t="s">
        <v>25</v>
      </c>
      <c r="B989" s="6" t="s">
        <v>2702</v>
      </c>
      <c r="C989" s="6" t="s">
        <v>2703</v>
      </c>
      <c r="E989" s="6" t="s">
        <v>2703</v>
      </c>
      <c r="G989" s="7">
        <v>749</v>
      </c>
      <c r="H989" s="7">
        <v>846.37</v>
      </c>
      <c r="I989" s="7">
        <f t="shared" si="75"/>
        <v>464.38</v>
      </c>
      <c r="J989" s="7">
        <f t="shared" si="76"/>
        <v>486.85</v>
      </c>
      <c r="K989" s="7">
        <f t="shared" si="77"/>
        <v>501.83</v>
      </c>
      <c r="L989" s="7">
        <f t="shared" si="78"/>
        <v>524.3</v>
      </c>
      <c r="M989" s="7">
        <f t="shared" si="79"/>
        <v>539.28</v>
      </c>
    </row>
    <row r="990" spans="1:13">
      <c r="A990" s="6" t="s">
        <v>18</v>
      </c>
      <c r="B990" s="6" t="s">
        <v>2704</v>
      </c>
      <c r="C990" s="6" t="s">
        <v>2705</v>
      </c>
      <c r="E990" s="6" t="s">
        <v>2706</v>
      </c>
      <c r="G990" s="7">
        <v>39</v>
      </c>
      <c r="H990" s="7">
        <v>44.07</v>
      </c>
      <c r="I990" s="7">
        <f t="shared" si="75"/>
        <v>24.18</v>
      </c>
      <c r="J990" s="7">
        <f t="shared" si="76"/>
        <v>25.35</v>
      </c>
      <c r="K990" s="7">
        <f t="shared" si="77"/>
        <v>26.13</v>
      </c>
      <c r="L990" s="7">
        <f t="shared" si="78"/>
        <v>27.3</v>
      </c>
      <c r="M990" s="7">
        <f t="shared" si="79"/>
        <v>28.08</v>
      </c>
    </row>
    <row r="991" spans="1:13">
      <c r="A991" s="6" t="s">
        <v>755</v>
      </c>
      <c r="B991" s="6" t="s">
        <v>2707</v>
      </c>
      <c r="C991" s="6" t="s">
        <v>2708</v>
      </c>
      <c r="E991" s="6" t="s">
        <v>2709</v>
      </c>
      <c r="G991" s="7">
        <v>249</v>
      </c>
      <c r="H991" s="7">
        <v>281.37</v>
      </c>
      <c r="I991" s="7">
        <f t="shared" si="75"/>
        <v>154.38</v>
      </c>
      <c r="J991" s="7">
        <f t="shared" si="76"/>
        <v>161.85</v>
      </c>
      <c r="K991" s="7">
        <f t="shared" si="77"/>
        <v>166.83</v>
      </c>
      <c r="L991" s="7">
        <f t="shared" si="78"/>
        <v>174.3</v>
      </c>
      <c r="M991" s="7">
        <f t="shared" si="79"/>
        <v>179.28</v>
      </c>
    </row>
    <row r="992" spans="1:13">
      <c r="A992" s="6" t="s">
        <v>755</v>
      </c>
      <c r="B992" s="6" t="s">
        <v>2710</v>
      </c>
      <c r="C992" s="6" t="s">
        <v>2711</v>
      </c>
      <c r="E992" s="6" t="s">
        <v>2712</v>
      </c>
      <c r="G992" s="7">
        <v>199</v>
      </c>
      <c r="H992" s="7">
        <v>224.87</v>
      </c>
      <c r="I992" s="7">
        <f t="shared" si="75"/>
        <v>123.38</v>
      </c>
      <c r="J992" s="7">
        <f t="shared" si="76"/>
        <v>129.35</v>
      </c>
      <c r="K992" s="7">
        <f t="shared" si="77"/>
        <v>133.33</v>
      </c>
      <c r="L992" s="7">
        <f t="shared" si="78"/>
        <v>139.3</v>
      </c>
      <c r="M992" s="7">
        <f t="shared" si="79"/>
        <v>143.28</v>
      </c>
    </row>
    <row r="993" spans="1:13">
      <c r="A993" s="6" t="s">
        <v>755</v>
      </c>
      <c r="B993" s="6" t="s">
        <v>2713</v>
      </c>
      <c r="C993" s="6" t="s">
        <v>2714</v>
      </c>
      <c r="E993" s="6" t="s">
        <v>2715</v>
      </c>
      <c r="G993" s="7">
        <v>199</v>
      </c>
      <c r="H993" s="7">
        <v>224.87</v>
      </c>
      <c r="I993" s="7">
        <f t="shared" si="75"/>
        <v>123.38</v>
      </c>
      <c r="J993" s="7">
        <f t="shared" si="76"/>
        <v>129.35</v>
      </c>
      <c r="K993" s="7">
        <f t="shared" si="77"/>
        <v>133.33</v>
      </c>
      <c r="L993" s="7">
        <f t="shared" si="78"/>
        <v>139.3</v>
      </c>
      <c r="M993" s="7">
        <f t="shared" si="79"/>
        <v>143.28</v>
      </c>
    </row>
    <row r="994" spans="1:13">
      <c r="A994" s="6" t="s">
        <v>755</v>
      </c>
      <c r="B994" s="6" t="s">
        <v>2716</v>
      </c>
      <c r="C994" s="6" t="s">
        <v>2717</v>
      </c>
      <c r="E994" s="6" t="s">
        <v>2718</v>
      </c>
      <c r="G994" s="7">
        <v>199</v>
      </c>
      <c r="H994" s="7">
        <v>224.87</v>
      </c>
      <c r="I994" s="7">
        <f t="shared" si="75"/>
        <v>123.38</v>
      </c>
      <c r="J994" s="7">
        <f t="shared" si="76"/>
        <v>129.35</v>
      </c>
      <c r="K994" s="7">
        <f t="shared" si="77"/>
        <v>133.33</v>
      </c>
      <c r="L994" s="7">
        <f t="shared" si="78"/>
        <v>139.3</v>
      </c>
      <c r="M994" s="7">
        <f t="shared" si="79"/>
        <v>143.28</v>
      </c>
    </row>
    <row r="995" spans="1:13">
      <c r="A995" s="6" t="s">
        <v>755</v>
      </c>
      <c r="B995" s="6" t="s">
        <v>2719</v>
      </c>
      <c r="C995" s="6" t="s">
        <v>2720</v>
      </c>
      <c r="E995" s="6" t="s">
        <v>2721</v>
      </c>
      <c r="G995" s="7">
        <v>249</v>
      </c>
      <c r="H995" s="7">
        <v>281.37</v>
      </c>
      <c r="I995" s="7">
        <f t="shared" si="75"/>
        <v>154.38</v>
      </c>
      <c r="J995" s="7">
        <f t="shared" si="76"/>
        <v>161.85</v>
      </c>
      <c r="K995" s="7">
        <f t="shared" si="77"/>
        <v>166.83</v>
      </c>
      <c r="L995" s="7">
        <f t="shared" si="78"/>
        <v>174.3</v>
      </c>
      <c r="M995" s="7">
        <f t="shared" si="79"/>
        <v>179.28</v>
      </c>
    </row>
    <row r="996" spans="1:13">
      <c r="A996" s="6" t="s">
        <v>755</v>
      </c>
      <c r="B996" s="6" t="s">
        <v>2722</v>
      </c>
      <c r="C996" s="6" t="s">
        <v>2723</v>
      </c>
      <c r="E996" s="6" t="s">
        <v>2724</v>
      </c>
      <c r="G996" s="7">
        <v>199</v>
      </c>
      <c r="H996" s="7">
        <v>224.87</v>
      </c>
      <c r="I996" s="7">
        <f t="shared" si="75"/>
        <v>123.38</v>
      </c>
      <c r="J996" s="7">
        <f t="shared" si="76"/>
        <v>129.35</v>
      </c>
      <c r="K996" s="7">
        <f t="shared" si="77"/>
        <v>133.33</v>
      </c>
      <c r="L996" s="7">
        <f t="shared" si="78"/>
        <v>139.3</v>
      </c>
      <c r="M996" s="7">
        <f t="shared" si="79"/>
        <v>143.28</v>
      </c>
    </row>
    <row r="997" spans="1:13">
      <c r="A997" s="6" t="s">
        <v>755</v>
      </c>
      <c r="B997" s="6" t="s">
        <v>2725</v>
      </c>
      <c r="C997" s="6" t="s">
        <v>2726</v>
      </c>
      <c r="E997" s="6" t="s">
        <v>872</v>
      </c>
      <c r="G997" s="7">
        <v>399</v>
      </c>
      <c r="H997" s="7">
        <v>450.87</v>
      </c>
      <c r="I997" s="7">
        <f t="shared" si="75"/>
        <v>247.38</v>
      </c>
      <c r="J997" s="7">
        <f t="shared" si="76"/>
        <v>259.35</v>
      </c>
      <c r="K997" s="7">
        <f t="shared" si="77"/>
        <v>267.33</v>
      </c>
      <c r="L997" s="7">
        <f t="shared" si="78"/>
        <v>279.3</v>
      </c>
      <c r="M997" s="7">
        <f t="shared" si="79"/>
        <v>287.28</v>
      </c>
    </row>
    <row r="998" spans="1:13">
      <c r="A998" s="6" t="s">
        <v>755</v>
      </c>
      <c r="B998" s="6" t="s">
        <v>2727</v>
      </c>
      <c r="C998" s="6" t="s">
        <v>2728</v>
      </c>
      <c r="E998" s="6" t="s">
        <v>878</v>
      </c>
      <c r="G998" s="7">
        <v>199</v>
      </c>
      <c r="H998" s="7">
        <v>224.87</v>
      </c>
      <c r="I998" s="7">
        <f t="shared" si="75"/>
        <v>123.38</v>
      </c>
      <c r="J998" s="7">
        <f t="shared" si="76"/>
        <v>129.35</v>
      </c>
      <c r="K998" s="7">
        <f t="shared" si="77"/>
        <v>133.33</v>
      </c>
      <c r="L998" s="7">
        <f t="shared" si="78"/>
        <v>139.3</v>
      </c>
      <c r="M998" s="7">
        <f t="shared" si="79"/>
        <v>143.28</v>
      </c>
    </row>
    <row r="999" spans="1:13">
      <c r="A999" s="6" t="s">
        <v>18</v>
      </c>
      <c r="B999" s="6" t="s">
        <v>2729</v>
      </c>
      <c r="C999" s="6" t="s">
        <v>2730</v>
      </c>
      <c r="E999" s="6" t="s">
        <v>2731</v>
      </c>
      <c r="G999" s="7">
        <v>1155</v>
      </c>
      <c r="H999" s="7">
        <v>1305.15</v>
      </c>
      <c r="I999" s="7">
        <f t="shared" si="75"/>
        <v>716.1</v>
      </c>
      <c r="J999" s="7">
        <f t="shared" si="76"/>
        <v>750.75</v>
      </c>
      <c r="K999" s="7">
        <f t="shared" si="77"/>
        <v>773.85</v>
      </c>
      <c r="L999" s="7">
        <f t="shared" si="78"/>
        <v>808.5</v>
      </c>
      <c r="M999" s="7">
        <f t="shared" si="79"/>
        <v>831.6</v>
      </c>
    </row>
    <row r="1000" ht="38.25" spans="1:13">
      <c r="A1000" s="6" t="s">
        <v>459</v>
      </c>
      <c r="B1000" s="6" t="s">
        <v>2732</v>
      </c>
      <c r="C1000" s="6" t="s">
        <v>2733</v>
      </c>
      <c r="E1000" s="6" t="s">
        <v>2734</v>
      </c>
      <c r="G1000" s="7">
        <v>2163</v>
      </c>
      <c r="H1000" s="7">
        <v>2444.19</v>
      </c>
      <c r="I1000" s="7">
        <f t="shared" si="75"/>
        <v>1341.06</v>
      </c>
      <c r="J1000" s="7">
        <f t="shared" si="76"/>
        <v>1405.95</v>
      </c>
      <c r="K1000" s="7">
        <f t="shared" si="77"/>
        <v>1449.21</v>
      </c>
      <c r="L1000" s="7">
        <f t="shared" si="78"/>
        <v>1514.1</v>
      </c>
      <c r="M1000" s="7">
        <f t="shared" si="79"/>
        <v>1557.36</v>
      </c>
    </row>
    <row r="1001" spans="1:13">
      <c r="A1001" s="6" t="s">
        <v>18</v>
      </c>
      <c r="B1001" s="6" t="s">
        <v>2735</v>
      </c>
      <c r="C1001" s="6" t="s">
        <v>2736</v>
      </c>
      <c r="E1001" s="6" t="s">
        <v>2736</v>
      </c>
      <c r="G1001" s="7">
        <v>693</v>
      </c>
      <c r="H1001" s="7">
        <v>783.09</v>
      </c>
      <c r="I1001" s="7">
        <f t="shared" si="75"/>
        <v>429.66</v>
      </c>
      <c r="J1001" s="7">
        <f t="shared" si="76"/>
        <v>450.45</v>
      </c>
      <c r="K1001" s="7">
        <f t="shared" si="77"/>
        <v>464.31</v>
      </c>
      <c r="L1001" s="7">
        <f t="shared" si="78"/>
        <v>485.1</v>
      </c>
      <c r="M1001" s="7">
        <f t="shared" si="79"/>
        <v>498.96</v>
      </c>
    </row>
    <row r="1002" ht="25.5" spans="1:13">
      <c r="A1002" s="6" t="s">
        <v>18</v>
      </c>
      <c r="B1002" s="6" t="s">
        <v>2737</v>
      </c>
      <c r="C1002" s="6" t="s">
        <v>2738</v>
      </c>
      <c r="E1002" s="6" t="s">
        <v>2739</v>
      </c>
      <c r="G1002" s="7">
        <v>410</v>
      </c>
      <c r="H1002" s="7">
        <v>463.3</v>
      </c>
      <c r="I1002" s="7">
        <f t="shared" si="75"/>
        <v>254.2</v>
      </c>
      <c r="J1002" s="7">
        <f t="shared" si="76"/>
        <v>266.5</v>
      </c>
      <c r="K1002" s="7">
        <f t="shared" si="77"/>
        <v>274.7</v>
      </c>
      <c r="L1002" s="7">
        <f t="shared" si="78"/>
        <v>287</v>
      </c>
      <c r="M1002" s="7">
        <f t="shared" si="79"/>
        <v>295.2</v>
      </c>
    </row>
    <row r="1003" ht="38.25" spans="1:13">
      <c r="A1003" s="6" t="s">
        <v>432</v>
      </c>
      <c r="B1003" s="6" t="s">
        <v>2740</v>
      </c>
      <c r="C1003" s="6" t="s">
        <v>2741</v>
      </c>
      <c r="E1003" s="6" t="s">
        <v>2742</v>
      </c>
      <c r="G1003" s="7">
        <v>399</v>
      </c>
      <c r="H1003" s="7">
        <v>450.87</v>
      </c>
      <c r="I1003" s="7">
        <f t="shared" si="75"/>
        <v>247.38</v>
      </c>
      <c r="J1003" s="7">
        <f t="shared" si="76"/>
        <v>259.35</v>
      </c>
      <c r="K1003" s="7">
        <f t="shared" si="77"/>
        <v>267.33</v>
      </c>
      <c r="L1003" s="7">
        <f t="shared" si="78"/>
        <v>279.3</v>
      </c>
      <c r="M1003" s="7">
        <f t="shared" si="79"/>
        <v>287.28</v>
      </c>
    </row>
    <row r="1004" ht="25.5" spans="1:13">
      <c r="A1004" s="6" t="s">
        <v>432</v>
      </c>
      <c r="B1004" s="6" t="s">
        <v>2743</v>
      </c>
      <c r="C1004" s="6" t="s">
        <v>2744</v>
      </c>
      <c r="E1004" s="6" t="s">
        <v>2745</v>
      </c>
      <c r="G1004" s="7">
        <v>380</v>
      </c>
      <c r="H1004" s="7">
        <v>429.4</v>
      </c>
      <c r="I1004" s="7">
        <f t="shared" si="75"/>
        <v>235.6</v>
      </c>
      <c r="J1004" s="7">
        <f t="shared" si="76"/>
        <v>247</v>
      </c>
      <c r="K1004" s="7">
        <f t="shared" si="77"/>
        <v>254.6</v>
      </c>
      <c r="L1004" s="7">
        <f t="shared" si="78"/>
        <v>266</v>
      </c>
      <c r="M1004" s="7">
        <f t="shared" si="79"/>
        <v>273.6</v>
      </c>
    </row>
    <row r="1005" ht="38.25" spans="1:13">
      <c r="A1005" s="6" t="s">
        <v>432</v>
      </c>
      <c r="B1005" s="6" t="s">
        <v>2746</v>
      </c>
      <c r="C1005" s="6" t="s">
        <v>2747</v>
      </c>
      <c r="E1005" s="6" t="s">
        <v>2748</v>
      </c>
      <c r="G1005" s="7">
        <v>399</v>
      </c>
      <c r="H1005" s="7">
        <v>450.87</v>
      </c>
      <c r="I1005" s="7">
        <f t="shared" si="75"/>
        <v>247.38</v>
      </c>
      <c r="J1005" s="7">
        <f t="shared" si="76"/>
        <v>259.35</v>
      </c>
      <c r="K1005" s="7">
        <f t="shared" si="77"/>
        <v>267.33</v>
      </c>
      <c r="L1005" s="7">
        <f t="shared" si="78"/>
        <v>279.3</v>
      </c>
      <c r="M1005" s="7">
        <f t="shared" si="79"/>
        <v>287.28</v>
      </c>
    </row>
    <row r="1006" spans="1:13">
      <c r="A1006" s="6" t="s">
        <v>18</v>
      </c>
      <c r="B1006" s="6" t="s">
        <v>2749</v>
      </c>
      <c r="C1006" s="6" t="s">
        <v>2750</v>
      </c>
      <c r="E1006" s="6" t="s">
        <v>2750</v>
      </c>
      <c r="G1006" s="7">
        <v>242</v>
      </c>
      <c r="H1006" s="7">
        <v>273.46</v>
      </c>
      <c r="I1006" s="7">
        <f t="shared" si="75"/>
        <v>150.04</v>
      </c>
      <c r="J1006" s="7">
        <f t="shared" si="76"/>
        <v>157.3</v>
      </c>
      <c r="K1006" s="7">
        <f t="shared" si="77"/>
        <v>162.14</v>
      </c>
      <c r="L1006" s="7">
        <f t="shared" si="78"/>
        <v>169.4</v>
      </c>
      <c r="M1006" s="7">
        <f t="shared" si="79"/>
        <v>174.24</v>
      </c>
    </row>
    <row r="1007" ht="25.5" spans="1:13">
      <c r="A1007" s="6" t="s">
        <v>432</v>
      </c>
      <c r="B1007" s="6" t="s">
        <v>2751</v>
      </c>
      <c r="C1007" s="6" t="s">
        <v>2752</v>
      </c>
      <c r="E1007" s="6" t="s">
        <v>2753</v>
      </c>
      <c r="G1007" s="7">
        <v>777</v>
      </c>
      <c r="H1007" s="7">
        <v>878.01</v>
      </c>
      <c r="I1007" s="7">
        <f t="shared" si="75"/>
        <v>481.74</v>
      </c>
      <c r="J1007" s="7">
        <f t="shared" si="76"/>
        <v>505.05</v>
      </c>
      <c r="K1007" s="7">
        <f t="shared" si="77"/>
        <v>520.59</v>
      </c>
      <c r="L1007" s="7">
        <f t="shared" si="78"/>
        <v>543.9</v>
      </c>
      <c r="M1007" s="7">
        <f t="shared" si="79"/>
        <v>559.44</v>
      </c>
    </row>
    <row r="1008" ht="25.5" spans="1:13">
      <c r="A1008" s="6" t="s">
        <v>45</v>
      </c>
      <c r="B1008" s="6" t="s">
        <v>2754</v>
      </c>
      <c r="C1008" s="6" t="s">
        <v>2755</v>
      </c>
      <c r="E1008" s="6" t="s">
        <v>2756</v>
      </c>
      <c r="G1008" s="7">
        <v>799</v>
      </c>
      <c r="H1008" s="7">
        <v>902.87</v>
      </c>
      <c r="I1008" s="7">
        <f t="shared" si="75"/>
        <v>495.38</v>
      </c>
      <c r="J1008" s="7">
        <f t="shared" si="76"/>
        <v>519.35</v>
      </c>
      <c r="K1008" s="7">
        <f t="shared" si="77"/>
        <v>535.33</v>
      </c>
      <c r="L1008" s="7">
        <f t="shared" si="78"/>
        <v>559.3</v>
      </c>
      <c r="M1008" s="7">
        <f t="shared" si="79"/>
        <v>575.28</v>
      </c>
    </row>
    <row r="1009" ht="25.5" spans="1:13">
      <c r="A1009" s="6" t="s">
        <v>733</v>
      </c>
      <c r="B1009" s="6" t="s">
        <v>2757</v>
      </c>
      <c r="C1009" s="6" t="s">
        <v>2758</v>
      </c>
      <c r="E1009" s="6" t="s">
        <v>2759</v>
      </c>
      <c r="G1009" s="7">
        <v>59</v>
      </c>
      <c r="H1009" s="7">
        <v>66.67</v>
      </c>
      <c r="I1009" s="7">
        <f t="shared" si="75"/>
        <v>36.58</v>
      </c>
      <c r="J1009" s="7">
        <f t="shared" si="76"/>
        <v>38.35</v>
      </c>
      <c r="K1009" s="7">
        <f t="shared" si="77"/>
        <v>39.53</v>
      </c>
      <c r="L1009" s="7">
        <f t="shared" si="78"/>
        <v>41.3</v>
      </c>
      <c r="M1009" s="7">
        <f t="shared" si="79"/>
        <v>42.48</v>
      </c>
    </row>
    <row r="1010" spans="1:13">
      <c r="A1010" s="6" t="s">
        <v>733</v>
      </c>
      <c r="B1010" s="6" t="s">
        <v>2760</v>
      </c>
      <c r="C1010" s="6" t="s">
        <v>2761</v>
      </c>
      <c r="E1010" s="6" t="s">
        <v>2762</v>
      </c>
      <c r="G1010" s="7">
        <v>59</v>
      </c>
      <c r="H1010" s="7">
        <v>66.67</v>
      </c>
      <c r="I1010" s="7">
        <f t="shared" si="75"/>
        <v>36.58</v>
      </c>
      <c r="J1010" s="7">
        <f t="shared" si="76"/>
        <v>38.35</v>
      </c>
      <c r="K1010" s="7">
        <f t="shared" si="77"/>
        <v>39.53</v>
      </c>
      <c r="L1010" s="7">
        <f t="shared" si="78"/>
        <v>41.3</v>
      </c>
      <c r="M1010" s="7">
        <f t="shared" si="79"/>
        <v>42.48</v>
      </c>
    </row>
    <row r="1011" ht="25.5" spans="1:13">
      <c r="A1011" s="6" t="s">
        <v>733</v>
      </c>
      <c r="B1011" s="6" t="s">
        <v>2763</v>
      </c>
      <c r="C1011" s="6" t="s">
        <v>2764</v>
      </c>
      <c r="E1011" s="6" t="s">
        <v>2765</v>
      </c>
      <c r="G1011" s="7">
        <v>39</v>
      </c>
      <c r="H1011" s="7">
        <v>44.07</v>
      </c>
      <c r="I1011" s="7">
        <f t="shared" si="75"/>
        <v>24.18</v>
      </c>
      <c r="J1011" s="7">
        <f t="shared" si="76"/>
        <v>25.35</v>
      </c>
      <c r="K1011" s="7">
        <f t="shared" si="77"/>
        <v>26.13</v>
      </c>
      <c r="L1011" s="7">
        <f t="shared" si="78"/>
        <v>27.3</v>
      </c>
      <c r="M1011" s="7">
        <f t="shared" si="79"/>
        <v>28.08</v>
      </c>
    </row>
    <row r="1012" ht="25.5" spans="1:13">
      <c r="A1012" s="6" t="s">
        <v>18</v>
      </c>
      <c r="B1012" s="6" t="s">
        <v>2766</v>
      </c>
      <c r="C1012" s="6" t="s">
        <v>2767</v>
      </c>
      <c r="E1012" s="6" t="s">
        <v>2768</v>
      </c>
      <c r="G1012" s="7">
        <v>59</v>
      </c>
      <c r="H1012" s="7">
        <v>66.67</v>
      </c>
      <c r="I1012" s="7">
        <f t="shared" si="75"/>
        <v>36.58</v>
      </c>
      <c r="J1012" s="7">
        <f t="shared" si="76"/>
        <v>38.35</v>
      </c>
      <c r="K1012" s="7">
        <f t="shared" si="77"/>
        <v>39.53</v>
      </c>
      <c r="L1012" s="7">
        <f t="shared" si="78"/>
        <v>41.3</v>
      </c>
      <c r="M1012" s="7">
        <f t="shared" si="79"/>
        <v>42.48</v>
      </c>
    </row>
    <row r="1013" ht="25.5" spans="1:13">
      <c r="A1013" s="6" t="s">
        <v>18</v>
      </c>
      <c r="B1013" s="6" t="s">
        <v>2769</v>
      </c>
      <c r="C1013" s="6" t="s">
        <v>2770</v>
      </c>
      <c r="E1013" s="6" t="s">
        <v>2771</v>
      </c>
      <c r="G1013" s="7">
        <v>119</v>
      </c>
      <c r="H1013" s="7">
        <v>134.47</v>
      </c>
      <c r="I1013" s="7">
        <f t="shared" si="75"/>
        <v>73.78</v>
      </c>
      <c r="J1013" s="7">
        <f t="shared" si="76"/>
        <v>77.35</v>
      </c>
      <c r="K1013" s="7">
        <f t="shared" si="77"/>
        <v>79.73</v>
      </c>
      <c r="L1013" s="7">
        <f t="shared" si="78"/>
        <v>83.3</v>
      </c>
      <c r="M1013" s="7">
        <f t="shared" si="79"/>
        <v>85.68</v>
      </c>
    </row>
    <row r="1014" spans="1:13">
      <c r="A1014" s="6" t="s">
        <v>18</v>
      </c>
      <c r="B1014" s="6" t="s">
        <v>2772</v>
      </c>
      <c r="C1014" s="6" t="s">
        <v>2773</v>
      </c>
      <c r="E1014" s="6" t="s">
        <v>2774</v>
      </c>
      <c r="G1014" s="7">
        <v>150</v>
      </c>
      <c r="H1014" s="7">
        <v>169.5</v>
      </c>
      <c r="I1014" s="7">
        <f t="shared" si="75"/>
        <v>93</v>
      </c>
      <c r="J1014" s="7">
        <f t="shared" si="76"/>
        <v>97.5</v>
      </c>
      <c r="K1014" s="7">
        <f t="shared" si="77"/>
        <v>100.5</v>
      </c>
      <c r="L1014" s="7">
        <f t="shared" si="78"/>
        <v>105</v>
      </c>
      <c r="M1014" s="7">
        <f t="shared" si="79"/>
        <v>108</v>
      </c>
    </row>
    <row r="1015" spans="1:13">
      <c r="A1015" s="6" t="s">
        <v>18</v>
      </c>
      <c r="B1015" s="6" t="s">
        <v>2775</v>
      </c>
      <c r="C1015" s="6" t="s">
        <v>2776</v>
      </c>
      <c r="E1015" s="6" t="s">
        <v>2776</v>
      </c>
      <c r="G1015" s="7">
        <v>61</v>
      </c>
      <c r="H1015" s="7">
        <v>68.93</v>
      </c>
      <c r="I1015" s="7">
        <f t="shared" si="75"/>
        <v>37.82</v>
      </c>
      <c r="J1015" s="7">
        <f t="shared" si="76"/>
        <v>39.65</v>
      </c>
      <c r="K1015" s="7">
        <f t="shared" si="77"/>
        <v>40.87</v>
      </c>
      <c r="L1015" s="7">
        <f t="shared" si="78"/>
        <v>42.7</v>
      </c>
      <c r="M1015" s="7">
        <f t="shared" si="79"/>
        <v>43.92</v>
      </c>
    </row>
    <row r="1016" spans="1:13">
      <c r="A1016" s="6" t="s">
        <v>18</v>
      </c>
      <c r="B1016" s="6" t="s">
        <v>2777</v>
      </c>
      <c r="C1016" s="6" t="s">
        <v>2778</v>
      </c>
      <c r="E1016" s="6" t="s">
        <v>2779</v>
      </c>
      <c r="G1016" s="7">
        <v>107</v>
      </c>
      <c r="H1016" s="7">
        <v>120.91</v>
      </c>
      <c r="I1016" s="7">
        <f t="shared" si="75"/>
        <v>66.34</v>
      </c>
      <c r="J1016" s="7">
        <f t="shared" si="76"/>
        <v>69.55</v>
      </c>
      <c r="K1016" s="7">
        <f t="shared" si="77"/>
        <v>71.69</v>
      </c>
      <c r="L1016" s="7">
        <f t="shared" si="78"/>
        <v>74.9</v>
      </c>
      <c r="M1016" s="7">
        <f t="shared" si="79"/>
        <v>77.04</v>
      </c>
    </row>
    <row r="1017" ht="38.25" spans="1:13">
      <c r="A1017" s="6" t="s">
        <v>1508</v>
      </c>
      <c r="B1017" s="6" t="s">
        <v>2780</v>
      </c>
      <c r="C1017" s="6" t="s">
        <v>2781</v>
      </c>
      <c r="E1017" s="6" t="s">
        <v>2782</v>
      </c>
      <c r="G1017" s="7">
        <v>987</v>
      </c>
      <c r="H1017" s="7">
        <v>1115.31</v>
      </c>
      <c r="I1017" s="7">
        <f t="shared" si="75"/>
        <v>611.94</v>
      </c>
      <c r="J1017" s="7">
        <f t="shared" si="76"/>
        <v>641.55</v>
      </c>
      <c r="K1017" s="7">
        <f t="shared" si="77"/>
        <v>661.29</v>
      </c>
      <c r="L1017" s="7">
        <f t="shared" si="78"/>
        <v>690.9</v>
      </c>
      <c r="M1017" s="7">
        <f t="shared" si="79"/>
        <v>710.64</v>
      </c>
    </row>
    <row r="1018" ht="51" spans="1:13">
      <c r="A1018" s="6" t="s">
        <v>1508</v>
      </c>
      <c r="B1018" s="6" t="s">
        <v>2783</v>
      </c>
      <c r="C1018" s="6" t="s">
        <v>2784</v>
      </c>
      <c r="E1018" s="6" t="s">
        <v>2785</v>
      </c>
      <c r="G1018" s="7">
        <v>1763</v>
      </c>
      <c r="H1018" s="7">
        <v>1992.19</v>
      </c>
      <c r="I1018" s="7">
        <f t="shared" si="75"/>
        <v>1093.06</v>
      </c>
      <c r="J1018" s="7">
        <f t="shared" si="76"/>
        <v>1145.95</v>
      </c>
      <c r="K1018" s="7">
        <f t="shared" si="77"/>
        <v>1181.21</v>
      </c>
      <c r="L1018" s="7">
        <f t="shared" si="78"/>
        <v>1234.1</v>
      </c>
      <c r="M1018" s="7">
        <f t="shared" si="79"/>
        <v>1269.36</v>
      </c>
    </row>
    <row r="1019" spans="1:13">
      <c r="A1019" s="6" t="s">
        <v>18</v>
      </c>
      <c r="B1019" s="6" t="s">
        <v>2786</v>
      </c>
      <c r="C1019" s="6" t="s">
        <v>2787</v>
      </c>
      <c r="E1019" s="6" t="s">
        <v>2787</v>
      </c>
      <c r="G1019" s="7">
        <v>19</v>
      </c>
      <c r="H1019" s="7">
        <v>21.47</v>
      </c>
      <c r="I1019" s="7">
        <f t="shared" si="75"/>
        <v>11.78</v>
      </c>
      <c r="J1019" s="7">
        <f t="shared" si="76"/>
        <v>12.35</v>
      </c>
      <c r="K1019" s="7">
        <f t="shared" si="77"/>
        <v>12.73</v>
      </c>
      <c r="L1019" s="7">
        <f t="shared" si="78"/>
        <v>13.3</v>
      </c>
      <c r="M1019" s="7">
        <f t="shared" si="79"/>
        <v>13.68</v>
      </c>
    </row>
    <row r="1020" spans="1:13">
      <c r="A1020" s="6" t="s">
        <v>18</v>
      </c>
      <c r="B1020" s="6" t="s">
        <v>2788</v>
      </c>
      <c r="C1020" s="6" t="s">
        <v>2789</v>
      </c>
      <c r="E1020" s="6" t="s">
        <v>2789</v>
      </c>
      <c r="G1020" s="7">
        <v>19</v>
      </c>
      <c r="H1020" s="7">
        <v>21.47</v>
      </c>
      <c r="I1020" s="7">
        <f t="shared" si="75"/>
        <v>11.78</v>
      </c>
      <c r="J1020" s="7">
        <f t="shared" si="76"/>
        <v>12.35</v>
      </c>
      <c r="K1020" s="7">
        <f t="shared" si="77"/>
        <v>12.73</v>
      </c>
      <c r="L1020" s="7">
        <f t="shared" si="78"/>
        <v>13.3</v>
      </c>
      <c r="M1020" s="7">
        <f t="shared" si="79"/>
        <v>13.68</v>
      </c>
    </row>
    <row r="1021" spans="1:13">
      <c r="A1021" s="6" t="s">
        <v>18</v>
      </c>
      <c r="B1021" s="6" t="s">
        <v>2790</v>
      </c>
      <c r="C1021" s="6" t="s">
        <v>2791</v>
      </c>
      <c r="E1021" s="6" t="s">
        <v>2791</v>
      </c>
      <c r="G1021" s="7">
        <v>59</v>
      </c>
      <c r="H1021" s="7">
        <v>66.67</v>
      </c>
      <c r="I1021" s="7">
        <f t="shared" si="75"/>
        <v>36.58</v>
      </c>
      <c r="J1021" s="7">
        <f t="shared" si="76"/>
        <v>38.35</v>
      </c>
      <c r="K1021" s="7">
        <f t="shared" si="77"/>
        <v>39.53</v>
      </c>
      <c r="L1021" s="7">
        <f t="shared" si="78"/>
        <v>41.3</v>
      </c>
      <c r="M1021" s="7">
        <f t="shared" si="79"/>
        <v>42.48</v>
      </c>
    </row>
    <row r="1022" spans="1:13">
      <c r="A1022" s="6" t="s">
        <v>18</v>
      </c>
      <c r="B1022" s="6" t="s">
        <v>2792</v>
      </c>
      <c r="C1022" s="6" t="s">
        <v>2793</v>
      </c>
      <c r="E1022" s="6" t="s">
        <v>2793</v>
      </c>
      <c r="G1022" s="7">
        <v>39</v>
      </c>
      <c r="H1022" s="7">
        <v>44.07</v>
      </c>
      <c r="I1022" s="7">
        <f t="shared" si="75"/>
        <v>24.18</v>
      </c>
      <c r="J1022" s="7">
        <f t="shared" si="76"/>
        <v>25.35</v>
      </c>
      <c r="K1022" s="7">
        <f t="shared" si="77"/>
        <v>26.13</v>
      </c>
      <c r="L1022" s="7">
        <f t="shared" si="78"/>
        <v>27.3</v>
      </c>
      <c r="M1022" s="7">
        <f t="shared" si="79"/>
        <v>28.08</v>
      </c>
    </row>
    <row r="1023" ht="51" spans="1:13">
      <c r="A1023" s="6" t="s">
        <v>1508</v>
      </c>
      <c r="B1023" s="6" t="s">
        <v>2794</v>
      </c>
      <c r="C1023" s="6" t="s">
        <v>2795</v>
      </c>
      <c r="E1023" s="6" t="s">
        <v>2796</v>
      </c>
      <c r="G1023" s="7">
        <v>549</v>
      </c>
      <c r="H1023" s="7">
        <v>620.37</v>
      </c>
      <c r="I1023" s="7">
        <f t="shared" si="75"/>
        <v>340.38</v>
      </c>
      <c r="J1023" s="7">
        <f t="shared" si="76"/>
        <v>356.85</v>
      </c>
      <c r="K1023" s="7">
        <f t="shared" si="77"/>
        <v>367.83</v>
      </c>
      <c r="L1023" s="7">
        <f t="shared" si="78"/>
        <v>384.3</v>
      </c>
      <c r="M1023" s="7">
        <f t="shared" si="79"/>
        <v>395.28</v>
      </c>
    </row>
    <row r="1024" spans="1:13">
      <c r="A1024" s="6" t="s">
        <v>18</v>
      </c>
      <c r="B1024" s="6" t="s">
        <v>2797</v>
      </c>
      <c r="C1024" s="6" t="s">
        <v>2798</v>
      </c>
      <c r="E1024" s="6" t="s">
        <v>2798</v>
      </c>
      <c r="G1024" s="7">
        <v>39</v>
      </c>
      <c r="H1024" s="7">
        <v>44.07</v>
      </c>
      <c r="I1024" s="7">
        <f t="shared" si="75"/>
        <v>24.18</v>
      </c>
      <c r="J1024" s="7">
        <f t="shared" si="76"/>
        <v>25.35</v>
      </c>
      <c r="K1024" s="7">
        <f t="shared" si="77"/>
        <v>26.13</v>
      </c>
      <c r="L1024" s="7">
        <f t="shared" si="78"/>
        <v>27.3</v>
      </c>
      <c r="M1024" s="7">
        <f t="shared" si="79"/>
        <v>28.08</v>
      </c>
    </row>
    <row r="1025" spans="1:13">
      <c r="A1025" s="6" t="s">
        <v>18</v>
      </c>
      <c r="B1025" s="6" t="s">
        <v>2799</v>
      </c>
      <c r="C1025" s="6" t="s">
        <v>2800</v>
      </c>
      <c r="E1025" s="6" t="s">
        <v>2800</v>
      </c>
      <c r="G1025" s="7">
        <v>25</v>
      </c>
      <c r="H1025" s="7">
        <v>28.25</v>
      </c>
      <c r="I1025" s="7">
        <f t="shared" si="75"/>
        <v>15.5</v>
      </c>
      <c r="J1025" s="7">
        <f t="shared" si="76"/>
        <v>16.25</v>
      </c>
      <c r="K1025" s="7">
        <f t="shared" si="77"/>
        <v>16.75</v>
      </c>
      <c r="L1025" s="7">
        <f t="shared" si="78"/>
        <v>17.5</v>
      </c>
      <c r="M1025" s="7">
        <f t="shared" si="79"/>
        <v>18</v>
      </c>
    </row>
    <row r="1026" ht="63.75" spans="1:13">
      <c r="A1026" s="6" t="s">
        <v>1508</v>
      </c>
      <c r="B1026" s="6" t="s">
        <v>2801</v>
      </c>
      <c r="C1026" s="6" t="s">
        <v>2802</v>
      </c>
      <c r="E1026" s="6" t="s">
        <v>2803</v>
      </c>
      <c r="G1026" s="7">
        <v>949</v>
      </c>
      <c r="H1026" s="7">
        <v>1072.37</v>
      </c>
      <c r="I1026" s="7">
        <f t="shared" ref="I1026:I1089" si="80">G1026*0.62</f>
        <v>588.38</v>
      </c>
      <c r="J1026" s="7">
        <f t="shared" ref="J1026:J1089" si="81">G1026*0.65</f>
        <v>616.85</v>
      </c>
      <c r="K1026" s="7">
        <f t="shared" ref="K1026:K1089" si="82">G1026*0.67</f>
        <v>635.83</v>
      </c>
      <c r="L1026" s="7">
        <f t="shared" ref="L1026:L1089" si="83">G1026*0.7</f>
        <v>664.3</v>
      </c>
      <c r="M1026" s="7">
        <f t="shared" ref="M1026:M1089" si="84">G1026*0.72</f>
        <v>683.28</v>
      </c>
    </row>
    <row r="1027" ht="38.25" spans="1:13">
      <c r="A1027" s="6" t="s">
        <v>18</v>
      </c>
      <c r="B1027" s="6" t="s">
        <v>2804</v>
      </c>
      <c r="C1027" s="6" t="s">
        <v>2805</v>
      </c>
      <c r="E1027" s="6" t="s">
        <v>2806</v>
      </c>
      <c r="G1027" s="7">
        <v>119</v>
      </c>
      <c r="H1027" s="7">
        <v>134.47</v>
      </c>
      <c r="I1027" s="7">
        <f t="shared" si="80"/>
        <v>73.78</v>
      </c>
      <c r="J1027" s="7">
        <f t="shared" si="81"/>
        <v>77.35</v>
      </c>
      <c r="K1027" s="7">
        <f t="shared" si="82"/>
        <v>79.73</v>
      </c>
      <c r="L1027" s="7">
        <f t="shared" si="83"/>
        <v>83.3</v>
      </c>
      <c r="M1027" s="7">
        <f t="shared" si="84"/>
        <v>85.68</v>
      </c>
    </row>
    <row r="1028" spans="1:13">
      <c r="A1028" s="6" t="s">
        <v>18</v>
      </c>
      <c r="B1028" s="6" t="s">
        <v>2807</v>
      </c>
      <c r="C1028" s="6" t="s">
        <v>2808</v>
      </c>
      <c r="E1028" s="6" t="s">
        <v>2808</v>
      </c>
      <c r="G1028" s="7">
        <v>39</v>
      </c>
      <c r="H1028" s="7">
        <v>44.07</v>
      </c>
      <c r="I1028" s="7">
        <f t="shared" si="80"/>
        <v>24.18</v>
      </c>
      <c r="J1028" s="7">
        <f t="shared" si="81"/>
        <v>25.35</v>
      </c>
      <c r="K1028" s="7">
        <f t="shared" si="82"/>
        <v>26.13</v>
      </c>
      <c r="L1028" s="7">
        <f t="shared" si="83"/>
        <v>27.3</v>
      </c>
      <c r="M1028" s="7">
        <f t="shared" si="84"/>
        <v>28.08</v>
      </c>
    </row>
    <row r="1029" spans="1:13">
      <c r="A1029" s="6" t="s">
        <v>18</v>
      </c>
      <c r="B1029" s="6" t="s">
        <v>2809</v>
      </c>
      <c r="C1029" s="6" t="s">
        <v>2810</v>
      </c>
      <c r="E1029" s="6" t="s">
        <v>2811</v>
      </c>
      <c r="G1029" s="7">
        <v>19</v>
      </c>
      <c r="H1029" s="7">
        <v>21.47</v>
      </c>
      <c r="I1029" s="7">
        <f t="shared" si="80"/>
        <v>11.78</v>
      </c>
      <c r="J1029" s="7">
        <f t="shared" si="81"/>
        <v>12.35</v>
      </c>
      <c r="K1029" s="7">
        <f t="shared" si="82"/>
        <v>12.73</v>
      </c>
      <c r="L1029" s="7">
        <f t="shared" si="83"/>
        <v>13.3</v>
      </c>
      <c r="M1029" s="7">
        <f t="shared" si="84"/>
        <v>13.68</v>
      </c>
    </row>
    <row r="1030" ht="25.5" spans="1:13">
      <c r="A1030" s="6" t="s">
        <v>18</v>
      </c>
      <c r="B1030" s="6" t="s">
        <v>2812</v>
      </c>
      <c r="C1030" s="6" t="s">
        <v>2813</v>
      </c>
      <c r="E1030" s="6" t="s">
        <v>2814</v>
      </c>
      <c r="G1030" s="7">
        <v>19</v>
      </c>
      <c r="H1030" s="7">
        <v>21.47</v>
      </c>
      <c r="I1030" s="7">
        <f t="shared" si="80"/>
        <v>11.78</v>
      </c>
      <c r="J1030" s="7">
        <f t="shared" si="81"/>
        <v>12.35</v>
      </c>
      <c r="K1030" s="7">
        <f t="shared" si="82"/>
        <v>12.73</v>
      </c>
      <c r="L1030" s="7">
        <f t="shared" si="83"/>
        <v>13.3</v>
      </c>
      <c r="M1030" s="7">
        <f t="shared" si="84"/>
        <v>13.68</v>
      </c>
    </row>
    <row r="1031" spans="1:13">
      <c r="A1031" s="6" t="s">
        <v>18</v>
      </c>
      <c r="B1031" s="6" t="s">
        <v>2815</v>
      </c>
      <c r="C1031" s="6" t="s">
        <v>2816</v>
      </c>
      <c r="E1031" s="6" t="s">
        <v>2817</v>
      </c>
      <c r="G1031" s="7">
        <v>39</v>
      </c>
      <c r="H1031" s="7">
        <v>44.07</v>
      </c>
      <c r="I1031" s="7">
        <f t="shared" si="80"/>
        <v>24.18</v>
      </c>
      <c r="J1031" s="7">
        <f t="shared" si="81"/>
        <v>25.35</v>
      </c>
      <c r="K1031" s="7">
        <f t="shared" si="82"/>
        <v>26.13</v>
      </c>
      <c r="L1031" s="7">
        <f t="shared" si="83"/>
        <v>27.3</v>
      </c>
      <c r="M1031" s="7">
        <f t="shared" si="84"/>
        <v>28.08</v>
      </c>
    </row>
    <row r="1032" ht="51" spans="1:13">
      <c r="A1032" s="6" t="s">
        <v>1508</v>
      </c>
      <c r="B1032" s="6" t="s">
        <v>2818</v>
      </c>
      <c r="C1032" s="6" t="s">
        <v>2819</v>
      </c>
      <c r="E1032" s="6" t="s">
        <v>2820</v>
      </c>
      <c r="G1032" s="7">
        <v>1599</v>
      </c>
      <c r="H1032" s="7">
        <v>1806.87</v>
      </c>
      <c r="I1032" s="7">
        <f t="shared" si="80"/>
        <v>991.38</v>
      </c>
      <c r="J1032" s="7">
        <f t="shared" si="81"/>
        <v>1039.35</v>
      </c>
      <c r="K1032" s="7">
        <f t="shared" si="82"/>
        <v>1071.33</v>
      </c>
      <c r="L1032" s="7">
        <f t="shared" si="83"/>
        <v>1119.3</v>
      </c>
      <c r="M1032" s="7">
        <f t="shared" si="84"/>
        <v>1151.28</v>
      </c>
    </row>
    <row r="1033" ht="51" spans="1:13">
      <c r="A1033" s="6" t="s">
        <v>1508</v>
      </c>
      <c r="B1033" s="6" t="s">
        <v>2821</v>
      </c>
      <c r="C1033" s="6" t="s">
        <v>2822</v>
      </c>
      <c r="E1033" s="6" t="s">
        <v>2823</v>
      </c>
      <c r="G1033" s="7">
        <v>1699</v>
      </c>
      <c r="H1033" s="7">
        <v>1919.87</v>
      </c>
      <c r="I1033" s="7">
        <f t="shared" si="80"/>
        <v>1053.38</v>
      </c>
      <c r="J1033" s="7">
        <f t="shared" si="81"/>
        <v>1104.35</v>
      </c>
      <c r="K1033" s="7">
        <f t="shared" si="82"/>
        <v>1138.33</v>
      </c>
      <c r="L1033" s="7">
        <f t="shared" si="83"/>
        <v>1189.3</v>
      </c>
      <c r="M1033" s="7">
        <f t="shared" si="84"/>
        <v>1223.28</v>
      </c>
    </row>
    <row r="1034" ht="25.5" spans="1:13">
      <c r="A1034" s="6" t="s">
        <v>18</v>
      </c>
      <c r="B1034" s="6" t="s">
        <v>2824</v>
      </c>
      <c r="C1034" s="6" t="s">
        <v>2825</v>
      </c>
      <c r="E1034" s="6" t="s">
        <v>2826</v>
      </c>
      <c r="G1034" s="7">
        <v>129</v>
      </c>
      <c r="H1034" s="7">
        <v>145.77</v>
      </c>
      <c r="I1034" s="7">
        <f t="shared" si="80"/>
        <v>79.98</v>
      </c>
      <c r="J1034" s="7">
        <f t="shared" si="81"/>
        <v>83.85</v>
      </c>
      <c r="K1034" s="7">
        <f t="shared" si="82"/>
        <v>86.43</v>
      </c>
      <c r="L1034" s="7">
        <f t="shared" si="83"/>
        <v>90.3</v>
      </c>
      <c r="M1034" s="7">
        <f t="shared" si="84"/>
        <v>92.88</v>
      </c>
    </row>
    <row r="1035" ht="51" spans="1:13">
      <c r="A1035" s="6" t="s">
        <v>376</v>
      </c>
      <c r="B1035" s="6" t="s">
        <v>2827</v>
      </c>
      <c r="C1035" s="6" t="s">
        <v>2828</v>
      </c>
      <c r="E1035" s="6" t="s">
        <v>2829</v>
      </c>
      <c r="G1035" s="7">
        <v>1299</v>
      </c>
      <c r="H1035" s="7">
        <v>1467.87</v>
      </c>
      <c r="I1035" s="7">
        <f t="shared" si="80"/>
        <v>805.38</v>
      </c>
      <c r="J1035" s="7">
        <f t="shared" si="81"/>
        <v>844.35</v>
      </c>
      <c r="K1035" s="7">
        <f t="shared" si="82"/>
        <v>870.33</v>
      </c>
      <c r="L1035" s="7">
        <f t="shared" si="83"/>
        <v>909.3</v>
      </c>
      <c r="M1035" s="7">
        <f t="shared" si="84"/>
        <v>935.28</v>
      </c>
    </row>
    <row r="1036" spans="1:13">
      <c r="A1036" s="6" t="s">
        <v>18</v>
      </c>
      <c r="B1036" s="6" t="s">
        <v>2830</v>
      </c>
      <c r="C1036" s="6" t="s">
        <v>2831</v>
      </c>
      <c r="E1036" s="6" t="s">
        <v>2832</v>
      </c>
      <c r="G1036" s="7">
        <v>389</v>
      </c>
      <c r="H1036" s="7">
        <v>439.57</v>
      </c>
      <c r="I1036" s="7">
        <f t="shared" si="80"/>
        <v>241.18</v>
      </c>
      <c r="J1036" s="7">
        <f t="shared" si="81"/>
        <v>252.85</v>
      </c>
      <c r="K1036" s="7">
        <f t="shared" si="82"/>
        <v>260.63</v>
      </c>
      <c r="L1036" s="7">
        <f t="shared" si="83"/>
        <v>272.3</v>
      </c>
      <c r="M1036" s="7">
        <f t="shared" si="84"/>
        <v>280.08</v>
      </c>
    </row>
    <row r="1037" spans="1:13">
      <c r="A1037" s="6" t="s">
        <v>18</v>
      </c>
      <c r="B1037" s="6" t="s">
        <v>2833</v>
      </c>
      <c r="C1037" s="6" t="s">
        <v>2834</v>
      </c>
      <c r="E1037" s="6" t="s">
        <v>2835</v>
      </c>
      <c r="G1037" s="7">
        <v>79</v>
      </c>
      <c r="H1037" s="7">
        <v>89.27</v>
      </c>
      <c r="I1037" s="7">
        <f t="shared" si="80"/>
        <v>48.98</v>
      </c>
      <c r="J1037" s="7">
        <f t="shared" si="81"/>
        <v>51.35</v>
      </c>
      <c r="K1037" s="7">
        <f t="shared" si="82"/>
        <v>52.93</v>
      </c>
      <c r="L1037" s="7">
        <f t="shared" si="83"/>
        <v>55.3</v>
      </c>
      <c r="M1037" s="7">
        <f t="shared" si="84"/>
        <v>56.88</v>
      </c>
    </row>
    <row r="1038" ht="25.5" spans="1:13">
      <c r="A1038" s="6" t="s">
        <v>18</v>
      </c>
      <c r="B1038" s="6" t="s">
        <v>2836</v>
      </c>
      <c r="C1038" s="6" t="s">
        <v>2837</v>
      </c>
      <c r="E1038" s="6" t="s">
        <v>2838</v>
      </c>
      <c r="G1038" s="7">
        <v>39</v>
      </c>
      <c r="H1038" s="7">
        <v>44.07</v>
      </c>
      <c r="I1038" s="7">
        <f t="shared" si="80"/>
        <v>24.18</v>
      </c>
      <c r="J1038" s="7">
        <f t="shared" si="81"/>
        <v>25.35</v>
      </c>
      <c r="K1038" s="7">
        <f t="shared" si="82"/>
        <v>26.13</v>
      </c>
      <c r="L1038" s="7">
        <f t="shared" si="83"/>
        <v>27.3</v>
      </c>
      <c r="M1038" s="7">
        <f t="shared" si="84"/>
        <v>28.08</v>
      </c>
    </row>
    <row r="1039" ht="25.5" spans="1:13">
      <c r="A1039" s="6" t="s">
        <v>18</v>
      </c>
      <c r="B1039" s="6" t="s">
        <v>2839</v>
      </c>
      <c r="C1039" s="6" t="s">
        <v>2840</v>
      </c>
      <c r="E1039" s="6" t="s">
        <v>2841</v>
      </c>
      <c r="G1039" s="7">
        <v>21</v>
      </c>
      <c r="H1039" s="7">
        <v>23.73</v>
      </c>
      <c r="I1039" s="7">
        <f t="shared" si="80"/>
        <v>13.02</v>
      </c>
      <c r="J1039" s="7">
        <f t="shared" si="81"/>
        <v>13.65</v>
      </c>
      <c r="K1039" s="7">
        <f t="shared" si="82"/>
        <v>14.07</v>
      </c>
      <c r="L1039" s="7">
        <f t="shared" si="83"/>
        <v>14.7</v>
      </c>
      <c r="M1039" s="7">
        <f t="shared" si="84"/>
        <v>15.12</v>
      </c>
    </row>
    <row r="1040" spans="1:13">
      <c r="A1040" s="6" t="s">
        <v>18</v>
      </c>
      <c r="B1040" s="6" t="s">
        <v>2842</v>
      </c>
      <c r="C1040" s="6" t="s">
        <v>2843</v>
      </c>
      <c r="E1040" s="6" t="s">
        <v>2844</v>
      </c>
      <c r="G1040" s="7">
        <v>39</v>
      </c>
      <c r="H1040" s="7">
        <v>44.07</v>
      </c>
      <c r="I1040" s="7">
        <f t="shared" si="80"/>
        <v>24.18</v>
      </c>
      <c r="J1040" s="7">
        <f t="shared" si="81"/>
        <v>25.35</v>
      </c>
      <c r="K1040" s="7">
        <f t="shared" si="82"/>
        <v>26.13</v>
      </c>
      <c r="L1040" s="7">
        <f t="shared" si="83"/>
        <v>27.3</v>
      </c>
      <c r="M1040" s="7">
        <f t="shared" si="84"/>
        <v>28.08</v>
      </c>
    </row>
    <row r="1041" spans="1:13">
      <c r="A1041" s="6" t="s">
        <v>45</v>
      </c>
      <c r="B1041" s="6" t="s">
        <v>2845</v>
      </c>
      <c r="C1041" s="6" t="s">
        <v>2846</v>
      </c>
      <c r="E1041" s="6" t="s">
        <v>2847</v>
      </c>
      <c r="G1041" s="7">
        <v>39</v>
      </c>
      <c r="H1041" s="7">
        <v>44.07</v>
      </c>
      <c r="I1041" s="7">
        <f t="shared" si="80"/>
        <v>24.18</v>
      </c>
      <c r="J1041" s="7">
        <f t="shared" si="81"/>
        <v>25.35</v>
      </c>
      <c r="K1041" s="7">
        <f t="shared" si="82"/>
        <v>26.13</v>
      </c>
      <c r="L1041" s="7">
        <f t="shared" si="83"/>
        <v>27.3</v>
      </c>
      <c r="M1041" s="7">
        <f t="shared" si="84"/>
        <v>28.08</v>
      </c>
    </row>
    <row r="1042" spans="1:13">
      <c r="A1042" s="6" t="s">
        <v>18</v>
      </c>
      <c r="B1042" s="6" t="s">
        <v>2848</v>
      </c>
      <c r="C1042" s="6" t="s">
        <v>2849</v>
      </c>
      <c r="E1042" s="6" t="s">
        <v>2849</v>
      </c>
      <c r="G1042" s="7">
        <v>39</v>
      </c>
      <c r="H1042" s="7">
        <v>44.07</v>
      </c>
      <c r="I1042" s="7">
        <f t="shared" si="80"/>
        <v>24.18</v>
      </c>
      <c r="J1042" s="7">
        <f t="shared" si="81"/>
        <v>25.35</v>
      </c>
      <c r="K1042" s="7">
        <f t="shared" si="82"/>
        <v>26.13</v>
      </c>
      <c r="L1042" s="7">
        <f t="shared" si="83"/>
        <v>27.3</v>
      </c>
      <c r="M1042" s="7">
        <f t="shared" si="84"/>
        <v>28.08</v>
      </c>
    </row>
    <row r="1043" spans="1:13">
      <c r="A1043" s="6" t="s">
        <v>18</v>
      </c>
      <c r="B1043" s="6" t="s">
        <v>2850</v>
      </c>
      <c r="C1043" s="6" t="s">
        <v>2851</v>
      </c>
      <c r="E1043" s="6" t="s">
        <v>2851</v>
      </c>
      <c r="G1043" s="7">
        <v>39</v>
      </c>
      <c r="H1043" s="7">
        <v>44.07</v>
      </c>
      <c r="I1043" s="7">
        <f t="shared" si="80"/>
        <v>24.18</v>
      </c>
      <c r="J1043" s="7">
        <f t="shared" si="81"/>
        <v>25.35</v>
      </c>
      <c r="K1043" s="7">
        <f t="shared" si="82"/>
        <v>26.13</v>
      </c>
      <c r="L1043" s="7">
        <f t="shared" si="83"/>
        <v>27.3</v>
      </c>
      <c r="M1043" s="7">
        <f t="shared" si="84"/>
        <v>28.08</v>
      </c>
    </row>
    <row r="1044" spans="1:13">
      <c r="A1044" s="6" t="s">
        <v>45</v>
      </c>
      <c r="B1044" s="6" t="s">
        <v>2852</v>
      </c>
      <c r="C1044" s="6" t="s">
        <v>2853</v>
      </c>
      <c r="E1044" s="6" t="s">
        <v>2853</v>
      </c>
      <c r="G1044" s="7">
        <v>31.5</v>
      </c>
      <c r="H1044" s="7">
        <v>35.595</v>
      </c>
      <c r="I1044" s="7">
        <f t="shared" si="80"/>
        <v>19.53</v>
      </c>
      <c r="J1044" s="7">
        <f t="shared" si="81"/>
        <v>20.475</v>
      </c>
      <c r="K1044" s="7">
        <f t="shared" si="82"/>
        <v>21.105</v>
      </c>
      <c r="L1044" s="7">
        <f t="shared" si="83"/>
        <v>22.05</v>
      </c>
      <c r="M1044" s="7">
        <f t="shared" si="84"/>
        <v>22.68</v>
      </c>
    </row>
    <row r="1045" ht="51" spans="1:13">
      <c r="A1045" s="6" t="s">
        <v>376</v>
      </c>
      <c r="B1045" s="6" t="s">
        <v>2854</v>
      </c>
      <c r="C1045" s="6" t="s">
        <v>2855</v>
      </c>
      <c r="E1045" s="6" t="s">
        <v>2856</v>
      </c>
      <c r="G1045" s="7">
        <v>3799</v>
      </c>
      <c r="H1045" s="7">
        <v>4292.87</v>
      </c>
      <c r="I1045" s="7">
        <f t="shared" si="80"/>
        <v>2355.38</v>
      </c>
      <c r="J1045" s="7">
        <f t="shared" si="81"/>
        <v>2469.35</v>
      </c>
      <c r="K1045" s="7">
        <f t="shared" si="82"/>
        <v>2545.33</v>
      </c>
      <c r="L1045" s="7">
        <f t="shared" si="83"/>
        <v>2659.3</v>
      </c>
      <c r="M1045" s="7">
        <f t="shared" si="84"/>
        <v>2735.28</v>
      </c>
    </row>
    <row r="1046" ht="63.75" spans="1:13">
      <c r="A1046" s="6" t="s">
        <v>376</v>
      </c>
      <c r="B1046" s="6" t="s">
        <v>2857</v>
      </c>
      <c r="C1046" s="6" t="s">
        <v>2858</v>
      </c>
      <c r="E1046" s="6" t="s">
        <v>2859</v>
      </c>
      <c r="G1046" s="7">
        <v>3099</v>
      </c>
      <c r="H1046" s="7">
        <v>3501.87</v>
      </c>
      <c r="I1046" s="7">
        <f t="shared" si="80"/>
        <v>1921.38</v>
      </c>
      <c r="J1046" s="7">
        <f t="shared" si="81"/>
        <v>2014.35</v>
      </c>
      <c r="K1046" s="7">
        <f t="shared" si="82"/>
        <v>2076.33</v>
      </c>
      <c r="L1046" s="7">
        <f t="shared" si="83"/>
        <v>2169.3</v>
      </c>
      <c r="M1046" s="7">
        <f t="shared" si="84"/>
        <v>2231.28</v>
      </c>
    </row>
    <row r="1047" ht="63.75" spans="1:13">
      <c r="A1047" s="6" t="s">
        <v>376</v>
      </c>
      <c r="B1047" s="6" t="s">
        <v>2860</v>
      </c>
      <c r="C1047" s="6" t="s">
        <v>2861</v>
      </c>
      <c r="E1047" s="6" t="s">
        <v>2862</v>
      </c>
      <c r="G1047" s="7">
        <v>1599</v>
      </c>
      <c r="H1047" s="7">
        <v>1806.87</v>
      </c>
      <c r="I1047" s="7">
        <f t="shared" si="80"/>
        <v>991.38</v>
      </c>
      <c r="J1047" s="7">
        <f t="shared" si="81"/>
        <v>1039.35</v>
      </c>
      <c r="K1047" s="7">
        <f t="shared" si="82"/>
        <v>1071.33</v>
      </c>
      <c r="L1047" s="7">
        <f t="shared" si="83"/>
        <v>1119.3</v>
      </c>
      <c r="M1047" s="7">
        <f t="shared" si="84"/>
        <v>1151.28</v>
      </c>
    </row>
    <row r="1048" ht="38.25" spans="1:13">
      <c r="A1048" s="6" t="s">
        <v>432</v>
      </c>
      <c r="B1048" s="6" t="s">
        <v>2863</v>
      </c>
      <c r="C1048" s="6" t="s">
        <v>2864</v>
      </c>
      <c r="E1048" s="6" t="s">
        <v>2865</v>
      </c>
      <c r="G1048" s="7">
        <v>693</v>
      </c>
      <c r="H1048" s="7">
        <v>783.09</v>
      </c>
      <c r="I1048" s="7">
        <f t="shared" si="80"/>
        <v>429.66</v>
      </c>
      <c r="J1048" s="7">
        <f t="shared" si="81"/>
        <v>450.45</v>
      </c>
      <c r="K1048" s="7">
        <f t="shared" si="82"/>
        <v>464.31</v>
      </c>
      <c r="L1048" s="7">
        <f t="shared" si="83"/>
        <v>485.1</v>
      </c>
      <c r="M1048" s="7">
        <f t="shared" si="84"/>
        <v>498.96</v>
      </c>
    </row>
    <row r="1049" spans="1:13">
      <c r="A1049" s="6" t="s">
        <v>18</v>
      </c>
      <c r="B1049" s="6" t="s">
        <v>2866</v>
      </c>
      <c r="C1049" s="6" t="s">
        <v>2867</v>
      </c>
      <c r="E1049" s="6" t="s">
        <v>2868</v>
      </c>
      <c r="G1049" s="7">
        <v>99</v>
      </c>
      <c r="H1049" s="7">
        <v>111.87</v>
      </c>
      <c r="I1049" s="7">
        <f t="shared" si="80"/>
        <v>61.38</v>
      </c>
      <c r="J1049" s="7">
        <f t="shared" si="81"/>
        <v>64.35</v>
      </c>
      <c r="K1049" s="7">
        <f t="shared" si="82"/>
        <v>66.33</v>
      </c>
      <c r="L1049" s="7">
        <f t="shared" si="83"/>
        <v>69.3</v>
      </c>
      <c r="M1049" s="7">
        <f t="shared" si="84"/>
        <v>71.28</v>
      </c>
    </row>
    <row r="1050" spans="1:13">
      <c r="A1050" s="6" t="s">
        <v>18</v>
      </c>
      <c r="B1050" s="6" t="s">
        <v>2869</v>
      </c>
      <c r="C1050" s="6" t="s">
        <v>2870</v>
      </c>
      <c r="E1050" s="6" t="s">
        <v>2871</v>
      </c>
      <c r="G1050" s="7">
        <v>179</v>
      </c>
      <c r="H1050" s="7">
        <v>202.27</v>
      </c>
      <c r="I1050" s="7">
        <f t="shared" si="80"/>
        <v>110.98</v>
      </c>
      <c r="J1050" s="7">
        <f t="shared" si="81"/>
        <v>116.35</v>
      </c>
      <c r="K1050" s="7">
        <f t="shared" si="82"/>
        <v>119.93</v>
      </c>
      <c r="L1050" s="7">
        <f t="shared" si="83"/>
        <v>125.3</v>
      </c>
      <c r="M1050" s="7">
        <f t="shared" si="84"/>
        <v>128.88</v>
      </c>
    </row>
    <row r="1051" ht="51" spans="1:13">
      <c r="A1051" s="6" t="s">
        <v>376</v>
      </c>
      <c r="B1051" s="6" t="s">
        <v>2872</v>
      </c>
      <c r="C1051" s="6" t="s">
        <v>2873</v>
      </c>
      <c r="E1051" s="6" t="s">
        <v>2874</v>
      </c>
      <c r="G1051" s="7">
        <v>2699</v>
      </c>
      <c r="H1051" s="7">
        <v>3049.87</v>
      </c>
      <c r="I1051" s="7">
        <f t="shared" si="80"/>
        <v>1673.38</v>
      </c>
      <c r="J1051" s="7">
        <f t="shared" si="81"/>
        <v>1754.35</v>
      </c>
      <c r="K1051" s="7">
        <f t="shared" si="82"/>
        <v>1808.33</v>
      </c>
      <c r="L1051" s="7">
        <f t="shared" si="83"/>
        <v>1889.3</v>
      </c>
      <c r="M1051" s="7">
        <f t="shared" si="84"/>
        <v>1943.28</v>
      </c>
    </row>
    <row r="1052" ht="38.25" spans="1:13">
      <c r="A1052" s="6" t="s">
        <v>686</v>
      </c>
      <c r="B1052" s="6" t="s">
        <v>2875</v>
      </c>
      <c r="C1052" s="6" t="s">
        <v>2876</v>
      </c>
      <c r="E1052" s="6" t="s">
        <v>2877</v>
      </c>
      <c r="G1052" s="7">
        <v>2099</v>
      </c>
      <c r="H1052" s="7">
        <v>2371.87</v>
      </c>
      <c r="I1052" s="7">
        <f t="shared" si="80"/>
        <v>1301.38</v>
      </c>
      <c r="J1052" s="7">
        <f t="shared" si="81"/>
        <v>1364.35</v>
      </c>
      <c r="K1052" s="7">
        <f t="shared" si="82"/>
        <v>1406.33</v>
      </c>
      <c r="L1052" s="7">
        <f t="shared" si="83"/>
        <v>1469.3</v>
      </c>
      <c r="M1052" s="7">
        <f t="shared" si="84"/>
        <v>1511.28</v>
      </c>
    </row>
    <row r="1053" spans="1:13">
      <c r="A1053" s="6" t="s">
        <v>18</v>
      </c>
      <c r="B1053" s="6" t="s">
        <v>2878</v>
      </c>
      <c r="C1053" s="6" t="s">
        <v>2879</v>
      </c>
      <c r="E1053" s="6" t="s">
        <v>2879</v>
      </c>
      <c r="G1053" s="7">
        <v>2394</v>
      </c>
      <c r="H1053" s="7">
        <v>2705.22</v>
      </c>
      <c r="I1053" s="7">
        <f t="shared" si="80"/>
        <v>1484.28</v>
      </c>
      <c r="J1053" s="7">
        <f t="shared" si="81"/>
        <v>1556.1</v>
      </c>
      <c r="K1053" s="7">
        <f t="shared" si="82"/>
        <v>1603.98</v>
      </c>
      <c r="L1053" s="7">
        <f t="shared" si="83"/>
        <v>1675.8</v>
      </c>
      <c r="M1053" s="7">
        <f t="shared" si="84"/>
        <v>1723.68</v>
      </c>
    </row>
    <row r="1054" spans="1:13">
      <c r="A1054" s="6" t="s">
        <v>18</v>
      </c>
      <c r="B1054" s="6" t="s">
        <v>2880</v>
      </c>
      <c r="C1054" s="6" t="s">
        <v>2881</v>
      </c>
      <c r="E1054" s="6" t="s">
        <v>2881</v>
      </c>
      <c r="G1054" s="7">
        <v>1008</v>
      </c>
      <c r="H1054" s="7">
        <v>1139.04</v>
      </c>
      <c r="I1054" s="7">
        <f t="shared" si="80"/>
        <v>624.96</v>
      </c>
      <c r="J1054" s="7">
        <f t="shared" si="81"/>
        <v>655.2</v>
      </c>
      <c r="K1054" s="7">
        <f t="shared" si="82"/>
        <v>675.36</v>
      </c>
      <c r="L1054" s="7">
        <f t="shared" si="83"/>
        <v>705.6</v>
      </c>
      <c r="M1054" s="7">
        <f t="shared" si="84"/>
        <v>725.76</v>
      </c>
    </row>
    <row r="1055" ht="51" spans="1:13">
      <c r="A1055" s="6" t="s">
        <v>18</v>
      </c>
      <c r="B1055" s="6" t="s">
        <v>2882</v>
      </c>
      <c r="C1055" s="6" t="s">
        <v>2883</v>
      </c>
      <c r="E1055" s="6" t="s">
        <v>2884</v>
      </c>
      <c r="G1055" s="7">
        <v>2951</v>
      </c>
      <c r="H1055" s="7">
        <v>3334.63</v>
      </c>
      <c r="I1055" s="7">
        <f t="shared" si="80"/>
        <v>1829.62</v>
      </c>
      <c r="J1055" s="7">
        <f t="shared" si="81"/>
        <v>1918.15</v>
      </c>
      <c r="K1055" s="7">
        <f t="shared" si="82"/>
        <v>1977.17</v>
      </c>
      <c r="L1055" s="7">
        <f t="shared" si="83"/>
        <v>2065.7</v>
      </c>
      <c r="M1055" s="7">
        <f t="shared" si="84"/>
        <v>2124.72</v>
      </c>
    </row>
    <row r="1056" spans="1:13">
      <c r="A1056" s="6" t="s">
        <v>18</v>
      </c>
      <c r="B1056" s="6" t="s">
        <v>2885</v>
      </c>
      <c r="C1056" s="6" t="s">
        <v>2886</v>
      </c>
      <c r="E1056" s="6" t="s">
        <v>2887</v>
      </c>
      <c r="G1056" s="7">
        <v>1355</v>
      </c>
      <c r="H1056" s="7">
        <v>1531.15</v>
      </c>
      <c r="I1056" s="7">
        <f t="shared" si="80"/>
        <v>840.1</v>
      </c>
      <c r="J1056" s="7">
        <f t="shared" si="81"/>
        <v>880.75</v>
      </c>
      <c r="K1056" s="7">
        <f t="shared" si="82"/>
        <v>907.85</v>
      </c>
      <c r="L1056" s="7">
        <f t="shared" si="83"/>
        <v>948.5</v>
      </c>
      <c r="M1056" s="7">
        <f t="shared" si="84"/>
        <v>975.6</v>
      </c>
    </row>
    <row r="1057" spans="1:13">
      <c r="A1057" s="6" t="s">
        <v>18</v>
      </c>
      <c r="B1057" s="6" t="s">
        <v>2888</v>
      </c>
      <c r="C1057" s="6" t="s">
        <v>2889</v>
      </c>
      <c r="E1057" s="6" t="s">
        <v>2890</v>
      </c>
      <c r="G1057" s="7">
        <v>4620</v>
      </c>
      <c r="H1057" s="7">
        <v>5220.6</v>
      </c>
      <c r="I1057" s="7">
        <f t="shared" si="80"/>
        <v>2864.4</v>
      </c>
      <c r="J1057" s="7">
        <f t="shared" si="81"/>
        <v>3003</v>
      </c>
      <c r="K1057" s="7">
        <f t="shared" si="82"/>
        <v>3095.4</v>
      </c>
      <c r="L1057" s="7">
        <f t="shared" si="83"/>
        <v>3234</v>
      </c>
      <c r="M1057" s="7">
        <f t="shared" si="84"/>
        <v>3326.4</v>
      </c>
    </row>
    <row r="1058" spans="1:13">
      <c r="A1058" s="6" t="s">
        <v>22</v>
      </c>
      <c r="B1058" s="6" t="s">
        <v>2891</v>
      </c>
      <c r="C1058" s="6" t="s">
        <v>2892</v>
      </c>
      <c r="E1058" s="6" t="s">
        <v>2893</v>
      </c>
      <c r="G1058" s="7">
        <v>16809</v>
      </c>
      <c r="H1058" s="7">
        <v>18994.17</v>
      </c>
      <c r="I1058" s="7">
        <f t="shared" si="80"/>
        <v>10421.58</v>
      </c>
      <c r="J1058" s="7">
        <f t="shared" si="81"/>
        <v>10925.85</v>
      </c>
      <c r="K1058" s="7">
        <f t="shared" si="82"/>
        <v>11262.03</v>
      </c>
      <c r="L1058" s="7">
        <f t="shared" si="83"/>
        <v>11766.3</v>
      </c>
      <c r="M1058" s="7">
        <f t="shared" si="84"/>
        <v>12102.48</v>
      </c>
    </row>
    <row r="1059" ht="25.5" spans="1:13">
      <c r="A1059" s="6" t="s">
        <v>22</v>
      </c>
      <c r="B1059" s="6" t="s">
        <v>2894</v>
      </c>
      <c r="C1059" s="6" t="s">
        <v>2895</v>
      </c>
      <c r="E1059" s="6" t="s">
        <v>2895</v>
      </c>
      <c r="G1059" s="7">
        <v>4242</v>
      </c>
      <c r="H1059" s="7">
        <v>4793.46</v>
      </c>
      <c r="I1059" s="7">
        <f t="shared" si="80"/>
        <v>2630.04</v>
      </c>
      <c r="J1059" s="7">
        <f t="shared" si="81"/>
        <v>2757.3</v>
      </c>
      <c r="K1059" s="7">
        <f t="shared" si="82"/>
        <v>2842.14</v>
      </c>
      <c r="L1059" s="7">
        <f t="shared" si="83"/>
        <v>2969.4</v>
      </c>
      <c r="M1059" s="7">
        <f t="shared" si="84"/>
        <v>3054.24</v>
      </c>
    </row>
    <row r="1060" ht="25.5" spans="1:13">
      <c r="A1060" s="6" t="s">
        <v>22</v>
      </c>
      <c r="B1060" s="6" t="s">
        <v>2896</v>
      </c>
      <c r="C1060" s="6" t="s">
        <v>2897</v>
      </c>
      <c r="E1060" s="6" t="s">
        <v>2898</v>
      </c>
      <c r="G1060" s="7">
        <v>945</v>
      </c>
      <c r="H1060" s="7">
        <v>1067.85</v>
      </c>
      <c r="I1060" s="7">
        <f t="shared" si="80"/>
        <v>585.9</v>
      </c>
      <c r="J1060" s="7">
        <f t="shared" si="81"/>
        <v>614.25</v>
      </c>
      <c r="K1060" s="7">
        <f t="shared" si="82"/>
        <v>633.15</v>
      </c>
      <c r="L1060" s="7">
        <f t="shared" si="83"/>
        <v>661.5</v>
      </c>
      <c r="M1060" s="7">
        <f t="shared" si="84"/>
        <v>680.4</v>
      </c>
    </row>
    <row r="1061" ht="25.5" spans="1:13">
      <c r="A1061" s="6" t="s">
        <v>22</v>
      </c>
      <c r="B1061" s="6" t="s">
        <v>2899</v>
      </c>
      <c r="C1061" s="6" t="s">
        <v>2900</v>
      </c>
      <c r="E1061" s="6" t="s">
        <v>2901</v>
      </c>
      <c r="G1061" s="7">
        <v>599</v>
      </c>
      <c r="H1061" s="7">
        <v>676.87</v>
      </c>
      <c r="I1061" s="7">
        <f t="shared" si="80"/>
        <v>371.38</v>
      </c>
      <c r="J1061" s="7">
        <f t="shared" si="81"/>
        <v>389.35</v>
      </c>
      <c r="K1061" s="7">
        <f t="shared" si="82"/>
        <v>401.33</v>
      </c>
      <c r="L1061" s="7">
        <f t="shared" si="83"/>
        <v>419.3</v>
      </c>
      <c r="M1061" s="7">
        <f t="shared" si="84"/>
        <v>431.28</v>
      </c>
    </row>
    <row r="1062" ht="25.5" spans="1:13">
      <c r="A1062" s="6" t="s">
        <v>22</v>
      </c>
      <c r="B1062" s="6" t="s">
        <v>2902</v>
      </c>
      <c r="C1062" s="6" t="s">
        <v>2903</v>
      </c>
      <c r="E1062" s="6" t="s">
        <v>2903</v>
      </c>
      <c r="G1062" s="7">
        <v>13058</v>
      </c>
      <c r="H1062" s="7">
        <v>14755.54</v>
      </c>
      <c r="I1062" s="7">
        <f t="shared" si="80"/>
        <v>8095.96</v>
      </c>
      <c r="J1062" s="7">
        <f t="shared" si="81"/>
        <v>8487.7</v>
      </c>
      <c r="K1062" s="7">
        <f t="shared" si="82"/>
        <v>8748.86</v>
      </c>
      <c r="L1062" s="7">
        <f t="shared" si="83"/>
        <v>9140.6</v>
      </c>
      <c r="M1062" s="7">
        <f t="shared" si="84"/>
        <v>9401.76</v>
      </c>
    </row>
    <row r="1063" ht="25.5" spans="1:13">
      <c r="A1063" s="6" t="s">
        <v>22</v>
      </c>
      <c r="B1063" s="6" t="s">
        <v>2904</v>
      </c>
      <c r="C1063" s="6" t="s">
        <v>2905</v>
      </c>
      <c r="E1063" s="6" t="s">
        <v>2906</v>
      </c>
      <c r="G1063" s="7">
        <v>13753</v>
      </c>
      <c r="H1063" s="7">
        <v>15540.89</v>
      </c>
      <c r="I1063" s="7">
        <f t="shared" si="80"/>
        <v>8526.86</v>
      </c>
      <c r="J1063" s="7">
        <f t="shared" si="81"/>
        <v>8939.45</v>
      </c>
      <c r="K1063" s="7">
        <f t="shared" si="82"/>
        <v>9214.51</v>
      </c>
      <c r="L1063" s="7">
        <f t="shared" si="83"/>
        <v>9627.1</v>
      </c>
      <c r="M1063" s="7">
        <f t="shared" si="84"/>
        <v>9902.16</v>
      </c>
    </row>
    <row r="1064" ht="25.5" spans="1:13">
      <c r="A1064" s="6" t="s">
        <v>45</v>
      </c>
      <c r="B1064" s="6" t="s">
        <v>2907</v>
      </c>
      <c r="C1064" s="6" t="s">
        <v>2908</v>
      </c>
      <c r="E1064" s="6" t="s">
        <v>2909</v>
      </c>
      <c r="G1064" s="7">
        <v>419</v>
      </c>
      <c r="H1064" s="7">
        <v>473.47</v>
      </c>
      <c r="I1064" s="7">
        <f t="shared" si="80"/>
        <v>259.78</v>
      </c>
      <c r="J1064" s="7">
        <f t="shared" si="81"/>
        <v>272.35</v>
      </c>
      <c r="K1064" s="7">
        <f t="shared" si="82"/>
        <v>280.73</v>
      </c>
      <c r="L1064" s="7">
        <f t="shared" si="83"/>
        <v>293.3</v>
      </c>
      <c r="M1064" s="7">
        <f t="shared" si="84"/>
        <v>301.68</v>
      </c>
    </row>
    <row r="1065" spans="1:13">
      <c r="A1065" s="6" t="s">
        <v>18</v>
      </c>
      <c r="B1065" s="6" t="s">
        <v>2910</v>
      </c>
      <c r="C1065" s="6" t="s">
        <v>2911</v>
      </c>
      <c r="E1065" s="6" t="s">
        <v>2912</v>
      </c>
      <c r="G1065" s="7">
        <v>104.99</v>
      </c>
      <c r="H1065" s="7">
        <v>118.6387</v>
      </c>
      <c r="I1065" s="7">
        <f t="shared" si="80"/>
        <v>65.0938</v>
      </c>
      <c r="J1065" s="7">
        <f t="shared" si="81"/>
        <v>68.2435</v>
      </c>
      <c r="K1065" s="7">
        <f t="shared" si="82"/>
        <v>70.3433</v>
      </c>
      <c r="L1065" s="7">
        <f t="shared" si="83"/>
        <v>73.493</v>
      </c>
      <c r="M1065" s="7">
        <f t="shared" si="84"/>
        <v>75.5928</v>
      </c>
    </row>
    <row r="1066" ht="51" spans="1:13">
      <c r="A1066" s="6" t="s">
        <v>432</v>
      </c>
      <c r="B1066" s="6" t="s">
        <v>2913</v>
      </c>
      <c r="C1066" s="6" t="s">
        <v>2914</v>
      </c>
      <c r="E1066" s="6" t="s">
        <v>2915</v>
      </c>
      <c r="G1066" s="7">
        <v>1949</v>
      </c>
      <c r="H1066" s="7">
        <v>2202.37</v>
      </c>
      <c r="I1066" s="7">
        <f t="shared" si="80"/>
        <v>1208.38</v>
      </c>
      <c r="J1066" s="7">
        <f t="shared" si="81"/>
        <v>1266.85</v>
      </c>
      <c r="K1066" s="7">
        <f t="shared" si="82"/>
        <v>1305.83</v>
      </c>
      <c r="L1066" s="7">
        <f t="shared" si="83"/>
        <v>1364.3</v>
      </c>
      <c r="M1066" s="7">
        <f t="shared" si="84"/>
        <v>1403.28</v>
      </c>
    </row>
    <row r="1067" ht="38.25" spans="1:13">
      <c r="A1067" s="6" t="s">
        <v>432</v>
      </c>
      <c r="B1067" s="6" t="s">
        <v>2916</v>
      </c>
      <c r="C1067" s="6" t="s">
        <v>2917</v>
      </c>
      <c r="E1067" s="6" t="s">
        <v>2918</v>
      </c>
      <c r="G1067" s="7">
        <v>1271</v>
      </c>
      <c r="H1067" s="7">
        <v>1436.23</v>
      </c>
      <c r="I1067" s="7">
        <f t="shared" si="80"/>
        <v>788.02</v>
      </c>
      <c r="J1067" s="7">
        <f t="shared" si="81"/>
        <v>826.15</v>
      </c>
      <c r="K1067" s="7">
        <f t="shared" si="82"/>
        <v>851.57</v>
      </c>
      <c r="L1067" s="7">
        <f t="shared" si="83"/>
        <v>889.7</v>
      </c>
      <c r="M1067" s="7">
        <f t="shared" si="84"/>
        <v>915.12</v>
      </c>
    </row>
    <row r="1068" ht="38.25" spans="1:13">
      <c r="A1068" s="6" t="s">
        <v>18</v>
      </c>
      <c r="B1068" s="6" t="s">
        <v>2919</v>
      </c>
      <c r="C1068" s="6" t="s">
        <v>2920</v>
      </c>
      <c r="E1068" s="6" t="s">
        <v>2921</v>
      </c>
      <c r="G1068" s="7">
        <v>987</v>
      </c>
      <c r="H1068" s="7">
        <v>1115.31</v>
      </c>
      <c r="I1068" s="7">
        <f t="shared" si="80"/>
        <v>611.94</v>
      </c>
      <c r="J1068" s="7">
        <f t="shared" si="81"/>
        <v>641.55</v>
      </c>
      <c r="K1068" s="7">
        <f t="shared" si="82"/>
        <v>661.29</v>
      </c>
      <c r="L1068" s="7">
        <f t="shared" si="83"/>
        <v>690.9</v>
      </c>
      <c r="M1068" s="7">
        <f t="shared" si="84"/>
        <v>710.64</v>
      </c>
    </row>
    <row r="1069" ht="38.25" spans="1:13">
      <c r="A1069" s="6" t="s">
        <v>748</v>
      </c>
      <c r="B1069" s="6" t="s">
        <v>2922</v>
      </c>
      <c r="C1069" s="6" t="s">
        <v>2923</v>
      </c>
      <c r="E1069" s="6" t="s">
        <v>2924</v>
      </c>
      <c r="G1069" s="7">
        <v>105</v>
      </c>
      <c r="H1069" s="7">
        <v>118.65</v>
      </c>
      <c r="I1069" s="7">
        <f t="shared" si="80"/>
        <v>65.1</v>
      </c>
      <c r="J1069" s="7">
        <f t="shared" si="81"/>
        <v>68.25</v>
      </c>
      <c r="K1069" s="7">
        <f t="shared" si="82"/>
        <v>70.35</v>
      </c>
      <c r="L1069" s="7">
        <f t="shared" si="83"/>
        <v>73.5</v>
      </c>
      <c r="M1069" s="7">
        <f t="shared" si="84"/>
        <v>75.6</v>
      </c>
    </row>
    <row r="1070" ht="38.25" spans="1:13">
      <c r="A1070" s="6" t="s">
        <v>18</v>
      </c>
      <c r="B1070" s="6" t="s">
        <v>2925</v>
      </c>
      <c r="C1070" s="6" t="s">
        <v>2926</v>
      </c>
      <c r="E1070" s="6" t="s">
        <v>2927</v>
      </c>
      <c r="G1070" s="7">
        <v>34</v>
      </c>
      <c r="H1070" s="7">
        <v>38.42</v>
      </c>
      <c r="I1070" s="7">
        <f t="shared" si="80"/>
        <v>21.08</v>
      </c>
      <c r="J1070" s="7">
        <f t="shared" si="81"/>
        <v>22.1</v>
      </c>
      <c r="K1070" s="7">
        <f t="shared" si="82"/>
        <v>22.78</v>
      </c>
      <c r="L1070" s="7">
        <f t="shared" si="83"/>
        <v>23.8</v>
      </c>
      <c r="M1070" s="7">
        <f t="shared" si="84"/>
        <v>24.48</v>
      </c>
    </row>
    <row r="1071" spans="1:13">
      <c r="A1071" s="6" t="s">
        <v>18</v>
      </c>
      <c r="B1071" s="6" t="s">
        <v>2928</v>
      </c>
      <c r="C1071" s="6" t="s">
        <v>2929</v>
      </c>
      <c r="E1071" s="6" t="s">
        <v>2929</v>
      </c>
      <c r="G1071" s="7">
        <v>499</v>
      </c>
      <c r="H1071" s="7">
        <v>563.87</v>
      </c>
      <c r="I1071" s="7">
        <f t="shared" si="80"/>
        <v>309.38</v>
      </c>
      <c r="J1071" s="7">
        <f t="shared" si="81"/>
        <v>324.35</v>
      </c>
      <c r="K1071" s="7">
        <f t="shared" si="82"/>
        <v>334.33</v>
      </c>
      <c r="L1071" s="7">
        <f t="shared" si="83"/>
        <v>349.3</v>
      </c>
      <c r="M1071" s="7">
        <f t="shared" si="84"/>
        <v>359.28</v>
      </c>
    </row>
    <row r="1072" spans="1:13">
      <c r="A1072" s="6" t="s">
        <v>459</v>
      </c>
      <c r="B1072" s="6" t="s">
        <v>2930</v>
      </c>
      <c r="C1072" s="6" t="s">
        <v>2931</v>
      </c>
      <c r="E1072" s="6" t="s">
        <v>2932</v>
      </c>
      <c r="G1072" s="7">
        <v>3881</v>
      </c>
      <c r="H1072" s="7">
        <v>4385.53</v>
      </c>
      <c r="I1072" s="7">
        <f t="shared" si="80"/>
        <v>2406.22</v>
      </c>
      <c r="J1072" s="7">
        <f t="shared" si="81"/>
        <v>2522.65</v>
      </c>
      <c r="K1072" s="7">
        <f t="shared" si="82"/>
        <v>2600.27</v>
      </c>
      <c r="L1072" s="7">
        <f t="shared" si="83"/>
        <v>2716.7</v>
      </c>
      <c r="M1072" s="7">
        <f t="shared" si="84"/>
        <v>2794.32</v>
      </c>
    </row>
    <row r="1073" ht="25.5" spans="1:13">
      <c r="A1073" s="6" t="s">
        <v>432</v>
      </c>
      <c r="B1073" s="6" t="s">
        <v>2933</v>
      </c>
      <c r="C1073" s="6" t="s">
        <v>2934</v>
      </c>
      <c r="E1073" s="6" t="s">
        <v>2935</v>
      </c>
      <c r="G1073" s="7">
        <v>1176</v>
      </c>
      <c r="H1073" s="7">
        <v>1328.88</v>
      </c>
      <c r="I1073" s="7">
        <f t="shared" si="80"/>
        <v>729.12</v>
      </c>
      <c r="J1073" s="7">
        <f t="shared" si="81"/>
        <v>764.4</v>
      </c>
      <c r="K1073" s="7">
        <f t="shared" si="82"/>
        <v>787.92</v>
      </c>
      <c r="L1073" s="7">
        <f t="shared" si="83"/>
        <v>823.2</v>
      </c>
      <c r="M1073" s="7">
        <f t="shared" si="84"/>
        <v>846.72</v>
      </c>
    </row>
    <row r="1074" ht="25.5" spans="1:13">
      <c r="A1074" s="6" t="s">
        <v>18</v>
      </c>
      <c r="B1074" s="6" t="s">
        <v>2936</v>
      </c>
      <c r="C1074" s="6" t="s">
        <v>2937</v>
      </c>
      <c r="E1074" s="6" t="s">
        <v>2938</v>
      </c>
      <c r="G1074" s="7">
        <v>987</v>
      </c>
      <c r="H1074" s="7">
        <v>1115.31</v>
      </c>
      <c r="I1074" s="7">
        <f t="shared" si="80"/>
        <v>611.94</v>
      </c>
      <c r="J1074" s="7">
        <f t="shared" si="81"/>
        <v>641.55</v>
      </c>
      <c r="K1074" s="7">
        <f t="shared" si="82"/>
        <v>661.29</v>
      </c>
      <c r="L1074" s="7">
        <f t="shared" si="83"/>
        <v>690.9</v>
      </c>
      <c r="M1074" s="7">
        <f t="shared" si="84"/>
        <v>710.64</v>
      </c>
    </row>
    <row r="1075" spans="1:13">
      <c r="A1075" s="6" t="s">
        <v>18</v>
      </c>
      <c r="B1075" s="6" t="s">
        <v>2939</v>
      </c>
      <c r="C1075" s="6" t="s">
        <v>2940</v>
      </c>
      <c r="E1075" s="6" t="s">
        <v>2941</v>
      </c>
      <c r="G1075" s="7">
        <v>129</v>
      </c>
      <c r="H1075" s="7">
        <v>145.77</v>
      </c>
      <c r="I1075" s="7">
        <f t="shared" si="80"/>
        <v>79.98</v>
      </c>
      <c r="J1075" s="7">
        <f t="shared" si="81"/>
        <v>83.85</v>
      </c>
      <c r="K1075" s="7">
        <f t="shared" si="82"/>
        <v>86.43</v>
      </c>
      <c r="L1075" s="7">
        <f t="shared" si="83"/>
        <v>90.3</v>
      </c>
      <c r="M1075" s="7">
        <f t="shared" si="84"/>
        <v>92.88</v>
      </c>
    </row>
    <row r="1076" spans="1:13">
      <c r="A1076" s="6" t="s">
        <v>18</v>
      </c>
      <c r="B1076" s="6" t="s">
        <v>2942</v>
      </c>
      <c r="C1076" s="6" t="s">
        <v>2942</v>
      </c>
      <c r="E1076" s="6" t="s">
        <v>2943</v>
      </c>
      <c r="G1076" s="7">
        <v>134</v>
      </c>
      <c r="H1076" s="7">
        <v>151.42</v>
      </c>
      <c r="I1076" s="7">
        <f t="shared" si="80"/>
        <v>83.08</v>
      </c>
      <c r="J1076" s="7">
        <f t="shared" si="81"/>
        <v>87.1</v>
      </c>
      <c r="K1076" s="7">
        <f t="shared" si="82"/>
        <v>89.78</v>
      </c>
      <c r="L1076" s="7">
        <f t="shared" si="83"/>
        <v>93.8</v>
      </c>
      <c r="M1076" s="7">
        <f t="shared" si="84"/>
        <v>96.48</v>
      </c>
    </row>
    <row r="1077" spans="1:13">
      <c r="A1077" s="6" t="s">
        <v>18</v>
      </c>
      <c r="B1077" s="6" t="s">
        <v>2944</v>
      </c>
      <c r="C1077" s="6" t="s">
        <v>2945</v>
      </c>
      <c r="E1077" s="6" t="s">
        <v>2946</v>
      </c>
      <c r="G1077" s="7">
        <v>37.8</v>
      </c>
      <c r="H1077" s="7">
        <v>42.714</v>
      </c>
      <c r="I1077" s="7">
        <f t="shared" si="80"/>
        <v>23.436</v>
      </c>
      <c r="J1077" s="7">
        <f t="shared" si="81"/>
        <v>24.57</v>
      </c>
      <c r="K1077" s="7">
        <f t="shared" si="82"/>
        <v>25.326</v>
      </c>
      <c r="L1077" s="7">
        <f t="shared" si="83"/>
        <v>26.46</v>
      </c>
      <c r="M1077" s="7">
        <f t="shared" si="84"/>
        <v>27.216</v>
      </c>
    </row>
    <row r="1078" spans="1:13">
      <c r="A1078" s="6" t="s">
        <v>18</v>
      </c>
      <c r="B1078" s="6" t="s">
        <v>2947</v>
      </c>
      <c r="C1078" s="6" t="s">
        <v>2948</v>
      </c>
      <c r="E1078" s="6" t="s">
        <v>2949</v>
      </c>
      <c r="G1078" s="7">
        <v>77</v>
      </c>
      <c r="H1078" s="7">
        <v>87.01</v>
      </c>
      <c r="I1078" s="7">
        <f t="shared" si="80"/>
        <v>47.74</v>
      </c>
      <c r="J1078" s="7">
        <f t="shared" si="81"/>
        <v>50.05</v>
      </c>
      <c r="K1078" s="7">
        <f t="shared" si="82"/>
        <v>51.59</v>
      </c>
      <c r="L1078" s="7">
        <f t="shared" si="83"/>
        <v>53.9</v>
      </c>
      <c r="M1078" s="7">
        <f t="shared" si="84"/>
        <v>55.44</v>
      </c>
    </row>
    <row r="1079" spans="1:13">
      <c r="A1079" s="6" t="s">
        <v>18</v>
      </c>
      <c r="B1079" s="6" t="s">
        <v>2950</v>
      </c>
      <c r="C1079" s="6" t="s">
        <v>2951</v>
      </c>
      <c r="E1079" s="6" t="s">
        <v>2952</v>
      </c>
      <c r="G1079" s="7">
        <v>50</v>
      </c>
      <c r="H1079" s="7">
        <v>56.5</v>
      </c>
      <c r="I1079" s="7">
        <f t="shared" si="80"/>
        <v>31</v>
      </c>
      <c r="J1079" s="7">
        <f t="shared" si="81"/>
        <v>32.5</v>
      </c>
      <c r="K1079" s="7">
        <f t="shared" si="82"/>
        <v>33.5</v>
      </c>
      <c r="L1079" s="7">
        <f t="shared" si="83"/>
        <v>35</v>
      </c>
      <c r="M1079" s="7">
        <f t="shared" si="84"/>
        <v>36</v>
      </c>
    </row>
    <row r="1080" spans="1:13">
      <c r="A1080" s="6" t="s">
        <v>18</v>
      </c>
      <c r="B1080" s="6" t="s">
        <v>2953</v>
      </c>
      <c r="C1080" s="6" t="s">
        <v>2954</v>
      </c>
      <c r="E1080" s="6" t="s">
        <v>2955</v>
      </c>
      <c r="G1080" s="7">
        <v>58</v>
      </c>
      <c r="H1080" s="7">
        <v>65.54</v>
      </c>
      <c r="I1080" s="7">
        <f t="shared" si="80"/>
        <v>35.96</v>
      </c>
      <c r="J1080" s="7">
        <f t="shared" si="81"/>
        <v>37.7</v>
      </c>
      <c r="K1080" s="7">
        <f t="shared" si="82"/>
        <v>38.86</v>
      </c>
      <c r="L1080" s="7">
        <f t="shared" si="83"/>
        <v>40.6</v>
      </c>
      <c r="M1080" s="7">
        <f t="shared" si="84"/>
        <v>41.76</v>
      </c>
    </row>
    <row r="1081" spans="1:13">
      <c r="A1081" s="6" t="s">
        <v>18</v>
      </c>
      <c r="B1081" s="6" t="s">
        <v>2956</v>
      </c>
      <c r="C1081" s="6" t="s">
        <v>2957</v>
      </c>
      <c r="E1081" s="6" t="s">
        <v>2958</v>
      </c>
      <c r="G1081" s="7">
        <v>63</v>
      </c>
      <c r="H1081" s="7">
        <v>71.19</v>
      </c>
      <c r="I1081" s="7">
        <f t="shared" si="80"/>
        <v>39.06</v>
      </c>
      <c r="J1081" s="7">
        <f t="shared" si="81"/>
        <v>40.95</v>
      </c>
      <c r="K1081" s="7">
        <f t="shared" si="82"/>
        <v>42.21</v>
      </c>
      <c r="L1081" s="7">
        <f t="shared" si="83"/>
        <v>44.1</v>
      </c>
      <c r="M1081" s="7">
        <f t="shared" si="84"/>
        <v>45.36</v>
      </c>
    </row>
    <row r="1082" ht="25.5" spans="1:13">
      <c r="A1082" s="6" t="s">
        <v>18</v>
      </c>
      <c r="B1082" s="6" t="s">
        <v>2959</v>
      </c>
      <c r="C1082" s="6" t="s">
        <v>2960</v>
      </c>
      <c r="E1082" s="6" t="s">
        <v>2961</v>
      </c>
      <c r="G1082" s="7">
        <v>77</v>
      </c>
      <c r="H1082" s="7">
        <v>87.01</v>
      </c>
      <c r="I1082" s="7">
        <f t="shared" si="80"/>
        <v>47.74</v>
      </c>
      <c r="J1082" s="7">
        <f t="shared" si="81"/>
        <v>50.05</v>
      </c>
      <c r="K1082" s="7">
        <f t="shared" si="82"/>
        <v>51.59</v>
      </c>
      <c r="L1082" s="7">
        <f t="shared" si="83"/>
        <v>53.9</v>
      </c>
      <c r="M1082" s="7">
        <f t="shared" si="84"/>
        <v>55.44</v>
      </c>
    </row>
    <row r="1083" ht="25.5" spans="1:13">
      <c r="A1083" s="6" t="s">
        <v>733</v>
      </c>
      <c r="B1083" s="6" t="s">
        <v>2962</v>
      </c>
      <c r="C1083" s="6" t="s">
        <v>2963</v>
      </c>
      <c r="E1083" s="6" t="s">
        <v>2964</v>
      </c>
      <c r="G1083" s="7">
        <v>67</v>
      </c>
      <c r="H1083" s="7">
        <v>75.71</v>
      </c>
      <c r="I1083" s="7">
        <f t="shared" si="80"/>
        <v>41.54</v>
      </c>
      <c r="J1083" s="7">
        <f t="shared" si="81"/>
        <v>43.55</v>
      </c>
      <c r="K1083" s="7">
        <f t="shared" si="82"/>
        <v>44.89</v>
      </c>
      <c r="L1083" s="7">
        <f t="shared" si="83"/>
        <v>46.9</v>
      </c>
      <c r="M1083" s="7">
        <f t="shared" si="84"/>
        <v>48.24</v>
      </c>
    </row>
    <row r="1084" spans="1:13">
      <c r="A1084" s="6" t="s">
        <v>18</v>
      </c>
      <c r="B1084" s="6" t="s">
        <v>2965</v>
      </c>
      <c r="C1084" s="6" t="s">
        <v>2966</v>
      </c>
      <c r="E1084" s="6" t="s">
        <v>2967</v>
      </c>
      <c r="G1084" s="7">
        <v>24.2</v>
      </c>
      <c r="H1084" s="7">
        <v>27.346</v>
      </c>
      <c r="I1084" s="7">
        <f t="shared" si="80"/>
        <v>15.004</v>
      </c>
      <c r="J1084" s="7">
        <f t="shared" si="81"/>
        <v>15.73</v>
      </c>
      <c r="K1084" s="7">
        <f t="shared" si="82"/>
        <v>16.214</v>
      </c>
      <c r="L1084" s="7">
        <f t="shared" si="83"/>
        <v>16.94</v>
      </c>
      <c r="M1084" s="7">
        <f t="shared" si="84"/>
        <v>17.424</v>
      </c>
    </row>
    <row r="1085" ht="38.25" spans="1:13">
      <c r="A1085" s="6" t="s">
        <v>733</v>
      </c>
      <c r="B1085" s="6" t="s">
        <v>2968</v>
      </c>
      <c r="C1085" s="6" t="s">
        <v>2969</v>
      </c>
      <c r="E1085" s="6" t="s">
        <v>2970</v>
      </c>
      <c r="G1085" s="7">
        <v>159</v>
      </c>
      <c r="H1085" s="7">
        <v>179.67</v>
      </c>
      <c r="I1085" s="7">
        <f t="shared" si="80"/>
        <v>98.58</v>
      </c>
      <c r="J1085" s="7">
        <f t="shared" si="81"/>
        <v>103.35</v>
      </c>
      <c r="K1085" s="7">
        <f t="shared" si="82"/>
        <v>106.53</v>
      </c>
      <c r="L1085" s="7">
        <f t="shared" si="83"/>
        <v>111.3</v>
      </c>
      <c r="M1085" s="7">
        <f t="shared" si="84"/>
        <v>114.48</v>
      </c>
    </row>
    <row r="1086" spans="1:13">
      <c r="A1086" s="6" t="s">
        <v>18</v>
      </c>
      <c r="B1086" s="6" t="s">
        <v>2971</v>
      </c>
      <c r="C1086" s="6" t="s">
        <v>2972</v>
      </c>
      <c r="E1086" s="6" t="s">
        <v>2973</v>
      </c>
      <c r="G1086" s="7">
        <v>22.1</v>
      </c>
      <c r="H1086" s="7">
        <v>24.973</v>
      </c>
      <c r="I1086" s="7">
        <f t="shared" si="80"/>
        <v>13.702</v>
      </c>
      <c r="J1086" s="7">
        <f t="shared" si="81"/>
        <v>14.365</v>
      </c>
      <c r="K1086" s="7">
        <f t="shared" si="82"/>
        <v>14.807</v>
      </c>
      <c r="L1086" s="7">
        <f t="shared" si="83"/>
        <v>15.47</v>
      </c>
      <c r="M1086" s="7">
        <f t="shared" si="84"/>
        <v>15.912</v>
      </c>
    </row>
    <row r="1087" spans="1:13">
      <c r="A1087" s="6" t="s">
        <v>18</v>
      </c>
      <c r="B1087" s="6" t="s">
        <v>2974</v>
      </c>
      <c r="C1087" s="6" t="s">
        <v>2975</v>
      </c>
      <c r="E1087" s="6" t="s">
        <v>2976</v>
      </c>
      <c r="G1087" s="7">
        <v>28.4</v>
      </c>
      <c r="H1087" s="7">
        <v>32.092</v>
      </c>
      <c r="I1087" s="7">
        <f t="shared" si="80"/>
        <v>17.608</v>
      </c>
      <c r="J1087" s="7">
        <f t="shared" si="81"/>
        <v>18.46</v>
      </c>
      <c r="K1087" s="7">
        <f t="shared" si="82"/>
        <v>19.028</v>
      </c>
      <c r="L1087" s="7">
        <f t="shared" si="83"/>
        <v>19.88</v>
      </c>
      <c r="M1087" s="7">
        <f t="shared" si="84"/>
        <v>20.448</v>
      </c>
    </row>
    <row r="1088" ht="25.5" spans="1:13">
      <c r="A1088" s="6" t="s">
        <v>18</v>
      </c>
      <c r="B1088" s="6" t="s">
        <v>2977</v>
      </c>
      <c r="C1088" s="6" t="s">
        <v>2978</v>
      </c>
      <c r="E1088" s="6" t="s">
        <v>2979</v>
      </c>
      <c r="G1088" s="7">
        <v>84</v>
      </c>
      <c r="H1088" s="7">
        <v>94.92</v>
      </c>
      <c r="I1088" s="7">
        <f t="shared" si="80"/>
        <v>52.08</v>
      </c>
      <c r="J1088" s="7">
        <f t="shared" si="81"/>
        <v>54.6</v>
      </c>
      <c r="K1088" s="7">
        <f t="shared" si="82"/>
        <v>56.28</v>
      </c>
      <c r="L1088" s="7">
        <f t="shared" si="83"/>
        <v>58.8</v>
      </c>
      <c r="M1088" s="7">
        <f t="shared" si="84"/>
        <v>60.48</v>
      </c>
    </row>
    <row r="1089" spans="1:13">
      <c r="A1089" s="6" t="s">
        <v>18</v>
      </c>
      <c r="B1089" s="6" t="s">
        <v>2980</v>
      </c>
      <c r="C1089" s="6" t="s">
        <v>2981</v>
      </c>
      <c r="E1089" s="6" t="s">
        <v>2982</v>
      </c>
      <c r="G1089" s="7">
        <v>84</v>
      </c>
      <c r="H1089" s="7">
        <v>94.92</v>
      </c>
      <c r="I1089" s="7">
        <f t="shared" si="80"/>
        <v>52.08</v>
      </c>
      <c r="J1089" s="7">
        <f t="shared" si="81"/>
        <v>54.6</v>
      </c>
      <c r="K1089" s="7">
        <f t="shared" si="82"/>
        <v>56.28</v>
      </c>
      <c r="L1089" s="7">
        <f t="shared" si="83"/>
        <v>58.8</v>
      </c>
      <c r="M1089" s="7">
        <f t="shared" si="84"/>
        <v>60.48</v>
      </c>
    </row>
    <row r="1090" spans="1:13">
      <c r="A1090" s="6" t="s">
        <v>18</v>
      </c>
      <c r="B1090" s="6" t="s">
        <v>2983</v>
      </c>
      <c r="C1090" s="6" t="s">
        <v>2984</v>
      </c>
      <c r="E1090" s="6" t="s">
        <v>2984</v>
      </c>
      <c r="G1090" s="7">
        <v>104.75</v>
      </c>
      <c r="H1090" s="7">
        <v>118.3675</v>
      </c>
      <c r="I1090" s="7">
        <f t="shared" ref="I1090:I1153" si="85">G1090*0.62</f>
        <v>64.945</v>
      </c>
      <c r="J1090" s="7">
        <f t="shared" ref="J1090:J1153" si="86">G1090*0.65</f>
        <v>68.0875</v>
      </c>
      <c r="K1090" s="7">
        <f t="shared" ref="K1090:K1153" si="87">G1090*0.67</f>
        <v>70.1825</v>
      </c>
      <c r="L1090" s="7">
        <f t="shared" ref="L1090:L1153" si="88">G1090*0.7</f>
        <v>73.325</v>
      </c>
      <c r="M1090" s="7">
        <f t="shared" ref="M1090:M1153" si="89">G1090*0.72</f>
        <v>75.42</v>
      </c>
    </row>
    <row r="1091" spans="1:13">
      <c r="A1091" s="6" t="s">
        <v>18</v>
      </c>
      <c r="B1091" s="6" t="s">
        <v>2985</v>
      </c>
      <c r="C1091" s="6" t="s">
        <v>2986</v>
      </c>
      <c r="E1091" s="6" t="s">
        <v>2987</v>
      </c>
      <c r="G1091" s="7">
        <v>168</v>
      </c>
      <c r="H1091" s="7">
        <v>189.84</v>
      </c>
      <c r="I1091" s="7">
        <f t="shared" si="85"/>
        <v>104.16</v>
      </c>
      <c r="J1091" s="7">
        <f t="shared" si="86"/>
        <v>109.2</v>
      </c>
      <c r="K1091" s="7">
        <f t="shared" si="87"/>
        <v>112.56</v>
      </c>
      <c r="L1091" s="7">
        <f t="shared" si="88"/>
        <v>117.6</v>
      </c>
      <c r="M1091" s="7">
        <f t="shared" si="89"/>
        <v>120.96</v>
      </c>
    </row>
    <row r="1092" spans="1:13">
      <c r="A1092" s="6" t="s">
        <v>18</v>
      </c>
      <c r="B1092" s="6" t="s">
        <v>2988</v>
      </c>
      <c r="C1092" s="6" t="s">
        <v>2989</v>
      </c>
      <c r="E1092" s="6" t="s">
        <v>2990</v>
      </c>
      <c r="G1092" s="7">
        <v>237.5</v>
      </c>
      <c r="H1092" s="7">
        <v>268.375</v>
      </c>
      <c r="I1092" s="7">
        <f t="shared" si="85"/>
        <v>147.25</v>
      </c>
      <c r="J1092" s="7">
        <f t="shared" si="86"/>
        <v>154.375</v>
      </c>
      <c r="K1092" s="7">
        <f t="shared" si="87"/>
        <v>159.125</v>
      </c>
      <c r="L1092" s="7">
        <f t="shared" si="88"/>
        <v>166.25</v>
      </c>
      <c r="M1092" s="7">
        <f t="shared" si="89"/>
        <v>171</v>
      </c>
    </row>
    <row r="1093" spans="1:13">
      <c r="A1093" s="6" t="s">
        <v>18</v>
      </c>
      <c r="B1093" s="6" t="s">
        <v>2991</v>
      </c>
      <c r="C1093" s="6" t="s">
        <v>2992</v>
      </c>
      <c r="E1093" s="6" t="s">
        <v>2993</v>
      </c>
      <c r="G1093" s="7">
        <v>132</v>
      </c>
      <c r="H1093" s="7">
        <v>149.16</v>
      </c>
      <c r="I1093" s="7">
        <f t="shared" si="85"/>
        <v>81.84</v>
      </c>
      <c r="J1093" s="7">
        <f t="shared" si="86"/>
        <v>85.8</v>
      </c>
      <c r="K1093" s="7">
        <f t="shared" si="87"/>
        <v>88.44</v>
      </c>
      <c r="L1093" s="7">
        <f t="shared" si="88"/>
        <v>92.4</v>
      </c>
      <c r="M1093" s="7">
        <f t="shared" si="89"/>
        <v>95.04</v>
      </c>
    </row>
    <row r="1094" ht="63.75" spans="1:13">
      <c r="A1094" s="6" t="s">
        <v>228</v>
      </c>
      <c r="B1094" s="6" t="s">
        <v>2994</v>
      </c>
      <c r="C1094" s="6" t="s">
        <v>2995</v>
      </c>
      <c r="E1094" s="6" t="s">
        <v>2996</v>
      </c>
      <c r="G1094" s="7">
        <v>9749</v>
      </c>
      <c r="H1094" s="7">
        <v>11016.37</v>
      </c>
      <c r="I1094" s="7">
        <f t="shared" si="85"/>
        <v>6044.38</v>
      </c>
      <c r="J1094" s="7">
        <f t="shared" si="86"/>
        <v>6336.85</v>
      </c>
      <c r="K1094" s="7">
        <f t="shared" si="87"/>
        <v>6531.83</v>
      </c>
      <c r="L1094" s="7">
        <f t="shared" si="88"/>
        <v>6824.3</v>
      </c>
      <c r="M1094" s="7">
        <f t="shared" si="89"/>
        <v>7019.28</v>
      </c>
    </row>
    <row r="1095" ht="63.75" spans="1:13">
      <c r="A1095" s="6" t="s">
        <v>228</v>
      </c>
      <c r="B1095" s="6" t="s">
        <v>2997</v>
      </c>
      <c r="C1095" s="6" t="s">
        <v>2998</v>
      </c>
      <c r="E1095" s="6" t="s">
        <v>2999</v>
      </c>
      <c r="G1095" s="7">
        <v>9999</v>
      </c>
      <c r="H1095" s="7">
        <v>11298.87</v>
      </c>
      <c r="I1095" s="7">
        <f t="shared" si="85"/>
        <v>6199.38</v>
      </c>
      <c r="J1095" s="7">
        <f t="shared" si="86"/>
        <v>6499.35</v>
      </c>
      <c r="K1095" s="7">
        <f t="shared" si="87"/>
        <v>6699.33</v>
      </c>
      <c r="L1095" s="7">
        <f t="shared" si="88"/>
        <v>6999.3</v>
      </c>
      <c r="M1095" s="7">
        <f t="shared" si="89"/>
        <v>7199.28</v>
      </c>
    </row>
    <row r="1096" ht="63.75" spans="1:13">
      <c r="A1096" s="6" t="s">
        <v>228</v>
      </c>
      <c r="B1096" s="6" t="s">
        <v>3000</v>
      </c>
      <c r="C1096" s="6" t="s">
        <v>3001</v>
      </c>
      <c r="E1096" s="6" t="s">
        <v>3002</v>
      </c>
      <c r="G1096" s="7">
        <v>9749</v>
      </c>
      <c r="H1096" s="7">
        <v>11016.37</v>
      </c>
      <c r="I1096" s="7">
        <f t="shared" si="85"/>
        <v>6044.38</v>
      </c>
      <c r="J1096" s="7">
        <f t="shared" si="86"/>
        <v>6336.85</v>
      </c>
      <c r="K1096" s="7">
        <f t="shared" si="87"/>
        <v>6531.83</v>
      </c>
      <c r="L1096" s="7">
        <f t="shared" si="88"/>
        <v>6824.3</v>
      </c>
      <c r="M1096" s="7">
        <f t="shared" si="89"/>
        <v>7019.28</v>
      </c>
    </row>
    <row r="1097" spans="1:13">
      <c r="A1097" s="6" t="s">
        <v>228</v>
      </c>
      <c r="B1097" s="6" t="s">
        <v>3003</v>
      </c>
      <c r="C1097" s="6" t="s">
        <v>3004</v>
      </c>
      <c r="E1097" s="6" t="s">
        <v>3004</v>
      </c>
      <c r="G1097" s="7">
        <v>4649</v>
      </c>
      <c r="H1097" s="7">
        <v>5253.37</v>
      </c>
      <c r="I1097" s="7">
        <f t="shared" si="85"/>
        <v>2882.38</v>
      </c>
      <c r="J1097" s="7">
        <f t="shared" si="86"/>
        <v>3021.85</v>
      </c>
      <c r="K1097" s="7">
        <f t="shared" si="87"/>
        <v>3114.83</v>
      </c>
      <c r="L1097" s="7">
        <f t="shared" si="88"/>
        <v>3254.3</v>
      </c>
      <c r="M1097" s="7">
        <f t="shared" si="89"/>
        <v>3347.28</v>
      </c>
    </row>
    <row r="1098" spans="1:13">
      <c r="A1098" s="6" t="s">
        <v>18</v>
      </c>
      <c r="B1098" s="6" t="s">
        <v>3005</v>
      </c>
      <c r="C1098" s="6" t="s">
        <v>3006</v>
      </c>
      <c r="E1098" s="6" t="s">
        <v>3007</v>
      </c>
      <c r="G1098" s="7">
        <v>4999</v>
      </c>
      <c r="H1098" s="7">
        <v>5648.87</v>
      </c>
      <c r="I1098" s="7">
        <f t="shared" si="85"/>
        <v>3099.38</v>
      </c>
      <c r="J1098" s="7">
        <f t="shared" si="86"/>
        <v>3249.35</v>
      </c>
      <c r="K1098" s="7">
        <f t="shared" si="87"/>
        <v>3349.33</v>
      </c>
      <c r="L1098" s="7">
        <f t="shared" si="88"/>
        <v>3499.3</v>
      </c>
      <c r="M1098" s="7">
        <f t="shared" si="89"/>
        <v>3599.28</v>
      </c>
    </row>
    <row r="1099" ht="51" spans="1:13">
      <c r="A1099" s="6" t="s">
        <v>228</v>
      </c>
      <c r="B1099" s="6" t="s">
        <v>3008</v>
      </c>
      <c r="C1099" s="6" t="s">
        <v>3009</v>
      </c>
      <c r="E1099" s="6" t="s">
        <v>3010</v>
      </c>
      <c r="G1099" s="7">
        <v>12249</v>
      </c>
      <c r="H1099" s="7">
        <v>13841.37</v>
      </c>
      <c r="I1099" s="7">
        <f t="shared" si="85"/>
        <v>7594.38</v>
      </c>
      <c r="J1099" s="7">
        <f t="shared" si="86"/>
        <v>7961.85</v>
      </c>
      <c r="K1099" s="7">
        <f t="shared" si="87"/>
        <v>8206.83</v>
      </c>
      <c r="L1099" s="7">
        <f t="shared" si="88"/>
        <v>8574.3</v>
      </c>
      <c r="M1099" s="7">
        <f t="shared" si="89"/>
        <v>8819.28</v>
      </c>
    </row>
    <row r="1100" ht="51" spans="1:13">
      <c r="A1100" s="6" t="s">
        <v>228</v>
      </c>
      <c r="B1100" s="6" t="s">
        <v>3011</v>
      </c>
      <c r="C1100" s="6" t="s">
        <v>3012</v>
      </c>
      <c r="E1100" s="6" t="s">
        <v>3013</v>
      </c>
      <c r="G1100" s="7">
        <v>12749</v>
      </c>
      <c r="H1100" s="7">
        <v>14406.37</v>
      </c>
      <c r="I1100" s="7">
        <f t="shared" si="85"/>
        <v>7904.38</v>
      </c>
      <c r="J1100" s="7">
        <f t="shared" si="86"/>
        <v>8286.85</v>
      </c>
      <c r="K1100" s="7">
        <f t="shared" si="87"/>
        <v>8541.83</v>
      </c>
      <c r="L1100" s="7">
        <f t="shared" si="88"/>
        <v>8924.3</v>
      </c>
      <c r="M1100" s="7">
        <f t="shared" si="89"/>
        <v>9179.28</v>
      </c>
    </row>
    <row r="1101" ht="38.25" spans="1:13">
      <c r="A1101" s="6" t="s">
        <v>45</v>
      </c>
      <c r="B1101" s="6" t="s">
        <v>3014</v>
      </c>
      <c r="C1101" s="6" t="s">
        <v>3015</v>
      </c>
      <c r="E1101" s="6" t="s">
        <v>3016</v>
      </c>
      <c r="G1101" s="7">
        <v>2549</v>
      </c>
      <c r="H1101" s="7">
        <v>2880.37</v>
      </c>
      <c r="I1101" s="7">
        <f t="shared" si="85"/>
        <v>1580.38</v>
      </c>
      <c r="J1101" s="7">
        <f t="shared" si="86"/>
        <v>1656.85</v>
      </c>
      <c r="K1101" s="7">
        <f t="shared" si="87"/>
        <v>1707.83</v>
      </c>
      <c r="L1101" s="7">
        <f t="shared" si="88"/>
        <v>1784.3</v>
      </c>
      <c r="M1101" s="7">
        <f t="shared" si="89"/>
        <v>1835.28</v>
      </c>
    </row>
    <row r="1102" ht="63.75" spans="1:13">
      <c r="A1102" s="6" t="s">
        <v>45</v>
      </c>
      <c r="B1102" s="6" t="s">
        <v>3017</v>
      </c>
      <c r="C1102" s="6" t="s">
        <v>3018</v>
      </c>
      <c r="E1102" s="6" t="s">
        <v>3019</v>
      </c>
      <c r="G1102" s="7">
        <v>3099</v>
      </c>
      <c r="H1102" s="7">
        <v>3501.87</v>
      </c>
      <c r="I1102" s="7">
        <f t="shared" si="85"/>
        <v>1921.38</v>
      </c>
      <c r="J1102" s="7">
        <f t="shared" si="86"/>
        <v>2014.35</v>
      </c>
      <c r="K1102" s="7">
        <f t="shared" si="87"/>
        <v>2076.33</v>
      </c>
      <c r="L1102" s="7">
        <f t="shared" si="88"/>
        <v>2169.3</v>
      </c>
      <c r="M1102" s="7">
        <f t="shared" si="89"/>
        <v>2231.28</v>
      </c>
    </row>
    <row r="1103" ht="63.75" spans="1:13">
      <c r="A1103" s="6" t="s">
        <v>45</v>
      </c>
      <c r="B1103" s="6" t="s">
        <v>3020</v>
      </c>
      <c r="C1103" s="6" t="s">
        <v>3021</v>
      </c>
      <c r="E1103" s="6" t="s">
        <v>3022</v>
      </c>
      <c r="G1103" s="7">
        <v>3699</v>
      </c>
      <c r="H1103" s="7">
        <v>4179.87</v>
      </c>
      <c r="I1103" s="7">
        <f t="shared" si="85"/>
        <v>2293.38</v>
      </c>
      <c r="J1103" s="7">
        <f t="shared" si="86"/>
        <v>2404.35</v>
      </c>
      <c r="K1103" s="7">
        <f t="shared" si="87"/>
        <v>2478.33</v>
      </c>
      <c r="L1103" s="7">
        <f t="shared" si="88"/>
        <v>2589.3</v>
      </c>
      <c r="M1103" s="7">
        <f t="shared" si="89"/>
        <v>2663.28</v>
      </c>
    </row>
    <row r="1104" spans="1:13">
      <c r="A1104" s="6" t="s">
        <v>228</v>
      </c>
      <c r="B1104" s="6" t="s">
        <v>3023</v>
      </c>
      <c r="C1104" s="6" t="s">
        <v>3024</v>
      </c>
      <c r="E1104" s="6" t="s">
        <v>3024</v>
      </c>
      <c r="G1104" s="7">
        <v>473</v>
      </c>
      <c r="H1104" s="7">
        <v>534.49</v>
      </c>
      <c r="I1104" s="7">
        <f t="shared" si="85"/>
        <v>293.26</v>
      </c>
      <c r="J1104" s="7">
        <f t="shared" si="86"/>
        <v>307.45</v>
      </c>
      <c r="K1104" s="7">
        <f t="shared" si="87"/>
        <v>316.91</v>
      </c>
      <c r="L1104" s="7">
        <f t="shared" si="88"/>
        <v>331.1</v>
      </c>
      <c r="M1104" s="7">
        <f t="shared" si="89"/>
        <v>340.56</v>
      </c>
    </row>
    <row r="1105" ht="63.75" spans="1:13">
      <c r="A1105" s="6" t="s">
        <v>228</v>
      </c>
      <c r="B1105" s="6" t="s">
        <v>3025</v>
      </c>
      <c r="C1105" s="6" t="s">
        <v>3026</v>
      </c>
      <c r="E1105" s="6" t="s">
        <v>3027</v>
      </c>
      <c r="G1105" s="7">
        <v>19749</v>
      </c>
      <c r="H1105" s="7">
        <v>22316.37</v>
      </c>
      <c r="I1105" s="7">
        <f t="shared" si="85"/>
        <v>12244.38</v>
      </c>
      <c r="J1105" s="7">
        <f t="shared" si="86"/>
        <v>12836.85</v>
      </c>
      <c r="K1105" s="7">
        <f t="shared" si="87"/>
        <v>13231.83</v>
      </c>
      <c r="L1105" s="7">
        <f t="shared" si="88"/>
        <v>13824.3</v>
      </c>
      <c r="M1105" s="7">
        <f t="shared" si="89"/>
        <v>14219.28</v>
      </c>
    </row>
    <row r="1106" ht="63.75" spans="1:13">
      <c r="A1106" s="6" t="s">
        <v>228</v>
      </c>
      <c r="B1106" s="6" t="s">
        <v>3028</v>
      </c>
      <c r="C1106" s="6" t="s">
        <v>3029</v>
      </c>
      <c r="E1106" s="6" t="s">
        <v>3030</v>
      </c>
      <c r="G1106" s="7">
        <v>19749</v>
      </c>
      <c r="H1106" s="7">
        <v>22316.37</v>
      </c>
      <c r="I1106" s="7">
        <f t="shared" si="85"/>
        <v>12244.38</v>
      </c>
      <c r="J1106" s="7">
        <f t="shared" si="86"/>
        <v>12836.85</v>
      </c>
      <c r="K1106" s="7">
        <f t="shared" si="87"/>
        <v>13231.83</v>
      </c>
      <c r="L1106" s="7">
        <f t="shared" si="88"/>
        <v>13824.3</v>
      </c>
      <c r="M1106" s="7">
        <f t="shared" si="89"/>
        <v>14219.28</v>
      </c>
    </row>
    <row r="1107" ht="63.75" spans="1:13">
      <c r="A1107" s="6" t="s">
        <v>228</v>
      </c>
      <c r="B1107" s="6" t="s">
        <v>3031</v>
      </c>
      <c r="C1107" s="6" t="s">
        <v>3032</v>
      </c>
      <c r="E1107" s="6" t="s">
        <v>3033</v>
      </c>
      <c r="G1107" s="7">
        <v>20349</v>
      </c>
      <c r="H1107" s="7">
        <v>22994.37</v>
      </c>
      <c r="I1107" s="7">
        <f t="shared" si="85"/>
        <v>12616.38</v>
      </c>
      <c r="J1107" s="7">
        <f t="shared" si="86"/>
        <v>13226.85</v>
      </c>
      <c r="K1107" s="7">
        <f t="shared" si="87"/>
        <v>13633.83</v>
      </c>
      <c r="L1107" s="7">
        <f t="shared" si="88"/>
        <v>14244.3</v>
      </c>
      <c r="M1107" s="7">
        <f t="shared" si="89"/>
        <v>14651.28</v>
      </c>
    </row>
    <row r="1108" ht="63.75" spans="1:13">
      <c r="A1108" s="6" t="s">
        <v>228</v>
      </c>
      <c r="B1108" s="6" t="s">
        <v>3034</v>
      </c>
      <c r="C1108" s="6" t="s">
        <v>3035</v>
      </c>
      <c r="E1108" s="6" t="s">
        <v>3036</v>
      </c>
      <c r="G1108" s="7">
        <v>24399</v>
      </c>
      <c r="H1108" s="7">
        <v>27570.87</v>
      </c>
      <c r="I1108" s="7">
        <f t="shared" si="85"/>
        <v>15127.38</v>
      </c>
      <c r="J1108" s="7">
        <f t="shared" si="86"/>
        <v>15859.35</v>
      </c>
      <c r="K1108" s="7">
        <f t="shared" si="87"/>
        <v>16347.33</v>
      </c>
      <c r="L1108" s="7">
        <f t="shared" si="88"/>
        <v>17079.3</v>
      </c>
      <c r="M1108" s="7">
        <f t="shared" si="89"/>
        <v>17567.28</v>
      </c>
    </row>
    <row r="1109" ht="63.75" spans="1:13">
      <c r="A1109" s="6" t="s">
        <v>228</v>
      </c>
      <c r="B1109" s="6" t="s">
        <v>3037</v>
      </c>
      <c r="C1109" s="6" t="s">
        <v>3038</v>
      </c>
      <c r="E1109" s="6" t="s">
        <v>3039</v>
      </c>
      <c r="G1109" s="7">
        <v>23700</v>
      </c>
      <c r="H1109" s="7">
        <v>26781</v>
      </c>
      <c r="I1109" s="7">
        <f t="shared" si="85"/>
        <v>14694</v>
      </c>
      <c r="J1109" s="7">
        <f t="shared" si="86"/>
        <v>15405</v>
      </c>
      <c r="K1109" s="7">
        <f t="shared" si="87"/>
        <v>15879</v>
      </c>
      <c r="L1109" s="7">
        <f t="shared" si="88"/>
        <v>16590</v>
      </c>
      <c r="M1109" s="7">
        <f t="shared" si="89"/>
        <v>17064</v>
      </c>
    </row>
    <row r="1110" ht="25.5" spans="1:13">
      <c r="A1110" s="6" t="s">
        <v>228</v>
      </c>
      <c r="B1110" s="6" t="s">
        <v>3040</v>
      </c>
      <c r="C1110" s="6" t="s">
        <v>3041</v>
      </c>
      <c r="E1110" s="6" t="s">
        <v>3042</v>
      </c>
      <c r="G1110" s="7">
        <v>59</v>
      </c>
      <c r="H1110" s="7">
        <v>66.67</v>
      </c>
      <c r="I1110" s="7">
        <f t="shared" si="85"/>
        <v>36.58</v>
      </c>
      <c r="J1110" s="7">
        <f t="shared" si="86"/>
        <v>38.35</v>
      </c>
      <c r="K1110" s="7">
        <f t="shared" si="87"/>
        <v>39.53</v>
      </c>
      <c r="L1110" s="7">
        <f t="shared" si="88"/>
        <v>41.3</v>
      </c>
      <c r="M1110" s="7">
        <f t="shared" si="89"/>
        <v>42.48</v>
      </c>
    </row>
    <row r="1111" ht="25.5" spans="1:13">
      <c r="A1111" s="6" t="s">
        <v>228</v>
      </c>
      <c r="B1111" s="6" t="s">
        <v>3043</v>
      </c>
      <c r="C1111" s="6" t="s">
        <v>3044</v>
      </c>
      <c r="E1111" s="6" t="s">
        <v>3045</v>
      </c>
      <c r="G1111" s="7">
        <v>55</v>
      </c>
      <c r="H1111" s="7">
        <v>62.15</v>
      </c>
      <c r="I1111" s="7">
        <f t="shared" si="85"/>
        <v>34.1</v>
      </c>
      <c r="J1111" s="7">
        <f t="shared" si="86"/>
        <v>35.75</v>
      </c>
      <c r="K1111" s="7">
        <f t="shared" si="87"/>
        <v>36.85</v>
      </c>
      <c r="L1111" s="7">
        <f t="shared" si="88"/>
        <v>38.5</v>
      </c>
      <c r="M1111" s="7">
        <f t="shared" si="89"/>
        <v>39.6</v>
      </c>
    </row>
    <row r="1112" ht="25.5" spans="1:13">
      <c r="A1112" s="6" t="s">
        <v>228</v>
      </c>
      <c r="B1112" s="6" t="s">
        <v>3046</v>
      </c>
      <c r="C1112" s="6" t="s">
        <v>3047</v>
      </c>
      <c r="E1112" s="6" t="s">
        <v>3048</v>
      </c>
      <c r="G1112" s="7">
        <v>84</v>
      </c>
      <c r="H1112" s="7">
        <v>94.92</v>
      </c>
      <c r="I1112" s="7">
        <f t="shared" si="85"/>
        <v>52.08</v>
      </c>
      <c r="J1112" s="7">
        <f t="shared" si="86"/>
        <v>54.6</v>
      </c>
      <c r="K1112" s="7">
        <f t="shared" si="87"/>
        <v>56.28</v>
      </c>
      <c r="L1112" s="7">
        <f t="shared" si="88"/>
        <v>58.8</v>
      </c>
      <c r="M1112" s="7">
        <f t="shared" si="89"/>
        <v>60.48</v>
      </c>
    </row>
    <row r="1113" ht="63.75" spans="1:13">
      <c r="A1113" s="6" t="s">
        <v>228</v>
      </c>
      <c r="B1113" s="6" t="s">
        <v>3049</v>
      </c>
      <c r="C1113" s="6" t="s">
        <v>3050</v>
      </c>
      <c r="E1113" s="6" t="s">
        <v>3051</v>
      </c>
      <c r="G1113" s="7">
        <v>59</v>
      </c>
      <c r="H1113" s="7">
        <v>66.67</v>
      </c>
      <c r="I1113" s="7">
        <f t="shared" si="85"/>
        <v>36.58</v>
      </c>
      <c r="J1113" s="7">
        <f t="shared" si="86"/>
        <v>38.35</v>
      </c>
      <c r="K1113" s="7">
        <f t="shared" si="87"/>
        <v>39.53</v>
      </c>
      <c r="L1113" s="7">
        <f t="shared" si="88"/>
        <v>41.3</v>
      </c>
      <c r="M1113" s="7">
        <f t="shared" si="89"/>
        <v>42.48</v>
      </c>
    </row>
    <row r="1114" ht="51" spans="1:13">
      <c r="A1114" s="6" t="s">
        <v>228</v>
      </c>
      <c r="B1114" s="6" t="s">
        <v>3052</v>
      </c>
      <c r="C1114" s="6" t="s">
        <v>3053</v>
      </c>
      <c r="E1114" s="6" t="s">
        <v>3054</v>
      </c>
      <c r="G1114" s="7">
        <v>59</v>
      </c>
      <c r="H1114" s="7">
        <v>66.67</v>
      </c>
      <c r="I1114" s="7">
        <f t="shared" si="85"/>
        <v>36.58</v>
      </c>
      <c r="J1114" s="7">
        <f t="shared" si="86"/>
        <v>38.35</v>
      </c>
      <c r="K1114" s="7">
        <f t="shared" si="87"/>
        <v>39.53</v>
      </c>
      <c r="L1114" s="7">
        <f t="shared" si="88"/>
        <v>41.3</v>
      </c>
      <c r="M1114" s="7">
        <f t="shared" si="89"/>
        <v>42.48</v>
      </c>
    </row>
    <row r="1115" ht="25.5" spans="1:13">
      <c r="A1115" s="6" t="s">
        <v>228</v>
      </c>
      <c r="B1115" s="6" t="s">
        <v>3055</v>
      </c>
      <c r="C1115" s="6" t="s">
        <v>3056</v>
      </c>
      <c r="E1115" s="6" t="s">
        <v>3057</v>
      </c>
      <c r="G1115" s="7">
        <v>59</v>
      </c>
      <c r="H1115" s="7">
        <v>66.67</v>
      </c>
      <c r="I1115" s="7">
        <f t="shared" si="85"/>
        <v>36.58</v>
      </c>
      <c r="J1115" s="7">
        <f t="shared" si="86"/>
        <v>38.35</v>
      </c>
      <c r="K1115" s="7">
        <f t="shared" si="87"/>
        <v>39.53</v>
      </c>
      <c r="L1115" s="7">
        <f t="shared" si="88"/>
        <v>41.3</v>
      </c>
      <c r="M1115" s="7">
        <f t="shared" si="89"/>
        <v>42.48</v>
      </c>
    </row>
    <row r="1116" ht="38.25" spans="1:13">
      <c r="A1116" s="6" t="s">
        <v>228</v>
      </c>
      <c r="B1116" s="6" t="s">
        <v>3058</v>
      </c>
      <c r="C1116" s="6" t="s">
        <v>3059</v>
      </c>
      <c r="E1116" s="6" t="s">
        <v>3060</v>
      </c>
      <c r="G1116" s="7">
        <v>59</v>
      </c>
      <c r="H1116" s="7">
        <v>66.67</v>
      </c>
      <c r="I1116" s="7">
        <f t="shared" si="85"/>
        <v>36.58</v>
      </c>
      <c r="J1116" s="7">
        <f t="shared" si="86"/>
        <v>38.35</v>
      </c>
      <c r="K1116" s="7">
        <f t="shared" si="87"/>
        <v>39.53</v>
      </c>
      <c r="L1116" s="7">
        <f t="shared" si="88"/>
        <v>41.3</v>
      </c>
      <c r="M1116" s="7">
        <f t="shared" si="89"/>
        <v>42.48</v>
      </c>
    </row>
    <row r="1117" ht="25.5" spans="1:13">
      <c r="A1117" s="6" t="s">
        <v>228</v>
      </c>
      <c r="B1117" s="6" t="s">
        <v>3061</v>
      </c>
      <c r="C1117" s="6" t="s">
        <v>3062</v>
      </c>
      <c r="E1117" s="6" t="s">
        <v>3063</v>
      </c>
      <c r="G1117" s="7">
        <v>1699</v>
      </c>
      <c r="H1117" s="7">
        <v>1919.87</v>
      </c>
      <c r="I1117" s="7">
        <f t="shared" si="85"/>
        <v>1053.38</v>
      </c>
      <c r="J1117" s="7">
        <f t="shared" si="86"/>
        <v>1104.35</v>
      </c>
      <c r="K1117" s="7">
        <f t="shared" si="87"/>
        <v>1138.33</v>
      </c>
      <c r="L1117" s="7">
        <f t="shared" si="88"/>
        <v>1189.3</v>
      </c>
      <c r="M1117" s="7">
        <f t="shared" si="89"/>
        <v>1223.28</v>
      </c>
    </row>
    <row r="1118" ht="38.25" spans="1:13">
      <c r="A1118" s="6" t="s">
        <v>548</v>
      </c>
      <c r="B1118" s="6" t="s">
        <v>3064</v>
      </c>
      <c r="C1118" s="6" t="s">
        <v>3065</v>
      </c>
      <c r="E1118" s="6" t="s">
        <v>3066</v>
      </c>
      <c r="G1118" s="7">
        <v>6311</v>
      </c>
      <c r="H1118" s="7">
        <v>7131.43</v>
      </c>
      <c r="I1118" s="7">
        <f t="shared" si="85"/>
        <v>3912.82</v>
      </c>
      <c r="J1118" s="7">
        <f t="shared" si="86"/>
        <v>4102.15</v>
      </c>
      <c r="K1118" s="7">
        <f t="shared" si="87"/>
        <v>4228.37</v>
      </c>
      <c r="L1118" s="7">
        <f t="shared" si="88"/>
        <v>4417.7</v>
      </c>
      <c r="M1118" s="7">
        <f t="shared" si="89"/>
        <v>4543.92</v>
      </c>
    </row>
    <row r="1119" ht="38.25" spans="1:13">
      <c r="A1119" s="6" t="s">
        <v>548</v>
      </c>
      <c r="B1119" s="6" t="s">
        <v>3067</v>
      </c>
      <c r="C1119" s="6" t="s">
        <v>3068</v>
      </c>
      <c r="E1119" s="6" t="s">
        <v>3066</v>
      </c>
      <c r="G1119" s="7">
        <v>5334</v>
      </c>
      <c r="H1119" s="7">
        <v>6027.42</v>
      </c>
      <c r="I1119" s="7">
        <f t="shared" si="85"/>
        <v>3307.08</v>
      </c>
      <c r="J1119" s="7">
        <f t="shared" si="86"/>
        <v>3467.1</v>
      </c>
      <c r="K1119" s="7">
        <f t="shared" si="87"/>
        <v>3573.78</v>
      </c>
      <c r="L1119" s="7">
        <f t="shared" si="88"/>
        <v>3733.8</v>
      </c>
      <c r="M1119" s="7">
        <f t="shared" si="89"/>
        <v>3840.48</v>
      </c>
    </row>
    <row r="1120" ht="38.25" spans="1:13">
      <c r="A1120" s="6" t="s">
        <v>228</v>
      </c>
      <c r="B1120" s="6" t="s">
        <v>3069</v>
      </c>
      <c r="C1120" s="6" t="s">
        <v>3070</v>
      </c>
      <c r="E1120" s="6" t="s">
        <v>3071</v>
      </c>
      <c r="G1120" s="7">
        <v>649</v>
      </c>
      <c r="H1120" s="7">
        <v>733.37</v>
      </c>
      <c r="I1120" s="7">
        <f t="shared" si="85"/>
        <v>402.38</v>
      </c>
      <c r="J1120" s="7">
        <f t="shared" si="86"/>
        <v>421.85</v>
      </c>
      <c r="K1120" s="7">
        <f t="shared" si="87"/>
        <v>434.83</v>
      </c>
      <c r="L1120" s="7">
        <f t="shared" si="88"/>
        <v>454.3</v>
      </c>
      <c r="M1120" s="7">
        <f t="shared" si="89"/>
        <v>467.28</v>
      </c>
    </row>
    <row r="1121" ht="25.5" spans="1:13">
      <c r="A1121" s="6" t="s">
        <v>228</v>
      </c>
      <c r="B1121" s="6" t="s">
        <v>3072</v>
      </c>
      <c r="C1121" s="6" t="s">
        <v>3073</v>
      </c>
      <c r="E1121" s="6" t="s">
        <v>3074</v>
      </c>
      <c r="G1121" s="7">
        <v>439</v>
      </c>
      <c r="H1121" s="7">
        <v>496.07</v>
      </c>
      <c r="I1121" s="7">
        <f t="shared" si="85"/>
        <v>272.18</v>
      </c>
      <c r="J1121" s="7">
        <f t="shared" si="86"/>
        <v>285.35</v>
      </c>
      <c r="K1121" s="7">
        <f t="shared" si="87"/>
        <v>294.13</v>
      </c>
      <c r="L1121" s="7">
        <f t="shared" si="88"/>
        <v>307.3</v>
      </c>
      <c r="M1121" s="7">
        <f t="shared" si="89"/>
        <v>316.08</v>
      </c>
    </row>
    <row r="1122" spans="1:13">
      <c r="A1122" s="6" t="s">
        <v>18</v>
      </c>
      <c r="B1122" s="6" t="s">
        <v>3075</v>
      </c>
      <c r="C1122" s="6" t="s">
        <v>3076</v>
      </c>
      <c r="E1122" s="6" t="s">
        <v>3076</v>
      </c>
      <c r="G1122" s="7">
        <v>798</v>
      </c>
      <c r="H1122" s="7">
        <v>901.74</v>
      </c>
      <c r="I1122" s="7">
        <f t="shared" si="85"/>
        <v>494.76</v>
      </c>
      <c r="J1122" s="7">
        <f t="shared" si="86"/>
        <v>518.7</v>
      </c>
      <c r="K1122" s="7">
        <f t="shared" si="87"/>
        <v>534.66</v>
      </c>
      <c r="L1122" s="7">
        <f t="shared" si="88"/>
        <v>558.6</v>
      </c>
      <c r="M1122" s="7">
        <f t="shared" si="89"/>
        <v>574.56</v>
      </c>
    </row>
    <row r="1123" spans="1:13">
      <c r="A1123" s="6" t="s">
        <v>18</v>
      </c>
      <c r="B1123" s="6" t="s">
        <v>3077</v>
      </c>
      <c r="C1123" s="6" t="s">
        <v>3078</v>
      </c>
      <c r="E1123" s="6" t="s">
        <v>3079</v>
      </c>
      <c r="G1123" s="7">
        <v>87</v>
      </c>
      <c r="H1123" s="7">
        <v>98.31</v>
      </c>
      <c r="I1123" s="7">
        <f t="shared" si="85"/>
        <v>53.94</v>
      </c>
      <c r="J1123" s="7">
        <f t="shared" si="86"/>
        <v>56.55</v>
      </c>
      <c r="K1123" s="7">
        <f t="shared" si="87"/>
        <v>58.29</v>
      </c>
      <c r="L1123" s="7">
        <f t="shared" si="88"/>
        <v>60.9</v>
      </c>
      <c r="M1123" s="7">
        <f t="shared" si="89"/>
        <v>62.64</v>
      </c>
    </row>
    <row r="1124" spans="1:13">
      <c r="A1124" s="6" t="s">
        <v>18</v>
      </c>
      <c r="B1124" s="6" t="s">
        <v>3080</v>
      </c>
      <c r="C1124" s="6" t="s">
        <v>3081</v>
      </c>
      <c r="E1124" s="6" t="s">
        <v>3082</v>
      </c>
      <c r="G1124" s="7">
        <v>24.2</v>
      </c>
      <c r="H1124" s="7">
        <v>27.346</v>
      </c>
      <c r="I1124" s="7">
        <f t="shared" si="85"/>
        <v>15.004</v>
      </c>
      <c r="J1124" s="7">
        <f t="shared" si="86"/>
        <v>15.73</v>
      </c>
      <c r="K1124" s="7">
        <f t="shared" si="87"/>
        <v>16.214</v>
      </c>
      <c r="L1124" s="7">
        <f t="shared" si="88"/>
        <v>16.94</v>
      </c>
      <c r="M1124" s="7">
        <f t="shared" si="89"/>
        <v>17.424</v>
      </c>
    </row>
    <row r="1125" spans="1:13">
      <c r="A1125" s="6" t="s">
        <v>18</v>
      </c>
      <c r="B1125" s="6" t="s">
        <v>3083</v>
      </c>
      <c r="C1125" s="6" t="s">
        <v>3084</v>
      </c>
      <c r="E1125" s="6" t="s">
        <v>3085</v>
      </c>
      <c r="G1125" s="7">
        <v>8.4</v>
      </c>
      <c r="H1125" s="7">
        <v>9.492</v>
      </c>
      <c r="I1125" s="7">
        <f t="shared" si="85"/>
        <v>5.208</v>
      </c>
      <c r="J1125" s="7">
        <f t="shared" si="86"/>
        <v>5.46</v>
      </c>
      <c r="K1125" s="7">
        <f t="shared" si="87"/>
        <v>5.628</v>
      </c>
      <c r="L1125" s="7">
        <f t="shared" si="88"/>
        <v>5.88</v>
      </c>
      <c r="M1125" s="7">
        <f t="shared" si="89"/>
        <v>6.048</v>
      </c>
    </row>
    <row r="1126" spans="1:13">
      <c r="A1126" s="6" t="s">
        <v>18</v>
      </c>
      <c r="B1126" s="6" t="s">
        <v>3086</v>
      </c>
      <c r="C1126" s="6" t="s">
        <v>3087</v>
      </c>
      <c r="E1126" s="6" t="s">
        <v>3088</v>
      </c>
      <c r="G1126" s="7">
        <v>44.1</v>
      </c>
      <c r="H1126" s="7">
        <v>49.833</v>
      </c>
      <c r="I1126" s="7">
        <f t="shared" si="85"/>
        <v>27.342</v>
      </c>
      <c r="J1126" s="7">
        <f t="shared" si="86"/>
        <v>28.665</v>
      </c>
      <c r="K1126" s="7">
        <f t="shared" si="87"/>
        <v>29.547</v>
      </c>
      <c r="L1126" s="7">
        <f t="shared" si="88"/>
        <v>30.87</v>
      </c>
      <c r="M1126" s="7">
        <f t="shared" si="89"/>
        <v>31.752</v>
      </c>
    </row>
    <row r="1127" spans="1:13">
      <c r="A1127" s="6" t="s">
        <v>18</v>
      </c>
      <c r="B1127" s="6" t="s">
        <v>3089</v>
      </c>
      <c r="C1127" s="6" t="s">
        <v>3090</v>
      </c>
      <c r="E1127" s="6" t="s">
        <v>3091</v>
      </c>
      <c r="G1127" s="7">
        <v>39.9</v>
      </c>
      <c r="H1127" s="7">
        <v>45.087</v>
      </c>
      <c r="I1127" s="7">
        <f t="shared" si="85"/>
        <v>24.738</v>
      </c>
      <c r="J1127" s="7">
        <f t="shared" si="86"/>
        <v>25.935</v>
      </c>
      <c r="K1127" s="7">
        <f t="shared" si="87"/>
        <v>26.733</v>
      </c>
      <c r="L1127" s="7">
        <f t="shared" si="88"/>
        <v>27.93</v>
      </c>
      <c r="M1127" s="7">
        <f t="shared" si="89"/>
        <v>28.728</v>
      </c>
    </row>
    <row r="1128" spans="1:13">
      <c r="A1128" s="6" t="s">
        <v>18</v>
      </c>
      <c r="B1128" s="6" t="s">
        <v>3092</v>
      </c>
      <c r="C1128" s="6" t="s">
        <v>3093</v>
      </c>
      <c r="E1128" s="6" t="s">
        <v>3094</v>
      </c>
      <c r="G1128" s="7">
        <v>17.9</v>
      </c>
      <c r="H1128" s="7">
        <v>20.227</v>
      </c>
      <c r="I1128" s="7">
        <f t="shared" si="85"/>
        <v>11.098</v>
      </c>
      <c r="J1128" s="7">
        <f t="shared" si="86"/>
        <v>11.635</v>
      </c>
      <c r="K1128" s="7">
        <f t="shared" si="87"/>
        <v>11.993</v>
      </c>
      <c r="L1128" s="7">
        <f t="shared" si="88"/>
        <v>12.53</v>
      </c>
      <c r="M1128" s="7">
        <f t="shared" si="89"/>
        <v>12.888</v>
      </c>
    </row>
    <row r="1129" ht="38.25" spans="1:13">
      <c r="A1129" s="6" t="s">
        <v>376</v>
      </c>
      <c r="B1129" s="6" t="s">
        <v>3095</v>
      </c>
      <c r="C1129" s="6" t="s">
        <v>3096</v>
      </c>
      <c r="E1129" s="6" t="s">
        <v>3097</v>
      </c>
      <c r="G1129" s="7">
        <v>1049</v>
      </c>
      <c r="H1129" s="7">
        <v>1185.37</v>
      </c>
      <c r="I1129" s="7">
        <f t="shared" si="85"/>
        <v>650.38</v>
      </c>
      <c r="J1129" s="7">
        <f t="shared" si="86"/>
        <v>681.85</v>
      </c>
      <c r="K1129" s="7">
        <f t="shared" si="87"/>
        <v>702.83</v>
      </c>
      <c r="L1129" s="7">
        <f t="shared" si="88"/>
        <v>734.3</v>
      </c>
      <c r="M1129" s="7">
        <f t="shared" si="89"/>
        <v>755.28</v>
      </c>
    </row>
    <row r="1130" ht="25.5" spans="1:13">
      <c r="A1130" s="6" t="s">
        <v>1508</v>
      </c>
      <c r="B1130" s="6" t="s">
        <v>3098</v>
      </c>
      <c r="C1130" s="6" t="s">
        <v>3099</v>
      </c>
      <c r="E1130" s="6" t="s">
        <v>3100</v>
      </c>
      <c r="G1130" s="7">
        <v>109</v>
      </c>
      <c r="H1130" s="7">
        <v>123.17</v>
      </c>
      <c r="I1130" s="7">
        <f t="shared" si="85"/>
        <v>67.58</v>
      </c>
      <c r="J1130" s="7">
        <f t="shared" si="86"/>
        <v>70.85</v>
      </c>
      <c r="K1130" s="7">
        <f t="shared" si="87"/>
        <v>73.03</v>
      </c>
      <c r="L1130" s="7">
        <f t="shared" si="88"/>
        <v>76.3</v>
      </c>
      <c r="M1130" s="7">
        <f t="shared" si="89"/>
        <v>78.48</v>
      </c>
    </row>
    <row r="1131" ht="38.25" spans="1:13">
      <c r="A1131" s="6" t="s">
        <v>733</v>
      </c>
      <c r="B1131" s="6" t="s">
        <v>3101</v>
      </c>
      <c r="C1131" s="6" t="s">
        <v>3102</v>
      </c>
      <c r="E1131" s="6" t="s">
        <v>3103</v>
      </c>
      <c r="G1131" s="7">
        <v>179</v>
      </c>
      <c r="H1131" s="7">
        <v>202.27</v>
      </c>
      <c r="I1131" s="7">
        <f t="shared" si="85"/>
        <v>110.98</v>
      </c>
      <c r="J1131" s="7">
        <f t="shared" si="86"/>
        <v>116.35</v>
      </c>
      <c r="K1131" s="7">
        <f t="shared" si="87"/>
        <v>119.93</v>
      </c>
      <c r="L1131" s="7">
        <f t="shared" si="88"/>
        <v>125.3</v>
      </c>
      <c r="M1131" s="7">
        <f t="shared" si="89"/>
        <v>128.88</v>
      </c>
    </row>
    <row r="1132" spans="1:13">
      <c r="A1132" s="6" t="s">
        <v>25</v>
      </c>
      <c r="B1132" s="6" t="s">
        <v>3104</v>
      </c>
      <c r="C1132" s="6" t="s">
        <v>3105</v>
      </c>
      <c r="E1132" s="6" t="s">
        <v>3105</v>
      </c>
      <c r="G1132" s="7">
        <v>119</v>
      </c>
      <c r="H1132" s="7">
        <v>134.47</v>
      </c>
      <c r="I1132" s="7">
        <f t="shared" si="85"/>
        <v>73.78</v>
      </c>
      <c r="J1132" s="7">
        <f t="shared" si="86"/>
        <v>77.35</v>
      </c>
      <c r="K1132" s="7">
        <f t="shared" si="87"/>
        <v>79.73</v>
      </c>
      <c r="L1132" s="7">
        <f t="shared" si="88"/>
        <v>83.3</v>
      </c>
      <c r="M1132" s="7">
        <f t="shared" si="89"/>
        <v>85.68</v>
      </c>
    </row>
    <row r="1133" spans="1:13">
      <c r="A1133" s="6" t="s">
        <v>18</v>
      </c>
      <c r="B1133" s="6" t="s">
        <v>3106</v>
      </c>
      <c r="C1133" s="6" t="s">
        <v>3107</v>
      </c>
      <c r="E1133" s="6" t="s">
        <v>3107</v>
      </c>
      <c r="G1133" s="7">
        <v>1049</v>
      </c>
      <c r="H1133" s="7">
        <v>1185.37</v>
      </c>
      <c r="I1133" s="7">
        <f t="shared" si="85"/>
        <v>650.38</v>
      </c>
      <c r="J1133" s="7">
        <f t="shared" si="86"/>
        <v>681.85</v>
      </c>
      <c r="K1133" s="7">
        <f t="shared" si="87"/>
        <v>702.83</v>
      </c>
      <c r="L1133" s="7">
        <f t="shared" si="88"/>
        <v>734.3</v>
      </c>
      <c r="M1133" s="7">
        <f t="shared" si="89"/>
        <v>755.28</v>
      </c>
    </row>
    <row r="1134" spans="1:13">
      <c r="A1134" s="6" t="s">
        <v>18</v>
      </c>
      <c r="B1134" s="6" t="s">
        <v>3108</v>
      </c>
      <c r="C1134" s="6" t="s">
        <v>3109</v>
      </c>
      <c r="E1134" s="6" t="s">
        <v>3110</v>
      </c>
      <c r="G1134" s="7">
        <v>79</v>
      </c>
      <c r="H1134" s="7">
        <v>89.27</v>
      </c>
      <c r="I1134" s="7">
        <f t="shared" si="85"/>
        <v>48.98</v>
      </c>
      <c r="J1134" s="7">
        <f t="shared" si="86"/>
        <v>51.35</v>
      </c>
      <c r="K1134" s="7">
        <f t="shared" si="87"/>
        <v>52.93</v>
      </c>
      <c r="L1134" s="7">
        <f t="shared" si="88"/>
        <v>55.3</v>
      </c>
      <c r="M1134" s="7">
        <f t="shared" si="89"/>
        <v>56.88</v>
      </c>
    </row>
    <row r="1135" spans="1:13">
      <c r="A1135" s="6" t="s">
        <v>717</v>
      </c>
      <c r="B1135" s="6" t="s">
        <v>3111</v>
      </c>
      <c r="C1135" s="6" t="s">
        <v>3112</v>
      </c>
      <c r="E1135" s="6" t="s">
        <v>3112</v>
      </c>
      <c r="G1135" s="7">
        <v>139</v>
      </c>
      <c r="H1135" s="7">
        <v>157.07</v>
      </c>
      <c r="I1135" s="7">
        <f t="shared" si="85"/>
        <v>86.18</v>
      </c>
      <c r="J1135" s="7">
        <f t="shared" si="86"/>
        <v>90.35</v>
      </c>
      <c r="K1135" s="7">
        <f t="shared" si="87"/>
        <v>93.13</v>
      </c>
      <c r="L1135" s="7">
        <f t="shared" si="88"/>
        <v>97.3</v>
      </c>
      <c r="M1135" s="7">
        <f t="shared" si="89"/>
        <v>100.08</v>
      </c>
    </row>
    <row r="1136" spans="1:13">
      <c r="A1136" s="6" t="s">
        <v>18</v>
      </c>
      <c r="B1136" s="6" t="s">
        <v>3113</v>
      </c>
      <c r="C1136" s="6" t="s">
        <v>3114</v>
      </c>
      <c r="E1136" s="6" t="s">
        <v>3114</v>
      </c>
      <c r="G1136" s="7">
        <v>949</v>
      </c>
      <c r="H1136" s="7">
        <v>1072.37</v>
      </c>
      <c r="I1136" s="7">
        <f t="shared" si="85"/>
        <v>588.38</v>
      </c>
      <c r="J1136" s="7">
        <f t="shared" si="86"/>
        <v>616.85</v>
      </c>
      <c r="K1136" s="7">
        <f t="shared" si="87"/>
        <v>635.83</v>
      </c>
      <c r="L1136" s="7">
        <f t="shared" si="88"/>
        <v>664.3</v>
      </c>
      <c r="M1136" s="7">
        <f t="shared" si="89"/>
        <v>683.28</v>
      </c>
    </row>
    <row r="1137" ht="25.5" spans="1:13">
      <c r="A1137" s="6" t="s">
        <v>18</v>
      </c>
      <c r="B1137" s="6" t="s">
        <v>3115</v>
      </c>
      <c r="C1137" s="6" t="s">
        <v>3116</v>
      </c>
      <c r="E1137" s="6" t="s">
        <v>3116</v>
      </c>
      <c r="G1137" s="7">
        <v>3099</v>
      </c>
      <c r="H1137" s="7">
        <v>3501.87</v>
      </c>
      <c r="I1137" s="7">
        <f t="shared" si="85"/>
        <v>1921.38</v>
      </c>
      <c r="J1137" s="7">
        <f t="shared" si="86"/>
        <v>2014.35</v>
      </c>
      <c r="K1137" s="7">
        <f t="shared" si="87"/>
        <v>2076.33</v>
      </c>
      <c r="L1137" s="7">
        <f t="shared" si="88"/>
        <v>2169.3</v>
      </c>
      <c r="M1137" s="7">
        <f t="shared" si="89"/>
        <v>2231.28</v>
      </c>
    </row>
    <row r="1138" ht="25.5" spans="1:13">
      <c r="A1138" s="6" t="s">
        <v>376</v>
      </c>
      <c r="B1138" s="6" t="s">
        <v>3117</v>
      </c>
      <c r="C1138" s="6" t="s">
        <v>3118</v>
      </c>
      <c r="E1138" s="6" t="s">
        <v>3119</v>
      </c>
      <c r="G1138" s="7">
        <v>259</v>
      </c>
      <c r="H1138" s="7">
        <v>292.67</v>
      </c>
      <c r="I1138" s="7">
        <f t="shared" si="85"/>
        <v>160.58</v>
      </c>
      <c r="J1138" s="7">
        <f t="shared" si="86"/>
        <v>168.35</v>
      </c>
      <c r="K1138" s="7">
        <f t="shared" si="87"/>
        <v>173.53</v>
      </c>
      <c r="L1138" s="7">
        <f t="shared" si="88"/>
        <v>181.3</v>
      </c>
      <c r="M1138" s="7">
        <f t="shared" si="89"/>
        <v>186.48</v>
      </c>
    </row>
    <row r="1139" spans="1:13">
      <c r="A1139" s="6" t="s">
        <v>733</v>
      </c>
      <c r="B1139" s="6" t="s">
        <v>3120</v>
      </c>
      <c r="C1139" s="6" t="s">
        <v>3121</v>
      </c>
      <c r="E1139" s="6" t="s">
        <v>3122</v>
      </c>
      <c r="G1139" s="7">
        <v>299</v>
      </c>
      <c r="H1139" s="7">
        <v>337.87</v>
      </c>
      <c r="I1139" s="7">
        <f t="shared" si="85"/>
        <v>185.38</v>
      </c>
      <c r="J1139" s="7">
        <f t="shared" si="86"/>
        <v>194.35</v>
      </c>
      <c r="K1139" s="7">
        <f t="shared" si="87"/>
        <v>200.33</v>
      </c>
      <c r="L1139" s="7">
        <f t="shared" si="88"/>
        <v>209.3</v>
      </c>
      <c r="M1139" s="7">
        <f t="shared" si="89"/>
        <v>215.28</v>
      </c>
    </row>
    <row r="1140" ht="25.5" spans="1:13">
      <c r="A1140" s="6" t="s">
        <v>686</v>
      </c>
      <c r="B1140" s="6" t="s">
        <v>3123</v>
      </c>
      <c r="C1140" s="6" t="s">
        <v>3124</v>
      </c>
      <c r="E1140" s="6" t="s">
        <v>3125</v>
      </c>
      <c r="G1140" s="7">
        <v>219</v>
      </c>
      <c r="H1140" s="7">
        <v>247.47</v>
      </c>
      <c r="I1140" s="7">
        <f t="shared" si="85"/>
        <v>135.78</v>
      </c>
      <c r="J1140" s="7">
        <f t="shared" si="86"/>
        <v>142.35</v>
      </c>
      <c r="K1140" s="7">
        <f t="shared" si="87"/>
        <v>146.73</v>
      </c>
      <c r="L1140" s="7">
        <f t="shared" si="88"/>
        <v>153.3</v>
      </c>
      <c r="M1140" s="7">
        <f t="shared" si="89"/>
        <v>157.68</v>
      </c>
    </row>
    <row r="1141" ht="25.5" spans="1:13">
      <c r="A1141" s="6" t="s">
        <v>548</v>
      </c>
      <c r="B1141" s="6" t="s">
        <v>3126</v>
      </c>
      <c r="C1141" s="6" t="s">
        <v>3127</v>
      </c>
      <c r="E1141" s="6" t="s">
        <v>3128</v>
      </c>
      <c r="G1141" s="7">
        <v>199</v>
      </c>
      <c r="H1141" s="7">
        <v>224.87</v>
      </c>
      <c r="I1141" s="7">
        <f t="shared" si="85"/>
        <v>123.38</v>
      </c>
      <c r="J1141" s="7">
        <f t="shared" si="86"/>
        <v>129.35</v>
      </c>
      <c r="K1141" s="7">
        <f t="shared" si="87"/>
        <v>133.33</v>
      </c>
      <c r="L1141" s="7">
        <f t="shared" si="88"/>
        <v>139.3</v>
      </c>
      <c r="M1141" s="7">
        <f t="shared" si="89"/>
        <v>143.28</v>
      </c>
    </row>
    <row r="1142" spans="1:13">
      <c r="A1142" s="6" t="s">
        <v>18</v>
      </c>
      <c r="B1142" s="6" t="s">
        <v>3129</v>
      </c>
      <c r="C1142" s="6" t="s">
        <v>3130</v>
      </c>
      <c r="E1142" s="6" t="s">
        <v>3131</v>
      </c>
      <c r="G1142" s="7">
        <v>119</v>
      </c>
      <c r="H1142" s="7">
        <v>134.47</v>
      </c>
      <c r="I1142" s="7">
        <f t="shared" si="85"/>
        <v>73.78</v>
      </c>
      <c r="J1142" s="7">
        <f t="shared" si="86"/>
        <v>77.35</v>
      </c>
      <c r="K1142" s="7">
        <f t="shared" si="87"/>
        <v>79.73</v>
      </c>
      <c r="L1142" s="7">
        <f t="shared" si="88"/>
        <v>83.3</v>
      </c>
      <c r="M1142" s="7">
        <f t="shared" si="89"/>
        <v>85.68</v>
      </c>
    </row>
    <row r="1143" ht="51" spans="1:13">
      <c r="A1143" s="6" t="s">
        <v>432</v>
      </c>
      <c r="B1143" s="6" t="s">
        <v>3132</v>
      </c>
      <c r="C1143" s="6" t="s">
        <v>3133</v>
      </c>
      <c r="E1143" s="6" t="s">
        <v>3134</v>
      </c>
      <c r="G1143" s="7">
        <v>649</v>
      </c>
      <c r="H1143" s="7">
        <v>733.37</v>
      </c>
      <c r="I1143" s="7">
        <f t="shared" si="85"/>
        <v>402.38</v>
      </c>
      <c r="J1143" s="7">
        <f t="shared" si="86"/>
        <v>421.85</v>
      </c>
      <c r="K1143" s="7">
        <f t="shared" si="87"/>
        <v>434.83</v>
      </c>
      <c r="L1143" s="7">
        <f t="shared" si="88"/>
        <v>454.3</v>
      </c>
      <c r="M1143" s="7">
        <f t="shared" si="89"/>
        <v>467.28</v>
      </c>
    </row>
    <row r="1144" ht="25.5" spans="1:13">
      <c r="A1144" s="6" t="s">
        <v>432</v>
      </c>
      <c r="B1144" s="6" t="s">
        <v>3135</v>
      </c>
      <c r="C1144" s="6" t="s">
        <v>3136</v>
      </c>
      <c r="E1144" s="6" t="s">
        <v>3137</v>
      </c>
      <c r="G1144" s="7">
        <v>5799</v>
      </c>
      <c r="H1144" s="7">
        <v>6552.87</v>
      </c>
      <c r="I1144" s="7">
        <f t="shared" si="85"/>
        <v>3595.38</v>
      </c>
      <c r="J1144" s="7">
        <f t="shared" si="86"/>
        <v>3769.35</v>
      </c>
      <c r="K1144" s="7">
        <f t="shared" si="87"/>
        <v>3885.33</v>
      </c>
      <c r="L1144" s="7">
        <f t="shared" si="88"/>
        <v>4059.3</v>
      </c>
      <c r="M1144" s="7">
        <f t="shared" si="89"/>
        <v>4175.28</v>
      </c>
    </row>
    <row r="1145" ht="38.25" spans="1:13">
      <c r="A1145" s="6" t="s">
        <v>432</v>
      </c>
      <c r="B1145" s="6" t="s">
        <v>3138</v>
      </c>
      <c r="C1145" s="6" t="s">
        <v>3139</v>
      </c>
      <c r="E1145" s="6" t="s">
        <v>3140</v>
      </c>
      <c r="G1145" s="7">
        <v>4071</v>
      </c>
      <c r="H1145" s="7">
        <v>4600.23</v>
      </c>
      <c r="I1145" s="7">
        <f t="shared" si="85"/>
        <v>2524.02</v>
      </c>
      <c r="J1145" s="7">
        <f t="shared" si="86"/>
        <v>2646.15</v>
      </c>
      <c r="K1145" s="7">
        <f t="shared" si="87"/>
        <v>2727.57</v>
      </c>
      <c r="L1145" s="7">
        <f t="shared" si="88"/>
        <v>2849.7</v>
      </c>
      <c r="M1145" s="7">
        <f t="shared" si="89"/>
        <v>2931.12</v>
      </c>
    </row>
    <row r="1146" spans="1:13">
      <c r="A1146" s="6" t="s">
        <v>18</v>
      </c>
      <c r="B1146" s="6" t="s">
        <v>3141</v>
      </c>
      <c r="C1146" s="6" t="s">
        <v>3142</v>
      </c>
      <c r="E1146" s="6" t="s">
        <v>3143</v>
      </c>
      <c r="G1146" s="7">
        <v>219</v>
      </c>
      <c r="H1146" s="7">
        <v>247.47</v>
      </c>
      <c r="I1146" s="7">
        <f t="shared" si="85"/>
        <v>135.78</v>
      </c>
      <c r="J1146" s="7">
        <f t="shared" si="86"/>
        <v>142.35</v>
      </c>
      <c r="K1146" s="7">
        <f t="shared" si="87"/>
        <v>146.73</v>
      </c>
      <c r="L1146" s="7">
        <f t="shared" si="88"/>
        <v>153.3</v>
      </c>
      <c r="M1146" s="7">
        <f t="shared" si="89"/>
        <v>157.68</v>
      </c>
    </row>
    <row r="1147" ht="51" spans="1:13">
      <c r="A1147" s="6" t="s">
        <v>376</v>
      </c>
      <c r="B1147" s="6" t="s">
        <v>3144</v>
      </c>
      <c r="C1147" s="6" t="s">
        <v>3145</v>
      </c>
      <c r="E1147" s="6" t="s">
        <v>3146</v>
      </c>
      <c r="G1147" s="7">
        <v>699</v>
      </c>
      <c r="H1147" s="7">
        <v>789.87</v>
      </c>
      <c r="I1147" s="7">
        <f t="shared" si="85"/>
        <v>433.38</v>
      </c>
      <c r="J1147" s="7">
        <f t="shared" si="86"/>
        <v>454.35</v>
      </c>
      <c r="K1147" s="7">
        <f t="shared" si="87"/>
        <v>468.33</v>
      </c>
      <c r="L1147" s="7">
        <f t="shared" si="88"/>
        <v>489.3</v>
      </c>
      <c r="M1147" s="7">
        <f t="shared" si="89"/>
        <v>503.28</v>
      </c>
    </row>
    <row r="1148" ht="25.5" spans="1:13">
      <c r="A1148" s="6" t="s">
        <v>376</v>
      </c>
      <c r="B1148" s="6" t="s">
        <v>3147</v>
      </c>
      <c r="C1148" s="6" t="s">
        <v>3148</v>
      </c>
      <c r="E1148" s="6" t="s">
        <v>3149</v>
      </c>
      <c r="G1148" s="7">
        <v>2099</v>
      </c>
      <c r="H1148" s="7">
        <v>2371.87</v>
      </c>
      <c r="I1148" s="7">
        <f t="shared" si="85"/>
        <v>1301.38</v>
      </c>
      <c r="J1148" s="7">
        <f t="shared" si="86"/>
        <v>1364.35</v>
      </c>
      <c r="K1148" s="7">
        <f t="shared" si="87"/>
        <v>1406.33</v>
      </c>
      <c r="L1148" s="7">
        <f t="shared" si="88"/>
        <v>1469.3</v>
      </c>
      <c r="M1148" s="7">
        <f t="shared" si="89"/>
        <v>1511.28</v>
      </c>
    </row>
    <row r="1149" ht="25.5" spans="1:13">
      <c r="A1149" s="6" t="s">
        <v>376</v>
      </c>
      <c r="B1149" s="6" t="s">
        <v>3150</v>
      </c>
      <c r="C1149" s="6" t="s">
        <v>3151</v>
      </c>
      <c r="E1149" s="6" t="s">
        <v>3152</v>
      </c>
      <c r="G1149" s="7">
        <v>1199</v>
      </c>
      <c r="H1149" s="7">
        <v>1354.87</v>
      </c>
      <c r="I1149" s="7">
        <f t="shared" si="85"/>
        <v>743.38</v>
      </c>
      <c r="J1149" s="7">
        <f t="shared" si="86"/>
        <v>779.35</v>
      </c>
      <c r="K1149" s="7">
        <f t="shared" si="87"/>
        <v>803.33</v>
      </c>
      <c r="L1149" s="7">
        <f t="shared" si="88"/>
        <v>839.3</v>
      </c>
      <c r="M1149" s="7">
        <f t="shared" si="89"/>
        <v>863.28</v>
      </c>
    </row>
    <row r="1150" spans="1:13">
      <c r="A1150" s="6" t="s">
        <v>376</v>
      </c>
      <c r="B1150" s="6" t="s">
        <v>3153</v>
      </c>
      <c r="C1150" s="6" t="s">
        <v>3154</v>
      </c>
      <c r="E1150" s="6" t="s">
        <v>3155</v>
      </c>
      <c r="G1150" s="7">
        <v>379</v>
      </c>
      <c r="H1150" s="7">
        <v>428.27</v>
      </c>
      <c r="I1150" s="7">
        <f t="shared" si="85"/>
        <v>234.98</v>
      </c>
      <c r="J1150" s="7">
        <f t="shared" si="86"/>
        <v>246.35</v>
      </c>
      <c r="K1150" s="7">
        <f t="shared" si="87"/>
        <v>253.93</v>
      </c>
      <c r="L1150" s="7">
        <f t="shared" si="88"/>
        <v>265.3</v>
      </c>
      <c r="M1150" s="7">
        <f t="shared" si="89"/>
        <v>272.88</v>
      </c>
    </row>
    <row r="1151" ht="25.5" spans="1:13">
      <c r="A1151" s="6" t="s">
        <v>376</v>
      </c>
      <c r="B1151" s="6" t="s">
        <v>3156</v>
      </c>
      <c r="C1151" s="6" t="s">
        <v>3157</v>
      </c>
      <c r="E1151" s="6" t="s">
        <v>3158</v>
      </c>
      <c r="G1151" s="7">
        <v>3699</v>
      </c>
      <c r="H1151" s="7">
        <v>4179.87</v>
      </c>
      <c r="I1151" s="7">
        <f t="shared" si="85"/>
        <v>2293.38</v>
      </c>
      <c r="J1151" s="7">
        <f t="shared" si="86"/>
        <v>2404.35</v>
      </c>
      <c r="K1151" s="7">
        <f t="shared" si="87"/>
        <v>2478.33</v>
      </c>
      <c r="L1151" s="7">
        <f t="shared" si="88"/>
        <v>2589.3</v>
      </c>
      <c r="M1151" s="7">
        <f t="shared" si="89"/>
        <v>2663.28</v>
      </c>
    </row>
    <row r="1152" ht="25.5" spans="1:13">
      <c r="A1152" s="6" t="s">
        <v>18</v>
      </c>
      <c r="B1152" s="6" t="s">
        <v>3159</v>
      </c>
      <c r="C1152" s="6" t="s">
        <v>3160</v>
      </c>
      <c r="E1152" s="6" t="s">
        <v>3161</v>
      </c>
      <c r="G1152" s="7">
        <v>259</v>
      </c>
      <c r="H1152" s="7">
        <v>292.67</v>
      </c>
      <c r="I1152" s="7">
        <f t="shared" si="85"/>
        <v>160.58</v>
      </c>
      <c r="J1152" s="7">
        <f t="shared" si="86"/>
        <v>168.35</v>
      </c>
      <c r="K1152" s="7">
        <f t="shared" si="87"/>
        <v>173.53</v>
      </c>
      <c r="L1152" s="7">
        <f t="shared" si="88"/>
        <v>181.3</v>
      </c>
      <c r="M1152" s="7">
        <f t="shared" si="89"/>
        <v>186.48</v>
      </c>
    </row>
    <row r="1153" ht="38.25" spans="1:13">
      <c r="A1153" s="6" t="s">
        <v>376</v>
      </c>
      <c r="B1153" s="6" t="s">
        <v>3162</v>
      </c>
      <c r="C1153" s="6" t="s">
        <v>3163</v>
      </c>
      <c r="E1153" s="6" t="s">
        <v>3164</v>
      </c>
      <c r="G1153" s="7">
        <v>2849</v>
      </c>
      <c r="H1153" s="7">
        <v>3219.37</v>
      </c>
      <c r="I1153" s="7">
        <f t="shared" si="85"/>
        <v>1766.38</v>
      </c>
      <c r="J1153" s="7">
        <f t="shared" si="86"/>
        <v>1851.85</v>
      </c>
      <c r="K1153" s="7">
        <f t="shared" si="87"/>
        <v>1908.83</v>
      </c>
      <c r="L1153" s="7">
        <f t="shared" si="88"/>
        <v>1994.3</v>
      </c>
      <c r="M1153" s="7">
        <f t="shared" si="89"/>
        <v>2051.28</v>
      </c>
    </row>
    <row r="1154" ht="38.25" spans="1:13">
      <c r="A1154" s="6" t="s">
        <v>376</v>
      </c>
      <c r="B1154" s="6" t="s">
        <v>3165</v>
      </c>
      <c r="C1154" s="6" t="s">
        <v>3166</v>
      </c>
      <c r="E1154" s="6" t="s">
        <v>3167</v>
      </c>
      <c r="G1154" s="7">
        <v>2849</v>
      </c>
      <c r="H1154" s="7">
        <v>3219.37</v>
      </c>
      <c r="I1154" s="7">
        <f t="shared" ref="I1154:I1217" si="90">G1154*0.62</f>
        <v>1766.38</v>
      </c>
      <c r="J1154" s="7">
        <f t="shared" ref="J1154:J1217" si="91">G1154*0.65</f>
        <v>1851.85</v>
      </c>
      <c r="K1154" s="7">
        <f t="shared" ref="K1154:K1217" si="92">G1154*0.67</f>
        <v>1908.83</v>
      </c>
      <c r="L1154" s="7">
        <f t="shared" ref="L1154:L1217" si="93">G1154*0.7</f>
        <v>1994.3</v>
      </c>
      <c r="M1154" s="7">
        <f t="shared" ref="M1154:M1217" si="94">G1154*0.72</f>
        <v>2051.28</v>
      </c>
    </row>
    <row r="1155" spans="1:13">
      <c r="A1155" s="6" t="s">
        <v>376</v>
      </c>
      <c r="B1155" s="6" t="s">
        <v>3168</v>
      </c>
      <c r="C1155" s="6" t="s">
        <v>3169</v>
      </c>
      <c r="E1155" s="6" t="s">
        <v>3170</v>
      </c>
      <c r="G1155" s="7">
        <v>1749</v>
      </c>
      <c r="H1155" s="7">
        <v>1976.37</v>
      </c>
      <c r="I1155" s="7">
        <f t="shared" si="90"/>
        <v>1084.38</v>
      </c>
      <c r="J1155" s="7">
        <f t="shared" si="91"/>
        <v>1136.85</v>
      </c>
      <c r="K1155" s="7">
        <f t="shared" si="92"/>
        <v>1171.83</v>
      </c>
      <c r="L1155" s="7">
        <f t="shared" si="93"/>
        <v>1224.3</v>
      </c>
      <c r="M1155" s="7">
        <f t="shared" si="94"/>
        <v>1259.28</v>
      </c>
    </row>
    <row r="1156" ht="25.5" spans="1:13">
      <c r="A1156" s="6" t="s">
        <v>376</v>
      </c>
      <c r="B1156" s="6" t="s">
        <v>3171</v>
      </c>
      <c r="C1156" s="6" t="s">
        <v>3172</v>
      </c>
      <c r="E1156" s="6" t="s">
        <v>3173</v>
      </c>
      <c r="G1156" s="7">
        <v>1049</v>
      </c>
      <c r="H1156" s="7">
        <v>1185.37</v>
      </c>
      <c r="I1156" s="7">
        <f t="shared" si="90"/>
        <v>650.38</v>
      </c>
      <c r="J1156" s="7">
        <f t="shared" si="91"/>
        <v>681.85</v>
      </c>
      <c r="K1156" s="7">
        <f t="shared" si="92"/>
        <v>702.83</v>
      </c>
      <c r="L1156" s="7">
        <f t="shared" si="93"/>
        <v>734.3</v>
      </c>
      <c r="M1156" s="7">
        <f t="shared" si="94"/>
        <v>755.28</v>
      </c>
    </row>
    <row r="1157" ht="25.5" spans="1:13">
      <c r="A1157" s="6" t="s">
        <v>376</v>
      </c>
      <c r="B1157" s="6" t="s">
        <v>3174</v>
      </c>
      <c r="C1157" s="6" t="s">
        <v>3175</v>
      </c>
      <c r="E1157" s="6" t="s">
        <v>3176</v>
      </c>
      <c r="G1157" s="7">
        <v>2299</v>
      </c>
      <c r="H1157" s="7">
        <v>2597.87</v>
      </c>
      <c r="I1157" s="7">
        <f t="shared" si="90"/>
        <v>1425.38</v>
      </c>
      <c r="J1157" s="7">
        <f t="shared" si="91"/>
        <v>1494.35</v>
      </c>
      <c r="K1157" s="7">
        <f t="shared" si="92"/>
        <v>1540.33</v>
      </c>
      <c r="L1157" s="7">
        <f t="shared" si="93"/>
        <v>1609.3</v>
      </c>
      <c r="M1157" s="7">
        <f t="shared" si="94"/>
        <v>1655.28</v>
      </c>
    </row>
    <row r="1158" ht="25.5" spans="1:13">
      <c r="A1158" s="6" t="s">
        <v>376</v>
      </c>
      <c r="B1158" s="6" t="s">
        <v>3177</v>
      </c>
      <c r="C1158" s="6" t="s">
        <v>3178</v>
      </c>
      <c r="E1158" s="6" t="s">
        <v>3179</v>
      </c>
      <c r="G1158" s="7">
        <v>179</v>
      </c>
      <c r="H1158" s="7">
        <v>202.27</v>
      </c>
      <c r="I1158" s="7">
        <f t="shared" si="90"/>
        <v>110.98</v>
      </c>
      <c r="J1158" s="7">
        <f t="shared" si="91"/>
        <v>116.35</v>
      </c>
      <c r="K1158" s="7">
        <f t="shared" si="92"/>
        <v>119.93</v>
      </c>
      <c r="L1158" s="7">
        <f t="shared" si="93"/>
        <v>125.3</v>
      </c>
      <c r="M1158" s="7">
        <f t="shared" si="94"/>
        <v>128.88</v>
      </c>
    </row>
    <row r="1159" spans="1:13">
      <c r="A1159" s="6" t="s">
        <v>25</v>
      </c>
      <c r="B1159" s="6" t="s">
        <v>3180</v>
      </c>
      <c r="C1159" s="6" t="s">
        <v>3181</v>
      </c>
      <c r="E1159" s="6" t="s">
        <v>3182</v>
      </c>
      <c r="G1159" s="7">
        <v>39</v>
      </c>
      <c r="H1159" s="7">
        <v>44.07</v>
      </c>
      <c r="I1159" s="7">
        <f t="shared" si="90"/>
        <v>24.18</v>
      </c>
      <c r="J1159" s="7">
        <f t="shared" si="91"/>
        <v>25.35</v>
      </c>
      <c r="K1159" s="7">
        <f t="shared" si="92"/>
        <v>26.13</v>
      </c>
      <c r="L1159" s="7">
        <f t="shared" si="93"/>
        <v>27.3</v>
      </c>
      <c r="M1159" s="7">
        <f t="shared" si="94"/>
        <v>28.08</v>
      </c>
    </row>
    <row r="1160" spans="1:13">
      <c r="A1160" s="6" t="s">
        <v>18</v>
      </c>
      <c r="B1160" s="6" t="s">
        <v>3183</v>
      </c>
      <c r="C1160" s="6" t="s">
        <v>3184</v>
      </c>
      <c r="E1160" s="6" t="s">
        <v>3184</v>
      </c>
      <c r="G1160" s="7">
        <v>39</v>
      </c>
      <c r="H1160" s="7">
        <v>44.07</v>
      </c>
      <c r="I1160" s="7">
        <f t="shared" si="90"/>
        <v>24.18</v>
      </c>
      <c r="J1160" s="7">
        <f t="shared" si="91"/>
        <v>25.35</v>
      </c>
      <c r="K1160" s="7">
        <f t="shared" si="92"/>
        <v>26.13</v>
      </c>
      <c r="L1160" s="7">
        <f t="shared" si="93"/>
        <v>27.3</v>
      </c>
      <c r="M1160" s="7">
        <f t="shared" si="94"/>
        <v>28.08</v>
      </c>
    </row>
    <row r="1161" spans="1:13">
      <c r="A1161" s="6" t="s">
        <v>18</v>
      </c>
      <c r="B1161" s="6" t="s">
        <v>3185</v>
      </c>
      <c r="C1161" s="6" t="s">
        <v>3186</v>
      </c>
      <c r="E1161" s="6" t="s">
        <v>3186</v>
      </c>
      <c r="G1161" s="7">
        <v>39</v>
      </c>
      <c r="H1161" s="7">
        <v>44.07</v>
      </c>
      <c r="I1161" s="7">
        <f t="shared" si="90"/>
        <v>24.18</v>
      </c>
      <c r="J1161" s="7">
        <f t="shared" si="91"/>
        <v>25.35</v>
      </c>
      <c r="K1161" s="7">
        <f t="shared" si="92"/>
        <v>26.13</v>
      </c>
      <c r="L1161" s="7">
        <f t="shared" si="93"/>
        <v>27.3</v>
      </c>
      <c r="M1161" s="7">
        <f t="shared" si="94"/>
        <v>28.08</v>
      </c>
    </row>
    <row r="1162" spans="1:13">
      <c r="A1162" s="6" t="s">
        <v>25</v>
      </c>
      <c r="B1162" s="6" t="s">
        <v>3187</v>
      </c>
      <c r="C1162" s="6" t="s">
        <v>3188</v>
      </c>
      <c r="E1162" s="6" t="s">
        <v>3188</v>
      </c>
      <c r="G1162" s="7">
        <v>26.99</v>
      </c>
      <c r="H1162" s="7">
        <v>30.4987</v>
      </c>
      <c r="I1162" s="7">
        <f t="shared" si="90"/>
        <v>16.7338</v>
      </c>
      <c r="J1162" s="7">
        <f t="shared" si="91"/>
        <v>17.5435</v>
      </c>
      <c r="K1162" s="7">
        <f t="shared" si="92"/>
        <v>18.0833</v>
      </c>
      <c r="L1162" s="7">
        <f t="shared" si="93"/>
        <v>18.893</v>
      </c>
      <c r="M1162" s="7">
        <f t="shared" si="94"/>
        <v>19.4328</v>
      </c>
    </row>
    <row r="1163" spans="1:13">
      <c r="A1163" s="6" t="s">
        <v>18</v>
      </c>
      <c r="B1163" s="6" t="s">
        <v>3189</v>
      </c>
      <c r="C1163" s="6" t="s">
        <v>3190</v>
      </c>
      <c r="E1163" s="6" t="s">
        <v>3191</v>
      </c>
      <c r="G1163" s="7">
        <v>39</v>
      </c>
      <c r="H1163" s="7">
        <v>44.07</v>
      </c>
      <c r="I1163" s="7">
        <f t="shared" si="90"/>
        <v>24.18</v>
      </c>
      <c r="J1163" s="7">
        <f t="shared" si="91"/>
        <v>25.35</v>
      </c>
      <c r="K1163" s="7">
        <f t="shared" si="92"/>
        <v>26.13</v>
      </c>
      <c r="L1163" s="7">
        <f t="shared" si="93"/>
        <v>27.3</v>
      </c>
      <c r="M1163" s="7">
        <f t="shared" si="94"/>
        <v>28.08</v>
      </c>
    </row>
    <row r="1164" spans="1:13">
      <c r="A1164" s="6" t="s">
        <v>18</v>
      </c>
      <c r="B1164" s="6" t="s">
        <v>3192</v>
      </c>
      <c r="C1164" s="6" t="s">
        <v>3193</v>
      </c>
      <c r="E1164" s="6" t="s">
        <v>3193</v>
      </c>
      <c r="G1164" s="7">
        <v>19</v>
      </c>
      <c r="H1164" s="7">
        <v>21.47</v>
      </c>
      <c r="I1164" s="7">
        <f t="shared" si="90"/>
        <v>11.78</v>
      </c>
      <c r="J1164" s="7">
        <f t="shared" si="91"/>
        <v>12.35</v>
      </c>
      <c r="K1164" s="7">
        <f t="shared" si="92"/>
        <v>12.73</v>
      </c>
      <c r="L1164" s="7">
        <f t="shared" si="93"/>
        <v>13.3</v>
      </c>
      <c r="M1164" s="7">
        <f t="shared" si="94"/>
        <v>13.68</v>
      </c>
    </row>
    <row r="1165" spans="1:13">
      <c r="A1165" s="6" t="s">
        <v>25</v>
      </c>
      <c r="B1165" s="6" t="s">
        <v>3194</v>
      </c>
      <c r="C1165" s="6" t="s">
        <v>3195</v>
      </c>
      <c r="E1165" s="6" t="s">
        <v>3195</v>
      </c>
      <c r="G1165" s="7">
        <v>26.99</v>
      </c>
      <c r="H1165" s="7">
        <v>30.4987</v>
      </c>
      <c r="I1165" s="7">
        <f t="shared" si="90"/>
        <v>16.7338</v>
      </c>
      <c r="J1165" s="7">
        <f t="shared" si="91"/>
        <v>17.5435</v>
      </c>
      <c r="K1165" s="7">
        <f t="shared" si="92"/>
        <v>18.0833</v>
      </c>
      <c r="L1165" s="7">
        <f t="shared" si="93"/>
        <v>18.893</v>
      </c>
      <c r="M1165" s="7">
        <f t="shared" si="94"/>
        <v>19.4328</v>
      </c>
    </row>
    <row r="1166" spans="1:13">
      <c r="A1166" s="6" t="s">
        <v>25</v>
      </c>
      <c r="B1166" s="6" t="s">
        <v>3196</v>
      </c>
      <c r="C1166" s="6" t="s">
        <v>3197</v>
      </c>
      <c r="E1166" s="6" t="s">
        <v>3197</v>
      </c>
      <c r="G1166" s="7">
        <v>26.99</v>
      </c>
      <c r="H1166" s="7">
        <v>30.4987</v>
      </c>
      <c r="I1166" s="7">
        <f t="shared" si="90"/>
        <v>16.7338</v>
      </c>
      <c r="J1166" s="7">
        <f t="shared" si="91"/>
        <v>17.5435</v>
      </c>
      <c r="K1166" s="7">
        <f t="shared" si="92"/>
        <v>18.0833</v>
      </c>
      <c r="L1166" s="7">
        <f t="shared" si="93"/>
        <v>18.893</v>
      </c>
      <c r="M1166" s="7">
        <f t="shared" si="94"/>
        <v>19.4328</v>
      </c>
    </row>
    <row r="1167" spans="1:13">
      <c r="A1167" s="6" t="s">
        <v>25</v>
      </c>
      <c r="B1167" s="6" t="s">
        <v>3198</v>
      </c>
      <c r="C1167" s="6" t="s">
        <v>3199</v>
      </c>
      <c r="E1167" s="6" t="s">
        <v>3199</v>
      </c>
      <c r="G1167" s="7">
        <v>26.99</v>
      </c>
      <c r="H1167" s="7">
        <v>30.4987</v>
      </c>
      <c r="I1167" s="7">
        <f t="shared" si="90"/>
        <v>16.7338</v>
      </c>
      <c r="J1167" s="7">
        <f t="shared" si="91"/>
        <v>17.5435</v>
      </c>
      <c r="K1167" s="7">
        <f t="shared" si="92"/>
        <v>18.0833</v>
      </c>
      <c r="L1167" s="7">
        <f t="shared" si="93"/>
        <v>18.893</v>
      </c>
      <c r="M1167" s="7">
        <f t="shared" si="94"/>
        <v>19.4328</v>
      </c>
    </row>
    <row r="1168" spans="1:13">
      <c r="A1168" s="6" t="s">
        <v>25</v>
      </c>
      <c r="B1168" s="6" t="s">
        <v>3200</v>
      </c>
      <c r="C1168" s="6" t="s">
        <v>3201</v>
      </c>
      <c r="E1168" s="6" t="s">
        <v>3201</v>
      </c>
      <c r="G1168" s="7">
        <v>26.99</v>
      </c>
      <c r="H1168" s="7">
        <v>30.4987</v>
      </c>
      <c r="I1168" s="7">
        <f t="shared" si="90"/>
        <v>16.7338</v>
      </c>
      <c r="J1168" s="7">
        <f t="shared" si="91"/>
        <v>17.5435</v>
      </c>
      <c r="K1168" s="7">
        <f t="shared" si="92"/>
        <v>18.0833</v>
      </c>
      <c r="L1168" s="7">
        <f t="shared" si="93"/>
        <v>18.893</v>
      </c>
      <c r="M1168" s="7">
        <f t="shared" si="94"/>
        <v>19.4328</v>
      </c>
    </row>
    <row r="1169" spans="1:13">
      <c r="A1169" s="6" t="s">
        <v>25</v>
      </c>
      <c r="B1169" s="6" t="s">
        <v>3202</v>
      </c>
      <c r="C1169" s="6" t="s">
        <v>3203</v>
      </c>
      <c r="E1169" s="6" t="s">
        <v>3203</v>
      </c>
      <c r="G1169" s="7">
        <v>26.99</v>
      </c>
      <c r="H1169" s="7">
        <v>30.4987</v>
      </c>
      <c r="I1169" s="7">
        <f t="shared" si="90"/>
        <v>16.7338</v>
      </c>
      <c r="J1169" s="7">
        <f t="shared" si="91"/>
        <v>17.5435</v>
      </c>
      <c r="K1169" s="7">
        <f t="shared" si="92"/>
        <v>18.0833</v>
      </c>
      <c r="L1169" s="7">
        <f t="shared" si="93"/>
        <v>18.893</v>
      </c>
      <c r="M1169" s="7">
        <f t="shared" si="94"/>
        <v>19.4328</v>
      </c>
    </row>
    <row r="1170" spans="1:13">
      <c r="A1170" s="6" t="s">
        <v>25</v>
      </c>
      <c r="B1170" s="6" t="s">
        <v>3204</v>
      </c>
      <c r="C1170" s="6" t="s">
        <v>3205</v>
      </c>
      <c r="E1170" s="6" t="s">
        <v>3205</v>
      </c>
      <c r="G1170" s="7">
        <v>26.99</v>
      </c>
      <c r="H1170" s="7">
        <v>30.4987</v>
      </c>
      <c r="I1170" s="7">
        <f t="shared" si="90"/>
        <v>16.7338</v>
      </c>
      <c r="J1170" s="7">
        <f t="shared" si="91"/>
        <v>17.5435</v>
      </c>
      <c r="K1170" s="7">
        <f t="shared" si="92"/>
        <v>18.0833</v>
      </c>
      <c r="L1170" s="7">
        <f t="shared" si="93"/>
        <v>18.893</v>
      </c>
      <c r="M1170" s="7">
        <f t="shared" si="94"/>
        <v>19.4328</v>
      </c>
    </row>
    <row r="1171" spans="1:13">
      <c r="A1171" s="6" t="s">
        <v>25</v>
      </c>
      <c r="B1171" s="6" t="s">
        <v>3206</v>
      </c>
      <c r="C1171" s="6" t="s">
        <v>3207</v>
      </c>
      <c r="E1171" s="6" t="s">
        <v>3207</v>
      </c>
      <c r="G1171" s="7">
        <v>26.99</v>
      </c>
      <c r="H1171" s="7">
        <v>30.4987</v>
      </c>
      <c r="I1171" s="7">
        <f t="shared" si="90"/>
        <v>16.7338</v>
      </c>
      <c r="J1171" s="7">
        <f t="shared" si="91"/>
        <v>17.5435</v>
      </c>
      <c r="K1171" s="7">
        <f t="shared" si="92"/>
        <v>18.0833</v>
      </c>
      <c r="L1171" s="7">
        <f t="shared" si="93"/>
        <v>18.893</v>
      </c>
      <c r="M1171" s="7">
        <f t="shared" si="94"/>
        <v>19.4328</v>
      </c>
    </row>
    <row r="1172" spans="1:13">
      <c r="A1172" s="6" t="s">
        <v>18</v>
      </c>
      <c r="B1172" s="6" t="s">
        <v>3208</v>
      </c>
      <c r="C1172" s="6" t="s">
        <v>3208</v>
      </c>
      <c r="E1172" s="6" t="s">
        <v>3209</v>
      </c>
      <c r="G1172" s="7">
        <v>59</v>
      </c>
      <c r="H1172" s="7">
        <v>66.67</v>
      </c>
      <c r="I1172" s="7">
        <f t="shared" si="90"/>
        <v>36.58</v>
      </c>
      <c r="J1172" s="7">
        <f t="shared" si="91"/>
        <v>38.35</v>
      </c>
      <c r="K1172" s="7">
        <f t="shared" si="92"/>
        <v>39.53</v>
      </c>
      <c r="L1172" s="7">
        <f t="shared" si="93"/>
        <v>41.3</v>
      </c>
      <c r="M1172" s="7">
        <f t="shared" si="94"/>
        <v>42.48</v>
      </c>
    </row>
    <row r="1173" spans="1:13">
      <c r="A1173" s="6" t="s">
        <v>18</v>
      </c>
      <c r="B1173" s="6" t="s">
        <v>3210</v>
      </c>
      <c r="C1173" s="6" t="s">
        <v>3210</v>
      </c>
      <c r="E1173" s="6" t="s">
        <v>3211</v>
      </c>
      <c r="G1173" s="7">
        <v>59</v>
      </c>
      <c r="H1173" s="7">
        <v>66.67</v>
      </c>
      <c r="I1173" s="7">
        <f t="shared" si="90"/>
        <v>36.58</v>
      </c>
      <c r="J1173" s="7">
        <f t="shared" si="91"/>
        <v>38.35</v>
      </c>
      <c r="K1173" s="7">
        <f t="shared" si="92"/>
        <v>39.53</v>
      </c>
      <c r="L1173" s="7">
        <f t="shared" si="93"/>
        <v>41.3</v>
      </c>
      <c r="M1173" s="7">
        <f t="shared" si="94"/>
        <v>42.48</v>
      </c>
    </row>
    <row r="1174" spans="1:13">
      <c r="A1174" s="6" t="s">
        <v>18</v>
      </c>
      <c r="B1174" s="6" t="s">
        <v>3212</v>
      </c>
      <c r="C1174" s="6" t="s">
        <v>3212</v>
      </c>
      <c r="E1174" s="6" t="s">
        <v>3213</v>
      </c>
      <c r="G1174" s="7">
        <v>59</v>
      </c>
      <c r="H1174" s="7">
        <v>66.67</v>
      </c>
      <c r="I1174" s="7">
        <f t="shared" si="90"/>
        <v>36.58</v>
      </c>
      <c r="J1174" s="7">
        <f t="shared" si="91"/>
        <v>38.35</v>
      </c>
      <c r="K1174" s="7">
        <f t="shared" si="92"/>
        <v>39.53</v>
      </c>
      <c r="L1174" s="7">
        <f t="shared" si="93"/>
        <v>41.3</v>
      </c>
      <c r="M1174" s="7">
        <f t="shared" si="94"/>
        <v>42.48</v>
      </c>
    </row>
    <row r="1175" spans="1:13">
      <c r="A1175" s="6" t="s">
        <v>18</v>
      </c>
      <c r="B1175" s="6" t="s">
        <v>3214</v>
      </c>
      <c r="C1175" s="6" t="s">
        <v>3214</v>
      </c>
      <c r="E1175" s="6" t="s">
        <v>3215</v>
      </c>
      <c r="G1175" s="7">
        <v>59</v>
      </c>
      <c r="H1175" s="7">
        <v>66.67</v>
      </c>
      <c r="I1175" s="7">
        <f t="shared" si="90"/>
        <v>36.58</v>
      </c>
      <c r="J1175" s="7">
        <f t="shared" si="91"/>
        <v>38.35</v>
      </c>
      <c r="K1175" s="7">
        <f t="shared" si="92"/>
        <v>39.53</v>
      </c>
      <c r="L1175" s="7">
        <f t="shared" si="93"/>
        <v>41.3</v>
      </c>
      <c r="M1175" s="7">
        <f t="shared" si="94"/>
        <v>42.48</v>
      </c>
    </row>
    <row r="1176" ht="38.25" spans="1:13">
      <c r="A1176" s="6" t="s">
        <v>733</v>
      </c>
      <c r="B1176" s="6" t="s">
        <v>3216</v>
      </c>
      <c r="C1176" s="6" t="s">
        <v>3217</v>
      </c>
      <c r="E1176" s="6" t="s">
        <v>3218</v>
      </c>
      <c r="G1176" s="7">
        <v>179</v>
      </c>
      <c r="H1176" s="7">
        <v>202.27</v>
      </c>
      <c r="I1176" s="7">
        <f t="shared" si="90"/>
        <v>110.98</v>
      </c>
      <c r="J1176" s="7">
        <f t="shared" si="91"/>
        <v>116.35</v>
      </c>
      <c r="K1176" s="7">
        <f t="shared" si="92"/>
        <v>119.93</v>
      </c>
      <c r="L1176" s="7">
        <f t="shared" si="93"/>
        <v>125.3</v>
      </c>
      <c r="M1176" s="7">
        <f t="shared" si="94"/>
        <v>128.88</v>
      </c>
    </row>
    <row r="1177" ht="38.25" spans="1:13">
      <c r="A1177" s="6" t="s">
        <v>18</v>
      </c>
      <c r="B1177" s="6" t="s">
        <v>3219</v>
      </c>
      <c r="C1177" s="6" t="s">
        <v>3220</v>
      </c>
      <c r="E1177" s="6" t="s">
        <v>3221</v>
      </c>
      <c r="G1177" s="7">
        <v>699</v>
      </c>
      <c r="H1177" s="7">
        <v>789.87</v>
      </c>
      <c r="I1177" s="7">
        <f t="shared" si="90"/>
        <v>433.38</v>
      </c>
      <c r="J1177" s="7">
        <f t="shared" si="91"/>
        <v>454.35</v>
      </c>
      <c r="K1177" s="7">
        <f t="shared" si="92"/>
        <v>468.33</v>
      </c>
      <c r="L1177" s="7">
        <f t="shared" si="93"/>
        <v>489.3</v>
      </c>
      <c r="M1177" s="7">
        <f t="shared" si="94"/>
        <v>503.28</v>
      </c>
    </row>
    <row r="1178" ht="38.25" spans="1:13">
      <c r="A1178" s="6" t="s">
        <v>18</v>
      </c>
      <c r="B1178" s="6" t="s">
        <v>3222</v>
      </c>
      <c r="C1178" s="6" t="s">
        <v>3223</v>
      </c>
      <c r="E1178" s="6" t="s">
        <v>3224</v>
      </c>
      <c r="G1178" s="7">
        <v>599</v>
      </c>
      <c r="H1178" s="7">
        <v>676.87</v>
      </c>
      <c r="I1178" s="7">
        <f t="shared" si="90"/>
        <v>371.38</v>
      </c>
      <c r="J1178" s="7">
        <f t="shared" si="91"/>
        <v>389.35</v>
      </c>
      <c r="K1178" s="7">
        <f t="shared" si="92"/>
        <v>401.33</v>
      </c>
      <c r="L1178" s="7">
        <f t="shared" si="93"/>
        <v>419.3</v>
      </c>
      <c r="M1178" s="7">
        <f t="shared" si="94"/>
        <v>431.28</v>
      </c>
    </row>
    <row r="1179" spans="1:13">
      <c r="A1179" s="6" t="s">
        <v>25</v>
      </c>
      <c r="B1179" s="6" t="s">
        <v>3225</v>
      </c>
      <c r="C1179" s="6" t="s">
        <v>3226</v>
      </c>
      <c r="E1179" s="6" t="s">
        <v>3226</v>
      </c>
      <c r="G1179" s="7">
        <v>99</v>
      </c>
      <c r="H1179" s="7">
        <v>111.87</v>
      </c>
      <c r="I1179" s="7">
        <f t="shared" si="90"/>
        <v>61.38</v>
      </c>
      <c r="J1179" s="7">
        <f t="shared" si="91"/>
        <v>64.35</v>
      </c>
      <c r="K1179" s="7">
        <f t="shared" si="92"/>
        <v>66.33</v>
      </c>
      <c r="L1179" s="7">
        <f t="shared" si="93"/>
        <v>69.3</v>
      </c>
      <c r="M1179" s="7">
        <f t="shared" si="94"/>
        <v>71.28</v>
      </c>
    </row>
    <row r="1180" ht="25.5" spans="1:13">
      <c r="A1180" s="6" t="s">
        <v>25</v>
      </c>
      <c r="B1180" s="6" t="s">
        <v>3227</v>
      </c>
      <c r="C1180" s="6" t="s">
        <v>3228</v>
      </c>
      <c r="E1180" s="6" t="s">
        <v>3229</v>
      </c>
      <c r="G1180" s="7">
        <v>19</v>
      </c>
      <c r="H1180" s="7">
        <v>21.47</v>
      </c>
      <c r="I1180" s="7">
        <f t="shared" si="90"/>
        <v>11.78</v>
      </c>
      <c r="J1180" s="7">
        <f t="shared" si="91"/>
        <v>12.35</v>
      </c>
      <c r="K1180" s="7">
        <f t="shared" si="92"/>
        <v>12.73</v>
      </c>
      <c r="L1180" s="7">
        <f t="shared" si="93"/>
        <v>13.3</v>
      </c>
      <c r="M1180" s="7">
        <f t="shared" si="94"/>
        <v>13.68</v>
      </c>
    </row>
    <row r="1181" ht="25.5" spans="1:13">
      <c r="A1181" s="6" t="s">
        <v>18</v>
      </c>
      <c r="B1181" s="6" t="s">
        <v>3230</v>
      </c>
      <c r="C1181" s="6" t="s">
        <v>3231</v>
      </c>
      <c r="E1181" s="6" t="s">
        <v>3231</v>
      </c>
      <c r="G1181" s="7">
        <v>79</v>
      </c>
      <c r="H1181" s="7">
        <v>89.27</v>
      </c>
      <c r="I1181" s="7">
        <f t="shared" si="90"/>
        <v>48.98</v>
      </c>
      <c r="J1181" s="7">
        <f t="shared" si="91"/>
        <v>51.35</v>
      </c>
      <c r="K1181" s="7">
        <f t="shared" si="92"/>
        <v>52.93</v>
      </c>
      <c r="L1181" s="7">
        <f t="shared" si="93"/>
        <v>55.3</v>
      </c>
      <c r="M1181" s="7">
        <f t="shared" si="94"/>
        <v>56.88</v>
      </c>
    </row>
    <row r="1182" spans="1:13">
      <c r="A1182" s="6" t="s">
        <v>18</v>
      </c>
      <c r="B1182" s="6" t="s">
        <v>3232</v>
      </c>
      <c r="C1182" s="6" t="s">
        <v>3233</v>
      </c>
      <c r="E1182" s="6" t="s">
        <v>3234</v>
      </c>
      <c r="G1182" s="7">
        <v>259</v>
      </c>
      <c r="H1182" s="7">
        <v>292.67</v>
      </c>
      <c r="I1182" s="7">
        <f t="shared" si="90"/>
        <v>160.58</v>
      </c>
      <c r="J1182" s="7">
        <f t="shared" si="91"/>
        <v>168.35</v>
      </c>
      <c r="K1182" s="7">
        <f t="shared" si="92"/>
        <v>173.53</v>
      </c>
      <c r="L1182" s="7">
        <f t="shared" si="93"/>
        <v>181.3</v>
      </c>
      <c r="M1182" s="7">
        <f t="shared" si="94"/>
        <v>186.48</v>
      </c>
    </row>
    <row r="1183" ht="25.5" spans="1:13">
      <c r="A1183" s="6" t="s">
        <v>376</v>
      </c>
      <c r="B1183" s="6" t="s">
        <v>3235</v>
      </c>
      <c r="C1183" s="6" t="s">
        <v>3236</v>
      </c>
      <c r="E1183" s="6" t="s">
        <v>3237</v>
      </c>
      <c r="G1183" s="7">
        <v>1849</v>
      </c>
      <c r="H1183" s="7">
        <v>2089.37</v>
      </c>
      <c r="I1183" s="7">
        <f t="shared" si="90"/>
        <v>1146.38</v>
      </c>
      <c r="J1183" s="7">
        <f t="shared" si="91"/>
        <v>1201.85</v>
      </c>
      <c r="K1183" s="7">
        <f t="shared" si="92"/>
        <v>1238.83</v>
      </c>
      <c r="L1183" s="7">
        <f t="shared" si="93"/>
        <v>1294.3</v>
      </c>
      <c r="M1183" s="7">
        <f t="shared" si="94"/>
        <v>1331.28</v>
      </c>
    </row>
    <row r="1184" ht="25.5" spans="1:13">
      <c r="A1184" s="6" t="s">
        <v>376</v>
      </c>
      <c r="B1184" s="6" t="s">
        <v>3238</v>
      </c>
      <c r="C1184" s="6" t="s">
        <v>3239</v>
      </c>
      <c r="E1184" s="6" t="s">
        <v>3240</v>
      </c>
      <c r="G1184" s="7">
        <v>1849</v>
      </c>
      <c r="H1184" s="7">
        <v>2089.37</v>
      </c>
      <c r="I1184" s="7">
        <f t="shared" si="90"/>
        <v>1146.38</v>
      </c>
      <c r="J1184" s="7">
        <f t="shared" si="91"/>
        <v>1201.85</v>
      </c>
      <c r="K1184" s="7">
        <f t="shared" si="92"/>
        <v>1238.83</v>
      </c>
      <c r="L1184" s="7">
        <f t="shared" si="93"/>
        <v>1294.3</v>
      </c>
      <c r="M1184" s="7">
        <f t="shared" si="94"/>
        <v>1331.28</v>
      </c>
    </row>
    <row r="1185" ht="25.5" spans="1:13">
      <c r="A1185" s="6" t="s">
        <v>376</v>
      </c>
      <c r="B1185" s="6" t="s">
        <v>3241</v>
      </c>
      <c r="C1185" s="6" t="s">
        <v>3242</v>
      </c>
      <c r="E1185" s="6" t="s">
        <v>3243</v>
      </c>
      <c r="G1185" s="7">
        <v>479</v>
      </c>
      <c r="H1185" s="7">
        <v>541.27</v>
      </c>
      <c r="I1185" s="7">
        <f t="shared" si="90"/>
        <v>296.98</v>
      </c>
      <c r="J1185" s="7">
        <f t="shared" si="91"/>
        <v>311.35</v>
      </c>
      <c r="K1185" s="7">
        <f t="shared" si="92"/>
        <v>320.93</v>
      </c>
      <c r="L1185" s="7">
        <f t="shared" si="93"/>
        <v>335.3</v>
      </c>
      <c r="M1185" s="7">
        <f t="shared" si="94"/>
        <v>344.88</v>
      </c>
    </row>
    <row r="1186" spans="1:13">
      <c r="A1186" s="6" t="s">
        <v>18</v>
      </c>
      <c r="B1186" s="6" t="s">
        <v>3244</v>
      </c>
      <c r="C1186" s="6" t="s">
        <v>3245</v>
      </c>
      <c r="E1186" s="6" t="s">
        <v>3245</v>
      </c>
      <c r="G1186" s="7">
        <v>239</v>
      </c>
      <c r="H1186" s="7">
        <v>270.07</v>
      </c>
      <c r="I1186" s="7">
        <f t="shared" si="90"/>
        <v>148.18</v>
      </c>
      <c r="J1186" s="7">
        <f t="shared" si="91"/>
        <v>155.35</v>
      </c>
      <c r="K1186" s="7">
        <f t="shared" si="92"/>
        <v>160.13</v>
      </c>
      <c r="L1186" s="7">
        <f t="shared" si="93"/>
        <v>167.3</v>
      </c>
      <c r="M1186" s="7">
        <f t="shared" si="94"/>
        <v>172.08</v>
      </c>
    </row>
    <row r="1187" ht="25.5" spans="1:13">
      <c r="A1187" s="6" t="s">
        <v>432</v>
      </c>
      <c r="B1187" s="6" t="s">
        <v>3246</v>
      </c>
      <c r="C1187" s="6" t="s">
        <v>3247</v>
      </c>
      <c r="E1187" s="6" t="s">
        <v>3248</v>
      </c>
      <c r="G1187" s="7">
        <v>699</v>
      </c>
      <c r="H1187" s="7">
        <v>789.87</v>
      </c>
      <c r="I1187" s="7">
        <f t="shared" si="90"/>
        <v>433.38</v>
      </c>
      <c r="J1187" s="7">
        <f t="shared" si="91"/>
        <v>454.35</v>
      </c>
      <c r="K1187" s="7">
        <f t="shared" si="92"/>
        <v>468.33</v>
      </c>
      <c r="L1187" s="7">
        <f t="shared" si="93"/>
        <v>489.3</v>
      </c>
      <c r="M1187" s="7">
        <f t="shared" si="94"/>
        <v>503.28</v>
      </c>
    </row>
    <row r="1188" ht="63.75" spans="1:13">
      <c r="A1188" s="6" t="s">
        <v>432</v>
      </c>
      <c r="B1188" s="6" t="s">
        <v>3249</v>
      </c>
      <c r="C1188" s="6" t="s">
        <v>3250</v>
      </c>
      <c r="E1188" s="6" t="s">
        <v>3251</v>
      </c>
      <c r="G1188" s="7">
        <v>849</v>
      </c>
      <c r="H1188" s="7">
        <v>959.37</v>
      </c>
      <c r="I1188" s="7">
        <f t="shared" si="90"/>
        <v>526.38</v>
      </c>
      <c r="J1188" s="7">
        <f t="shared" si="91"/>
        <v>551.85</v>
      </c>
      <c r="K1188" s="7">
        <f t="shared" si="92"/>
        <v>568.83</v>
      </c>
      <c r="L1188" s="7">
        <f t="shared" si="93"/>
        <v>594.3</v>
      </c>
      <c r="M1188" s="7">
        <f t="shared" si="94"/>
        <v>611.28</v>
      </c>
    </row>
    <row r="1189" ht="63.75" spans="1:13">
      <c r="A1189" s="6" t="s">
        <v>432</v>
      </c>
      <c r="B1189" s="6" t="s">
        <v>3252</v>
      </c>
      <c r="C1189" s="6" t="s">
        <v>3253</v>
      </c>
      <c r="E1189" s="6" t="s">
        <v>3254</v>
      </c>
      <c r="G1189" s="7">
        <v>1149</v>
      </c>
      <c r="H1189" s="7">
        <v>1298.37</v>
      </c>
      <c r="I1189" s="7">
        <f t="shared" si="90"/>
        <v>712.38</v>
      </c>
      <c r="J1189" s="7">
        <f t="shared" si="91"/>
        <v>746.85</v>
      </c>
      <c r="K1189" s="7">
        <f t="shared" si="92"/>
        <v>769.83</v>
      </c>
      <c r="L1189" s="7">
        <f t="shared" si="93"/>
        <v>804.3</v>
      </c>
      <c r="M1189" s="7">
        <f t="shared" si="94"/>
        <v>827.28</v>
      </c>
    </row>
    <row r="1190" spans="1:13">
      <c r="A1190" s="6" t="s">
        <v>18</v>
      </c>
      <c r="B1190" s="6" t="s">
        <v>3255</v>
      </c>
      <c r="C1190" s="6" t="s">
        <v>3256</v>
      </c>
      <c r="E1190" s="6" t="s">
        <v>3256</v>
      </c>
      <c r="G1190" s="7">
        <v>219</v>
      </c>
      <c r="H1190" s="7">
        <v>247.47</v>
      </c>
      <c r="I1190" s="7">
        <f t="shared" si="90"/>
        <v>135.78</v>
      </c>
      <c r="J1190" s="7">
        <f t="shared" si="91"/>
        <v>142.35</v>
      </c>
      <c r="K1190" s="7">
        <f t="shared" si="92"/>
        <v>146.73</v>
      </c>
      <c r="L1190" s="7">
        <f t="shared" si="93"/>
        <v>153.3</v>
      </c>
      <c r="M1190" s="7">
        <f t="shared" si="94"/>
        <v>157.68</v>
      </c>
    </row>
    <row r="1191" spans="1:13">
      <c r="A1191" s="6" t="s">
        <v>18</v>
      </c>
      <c r="B1191" s="6" t="s">
        <v>3257</v>
      </c>
      <c r="C1191" s="6" t="s">
        <v>3258</v>
      </c>
      <c r="E1191" s="6" t="s">
        <v>3258</v>
      </c>
      <c r="G1191" s="7">
        <v>39</v>
      </c>
      <c r="H1191" s="7">
        <v>44.07</v>
      </c>
      <c r="I1191" s="7">
        <f t="shared" si="90"/>
        <v>24.18</v>
      </c>
      <c r="J1191" s="7">
        <f t="shared" si="91"/>
        <v>25.35</v>
      </c>
      <c r="K1191" s="7">
        <f t="shared" si="92"/>
        <v>26.13</v>
      </c>
      <c r="L1191" s="7">
        <f t="shared" si="93"/>
        <v>27.3</v>
      </c>
      <c r="M1191" s="7">
        <f t="shared" si="94"/>
        <v>28.08</v>
      </c>
    </row>
    <row r="1192" spans="1:13">
      <c r="A1192" s="6" t="s">
        <v>18</v>
      </c>
      <c r="B1192" s="6" t="s">
        <v>3259</v>
      </c>
      <c r="C1192" s="6" t="s">
        <v>3260</v>
      </c>
      <c r="E1192" s="6" t="s">
        <v>3261</v>
      </c>
      <c r="G1192" s="7">
        <v>189</v>
      </c>
      <c r="H1192" s="7">
        <v>213.57</v>
      </c>
      <c r="I1192" s="7">
        <f t="shared" si="90"/>
        <v>117.18</v>
      </c>
      <c r="J1192" s="7">
        <f t="shared" si="91"/>
        <v>122.85</v>
      </c>
      <c r="K1192" s="7">
        <f t="shared" si="92"/>
        <v>126.63</v>
      </c>
      <c r="L1192" s="7">
        <f t="shared" si="93"/>
        <v>132.3</v>
      </c>
      <c r="M1192" s="7">
        <f t="shared" si="94"/>
        <v>136.08</v>
      </c>
    </row>
    <row r="1193" ht="25.5" spans="1:13">
      <c r="A1193" s="6" t="s">
        <v>18</v>
      </c>
      <c r="B1193" s="6" t="s">
        <v>3262</v>
      </c>
      <c r="C1193" s="6" t="s">
        <v>3263</v>
      </c>
      <c r="E1193" s="6" t="s">
        <v>3264</v>
      </c>
      <c r="G1193" s="7">
        <v>79</v>
      </c>
      <c r="H1193" s="7">
        <v>89.27</v>
      </c>
      <c r="I1193" s="7">
        <f t="shared" si="90"/>
        <v>48.98</v>
      </c>
      <c r="J1193" s="7">
        <f t="shared" si="91"/>
        <v>51.35</v>
      </c>
      <c r="K1193" s="7">
        <f t="shared" si="92"/>
        <v>52.93</v>
      </c>
      <c r="L1193" s="7">
        <f t="shared" si="93"/>
        <v>55.3</v>
      </c>
      <c r="M1193" s="7">
        <f t="shared" si="94"/>
        <v>56.88</v>
      </c>
    </row>
    <row r="1194" spans="1:13">
      <c r="A1194" s="6" t="s">
        <v>376</v>
      </c>
      <c r="B1194" s="6" t="s">
        <v>3265</v>
      </c>
      <c r="C1194" s="6" t="s">
        <v>3266</v>
      </c>
      <c r="E1194" s="6" t="s">
        <v>3267</v>
      </c>
      <c r="G1194" s="7">
        <v>39</v>
      </c>
      <c r="H1194" s="7">
        <v>44.07</v>
      </c>
      <c r="I1194" s="7">
        <f t="shared" si="90"/>
        <v>24.18</v>
      </c>
      <c r="J1194" s="7">
        <f t="shared" si="91"/>
        <v>25.35</v>
      </c>
      <c r="K1194" s="7">
        <f t="shared" si="92"/>
        <v>26.13</v>
      </c>
      <c r="L1194" s="7">
        <f t="shared" si="93"/>
        <v>27.3</v>
      </c>
      <c r="M1194" s="7">
        <f t="shared" si="94"/>
        <v>28.08</v>
      </c>
    </row>
    <row r="1195" spans="1:13">
      <c r="A1195" s="6" t="s">
        <v>717</v>
      </c>
      <c r="B1195" s="6" t="s">
        <v>3268</v>
      </c>
      <c r="C1195" s="6" t="s">
        <v>3269</v>
      </c>
      <c r="E1195" s="6" t="s">
        <v>3270</v>
      </c>
      <c r="G1195" s="7">
        <v>259</v>
      </c>
      <c r="H1195" s="7">
        <v>292.67</v>
      </c>
      <c r="I1195" s="7">
        <f t="shared" si="90"/>
        <v>160.58</v>
      </c>
      <c r="J1195" s="7">
        <f t="shared" si="91"/>
        <v>168.35</v>
      </c>
      <c r="K1195" s="7">
        <f t="shared" si="92"/>
        <v>173.53</v>
      </c>
      <c r="L1195" s="7">
        <f t="shared" si="93"/>
        <v>181.3</v>
      </c>
      <c r="M1195" s="7">
        <f t="shared" si="94"/>
        <v>186.48</v>
      </c>
    </row>
    <row r="1196" spans="1:13">
      <c r="A1196" s="6" t="s">
        <v>717</v>
      </c>
      <c r="B1196" s="6" t="s">
        <v>3271</v>
      </c>
      <c r="C1196" s="6" t="s">
        <v>3272</v>
      </c>
      <c r="E1196" s="6" t="s">
        <v>3272</v>
      </c>
      <c r="G1196" s="7">
        <v>19</v>
      </c>
      <c r="H1196" s="7">
        <v>21.47</v>
      </c>
      <c r="I1196" s="7">
        <f t="shared" si="90"/>
        <v>11.78</v>
      </c>
      <c r="J1196" s="7">
        <f t="shared" si="91"/>
        <v>12.35</v>
      </c>
      <c r="K1196" s="7">
        <f t="shared" si="92"/>
        <v>12.73</v>
      </c>
      <c r="L1196" s="7">
        <f t="shared" si="93"/>
        <v>13.3</v>
      </c>
      <c r="M1196" s="7">
        <f t="shared" si="94"/>
        <v>13.68</v>
      </c>
    </row>
    <row r="1197" spans="1:13">
      <c r="A1197" s="6" t="s">
        <v>721</v>
      </c>
      <c r="B1197" s="6" t="s">
        <v>3273</v>
      </c>
      <c r="C1197" s="6" t="s">
        <v>3274</v>
      </c>
      <c r="E1197" s="6" t="s">
        <v>3275</v>
      </c>
      <c r="G1197" s="7">
        <v>17.99</v>
      </c>
      <c r="H1197" s="7">
        <v>20.3287</v>
      </c>
      <c r="I1197" s="7">
        <f t="shared" si="90"/>
        <v>11.1538</v>
      </c>
      <c r="J1197" s="7">
        <f t="shared" si="91"/>
        <v>11.6935</v>
      </c>
      <c r="K1197" s="7">
        <f t="shared" si="92"/>
        <v>12.0533</v>
      </c>
      <c r="L1197" s="7">
        <f t="shared" si="93"/>
        <v>12.593</v>
      </c>
      <c r="M1197" s="7">
        <f t="shared" si="94"/>
        <v>12.9528</v>
      </c>
    </row>
    <row r="1198" ht="38.25" spans="1:13">
      <c r="A1198" s="6" t="s">
        <v>459</v>
      </c>
      <c r="B1198" s="6" t="s">
        <v>3276</v>
      </c>
      <c r="C1198" s="6" t="s">
        <v>3277</v>
      </c>
      <c r="E1198" s="6" t="s">
        <v>3278</v>
      </c>
      <c r="G1198" s="7">
        <v>439</v>
      </c>
      <c r="H1198" s="7">
        <v>496.07</v>
      </c>
      <c r="I1198" s="7">
        <f t="shared" si="90"/>
        <v>272.18</v>
      </c>
      <c r="J1198" s="7">
        <f t="shared" si="91"/>
        <v>285.35</v>
      </c>
      <c r="K1198" s="7">
        <f t="shared" si="92"/>
        <v>294.13</v>
      </c>
      <c r="L1198" s="7">
        <f t="shared" si="93"/>
        <v>307.3</v>
      </c>
      <c r="M1198" s="7">
        <f t="shared" si="94"/>
        <v>316.08</v>
      </c>
    </row>
    <row r="1199" spans="1:13">
      <c r="A1199" s="6" t="s">
        <v>459</v>
      </c>
      <c r="B1199" s="6" t="s">
        <v>3279</v>
      </c>
      <c r="C1199" s="6" t="s">
        <v>3280</v>
      </c>
      <c r="E1199" s="6" t="s">
        <v>3281</v>
      </c>
      <c r="G1199" s="7">
        <v>1099</v>
      </c>
      <c r="H1199" s="7">
        <v>1241.87</v>
      </c>
      <c r="I1199" s="7">
        <f t="shared" si="90"/>
        <v>681.38</v>
      </c>
      <c r="J1199" s="7">
        <f t="shared" si="91"/>
        <v>714.35</v>
      </c>
      <c r="K1199" s="7">
        <f t="shared" si="92"/>
        <v>736.33</v>
      </c>
      <c r="L1199" s="7">
        <f t="shared" si="93"/>
        <v>769.3</v>
      </c>
      <c r="M1199" s="7">
        <f t="shared" si="94"/>
        <v>791.28</v>
      </c>
    </row>
    <row r="1200" ht="25.5" spans="1:13">
      <c r="A1200" s="6" t="s">
        <v>39</v>
      </c>
      <c r="B1200" s="6" t="s">
        <v>3282</v>
      </c>
      <c r="C1200" s="6" t="s">
        <v>3283</v>
      </c>
      <c r="E1200" s="6" t="s">
        <v>3284</v>
      </c>
      <c r="G1200" s="7">
        <v>749</v>
      </c>
      <c r="H1200" s="7">
        <v>846.37</v>
      </c>
      <c r="I1200" s="7">
        <f t="shared" si="90"/>
        <v>464.38</v>
      </c>
      <c r="J1200" s="7">
        <f t="shared" si="91"/>
        <v>486.85</v>
      </c>
      <c r="K1200" s="7">
        <f t="shared" si="92"/>
        <v>501.83</v>
      </c>
      <c r="L1200" s="7">
        <f t="shared" si="93"/>
        <v>524.3</v>
      </c>
      <c r="M1200" s="7">
        <f t="shared" si="94"/>
        <v>539.28</v>
      </c>
    </row>
    <row r="1201" ht="51" spans="1:13">
      <c r="A1201" s="6" t="s">
        <v>39</v>
      </c>
      <c r="B1201" s="6" t="s">
        <v>3285</v>
      </c>
      <c r="C1201" s="6" t="s">
        <v>3286</v>
      </c>
      <c r="E1201" s="6" t="s">
        <v>3287</v>
      </c>
      <c r="G1201" s="7">
        <v>2699</v>
      </c>
      <c r="H1201" s="7">
        <v>3049.87</v>
      </c>
      <c r="I1201" s="7">
        <f t="shared" si="90"/>
        <v>1673.38</v>
      </c>
      <c r="J1201" s="7">
        <f t="shared" si="91"/>
        <v>1754.35</v>
      </c>
      <c r="K1201" s="7">
        <f t="shared" si="92"/>
        <v>1808.33</v>
      </c>
      <c r="L1201" s="7">
        <f t="shared" si="93"/>
        <v>1889.3</v>
      </c>
      <c r="M1201" s="7">
        <f t="shared" si="94"/>
        <v>1943.28</v>
      </c>
    </row>
    <row r="1202" spans="1:13">
      <c r="A1202" s="6" t="s">
        <v>18</v>
      </c>
      <c r="B1202" s="6" t="s">
        <v>3288</v>
      </c>
      <c r="C1202" s="6" t="s">
        <v>3289</v>
      </c>
      <c r="E1202" s="6" t="s">
        <v>3289</v>
      </c>
      <c r="G1202" s="7">
        <v>19</v>
      </c>
      <c r="H1202" s="7">
        <v>21.47</v>
      </c>
      <c r="I1202" s="7">
        <f t="shared" si="90"/>
        <v>11.78</v>
      </c>
      <c r="J1202" s="7">
        <f t="shared" si="91"/>
        <v>12.35</v>
      </c>
      <c r="K1202" s="7">
        <f t="shared" si="92"/>
        <v>12.73</v>
      </c>
      <c r="L1202" s="7">
        <f t="shared" si="93"/>
        <v>13.3</v>
      </c>
      <c r="M1202" s="7">
        <f t="shared" si="94"/>
        <v>13.68</v>
      </c>
    </row>
    <row r="1203" spans="1:13">
      <c r="A1203" s="6" t="s">
        <v>18</v>
      </c>
      <c r="B1203" s="6" t="s">
        <v>3290</v>
      </c>
      <c r="C1203" s="6" t="s">
        <v>3291</v>
      </c>
      <c r="E1203" s="6" t="s">
        <v>3292</v>
      </c>
      <c r="G1203" s="7">
        <v>19</v>
      </c>
      <c r="H1203" s="7">
        <v>21.47</v>
      </c>
      <c r="I1203" s="7">
        <f t="shared" si="90"/>
        <v>11.78</v>
      </c>
      <c r="J1203" s="7">
        <f t="shared" si="91"/>
        <v>12.35</v>
      </c>
      <c r="K1203" s="7">
        <f t="shared" si="92"/>
        <v>12.73</v>
      </c>
      <c r="L1203" s="7">
        <f t="shared" si="93"/>
        <v>13.3</v>
      </c>
      <c r="M1203" s="7">
        <f t="shared" si="94"/>
        <v>13.68</v>
      </c>
    </row>
    <row r="1204" ht="38.25" spans="1:13">
      <c r="A1204" s="6" t="s">
        <v>39</v>
      </c>
      <c r="B1204" s="6" t="s">
        <v>3293</v>
      </c>
      <c r="C1204" s="6" t="s">
        <v>3294</v>
      </c>
      <c r="E1204" s="6" t="s">
        <v>3295</v>
      </c>
      <c r="G1204" s="7">
        <v>1949</v>
      </c>
      <c r="H1204" s="7">
        <v>2202.37</v>
      </c>
      <c r="I1204" s="7">
        <f t="shared" si="90"/>
        <v>1208.38</v>
      </c>
      <c r="J1204" s="7">
        <f t="shared" si="91"/>
        <v>1266.85</v>
      </c>
      <c r="K1204" s="7">
        <f t="shared" si="92"/>
        <v>1305.83</v>
      </c>
      <c r="L1204" s="7">
        <f t="shared" si="93"/>
        <v>1364.3</v>
      </c>
      <c r="M1204" s="7">
        <f t="shared" si="94"/>
        <v>1403.28</v>
      </c>
    </row>
    <row r="1205" ht="51" spans="1:13">
      <c r="A1205" s="6" t="s">
        <v>39</v>
      </c>
      <c r="B1205" s="6" t="s">
        <v>3296</v>
      </c>
      <c r="C1205" s="6" t="s">
        <v>3297</v>
      </c>
      <c r="E1205" s="6" t="s">
        <v>3298</v>
      </c>
      <c r="G1205" s="7">
        <v>2199</v>
      </c>
      <c r="H1205" s="7">
        <v>2484.87</v>
      </c>
      <c r="I1205" s="7">
        <f t="shared" si="90"/>
        <v>1363.38</v>
      </c>
      <c r="J1205" s="7">
        <f t="shared" si="91"/>
        <v>1429.35</v>
      </c>
      <c r="K1205" s="7">
        <f t="shared" si="92"/>
        <v>1473.33</v>
      </c>
      <c r="L1205" s="7">
        <f t="shared" si="93"/>
        <v>1539.3</v>
      </c>
      <c r="M1205" s="7">
        <f t="shared" si="94"/>
        <v>1583.28</v>
      </c>
    </row>
    <row r="1206" ht="38.25" spans="1:13">
      <c r="A1206" s="6" t="s">
        <v>39</v>
      </c>
      <c r="B1206" s="6" t="s">
        <v>3299</v>
      </c>
      <c r="C1206" s="6" t="s">
        <v>3300</v>
      </c>
      <c r="E1206" s="6" t="s">
        <v>3301</v>
      </c>
      <c r="G1206" s="7">
        <v>1349</v>
      </c>
      <c r="H1206" s="7">
        <v>1524.37</v>
      </c>
      <c r="I1206" s="7">
        <f t="shared" si="90"/>
        <v>836.38</v>
      </c>
      <c r="J1206" s="7">
        <f t="shared" si="91"/>
        <v>876.85</v>
      </c>
      <c r="K1206" s="7">
        <f t="shared" si="92"/>
        <v>903.83</v>
      </c>
      <c r="L1206" s="7">
        <f t="shared" si="93"/>
        <v>944.3</v>
      </c>
      <c r="M1206" s="7">
        <f t="shared" si="94"/>
        <v>971.28</v>
      </c>
    </row>
    <row r="1207" ht="25.5" spans="1:13">
      <c r="A1207" s="6" t="s">
        <v>39</v>
      </c>
      <c r="B1207" s="6" t="s">
        <v>3302</v>
      </c>
      <c r="C1207" s="6" t="s">
        <v>3303</v>
      </c>
      <c r="E1207" s="6" t="s">
        <v>3304</v>
      </c>
      <c r="G1207" s="7">
        <v>2099</v>
      </c>
      <c r="H1207" s="7">
        <v>2371.87</v>
      </c>
      <c r="I1207" s="7">
        <f t="shared" si="90"/>
        <v>1301.38</v>
      </c>
      <c r="J1207" s="7">
        <f t="shared" si="91"/>
        <v>1364.35</v>
      </c>
      <c r="K1207" s="7">
        <f t="shared" si="92"/>
        <v>1406.33</v>
      </c>
      <c r="L1207" s="7">
        <f t="shared" si="93"/>
        <v>1469.3</v>
      </c>
      <c r="M1207" s="7">
        <f t="shared" si="94"/>
        <v>1511.28</v>
      </c>
    </row>
    <row r="1208" ht="38.25" spans="1:13">
      <c r="A1208" s="6" t="s">
        <v>39</v>
      </c>
      <c r="B1208" s="6" t="s">
        <v>3305</v>
      </c>
      <c r="C1208" s="6" t="s">
        <v>3306</v>
      </c>
      <c r="E1208" s="6" t="s">
        <v>3307</v>
      </c>
      <c r="G1208" s="7">
        <v>2599</v>
      </c>
      <c r="H1208" s="7">
        <v>2936.87</v>
      </c>
      <c r="I1208" s="7">
        <f t="shared" si="90"/>
        <v>1611.38</v>
      </c>
      <c r="J1208" s="7">
        <f t="shared" si="91"/>
        <v>1689.35</v>
      </c>
      <c r="K1208" s="7">
        <f t="shared" si="92"/>
        <v>1741.33</v>
      </c>
      <c r="L1208" s="7">
        <f t="shared" si="93"/>
        <v>1819.3</v>
      </c>
      <c r="M1208" s="7">
        <f t="shared" si="94"/>
        <v>1871.28</v>
      </c>
    </row>
    <row r="1209" spans="1:13">
      <c r="A1209" s="6" t="s">
        <v>18</v>
      </c>
      <c r="B1209" s="6" t="s">
        <v>3308</v>
      </c>
      <c r="C1209" s="6" t="s">
        <v>3309</v>
      </c>
      <c r="E1209" s="6" t="s">
        <v>3309</v>
      </c>
      <c r="G1209" s="7">
        <v>38</v>
      </c>
      <c r="H1209" s="7">
        <v>42.94</v>
      </c>
      <c r="I1209" s="7">
        <f t="shared" si="90"/>
        <v>23.56</v>
      </c>
      <c r="J1209" s="7">
        <f t="shared" si="91"/>
        <v>24.7</v>
      </c>
      <c r="K1209" s="7">
        <f t="shared" si="92"/>
        <v>25.46</v>
      </c>
      <c r="L1209" s="7">
        <f t="shared" si="93"/>
        <v>26.6</v>
      </c>
      <c r="M1209" s="7">
        <f t="shared" si="94"/>
        <v>27.36</v>
      </c>
    </row>
    <row r="1210" spans="1:13">
      <c r="A1210" s="6" t="s">
        <v>25</v>
      </c>
      <c r="B1210" s="6" t="s">
        <v>3310</v>
      </c>
      <c r="C1210" s="6" t="s">
        <v>3311</v>
      </c>
      <c r="E1210" s="6" t="s">
        <v>3311</v>
      </c>
      <c r="G1210" s="7">
        <v>14884</v>
      </c>
      <c r="H1210" s="7">
        <v>16818.92</v>
      </c>
      <c r="I1210" s="7">
        <f t="shared" si="90"/>
        <v>9228.08</v>
      </c>
      <c r="J1210" s="7">
        <f t="shared" si="91"/>
        <v>9674.6</v>
      </c>
      <c r="K1210" s="7">
        <f t="shared" si="92"/>
        <v>9972.28</v>
      </c>
      <c r="L1210" s="7">
        <f t="shared" si="93"/>
        <v>10418.8</v>
      </c>
      <c r="M1210" s="7">
        <f t="shared" si="94"/>
        <v>10716.48</v>
      </c>
    </row>
    <row r="1211" spans="1:13">
      <c r="A1211" s="6" t="s">
        <v>18</v>
      </c>
      <c r="B1211" s="6" t="s">
        <v>3312</v>
      </c>
      <c r="C1211" s="6" t="s">
        <v>3313</v>
      </c>
      <c r="E1211" s="6" t="s">
        <v>3313</v>
      </c>
      <c r="G1211" s="7">
        <v>68796</v>
      </c>
      <c r="H1211" s="7">
        <v>77739.48</v>
      </c>
      <c r="I1211" s="7">
        <f t="shared" si="90"/>
        <v>42653.52</v>
      </c>
      <c r="J1211" s="7">
        <f t="shared" si="91"/>
        <v>44717.4</v>
      </c>
      <c r="K1211" s="7">
        <f t="shared" si="92"/>
        <v>46093.32</v>
      </c>
      <c r="L1211" s="7">
        <f t="shared" si="93"/>
        <v>48157.2</v>
      </c>
      <c r="M1211" s="7">
        <f t="shared" si="94"/>
        <v>49533.12</v>
      </c>
    </row>
    <row r="1212" spans="1:13">
      <c r="A1212" s="6" t="s">
        <v>18</v>
      </c>
      <c r="B1212" s="6" t="s">
        <v>3314</v>
      </c>
      <c r="C1212" s="6" t="s">
        <v>3315</v>
      </c>
      <c r="E1212" s="6" t="s">
        <v>3315</v>
      </c>
      <c r="G1212" s="7">
        <v>65930</v>
      </c>
      <c r="H1212" s="7">
        <v>74500.9</v>
      </c>
      <c r="I1212" s="7">
        <f t="shared" si="90"/>
        <v>40876.6</v>
      </c>
      <c r="J1212" s="7">
        <f t="shared" si="91"/>
        <v>42854.5</v>
      </c>
      <c r="K1212" s="7">
        <f t="shared" si="92"/>
        <v>44173.1</v>
      </c>
      <c r="L1212" s="7">
        <f t="shared" si="93"/>
        <v>46151</v>
      </c>
      <c r="M1212" s="7">
        <f t="shared" si="94"/>
        <v>47469.6</v>
      </c>
    </row>
    <row r="1213" spans="1:13">
      <c r="A1213" s="6" t="s">
        <v>18</v>
      </c>
      <c r="B1213" s="6" t="s">
        <v>3316</v>
      </c>
      <c r="C1213" s="6" t="s">
        <v>3317</v>
      </c>
      <c r="E1213" s="6" t="s">
        <v>3317</v>
      </c>
      <c r="G1213" s="7">
        <v>75049</v>
      </c>
      <c r="H1213" s="7">
        <v>84805.37</v>
      </c>
      <c r="I1213" s="7">
        <f t="shared" si="90"/>
        <v>46530.38</v>
      </c>
      <c r="J1213" s="7">
        <f t="shared" si="91"/>
        <v>48781.85</v>
      </c>
      <c r="K1213" s="7">
        <f t="shared" si="92"/>
        <v>50282.83</v>
      </c>
      <c r="L1213" s="7">
        <f t="shared" si="93"/>
        <v>52534.3</v>
      </c>
      <c r="M1213" s="7">
        <f t="shared" si="94"/>
        <v>54035.28</v>
      </c>
    </row>
    <row r="1214" spans="1:13">
      <c r="A1214" s="6" t="s">
        <v>18</v>
      </c>
      <c r="B1214" s="6" t="s">
        <v>3318</v>
      </c>
      <c r="C1214" s="6" t="s">
        <v>3319</v>
      </c>
      <c r="E1214" s="6" t="s">
        <v>3319</v>
      </c>
      <c r="G1214" s="7">
        <v>73096</v>
      </c>
      <c r="H1214" s="7">
        <v>82598.48</v>
      </c>
      <c r="I1214" s="7">
        <f t="shared" si="90"/>
        <v>45319.52</v>
      </c>
      <c r="J1214" s="7">
        <f t="shared" si="91"/>
        <v>47512.4</v>
      </c>
      <c r="K1214" s="7">
        <f t="shared" si="92"/>
        <v>48974.32</v>
      </c>
      <c r="L1214" s="7">
        <f t="shared" si="93"/>
        <v>51167.2</v>
      </c>
      <c r="M1214" s="7">
        <f t="shared" si="94"/>
        <v>52629.12</v>
      </c>
    </row>
    <row r="1215" ht="25.5" spans="1:13">
      <c r="A1215" s="6" t="s">
        <v>18</v>
      </c>
      <c r="B1215" s="6" t="s">
        <v>3320</v>
      </c>
      <c r="C1215" s="6" t="s">
        <v>3321</v>
      </c>
      <c r="E1215" s="6" t="s">
        <v>3321</v>
      </c>
      <c r="G1215" s="7">
        <v>65930</v>
      </c>
      <c r="H1215" s="7">
        <v>74500.9</v>
      </c>
      <c r="I1215" s="7">
        <f t="shared" si="90"/>
        <v>40876.6</v>
      </c>
      <c r="J1215" s="7">
        <f t="shared" si="91"/>
        <v>42854.5</v>
      </c>
      <c r="K1215" s="7">
        <f t="shared" si="92"/>
        <v>44173.1</v>
      </c>
      <c r="L1215" s="7">
        <f t="shared" si="93"/>
        <v>46151</v>
      </c>
      <c r="M1215" s="7">
        <f t="shared" si="94"/>
        <v>47469.6</v>
      </c>
    </row>
    <row r="1216" spans="1:13">
      <c r="A1216" s="6" t="s">
        <v>25</v>
      </c>
      <c r="B1216" s="6" t="s">
        <v>3322</v>
      </c>
      <c r="C1216" s="6" t="s">
        <v>3323</v>
      </c>
      <c r="E1216" s="6" t="s">
        <v>3324</v>
      </c>
      <c r="G1216" s="7">
        <v>79</v>
      </c>
      <c r="H1216" s="7">
        <v>89.27</v>
      </c>
      <c r="I1216" s="7">
        <f t="shared" si="90"/>
        <v>48.98</v>
      </c>
      <c r="J1216" s="7">
        <f t="shared" si="91"/>
        <v>51.35</v>
      </c>
      <c r="K1216" s="7">
        <f t="shared" si="92"/>
        <v>52.93</v>
      </c>
      <c r="L1216" s="7">
        <f t="shared" si="93"/>
        <v>55.3</v>
      </c>
      <c r="M1216" s="7">
        <f t="shared" si="94"/>
        <v>56.88</v>
      </c>
    </row>
    <row r="1217" spans="1:13">
      <c r="A1217" s="6" t="s">
        <v>18</v>
      </c>
      <c r="B1217" s="6" t="s">
        <v>3325</v>
      </c>
      <c r="C1217" s="6" t="s">
        <v>3326</v>
      </c>
      <c r="E1217" s="6" t="s">
        <v>3326</v>
      </c>
      <c r="G1217" s="7">
        <v>19</v>
      </c>
      <c r="H1217" s="7">
        <v>21.47</v>
      </c>
      <c r="I1217" s="7">
        <f t="shared" si="90"/>
        <v>11.78</v>
      </c>
      <c r="J1217" s="7">
        <f t="shared" si="91"/>
        <v>12.35</v>
      </c>
      <c r="K1217" s="7">
        <f t="shared" si="92"/>
        <v>12.73</v>
      </c>
      <c r="L1217" s="7">
        <f t="shared" si="93"/>
        <v>13.3</v>
      </c>
      <c r="M1217" s="7">
        <f t="shared" si="94"/>
        <v>13.68</v>
      </c>
    </row>
    <row r="1218" spans="1:13">
      <c r="A1218" s="6" t="s">
        <v>18</v>
      </c>
      <c r="B1218" s="6" t="s">
        <v>3327</v>
      </c>
      <c r="C1218" s="6" t="s">
        <v>3328</v>
      </c>
      <c r="E1218" s="6" t="s">
        <v>3329</v>
      </c>
      <c r="G1218" s="7">
        <v>141.9203</v>
      </c>
      <c r="H1218" s="7">
        <v>160.369939</v>
      </c>
      <c r="I1218" s="7">
        <f t="shared" ref="I1218:I1281" si="95">G1218*0.62</f>
        <v>87.990586</v>
      </c>
      <c r="J1218" s="7">
        <f t="shared" ref="J1218:J1281" si="96">G1218*0.65</f>
        <v>92.248195</v>
      </c>
      <c r="K1218" s="7">
        <f t="shared" ref="K1218:K1281" si="97">G1218*0.67</f>
        <v>95.086601</v>
      </c>
      <c r="L1218" s="7">
        <f t="shared" ref="L1218:L1281" si="98">G1218*0.7</f>
        <v>99.34421</v>
      </c>
      <c r="M1218" s="7">
        <f t="shared" ref="M1218:M1281" si="99">G1218*0.72</f>
        <v>102.182616</v>
      </c>
    </row>
    <row r="1219" ht="63.75" spans="1:13">
      <c r="A1219" s="6" t="s">
        <v>552</v>
      </c>
      <c r="B1219" s="6" t="s">
        <v>3330</v>
      </c>
      <c r="C1219" s="6" t="s">
        <v>3331</v>
      </c>
      <c r="E1219" s="6" t="s">
        <v>3332</v>
      </c>
      <c r="G1219" s="7">
        <v>1323</v>
      </c>
      <c r="H1219" s="7">
        <v>1494.99</v>
      </c>
      <c r="I1219" s="7">
        <f t="shared" si="95"/>
        <v>820.26</v>
      </c>
      <c r="J1219" s="7">
        <f t="shared" si="96"/>
        <v>859.95</v>
      </c>
      <c r="K1219" s="7">
        <f t="shared" si="97"/>
        <v>886.41</v>
      </c>
      <c r="L1219" s="7">
        <f t="shared" si="98"/>
        <v>926.1</v>
      </c>
      <c r="M1219" s="7">
        <f t="shared" si="99"/>
        <v>952.56</v>
      </c>
    </row>
    <row r="1220" spans="1:13">
      <c r="A1220" s="6" t="s">
        <v>18</v>
      </c>
      <c r="B1220" s="6" t="s">
        <v>3333</v>
      </c>
      <c r="C1220" s="6" t="s">
        <v>3334</v>
      </c>
      <c r="E1220" s="6" t="s">
        <v>3335</v>
      </c>
      <c r="G1220" s="7">
        <v>42</v>
      </c>
      <c r="H1220" s="7">
        <v>47.46</v>
      </c>
      <c r="I1220" s="7">
        <f t="shared" si="95"/>
        <v>26.04</v>
      </c>
      <c r="J1220" s="7">
        <f t="shared" si="96"/>
        <v>27.3</v>
      </c>
      <c r="K1220" s="7">
        <f t="shared" si="97"/>
        <v>28.14</v>
      </c>
      <c r="L1220" s="7">
        <f t="shared" si="98"/>
        <v>29.4</v>
      </c>
      <c r="M1220" s="7">
        <f t="shared" si="99"/>
        <v>30.24</v>
      </c>
    </row>
    <row r="1221" spans="1:13">
      <c r="A1221" s="6" t="s">
        <v>18</v>
      </c>
      <c r="B1221" s="6" t="s">
        <v>3336</v>
      </c>
      <c r="C1221" s="6" t="s">
        <v>3337</v>
      </c>
      <c r="E1221" s="6" t="s">
        <v>3338</v>
      </c>
      <c r="G1221" s="7">
        <v>42</v>
      </c>
      <c r="H1221" s="7">
        <v>47.46</v>
      </c>
      <c r="I1221" s="7">
        <f t="shared" si="95"/>
        <v>26.04</v>
      </c>
      <c r="J1221" s="7">
        <f t="shared" si="96"/>
        <v>27.3</v>
      </c>
      <c r="K1221" s="7">
        <f t="shared" si="97"/>
        <v>28.14</v>
      </c>
      <c r="L1221" s="7">
        <f t="shared" si="98"/>
        <v>29.4</v>
      </c>
      <c r="M1221" s="7">
        <f t="shared" si="99"/>
        <v>30.24</v>
      </c>
    </row>
    <row r="1222" ht="38.25" spans="1:13">
      <c r="A1222" s="6" t="s">
        <v>18</v>
      </c>
      <c r="B1222" s="6" t="s">
        <v>3339</v>
      </c>
      <c r="C1222" s="6" t="s">
        <v>3340</v>
      </c>
      <c r="E1222" s="6" t="s">
        <v>3341</v>
      </c>
      <c r="G1222" s="7">
        <v>99</v>
      </c>
      <c r="H1222" s="7">
        <v>111.87</v>
      </c>
      <c r="I1222" s="7">
        <f t="shared" si="95"/>
        <v>61.38</v>
      </c>
      <c r="J1222" s="7">
        <f t="shared" si="96"/>
        <v>64.35</v>
      </c>
      <c r="K1222" s="7">
        <f t="shared" si="97"/>
        <v>66.33</v>
      </c>
      <c r="L1222" s="7">
        <f t="shared" si="98"/>
        <v>69.3</v>
      </c>
      <c r="M1222" s="7">
        <f t="shared" si="99"/>
        <v>71.28</v>
      </c>
    </row>
    <row r="1223" spans="1:13">
      <c r="A1223" s="6" t="s">
        <v>18</v>
      </c>
      <c r="B1223" s="6" t="s">
        <v>3342</v>
      </c>
      <c r="C1223" s="6" t="s">
        <v>3343</v>
      </c>
      <c r="E1223" s="6" t="s">
        <v>3343</v>
      </c>
      <c r="G1223" s="7">
        <v>39</v>
      </c>
      <c r="H1223" s="7">
        <v>44.07</v>
      </c>
      <c r="I1223" s="7">
        <f t="shared" si="95"/>
        <v>24.18</v>
      </c>
      <c r="J1223" s="7">
        <f t="shared" si="96"/>
        <v>25.35</v>
      </c>
      <c r="K1223" s="7">
        <f t="shared" si="97"/>
        <v>26.13</v>
      </c>
      <c r="L1223" s="7">
        <f t="shared" si="98"/>
        <v>27.3</v>
      </c>
      <c r="M1223" s="7">
        <f t="shared" si="99"/>
        <v>28.08</v>
      </c>
    </row>
    <row r="1224" ht="127.5" spans="1:13">
      <c r="A1224" s="6" t="s">
        <v>25</v>
      </c>
      <c r="B1224" s="6" t="s">
        <v>3344</v>
      </c>
      <c r="C1224" s="6" t="s">
        <v>3345</v>
      </c>
      <c r="E1224" s="6" t="s">
        <v>3346</v>
      </c>
      <c r="G1224" s="7">
        <v>562</v>
      </c>
      <c r="H1224" s="7">
        <v>635.06</v>
      </c>
      <c r="I1224" s="7">
        <f t="shared" si="95"/>
        <v>348.44</v>
      </c>
      <c r="J1224" s="7">
        <f t="shared" si="96"/>
        <v>365.3</v>
      </c>
      <c r="K1224" s="7">
        <f t="shared" si="97"/>
        <v>376.54</v>
      </c>
      <c r="L1224" s="7">
        <f t="shared" si="98"/>
        <v>393.4</v>
      </c>
      <c r="M1224" s="7">
        <f t="shared" si="99"/>
        <v>404.64</v>
      </c>
    </row>
    <row r="1225" spans="1:13">
      <c r="A1225" s="6" t="s">
        <v>432</v>
      </c>
      <c r="B1225" s="6" t="s">
        <v>3347</v>
      </c>
      <c r="C1225" s="6" t="s">
        <v>3348</v>
      </c>
      <c r="E1225" s="6" t="s">
        <v>3348</v>
      </c>
      <c r="G1225" s="7">
        <v>269</v>
      </c>
      <c r="H1225" s="7">
        <v>303.97</v>
      </c>
      <c r="I1225" s="7">
        <f t="shared" si="95"/>
        <v>166.78</v>
      </c>
      <c r="J1225" s="7">
        <f t="shared" si="96"/>
        <v>174.85</v>
      </c>
      <c r="K1225" s="7">
        <f t="shared" si="97"/>
        <v>180.23</v>
      </c>
      <c r="L1225" s="7">
        <f t="shared" si="98"/>
        <v>188.3</v>
      </c>
      <c r="M1225" s="7">
        <f t="shared" si="99"/>
        <v>193.68</v>
      </c>
    </row>
    <row r="1226" spans="1:13">
      <c r="A1226" s="6" t="s">
        <v>18</v>
      </c>
      <c r="B1226" s="6" t="s">
        <v>3349</v>
      </c>
      <c r="C1226" s="6" t="s">
        <v>3350</v>
      </c>
      <c r="E1226" s="6" t="s">
        <v>3351</v>
      </c>
      <c r="G1226" s="7">
        <v>39</v>
      </c>
      <c r="H1226" s="7">
        <v>44.07</v>
      </c>
      <c r="I1226" s="7">
        <f t="shared" si="95"/>
        <v>24.18</v>
      </c>
      <c r="J1226" s="7">
        <f t="shared" si="96"/>
        <v>25.35</v>
      </c>
      <c r="K1226" s="7">
        <f t="shared" si="97"/>
        <v>26.13</v>
      </c>
      <c r="L1226" s="7">
        <f t="shared" si="98"/>
        <v>27.3</v>
      </c>
      <c r="M1226" s="7">
        <f t="shared" si="99"/>
        <v>28.08</v>
      </c>
    </row>
    <row r="1227" ht="25.5" spans="1:13">
      <c r="A1227" s="6" t="s">
        <v>18</v>
      </c>
      <c r="B1227" s="6" t="s">
        <v>3352</v>
      </c>
      <c r="C1227" s="6" t="s">
        <v>3353</v>
      </c>
      <c r="E1227" s="6" t="s">
        <v>3354</v>
      </c>
      <c r="G1227" s="7">
        <v>119</v>
      </c>
      <c r="H1227" s="7">
        <v>134.47</v>
      </c>
      <c r="I1227" s="7">
        <f t="shared" si="95"/>
        <v>73.78</v>
      </c>
      <c r="J1227" s="7">
        <f t="shared" si="96"/>
        <v>77.35</v>
      </c>
      <c r="K1227" s="7">
        <f t="shared" si="97"/>
        <v>79.73</v>
      </c>
      <c r="L1227" s="7">
        <f t="shared" si="98"/>
        <v>83.3</v>
      </c>
      <c r="M1227" s="7">
        <f t="shared" si="99"/>
        <v>85.68</v>
      </c>
    </row>
    <row r="1228" ht="25.5" spans="1:13">
      <c r="A1228" s="6" t="s">
        <v>18</v>
      </c>
      <c r="B1228" s="6" t="s">
        <v>3355</v>
      </c>
      <c r="C1228" s="6" t="s">
        <v>3356</v>
      </c>
      <c r="E1228" s="6" t="s">
        <v>3357</v>
      </c>
      <c r="G1228" s="7">
        <v>99</v>
      </c>
      <c r="H1228" s="7">
        <v>111.87</v>
      </c>
      <c r="I1228" s="7">
        <f t="shared" si="95"/>
        <v>61.38</v>
      </c>
      <c r="J1228" s="7">
        <f t="shared" si="96"/>
        <v>64.35</v>
      </c>
      <c r="K1228" s="7">
        <f t="shared" si="97"/>
        <v>66.33</v>
      </c>
      <c r="L1228" s="7">
        <f t="shared" si="98"/>
        <v>69.3</v>
      </c>
      <c r="M1228" s="7">
        <f t="shared" si="99"/>
        <v>71.28</v>
      </c>
    </row>
    <row r="1229" ht="25.5" spans="1:13">
      <c r="A1229" s="6" t="s">
        <v>18</v>
      </c>
      <c r="B1229" s="6" t="s">
        <v>3358</v>
      </c>
      <c r="C1229" s="6" t="s">
        <v>3359</v>
      </c>
      <c r="E1229" s="6" t="s">
        <v>3360</v>
      </c>
      <c r="G1229" s="7">
        <v>59</v>
      </c>
      <c r="H1229" s="7">
        <v>66.67</v>
      </c>
      <c r="I1229" s="7">
        <f t="shared" si="95"/>
        <v>36.58</v>
      </c>
      <c r="J1229" s="7">
        <f t="shared" si="96"/>
        <v>38.35</v>
      </c>
      <c r="K1229" s="7">
        <f t="shared" si="97"/>
        <v>39.53</v>
      </c>
      <c r="L1229" s="7">
        <f t="shared" si="98"/>
        <v>41.3</v>
      </c>
      <c r="M1229" s="7">
        <f t="shared" si="99"/>
        <v>42.48</v>
      </c>
    </row>
    <row r="1230" ht="25.5" spans="1:13">
      <c r="A1230" s="6" t="s">
        <v>18</v>
      </c>
      <c r="B1230" s="6" t="s">
        <v>3361</v>
      </c>
      <c r="C1230" s="6" t="s">
        <v>3362</v>
      </c>
      <c r="E1230" s="6" t="s">
        <v>3363</v>
      </c>
      <c r="G1230" s="7">
        <v>119</v>
      </c>
      <c r="H1230" s="7">
        <v>134.47</v>
      </c>
      <c r="I1230" s="7">
        <f t="shared" si="95"/>
        <v>73.78</v>
      </c>
      <c r="J1230" s="7">
        <f t="shared" si="96"/>
        <v>77.35</v>
      </c>
      <c r="K1230" s="7">
        <f t="shared" si="97"/>
        <v>79.73</v>
      </c>
      <c r="L1230" s="7">
        <f t="shared" si="98"/>
        <v>83.3</v>
      </c>
      <c r="M1230" s="7">
        <f t="shared" si="99"/>
        <v>85.68</v>
      </c>
    </row>
    <row r="1231" spans="1:13">
      <c r="A1231" s="6" t="s">
        <v>18</v>
      </c>
      <c r="B1231" s="6" t="s">
        <v>3364</v>
      </c>
      <c r="C1231" s="6" t="s">
        <v>3365</v>
      </c>
      <c r="E1231" s="6" t="s">
        <v>3366</v>
      </c>
      <c r="G1231" s="7">
        <v>119</v>
      </c>
      <c r="H1231" s="7">
        <v>134.47</v>
      </c>
      <c r="I1231" s="7">
        <f t="shared" si="95"/>
        <v>73.78</v>
      </c>
      <c r="J1231" s="7">
        <f t="shared" si="96"/>
        <v>77.35</v>
      </c>
      <c r="K1231" s="7">
        <f t="shared" si="97"/>
        <v>79.73</v>
      </c>
      <c r="L1231" s="7">
        <f t="shared" si="98"/>
        <v>83.3</v>
      </c>
      <c r="M1231" s="7">
        <f t="shared" si="99"/>
        <v>85.68</v>
      </c>
    </row>
    <row r="1232" ht="63.75" spans="1:13">
      <c r="A1232" s="6" t="s">
        <v>1508</v>
      </c>
      <c r="B1232" s="6" t="s">
        <v>3367</v>
      </c>
      <c r="C1232" s="6" t="s">
        <v>3368</v>
      </c>
      <c r="E1232" s="6" t="s">
        <v>3369</v>
      </c>
      <c r="G1232" s="7">
        <v>1649</v>
      </c>
      <c r="H1232" s="7">
        <v>1863.37</v>
      </c>
      <c r="I1232" s="7">
        <f t="shared" si="95"/>
        <v>1022.38</v>
      </c>
      <c r="J1232" s="7">
        <f t="shared" si="96"/>
        <v>1071.85</v>
      </c>
      <c r="K1232" s="7">
        <f t="shared" si="97"/>
        <v>1104.83</v>
      </c>
      <c r="L1232" s="7">
        <f t="shared" si="98"/>
        <v>1154.3</v>
      </c>
      <c r="M1232" s="7">
        <f t="shared" si="99"/>
        <v>1187.28</v>
      </c>
    </row>
    <row r="1233" ht="51" spans="1:13">
      <c r="A1233" s="6" t="s">
        <v>1508</v>
      </c>
      <c r="B1233" s="6" t="s">
        <v>3370</v>
      </c>
      <c r="C1233" s="6" t="s">
        <v>3371</v>
      </c>
      <c r="E1233" s="6" t="s">
        <v>3372</v>
      </c>
      <c r="G1233" s="7">
        <v>1549</v>
      </c>
      <c r="H1233" s="7">
        <v>1750.37</v>
      </c>
      <c r="I1233" s="7">
        <f t="shared" si="95"/>
        <v>960.38</v>
      </c>
      <c r="J1233" s="7">
        <f t="shared" si="96"/>
        <v>1006.85</v>
      </c>
      <c r="K1233" s="7">
        <f t="shared" si="97"/>
        <v>1037.83</v>
      </c>
      <c r="L1233" s="7">
        <f t="shared" si="98"/>
        <v>1084.3</v>
      </c>
      <c r="M1233" s="7">
        <f t="shared" si="99"/>
        <v>1115.28</v>
      </c>
    </row>
    <row r="1234" ht="38.25" spans="1:13">
      <c r="A1234" s="6" t="s">
        <v>1508</v>
      </c>
      <c r="B1234" s="6" t="s">
        <v>3373</v>
      </c>
      <c r="C1234" s="6" t="s">
        <v>3374</v>
      </c>
      <c r="E1234" s="6" t="s">
        <v>3375</v>
      </c>
      <c r="G1234" s="7">
        <v>949</v>
      </c>
      <c r="H1234" s="7">
        <v>1072.37</v>
      </c>
      <c r="I1234" s="7">
        <f t="shared" si="95"/>
        <v>588.38</v>
      </c>
      <c r="J1234" s="7">
        <f t="shared" si="96"/>
        <v>616.85</v>
      </c>
      <c r="K1234" s="7">
        <f t="shared" si="97"/>
        <v>635.83</v>
      </c>
      <c r="L1234" s="7">
        <f t="shared" si="98"/>
        <v>664.3</v>
      </c>
      <c r="M1234" s="7">
        <f t="shared" si="99"/>
        <v>683.28</v>
      </c>
    </row>
    <row r="1235" ht="51" spans="1:13">
      <c r="A1235" s="6" t="s">
        <v>1508</v>
      </c>
      <c r="B1235" s="6" t="s">
        <v>3376</v>
      </c>
      <c r="C1235" s="6" t="s">
        <v>3377</v>
      </c>
      <c r="E1235" s="6" t="s">
        <v>3378</v>
      </c>
      <c r="G1235" s="7">
        <v>549</v>
      </c>
      <c r="H1235" s="7">
        <v>620.37</v>
      </c>
      <c r="I1235" s="7">
        <f t="shared" si="95"/>
        <v>340.38</v>
      </c>
      <c r="J1235" s="7">
        <f t="shared" si="96"/>
        <v>356.85</v>
      </c>
      <c r="K1235" s="7">
        <f t="shared" si="97"/>
        <v>367.83</v>
      </c>
      <c r="L1235" s="7">
        <f t="shared" si="98"/>
        <v>384.3</v>
      </c>
      <c r="M1235" s="7">
        <f t="shared" si="99"/>
        <v>395.28</v>
      </c>
    </row>
    <row r="1236" ht="38.25" spans="1:13">
      <c r="A1236" s="6" t="s">
        <v>18</v>
      </c>
      <c r="B1236" s="6" t="s">
        <v>3379</v>
      </c>
      <c r="C1236" s="6" t="s">
        <v>3380</v>
      </c>
      <c r="E1236" s="6" t="s">
        <v>3381</v>
      </c>
      <c r="G1236" s="7">
        <v>99</v>
      </c>
      <c r="H1236" s="7">
        <v>111.87</v>
      </c>
      <c r="I1236" s="7">
        <f t="shared" si="95"/>
        <v>61.38</v>
      </c>
      <c r="J1236" s="7">
        <f t="shared" si="96"/>
        <v>64.35</v>
      </c>
      <c r="K1236" s="7">
        <f t="shared" si="97"/>
        <v>66.33</v>
      </c>
      <c r="L1236" s="7">
        <f t="shared" si="98"/>
        <v>69.3</v>
      </c>
      <c r="M1236" s="7">
        <f t="shared" si="99"/>
        <v>71.28</v>
      </c>
    </row>
    <row r="1237" ht="51" spans="1:13">
      <c r="A1237" s="6" t="s">
        <v>1508</v>
      </c>
      <c r="B1237" s="6" t="s">
        <v>3382</v>
      </c>
      <c r="C1237" s="6" t="s">
        <v>3383</v>
      </c>
      <c r="E1237" s="6" t="s">
        <v>3384</v>
      </c>
      <c r="G1237" s="7">
        <v>1199</v>
      </c>
      <c r="H1237" s="7">
        <v>1354.87</v>
      </c>
      <c r="I1237" s="7">
        <f t="shared" si="95"/>
        <v>743.38</v>
      </c>
      <c r="J1237" s="7">
        <f t="shared" si="96"/>
        <v>779.35</v>
      </c>
      <c r="K1237" s="7">
        <f t="shared" si="97"/>
        <v>803.33</v>
      </c>
      <c r="L1237" s="7">
        <f t="shared" si="98"/>
        <v>839.3</v>
      </c>
      <c r="M1237" s="7">
        <f t="shared" si="99"/>
        <v>863.28</v>
      </c>
    </row>
    <row r="1238" ht="51" spans="1:13">
      <c r="A1238" s="6" t="s">
        <v>1508</v>
      </c>
      <c r="B1238" s="6" t="s">
        <v>3385</v>
      </c>
      <c r="C1238" s="6" t="s">
        <v>3386</v>
      </c>
      <c r="E1238" s="6" t="s">
        <v>3387</v>
      </c>
      <c r="G1238" s="7">
        <v>2099</v>
      </c>
      <c r="H1238" s="7">
        <v>2371.87</v>
      </c>
      <c r="I1238" s="7">
        <f t="shared" si="95"/>
        <v>1301.38</v>
      </c>
      <c r="J1238" s="7">
        <f t="shared" si="96"/>
        <v>1364.35</v>
      </c>
      <c r="K1238" s="7">
        <f t="shared" si="97"/>
        <v>1406.33</v>
      </c>
      <c r="L1238" s="7">
        <f t="shared" si="98"/>
        <v>1469.3</v>
      </c>
      <c r="M1238" s="7">
        <f t="shared" si="99"/>
        <v>1511.28</v>
      </c>
    </row>
    <row r="1239" ht="63.75" spans="1:13">
      <c r="A1239" s="6" t="s">
        <v>1508</v>
      </c>
      <c r="B1239" s="6" t="s">
        <v>3388</v>
      </c>
      <c r="C1239" s="6" t="s">
        <v>3389</v>
      </c>
      <c r="E1239" s="6" t="s">
        <v>3390</v>
      </c>
      <c r="G1239" s="7">
        <v>379</v>
      </c>
      <c r="H1239" s="7">
        <v>428.27</v>
      </c>
      <c r="I1239" s="7">
        <f t="shared" si="95"/>
        <v>234.98</v>
      </c>
      <c r="J1239" s="7">
        <f t="shared" si="96"/>
        <v>246.35</v>
      </c>
      <c r="K1239" s="7">
        <f t="shared" si="97"/>
        <v>253.93</v>
      </c>
      <c r="L1239" s="7">
        <f t="shared" si="98"/>
        <v>265.3</v>
      </c>
      <c r="M1239" s="7">
        <f t="shared" si="99"/>
        <v>272.88</v>
      </c>
    </row>
    <row r="1240" ht="25.5" spans="1:13">
      <c r="A1240" s="6" t="s">
        <v>18</v>
      </c>
      <c r="B1240" s="6" t="s">
        <v>3391</v>
      </c>
      <c r="C1240" s="6" t="s">
        <v>3392</v>
      </c>
      <c r="E1240" s="6" t="s">
        <v>3393</v>
      </c>
      <c r="G1240" s="7">
        <v>39</v>
      </c>
      <c r="H1240" s="7">
        <v>44.07</v>
      </c>
      <c r="I1240" s="7">
        <f t="shared" si="95"/>
        <v>24.18</v>
      </c>
      <c r="J1240" s="7">
        <f t="shared" si="96"/>
        <v>25.35</v>
      </c>
      <c r="K1240" s="7">
        <f t="shared" si="97"/>
        <v>26.13</v>
      </c>
      <c r="L1240" s="7">
        <f t="shared" si="98"/>
        <v>27.3</v>
      </c>
      <c r="M1240" s="7">
        <f t="shared" si="99"/>
        <v>28.08</v>
      </c>
    </row>
    <row r="1241" spans="1:13">
      <c r="A1241" s="6" t="s">
        <v>228</v>
      </c>
      <c r="B1241" s="6" t="s">
        <v>3394</v>
      </c>
      <c r="C1241" s="6" t="s">
        <v>3395</v>
      </c>
      <c r="E1241" s="6" t="s">
        <v>3396</v>
      </c>
      <c r="G1241" s="7">
        <v>339</v>
      </c>
      <c r="H1241" s="7">
        <v>383.07</v>
      </c>
      <c r="I1241" s="7">
        <f t="shared" si="95"/>
        <v>210.18</v>
      </c>
      <c r="J1241" s="7">
        <f t="shared" si="96"/>
        <v>220.35</v>
      </c>
      <c r="K1241" s="7">
        <f t="shared" si="97"/>
        <v>227.13</v>
      </c>
      <c r="L1241" s="7">
        <f t="shared" si="98"/>
        <v>237.3</v>
      </c>
      <c r="M1241" s="7">
        <f t="shared" si="99"/>
        <v>244.08</v>
      </c>
    </row>
    <row r="1242" spans="1:13">
      <c r="A1242" s="6" t="s">
        <v>228</v>
      </c>
      <c r="B1242" s="6" t="s">
        <v>3397</v>
      </c>
      <c r="C1242" s="6" t="s">
        <v>3398</v>
      </c>
      <c r="E1242" s="6" t="s">
        <v>3399</v>
      </c>
      <c r="G1242" s="7">
        <v>379</v>
      </c>
      <c r="H1242" s="7">
        <v>428.27</v>
      </c>
      <c r="I1242" s="7">
        <f t="shared" si="95"/>
        <v>234.98</v>
      </c>
      <c r="J1242" s="7">
        <f t="shared" si="96"/>
        <v>246.35</v>
      </c>
      <c r="K1242" s="7">
        <f t="shared" si="97"/>
        <v>253.93</v>
      </c>
      <c r="L1242" s="7">
        <f t="shared" si="98"/>
        <v>265.3</v>
      </c>
      <c r="M1242" s="7">
        <f t="shared" si="99"/>
        <v>272.88</v>
      </c>
    </row>
    <row r="1243" spans="1:13">
      <c r="A1243" s="6" t="s">
        <v>228</v>
      </c>
      <c r="B1243" s="6" t="s">
        <v>3400</v>
      </c>
      <c r="C1243" s="6" t="s">
        <v>3401</v>
      </c>
      <c r="E1243" s="6" t="s">
        <v>3402</v>
      </c>
      <c r="G1243" s="7">
        <v>2099</v>
      </c>
      <c r="H1243" s="7">
        <v>2371.87</v>
      </c>
      <c r="I1243" s="7">
        <f t="shared" si="95"/>
        <v>1301.38</v>
      </c>
      <c r="J1243" s="7">
        <f t="shared" si="96"/>
        <v>1364.35</v>
      </c>
      <c r="K1243" s="7">
        <f t="shared" si="97"/>
        <v>1406.33</v>
      </c>
      <c r="L1243" s="7">
        <f t="shared" si="98"/>
        <v>1469.3</v>
      </c>
      <c r="M1243" s="7">
        <f t="shared" si="99"/>
        <v>1511.28</v>
      </c>
    </row>
    <row r="1244" ht="25.5" spans="1:13">
      <c r="A1244" s="6" t="s">
        <v>217</v>
      </c>
      <c r="B1244" s="6" t="s">
        <v>3403</v>
      </c>
      <c r="C1244" s="6" t="s">
        <v>3404</v>
      </c>
      <c r="E1244" s="6" t="s">
        <v>3405</v>
      </c>
      <c r="G1244" s="7">
        <v>3399</v>
      </c>
      <c r="H1244" s="7">
        <v>3840.87</v>
      </c>
      <c r="I1244" s="7">
        <f t="shared" si="95"/>
        <v>2107.38</v>
      </c>
      <c r="J1244" s="7">
        <f t="shared" si="96"/>
        <v>2209.35</v>
      </c>
      <c r="K1244" s="7">
        <f t="shared" si="97"/>
        <v>2277.33</v>
      </c>
      <c r="L1244" s="7">
        <f t="shared" si="98"/>
        <v>2379.3</v>
      </c>
      <c r="M1244" s="7">
        <f t="shared" si="99"/>
        <v>2447.28</v>
      </c>
    </row>
    <row r="1245" ht="25.5" spans="1:13">
      <c r="A1245" s="6" t="s">
        <v>217</v>
      </c>
      <c r="B1245" s="6" t="s">
        <v>3406</v>
      </c>
      <c r="C1245" s="6" t="s">
        <v>3407</v>
      </c>
      <c r="E1245" s="6" t="s">
        <v>3408</v>
      </c>
      <c r="G1245" s="7">
        <v>3999</v>
      </c>
      <c r="H1245" s="7">
        <v>4518.87</v>
      </c>
      <c r="I1245" s="7">
        <f t="shared" si="95"/>
        <v>2479.38</v>
      </c>
      <c r="J1245" s="7">
        <f t="shared" si="96"/>
        <v>2599.35</v>
      </c>
      <c r="K1245" s="7">
        <f t="shared" si="97"/>
        <v>2679.33</v>
      </c>
      <c r="L1245" s="7">
        <f t="shared" si="98"/>
        <v>2799.3</v>
      </c>
      <c r="M1245" s="7">
        <f t="shared" si="99"/>
        <v>2879.28</v>
      </c>
    </row>
    <row r="1246" ht="25.5" spans="1:13">
      <c r="A1246" s="6" t="s">
        <v>217</v>
      </c>
      <c r="B1246" s="6" t="s">
        <v>3409</v>
      </c>
      <c r="C1246" s="6" t="s">
        <v>3410</v>
      </c>
      <c r="E1246" s="6" t="s">
        <v>3411</v>
      </c>
      <c r="G1246" s="7">
        <v>5399</v>
      </c>
      <c r="H1246" s="7">
        <v>6100.87</v>
      </c>
      <c r="I1246" s="7">
        <f t="shared" si="95"/>
        <v>3347.38</v>
      </c>
      <c r="J1246" s="7">
        <f t="shared" si="96"/>
        <v>3509.35</v>
      </c>
      <c r="K1246" s="7">
        <f t="shared" si="97"/>
        <v>3617.33</v>
      </c>
      <c r="L1246" s="7">
        <f t="shared" si="98"/>
        <v>3779.3</v>
      </c>
      <c r="M1246" s="7">
        <f t="shared" si="99"/>
        <v>3887.28</v>
      </c>
    </row>
    <row r="1247" ht="25.5" spans="1:13">
      <c r="A1247" s="6" t="s">
        <v>217</v>
      </c>
      <c r="B1247" s="6" t="s">
        <v>3412</v>
      </c>
      <c r="C1247" s="6" t="s">
        <v>3413</v>
      </c>
      <c r="E1247" s="6" t="s">
        <v>3414</v>
      </c>
      <c r="G1247" s="7">
        <v>2849</v>
      </c>
      <c r="H1247" s="7">
        <v>3219.37</v>
      </c>
      <c r="I1247" s="7">
        <f t="shared" si="95"/>
        <v>1766.38</v>
      </c>
      <c r="J1247" s="7">
        <f t="shared" si="96"/>
        <v>1851.85</v>
      </c>
      <c r="K1247" s="7">
        <f t="shared" si="97"/>
        <v>1908.83</v>
      </c>
      <c r="L1247" s="7">
        <f t="shared" si="98"/>
        <v>1994.3</v>
      </c>
      <c r="M1247" s="7">
        <f t="shared" si="99"/>
        <v>2051.28</v>
      </c>
    </row>
    <row r="1248" spans="1:13">
      <c r="A1248" s="6" t="s">
        <v>25</v>
      </c>
      <c r="B1248" s="6" t="s">
        <v>3415</v>
      </c>
      <c r="C1248" s="6" t="s">
        <v>3416</v>
      </c>
      <c r="E1248" s="6" t="s">
        <v>3416</v>
      </c>
      <c r="G1248" s="7">
        <v>279</v>
      </c>
      <c r="H1248" s="7">
        <v>315.27</v>
      </c>
      <c r="I1248" s="7">
        <f t="shared" si="95"/>
        <v>172.98</v>
      </c>
      <c r="J1248" s="7">
        <f t="shared" si="96"/>
        <v>181.35</v>
      </c>
      <c r="K1248" s="7">
        <f t="shared" si="97"/>
        <v>186.93</v>
      </c>
      <c r="L1248" s="7">
        <f t="shared" si="98"/>
        <v>195.3</v>
      </c>
      <c r="M1248" s="7">
        <f t="shared" si="99"/>
        <v>200.88</v>
      </c>
    </row>
    <row r="1249" spans="1:13">
      <c r="A1249" s="6" t="s">
        <v>25</v>
      </c>
      <c r="B1249" s="6" t="s">
        <v>3417</v>
      </c>
      <c r="C1249" s="6" t="s">
        <v>3418</v>
      </c>
      <c r="E1249" s="6" t="s">
        <v>3418</v>
      </c>
      <c r="G1249" s="7">
        <v>599</v>
      </c>
      <c r="H1249" s="7">
        <v>676.87</v>
      </c>
      <c r="I1249" s="7">
        <f t="shared" si="95"/>
        <v>371.38</v>
      </c>
      <c r="J1249" s="7">
        <f t="shared" si="96"/>
        <v>389.35</v>
      </c>
      <c r="K1249" s="7">
        <f t="shared" si="97"/>
        <v>401.33</v>
      </c>
      <c r="L1249" s="7">
        <f t="shared" si="98"/>
        <v>419.3</v>
      </c>
      <c r="M1249" s="7">
        <f t="shared" si="99"/>
        <v>431.28</v>
      </c>
    </row>
    <row r="1250" spans="1:13">
      <c r="A1250" s="6" t="s">
        <v>18</v>
      </c>
      <c r="B1250" s="6" t="s">
        <v>3419</v>
      </c>
      <c r="C1250" s="6" t="s">
        <v>3420</v>
      </c>
      <c r="E1250" s="6" t="s">
        <v>3420</v>
      </c>
      <c r="G1250" s="7">
        <v>1249</v>
      </c>
      <c r="H1250" s="7">
        <v>1411.37</v>
      </c>
      <c r="I1250" s="7">
        <f t="shared" si="95"/>
        <v>774.38</v>
      </c>
      <c r="J1250" s="7">
        <f t="shared" si="96"/>
        <v>811.85</v>
      </c>
      <c r="K1250" s="7">
        <f t="shared" si="97"/>
        <v>836.83</v>
      </c>
      <c r="L1250" s="7">
        <f t="shared" si="98"/>
        <v>874.3</v>
      </c>
      <c r="M1250" s="7">
        <f t="shared" si="99"/>
        <v>899.28</v>
      </c>
    </row>
    <row r="1251" ht="25.5" spans="1:13">
      <c r="A1251" s="6" t="s">
        <v>217</v>
      </c>
      <c r="B1251" s="6" t="s">
        <v>3421</v>
      </c>
      <c r="C1251" s="6" t="s">
        <v>3422</v>
      </c>
      <c r="E1251" s="6" t="s">
        <v>3423</v>
      </c>
      <c r="G1251" s="7">
        <v>3849</v>
      </c>
      <c r="H1251" s="7">
        <v>4349.37</v>
      </c>
      <c r="I1251" s="7">
        <f t="shared" si="95"/>
        <v>2386.38</v>
      </c>
      <c r="J1251" s="7">
        <f t="shared" si="96"/>
        <v>2501.85</v>
      </c>
      <c r="K1251" s="7">
        <f t="shared" si="97"/>
        <v>2578.83</v>
      </c>
      <c r="L1251" s="7">
        <f t="shared" si="98"/>
        <v>2694.3</v>
      </c>
      <c r="M1251" s="7">
        <f t="shared" si="99"/>
        <v>2771.28</v>
      </c>
    </row>
    <row r="1252" ht="25.5" spans="1:13">
      <c r="A1252" s="6" t="s">
        <v>217</v>
      </c>
      <c r="B1252" s="6" t="s">
        <v>3424</v>
      </c>
      <c r="C1252" s="6" t="s">
        <v>3425</v>
      </c>
      <c r="E1252" s="6" t="s">
        <v>3426</v>
      </c>
      <c r="G1252" s="7">
        <v>4449</v>
      </c>
      <c r="H1252" s="7">
        <v>5027.37</v>
      </c>
      <c r="I1252" s="7">
        <f t="shared" si="95"/>
        <v>2758.38</v>
      </c>
      <c r="J1252" s="7">
        <f t="shared" si="96"/>
        <v>2891.85</v>
      </c>
      <c r="K1252" s="7">
        <f t="shared" si="97"/>
        <v>2980.83</v>
      </c>
      <c r="L1252" s="7">
        <f t="shared" si="98"/>
        <v>3114.3</v>
      </c>
      <c r="M1252" s="7">
        <f t="shared" si="99"/>
        <v>3203.28</v>
      </c>
    </row>
    <row r="1253" spans="1:13">
      <c r="A1253" s="6" t="s">
        <v>25</v>
      </c>
      <c r="B1253" s="6" t="s">
        <v>3427</v>
      </c>
      <c r="C1253" s="6" t="s">
        <v>3428</v>
      </c>
      <c r="E1253" s="6" t="s">
        <v>3428</v>
      </c>
      <c r="G1253" s="7">
        <v>279</v>
      </c>
      <c r="H1253" s="7">
        <v>315.27</v>
      </c>
      <c r="I1253" s="7">
        <f t="shared" si="95"/>
        <v>172.98</v>
      </c>
      <c r="J1253" s="7">
        <f t="shared" si="96"/>
        <v>181.35</v>
      </c>
      <c r="K1253" s="7">
        <f t="shared" si="97"/>
        <v>186.93</v>
      </c>
      <c r="L1253" s="7">
        <f t="shared" si="98"/>
        <v>195.3</v>
      </c>
      <c r="M1253" s="7">
        <f t="shared" si="99"/>
        <v>200.88</v>
      </c>
    </row>
    <row r="1254" ht="25.5" spans="1:13">
      <c r="A1254" s="6" t="s">
        <v>682</v>
      </c>
      <c r="B1254" s="6" t="s">
        <v>3429</v>
      </c>
      <c r="C1254" s="6" t="s">
        <v>3430</v>
      </c>
      <c r="E1254" s="6" t="s">
        <v>3431</v>
      </c>
      <c r="G1254" s="7">
        <v>999</v>
      </c>
      <c r="H1254" s="7">
        <v>1128.87</v>
      </c>
      <c r="I1254" s="7">
        <f t="shared" si="95"/>
        <v>619.38</v>
      </c>
      <c r="J1254" s="7">
        <f t="shared" si="96"/>
        <v>649.35</v>
      </c>
      <c r="K1254" s="7">
        <f t="shared" si="97"/>
        <v>669.33</v>
      </c>
      <c r="L1254" s="7">
        <f t="shared" si="98"/>
        <v>699.3</v>
      </c>
      <c r="M1254" s="7">
        <f t="shared" si="99"/>
        <v>719.28</v>
      </c>
    </row>
    <row r="1255" spans="1:13">
      <c r="A1255" s="6" t="s">
        <v>18</v>
      </c>
      <c r="B1255" s="6" t="s">
        <v>3432</v>
      </c>
      <c r="C1255" s="6" t="s">
        <v>3433</v>
      </c>
      <c r="E1255" s="6" t="s">
        <v>3433</v>
      </c>
      <c r="G1255" s="7">
        <v>29</v>
      </c>
      <c r="H1255" s="7">
        <v>32.77</v>
      </c>
      <c r="I1255" s="7">
        <f t="shared" si="95"/>
        <v>17.98</v>
      </c>
      <c r="J1255" s="7">
        <f t="shared" si="96"/>
        <v>18.85</v>
      </c>
      <c r="K1255" s="7">
        <f t="shared" si="97"/>
        <v>19.43</v>
      </c>
      <c r="L1255" s="7">
        <f t="shared" si="98"/>
        <v>20.3</v>
      </c>
      <c r="M1255" s="7">
        <f t="shared" si="99"/>
        <v>20.88</v>
      </c>
    </row>
    <row r="1256" spans="1:13">
      <c r="A1256" s="6" t="s">
        <v>18</v>
      </c>
      <c r="B1256" s="6" t="s">
        <v>3434</v>
      </c>
      <c r="C1256" s="6" t="s">
        <v>3435</v>
      </c>
      <c r="E1256" s="6" t="s">
        <v>3435</v>
      </c>
      <c r="G1256" s="7">
        <v>36.99</v>
      </c>
      <c r="H1256" s="7">
        <v>41.7987</v>
      </c>
      <c r="I1256" s="7">
        <f t="shared" si="95"/>
        <v>22.9338</v>
      </c>
      <c r="J1256" s="7">
        <f t="shared" si="96"/>
        <v>24.0435</v>
      </c>
      <c r="K1256" s="7">
        <f t="shared" si="97"/>
        <v>24.7833</v>
      </c>
      <c r="L1256" s="7">
        <f t="shared" si="98"/>
        <v>25.893</v>
      </c>
      <c r="M1256" s="7">
        <f t="shared" si="99"/>
        <v>26.6328</v>
      </c>
    </row>
    <row r="1257" ht="51" spans="1:13">
      <c r="A1257" s="6" t="s">
        <v>682</v>
      </c>
      <c r="B1257" s="6" t="s">
        <v>3436</v>
      </c>
      <c r="C1257" s="6" t="s">
        <v>3437</v>
      </c>
      <c r="E1257" s="6" t="s">
        <v>3438</v>
      </c>
      <c r="G1257" s="7">
        <v>1499</v>
      </c>
      <c r="H1257" s="7">
        <v>1693.87</v>
      </c>
      <c r="I1257" s="7">
        <f t="shared" si="95"/>
        <v>929.38</v>
      </c>
      <c r="J1257" s="7">
        <f t="shared" si="96"/>
        <v>974.35</v>
      </c>
      <c r="K1257" s="7">
        <f t="shared" si="97"/>
        <v>1004.33</v>
      </c>
      <c r="L1257" s="7">
        <f t="shared" si="98"/>
        <v>1049.3</v>
      </c>
      <c r="M1257" s="7">
        <f t="shared" si="99"/>
        <v>1079.28</v>
      </c>
    </row>
    <row r="1258" spans="1:13">
      <c r="A1258" s="6" t="s">
        <v>682</v>
      </c>
      <c r="B1258" s="6" t="s">
        <v>3439</v>
      </c>
      <c r="C1258" s="6" t="s">
        <v>3440</v>
      </c>
      <c r="E1258" s="6" t="s">
        <v>3441</v>
      </c>
      <c r="G1258" s="7">
        <v>3499</v>
      </c>
      <c r="H1258" s="7">
        <v>3953.87</v>
      </c>
      <c r="I1258" s="7">
        <f t="shared" si="95"/>
        <v>2169.38</v>
      </c>
      <c r="J1258" s="7">
        <f t="shared" si="96"/>
        <v>2274.35</v>
      </c>
      <c r="K1258" s="7">
        <f t="shared" si="97"/>
        <v>2344.33</v>
      </c>
      <c r="L1258" s="7">
        <f t="shared" si="98"/>
        <v>2449.3</v>
      </c>
      <c r="M1258" s="7">
        <f t="shared" si="99"/>
        <v>2519.28</v>
      </c>
    </row>
    <row r="1259" ht="38.25" spans="1:13">
      <c r="A1259" s="6" t="s">
        <v>18</v>
      </c>
      <c r="B1259" s="6" t="s">
        <v>3442</v>
      </c>
      <c r="C1259" s="6" t="s">
        <v>3443</v>
      </c>
      <c r="E1259" s="6" t="s">
        <v>3444</v>
      </c>
      <c r="G1259" s="7">
        <v>39</v>
      </c>
      <c r="H1259" s="7">
        <v>44.07</v>
      </c>
      <c r="I1259" s="7">
        <f t="shared" si="95"/>
        <v>24.18</v>
      </c>
      <c r="J1259" s="7">
        <f t="shared" si="96"/>
        <v>25.35</v>
      </c>
      <c r="K1259" s="7">
        <f t="shared" si="97"/>
        <v>26.13</v>
      </c>
      <c r="L1259" s="7">
        <f t="shared" si="98"/>
        <v>27.3</v>
      </c>
      <c r="M1259" s="7">
        <f t="shared" si="99"/>
        <v>28.08</v>
      </c>
    </row>
    <row r="1260" ht="25.5" spans="1:13">
      <c r="A1260" s="6" t="s">
        <v>18</v>
      </c>
      <c r="B1260" s="6" t="s">
        <v>3445</v>
      </c>
      <c r="C1260" s="6" t="s">
        <v>3446</v>
      </c>
      <c r="E1260" s="6" t="s">
        <v>3447</v>
      </c>
      <c r="G1260" s="7">
        <v>139</v>
      </c>
      <c r="H1260" s="7">
        <v>157.07</v>
      </c>
      <c r="I1260" s="7">
        <f t="shared" si="95"/>
        <v>86.18</v>
      </c>
      <c r="J1260" s="7">
        <f t="shared" si="96"/>
        <v>90.35</v>
      </c>
      <c r="K1260" s="7">
        <f t="shared" si="97"/>
        <v>93.13</v>
      </c>
      <c r="L1260" s="7">
        <f t="shared" si="98"/>
        <v>97.3</v>
      </c>
      <c r="M1260" s="7">
        <f t="shared" si="99"/>
        <v>100.08</v>
      </c>
    </row>
    <row r="1261" ht="25.5" spans="1:13">
      <c r="A1261" s="6" t="s">
        <v>18</v>
      </c>
      <c r="B1261" s="6" t="s">
        <v>3448</v>
      </c>
      <c r="C1261" s="6" t="s">
        <v>3449</v>
      </c>
      <c r="E1261" s="6" t="s">
        <v>3447</v>
      </c>
      <c r="G1261" s="7">
        <v>73</v>
      </c>
      <c r="H1261" s="7">
        <v>82.49</v>
      </c>
      <c r="I1261" s="7">
        <f t="shared" si="95"/>
        <v>45.26</v>
      </c>
      <c r="J1261" s="7">
        <f t="shared" si="96"/>
        <v>47.45</v>
      </c>
      <c r="K1261" s="7">
        <f t="shared" si="97"/>
        <v>48.91</v>
      </c>
      <c r="L1261" s="7">
        <f t="shared" si="98"/>
        <v>51.1</v>
      </c>
      <c r="M1261" s="7">
        <f t="shared" si="99"/>
        <v>52.56</v>
      </c>
    </row>
    <row r="1262" spans="1:13">
      <c r="A1262" s="6" t="s">
        <v>18</v>
      </c>
      <c r="B1262" s="6" t="s">
        <v>3450</v>
      </c>
      <c r="C1262" s="6" t="s">
        <v>3451</v>
      </c>
      <c r="E1262" s="6" t="s">
        <v>3452</v>
      </c>
      <c r="G1262" s="7">
        <v>85</v>
      </c>
      <c r="H1262" s="7">
        <v>96.05</v>
      </c>
      <c r="I1262" s="7">
        <f t="shared" si="95"/>
        <v>52.7</v>
      </c>
      <c r="J1262" s="7">
        <f t="shared" si="96"/>
        <v>55.25</v>
      </c>
      <c r="K1262" s="7">
        <f t="shared" si="97"/>
        <v>56.95</v>
      </c>
      <c r="L1262" s="7">
        <f t="shared" si="98"/>
        <v>59.5</v>
      </c>
      <c r="M1262" s="7">
        <f t="shared" si="99"/>
        <v>61.2</v>
      </c>
    </row>
    <row r="1263" spans="1:13">
      <c r="A1263" s="6" t="s">
        <v>18</v>
      </c>
      <c r="B1263" s="6" t="s">
        <v>3453</v>
      </c>
      <c r="C1263" s="6" t="s">
        <v>3454</v>
      </c>
      <c r="E1263" s="6" t="s">
        <v>3455</v>
      </c>
      <c r="G1263" s="7">
        <v>118</v>
      </c>
      <c r="H1263" s="7">
        <v>133.34</v>
      </c>
      <c r="I1263" s="7">
        <f t="shared" si="95"/>
        <v>73.16</v>
      </c>
      <c r="J1263" s="7">
        <f t="shared" si="96"/>
        <v>76.7</v>
      </c>
      <c r="K1263" s="7">
        <f t="shared" si="97"/>
        <v>79.06</v>
      </c>
      <c r="L1263" s="7">
        <f t="shared" si="98"/>
        <v>82.6</v>
      </c>
      <c r="M1263" s="7">
        <f t="shared" si="99"/>
        <v>84.96</v>
      </c>
    </row>
    <row r="1264" ht="25.5" spans="1:13">
      <c r="A1264" s="6" t="s">
        <v>18</v>
      </c>
      <c r="B1264" s="6" t="s">
        <v>3456</v>
      </c>
      <c r="C1264" s="6" t="s">
        <v>3457</v>
      </c>
      <c r="E1264" s="6" t="s">
        <v>3458</v>
      </c>
      <c r="G1264" s="7">
        <v>279</v>
      </c>
      <c r="H1264" s="7">
        <v>315.27</v>
      </c>
      <c r="I1264" s="7">
        <f t="shared" si="95"/>
        <v>172.98</v>
      </c>
      <c r="J1264" s="7">
        <f t="shared" si="96"/>
        <v>181.35</v>
      </c>
      <c r="K1264" s="7">
        <f t="shared" si="97"/>
        <v>186.93</v>
      </c>
      <c r="L1264" s="7">
        <f t="shared" si="98"/>
        <v>195.3</v>
      </c>
      <c r="M1264" s="7">
        <f t="shared" si="99"/>
        <v>200.88</v>
      </c>
    </row>
    <row r="1265" ht="25.5" spans="1:13">
      <c r="A1265" s="6" t="s">
        <v>1783</v>
      </c>
      <c r="B1265" s="6" t="s">
        <v>3459</v>
      </c>
      <c r="C1265" s="6" t="s">
        <v>3460</v>
      </c>
      <c r="E1265" s="6" t="s">
        <v>3461</v>
      </c>
      <c r="G1265" s="7">
        <v>699</v>
      </c>
      <c r="H1265" s="7">
        <v>789.87</v>
      </c>
      <c r="I1265" s="7">
        <f t="shared" si="95"/>
        <v>433.38</v>
      </c>
      <c r="J1265" s="7">
        <f t="shared" si="96"/>
        <v>454.35</v>
      </c>
      <c r="K1265" s="7">
        <f t="shared" si="97"/>
        <v>468.33</v>
      </c>
      <c r="L1265" s="7">
        <f t="shared" si="98"/>
        <v>489.3</v>
      </c>
      <c r="M1265" s="7">
        <f t="shared" si="99"/>
        <v>503.28</v>
      </c>
    </row>
    <row r="1266" spans="1:13">
      <c r="A1266" s="6" t="s">
        <v>18</v>
      </c>
      <c r="B1266" s="6" t="s">
        <v>3462</v>
      </c>
      <c r="C1266" s="6" t="s">
        <v>3463</v>
      </c>
      <c r="E1266" s="6" t="s">
        <v>3463</v>
      </c>
      <c r="G1266" s="7">
        <v>259</v>
      </c>
      <c r="H1266" s="7">
        <v>292.67</v>
      </c>
      <c r="I1266" s="7">
        <f t="shared" si="95"/>
        <v>160.58</v>
      </c>
      <c r="J1266" s="7">
        <f t="shared" si="96"/>
        <v>168.35</v>
      </c>
      <c r="K1266" s="7">
        <f t="shared" si="97"/>
        <v>173.53</v>
      </c>
      <c r="L1266" s="7">
        <f t="shared" si="98"/>
        <v>181.3</v>
      </c>
      <c r="M1266" s="7">
        <f t="shared" si="99"/>
        <v>186.48</v>
      </c>
    </row>
    <row r="1267" spans="1:13">
      <c r="A1267" s="6" t="s">
        <v>18</v>
      </c>
      <c r="B1267" s="6" t="s">
        <v>3464</v>
      </c>
      <c r="C1267" s="6" t="s">
        <v>3465</v>
      </c>
      <c r="E1267" s="6" t="s">
        <v>3466</v>
      </c>
      <c r="G1267" s="7">
        <v>199</v>
      </c>
      <c r="H1267" s="7">
        <v>224.87</v>
      </c>
      <c r="I1267" s="7">
        <f t="shared" si="95"/>
        <v>123.38</v>
      </c>
      <c r="J1267" s="7">
        <f t="shared" si="96"/>
        <v>129.35</v>
      </c>
      <c r="K1267" s="7">
        <f t="shared" si="97"/>
        <v>133.33</v>
      </c>
      <c r="L1267" s="7">
        <f t="shared" si="98"/>
        <v>139.3</v>
      </c>
      <c r="M1267" s="7">
        <f t="shared" si="99"/>
        <v>143.28</v>
      </c>
    </row>
    <row r="1268" ht="25.5" spans="1:13">
      <c r="A1268" s="6" t="s">
        <v>432</v>
      </c>
      <c r="B1268" s="6" t="s">
        <v>3467</v>
      </c>
      <c r="C1268" s="6" t="s">
        <v>3468</v>
      </c>
      <c r="E1268" s="6" t="s">
        <v>3469</v>
      </c>
      <c r="G1268" s="7">
        <v>459</v>
      </c>
      <c r="H1268" s="7">
        <v>518.67</v>
      </c>
      <c r="I1268" s="7">
        <f t="shared" si="95"/>
        <v>284.58</v>
      </c>
      <c r="J1268" s="7">
        <f t="shared" si="96"/>
        <v>298.35</v>
      </c>
      <c r="K1268" s="7">
        <f t="shared" si="97"/>
        <v>307.53</v>
      </c>
      <c r="L1268" s="7">
        <f t="shared" si="98"/>
        <v>321.3</v>
      </c>
      <c r="M1268" s="7">
        <f t="shared" si="99"/>
        <v>330.48</v>
      </c>
    </row>
    <row r="1269" spans="1:13">
      <c r="A1269" s="6" t="s">
        <v>18</v>
      </c>
      <c r="B1269" s="6" t="s">
        <v>3470</v>
      </c>
      <c r="C1269" s="6" t="s">
        <v>3471</v>
      </c>
      <c r="E1269" s="6" t="s">
        <v>3472</v>
      </c>
      <c r="G1269" s="7">
        <v>39</v>
      </c>
      <c r="H1269" s="7">
        <v>44.07</v>
      </c>
      <c r="I1269" s="7">
        <f t="shared" si="95"/>
        <v>24.18</v>
      </c>
      <c r="J1269" s="7">
        <f t="shared" si="96"/>
        <v>25.35</v>
      </c>
      <c r="K1269" s="7">
        <f t="shared" si="97"/>
        <v>26.13</v>
      </c>
      <c r="L1269" s="7">
        <f t="shared" si="98"/>
        <v>27.3</v>
      </c>
      <c r="M1269" s="7">
        <f t="shared" si="99"/>
        <v>28.08</v>
      </c>
    </row>
    <row r="1270" ht="25.5" spans="1:13">
      <c r="A1270" s="6" t="s">
        <v>18</v>
      </c>
      <c r="B1270" s="6" t="s">
        <v>3473</v>
      </c>
      <c r="C1270" s="6" t="s">
        <v>3474</v>
      </c>
      <c r="E1270" s="6" t="s">
        <v>3475</v>
      </c>
      <c r="G1270" s="7">
        <v>139</v>
      </c>
      <c r="H1270" s="7">
        <v>157.07</v>
      </c>
      <c r="I1270" s="7">
        <f t="shared" si="95"/>
        <v>86.18</v>
      </c>
      <c r="J1270" s="7">
        <f t="shared" si="96"/>
        <v>90.35</v>
      </c>
      <c r="K1270" s="7">
        <f t="shared" si="97"/>
        <v>93.13</v>
      </c>
      <c r="L1270" s="7">
        <f t="shared" si="98"/>
        <v>97.3</v>
      </c>
      <c r="M1270" s="7">
        <f t="shared" si="99"/>
        <v>100.08</v>
      </c>
    </row>
    <row r="1271" ht="25.5" spans="1:13">
      <c r="A1271" s="6" t="s">
        <v>18</v>
      </c>
      <c r="B1271" s="6" t="s">
        <v>3476</v>
      </c>
      <c r="C1271" s="6" t="s">
        <v>3477</v>
      </c>
      <c r="E1271" s="6" t="s">
        <v>3478</v>
      </c>
      <c r="G1271" s="7">
        <v>79</v>
      </c>
      <c r="H1271" s="7">
        <v>89.27</v>
      </c>
      <c r="I1271" s="7">
        <f t="shared" si="95"/>
        <v>48.98</v>
      </c>
      <c r="J1271" s="7">
        <f t="shared" si="96"/>
        <v>51.35</v>
      </c>
      <c r="K1271" s="7">
        <f t="shared" si="97"/>
        <v>52.93</v>
      </c>
      <c r="L1271" s="7">
        <f t="shared" si="98"/>
        <v>55.3</v>
      </c>
      <c r="M1271" s="7">
        <f t="shared" si="99"/>
        <v>56.88</v>
      </c>
    </row>
    <row r="1272" ht="25.5" spans="1:13">
      <c r="A1272" s="6" t="s">
        <v>18</v>
      </c>
      <c r="B1272" s="6" t="s">
        <v>3479</v>
      </c>
      <c r="C1272" s="6" t="s">
        <v>3480</v>
      </c>
      <c r="E1272" s="6" t="s">
        <v>3481</v>
      </c>
      <c r="G1272" s="7">
        <v>159</v>
      </c>
      <c r="H1272" s="7">
        <v>179.67</v>
      </c>
      <c r="I1272" s="7">
        <f t="shared" si="95"/>
        <v>98.58</v>
      </c>
      <c r="J1272" s="7">
        <f t="shared" si="96"/>
        <v>103.35</v>
      </c>
      <c r="K1272" s="7">
        <f t="shared" si="97"/>
        <v>106.53</v>
      </c>
      <c r="L1272" s="7">
        <f t="shared" si="98"/>
        <v>111.3</v>
      </c>
      <c r="M1272" s="7">
        <f t="shared" si="99"/>
        <v>114.48</v>
      </c>
    </row>
    <row r="1273" ht="25.5" spans="1:13">
      <c r="A1273" s="6" t="s">
        <v>548</v>
      </c>
      <c r="B1273" s="6" t="s">
        <v>3482</v>
      </c>
      <c r="C1273" s="6" t="s">
        <v>3483</v>
      </c>
      <c r="E1273" s="6" t="s">
        <v>3484</v>
      </c>
      <c r="G1273" s="7">
        <v>799</v>
      </c>
      <c r="H1273" s="7">
        <v>902.87</v>
      </c>
      <c r="I1273" s="7">
        <f t="shared" si="95"/>
        <v>495.38</v>
      </c>
      <c r="J1273" s="7">
        <f t="shared" si="96"/>
        <v>519.35</v>
      </c>
      <c r="K1273" s="7">
        <f t="shared" si="97"/>
        <v>535.33</v>
      </c>
      <c r="L1273" s="7">
        <f t="shared" si="98"/>
        <v>559.3</v>
      </c>
      <c r="M1273" s="7">
        <f t="shared" si="99"/>
        <v>575.28</v>
      </c>
    </row>
    <row r="1274" ht="25.5" spans="1:13">
      <c r="A1274" s="6" t="s">
        <v>686</v>
      </c>
      <c r="B1274" s="6" t="s">
        <v>3485</v>
      </c>
      <c r="C1274" s="6" t="s">
        <v>3486</v>
      </c>
      <c r="E1274" s="6" t="s">
        <v>3487</v>
      </c>
      <c r="G1274" s="7">
        <v>849</v>
      </c>
      <c r="H1274" s="7">
        <v>959.37</v>
      </c>
      <c r="I1274" s="7">
        <f t="shared" si="95"/>
        <v>526.38</v>
      </c>
      <c r="J1274" s="7">
        <f t="shared" si="96"/>
        <v>551.85</v>
      </c>
      <c r="K1274" s="7">
        <f t="shared" si="97"/>
        <v>568.83</v>
      </c>
      <c r="L1274" s="7">
        <f t="shared" si="98"/>
        <v>594.3</v>
      </c>
      <c r="M1274" s="7">
        <f t="shared" si="99"/>
        <v>611.28</v>
      </c>
    </row>
    <row r="1275" spans="1:13">
      <c r="A1275" s="6" t="s">
        <v>548</v>
      </c>
      <c r="B1275" s="6" t="s">
        <v>3488</v>
      </c>
      <c r="C1275" s="6" t="s">
        <v>3489</v>
      </c>
      <c r="E1275" s="6" t="s">
        <v>3490</v>
      </c>
      <c r="G1275" s="7">
        <v>699</v>
      </c>
      <c r="H1275" s="7">
        <v>789.87</v>
      </c>
      <c r="I1275" s="7">
        <f t="shared" si="95"/>
        <v>433.38</v>
      </c>
      <c r="J1275" s="7">
        <f t="shared" si="96"/>
        <v>454.35</v>
      </c>
      <c r="K1275" s="7">
        <f t="shared" si="97"/>
        <v>468.33</v>
      </c>
      <c r="L1275" s="7">
        <f t="shared" si="98"/>
        <v>489.3</v>
      </c>
      <c r="M1275" s="7">
        <f t="shared" si="99"/>
        <v>503.28</v>
      </c>
    </row>
    <row r="1276" ht="25.5" spans="1:13">
      <c r="A1276" s="6" t="s">
        <v>18</v>
      </c>
      <c r="B1276" s="6" t="s">
        <v>3491</v>
      </c>
      <c r="C1276" s="6" t="s">
        <v>3492</v>
      </c>
      <c r="E1276" s="6" t="s">
        <v>3493</v>
      </c>
      <c r="G1276" s="7">
        <v>119</v>
      </c>
      <c r="H1276" s="7">
        <v>134.47</v>
      </c>
      <c r="I1276" s="7">
        <f t="shared" si="95"/>
        <v>73.78</v>
      </c>
      <c r="J1276" s="7">
        <f t="shared" si="96"/>
        <v>77.35</v>
      </c>
      <c r="K1276" s="7">
        <f t="shared" si="97"/>
        <v>79.73</v>
      </c>
      <c r="L1276" s="7">
        <f t="shared" si="98"/>
        <v>83.3</v>
      </c>
      <c r="M1276" s="7">
        <f t="shared" si="99"/>
        <v>85.68</v>
      </c>
    </row>
    <row r="1277" ht="25.5" spans="1:13">
      <c r="A1277" s="6" t="s">
        <v>686</v>
      </c>
      <c r="B1277" s="6" t="s">
        <v>3494</v>
      </c>
      <c r="C1277" s="6" t="s">
        <v>3495</v>
      </c>
      <c r="E1277" s="6" t="s">
        <v>3496</v>
      </c>
      <c r="G1277" s="7">
        <v>179</v>
      </c>
      <c r="H1277" s="7">
        <v>202.27</v>
      </c>
      <c r="I1277" s="7">
        <f t="shared" si="95"/>
        <v>110.98</v>
      </c>
      <c r="J1277" s="7">
        <f t="shared" si="96"/>
        <v>116.35</v>
      </c>
      <c r="K1277" s="7">
        <f t="shared" si="97"/>
        <v>119.93</v>
      </c>
      <c r="L1277" s="7">
        <f t="shared" si="98"/>
        <v>125.3</v>
      </c>
      <c r="M1277" s="7">
        <f t="shared" si="99"/>
        <v>128.88</v>
      </c>
    </row>
    <row r="1278" ht="25.5" spans="1:13">
      <c r="A1278" s="6" t="s">
        <v>686</v>
      </c>
      <c r="B1278" s="6" t="s">
        <v>3497</v>
      </c>
      <c r="C1278" s="6" t="s">
        <v>3498</v>
      </c>
      <c r="E1278" s="6" t="s">
        <v>3499</v>
      </c>
      <c r="G1278" s="7">
        <v>799</v>
      </c>
      <c r="H1278" s="7">
        <v>902.87</v>
      </c>
      <c r="I1278" s="7">
        <f t="shared" si="95"/>
        <v>495.38</v>
      </c>
      <c r="J1278" s="7">
        <f t="shared" si="96"/>
        <v>519.35</v>
      </c>
      <c r="K1278" s="7">
        <f t="shared" si="97"/>
        <v>535.33</v>
      </c>
      <c r="L1278" s="7">
        <f t="shared" si="98"/>
        <v>559.3</v>
      </c>
      <c r="M1278" s="7">
        <f t="shared" si="99"/>
        <v>575.28</v>
      </c>
    </row>
    <row r="1279" ht="25.5" spans="1:13">
      <c r="A1279" s="6" t="s">
        <v>686</v>
      </c>
      <c r="B1279" s="6" t="s">
        <v>3500</v>
      </c>
      <c r="C1279" s="6" t="s">
        <v>3501</v>
      </c>
      <c r="E1279" s="6" t="s">
        <v>3502</v>
      </c>
      <c r="G1279" s="7">
        <v>1199</v>
      </c>
      <c r="H1279" s="7">
        <v>1354.87</v>
      </c>
      <c r="I1279" s="7">
        <f t="shared" si="95"/>
        <v>743.38</v>
      </c>
      <c r="J1279" s="7">
        <f t="shared" si="96"/>
        <v>779.35</v>
      </c>
      <c r="K1279" s="7">
        <f t="shared" si="97"/>
        <v>803.33</v>
      </c>
      <c r="L1279" s="7">
        <f t="shared" si="98"/>
        <v>839.3</v>
      </c>
      <c r="M1279" s="7">
        <f t="shared" si="99"/>
        <v>863.28</v>
      </c>
    </row>
    <row r="1280" spans="1:13">
      <c r="A1280" s="6" t="s">
        <v>18</v>
      </c>
      <c r="B1280" s="6" t="s">
        <v>3503</v>
      </c>
      <c r="C1280" s="6" t="s">
        <v>3504</v>
      </c>
      <c r="E1280" s="6" t="s">
        <v>3505</v>
      </c>
      <c r="G1280" s="7">
        <v>439</v>
      </c>
      <c r="H1280" s="7">
        <v>496.07</v>
      </c>
      <c r="I1280" s="7">
        <f t="shared" si="95"/>
        <v>272.18</v>
      </c>
      <c r="J1280" s="7">
        <f t="shared" si="96"/>
        <v>285.35</v>
      </c>
      <c r="K1280" s="7">
        <f t="shared" si="97"/>
        <v>294.13</v>
      </c>
      <c r="L1280" s="7">
        <f t="shared" si="98"/>
        <v>307.3</v>
      </c>
      <c r="M1280" s="7">
        <f t="shared" si="99"/>
        <v>316.08</v>
      </c>
    </row>
    <row r="1281" spans="1:13">
      <c r="A1281" s="6" t="s">
        <v>18</v>
      </c>
      <c r="B1281" s="6" t="s">
        <v>3506</v>
      </c>
      <c r="C1281" s="6" t="s">
        <v>3507</v>
      </c>
      <c r="E1281" s="6" t="s">
        <v>3508</v>
      </c>
      <c r="G1281" s="7">
        <v>39</v>
      </c>
      <c r="H1281" s="7">
        <v>44.07</v>
      </c>
      <c r="I1281" s="7">
        <f t="shared" si="95"/>
        <v>24.18</v>
      </c>
      <c r="J1281" s="7">
        <f t="shared" si="96"/>
        <v>25.35</v>
      </c>
      <c r="K1281" s="7">
        <f t="shared" si="97"/>
        <v>26.13</v>
      </c>
      <c r="L1281" s="7">
        <f t="shared" si="98"/>
        <v>27.3</v>
      </c>
      <c r="M1281" s="7">
        <f t="shared" si="99"/>
        <v>28.08</v>
      </c>
    </row>
    <row r="1282" spans="1:13">
      <c r="A1282" s="6" t="s">
        <v>18</v>
      </c>
      <c r="B1282" s="6" t="s">
        <v>3509</v>
      </c>
      <c r="C1282" s="6" t="s">
        <v>3510</v>
      </c>
      <c r="E1282" s="6" t="s">
        <v>3511</v>
      </c>
      <c r="G1282" s="7">
        <v>439</v>
      </c>
      <c r="H1282" s="7">
        <v>496.07</v>
      </c>
      <c r="I1282" s="7">
        <f t="shared" ref="I1282:I1345" si="100">G1282*0.62</f>
        <v>272.18</v>
      </c>
      <c r="J1282" s="7">
        <f t="shared" ref="J1282:J1345" si="101">G1282*0.65</f>
        <v>285.35</v>
      </c>
      <c r="K1282" s="7">
        <f t="shared" ref="K1282:K1345" si="102">G1282*0.67</f>
        <v>294.13</v>
      </c>
      <c r="L1282" s="7">
        <f t="shared" ref="L1282:L1345" si="103">G1282*0.7</f>
        <v>307.3</v>
      </c>
      <c r="M1282" s="7">
        <f t="shared" ref="M1282:M1345" si="104">G1282*0.72</f>
        <v>316.08</v>
      </c>
    </row>
    <row r="1283" ht="38.25" spans="1:13">
      <c r="A1283" s="6" t="s">
        <v>18</v>
      </c>
      <c r="B1283" s="6" t="s">
        <v>3512</v>
      </c>
      <c r="C1283" s="6" t="s">
        <v>3513</v>
      </c>
      <c r="E1283" s="6" t="s">
        <v>3514</v>
      </c>
      <c r="G1283" s="7">
        <v>279</v>
      </c>
      <c r="H1283" s="7">
        <v>315.27</v>
      </c>
      <c r="I1283" s="7">
        <f t="shared" si="100"/>
        <v>172.98</v>
      </c>
      <c r="J1283" s="7">
        <f t="shared" si="101"/>
        <v>181.35</v>
      </c>
      <c r="K1283" s="7">
        <f t="shared" si="102"/>
        <v>186.93</v>
      </c>
      <c r="L1283" s="7">
        <f t="shared" si="103"/>
        <v>195.3</v>
      </c>
      <c r="M1283" s="7">
        <f t="shared" si="104"/>
        <v>200.88</v>
      </c>
    </row>
    <row r="1284" ht="38.25" spans="1:13">
      <c r="A1284" s="6" t="s">
        <v>548</v>
      </c>
      <c r="B1284" s="6" t="s">
        <v>3515</v>
      </c>
      <c r="C1284" s="6" t="s">
        <v>3516</v>
      </c>
      <c r="E1284" s="6" t="s">
        <v>3517</v>
      </c>
      <c r="G1284" s="7">
        <v>949</v>
      </c>
      <c r="H1284" s="7">
        <v>1072.37</v>
      </c>
      <c r="I1284" s="7">
        <f t="shared" si="100"/>
        <v>588.38</v>
      </c>
      <c r="J1284" s="7">
        <f t="shared" si="101"/>
        <v>616.85</v>
      </c>
      <c r="K1284" s="7">
        <f t="shared" si="102"/>
        <v>635.83</v>
      </c>
      <c r="L1284" s="7">
        <f t="shared" si="103"/>
        <v>664.3</v>
      </c>
      <c r="M1284" s="7">
        <f t="shared" si="104"/>
        <v>683.28</v>
      </c>
    </row>
    <row r="1285" spans="1:13">
      <c r="A1285" s="6" t="s">
        <v>686</v>
      </c>
      <c r="B1285" s="6" t="s">
        <v>3518</v>
      </c>
      <c r="C1285" s="6" t="s">
        <v>3519</v>
      </c>
      <c r="E1285" s="6" t="s">
        <v>3520</v>
      </c>
      <c r="G1285" s="7">
        <v>799</v>
      </c>
      <c r="H1285" s="7">
        <v>902.87</v>
      </c>
      <c r="I1285" s="7">
        <f t="shared" si="100"/>
        <v>495.38</v>
      </c>
      <c r="J1285" s="7">
        <f t="shared" si="101"/>
        <v>519.35</v>
      </c>
      <c r="K1285" s="7">
        <f t="shared" si="102"/>
        <v>535.33</v>
      </c>
      <c r="L1285" s="7">
        <f t="shared" si="103"/>
        <v>559.3</v>
      </c>
      <c r="M1285" s="7">
        <f t="shared" si="104"/>
        <v>575.28</v>
      </c>
    </row>
    <row r="1286" ht="25.5" spans="1:13">
      <c r="A1286" s="6" t="s">
        <v>686</v>
      </c>
      <c r="B1286" s="6" t="s">
        <v>3521</v>
      </c>
      <c r="C1286" s="6" t="s">
        <v>3522</v>
      </c>
      <c r="E1286" s="6" t="s">
        <v>3523</v>
      </c>
      <c r="G1286" s="7">
        <v>219</v>
      </c>
      <c r="H1286" s="7">
        <v>247.47</v>
      </c>
      <c r="I1286" s="7">
        <f t="shared" si="100"/>
        <v>135.78</v>
      </c>
      <c r="J1286" s="7">
        <f t="shared" si="101"/>
        <v>142.35</v>
      </c>
      <c r="K1286" s="7">
        <f t="shared" si="102"/>
        <v>146.73</v>
      </c>
      <c r="L1286" s="7">
        <f t="shared" si="103"/>
        <v>153.3</v>
      </c>
      <c r="M1286" s="7">
        <f t="shared" si="104"/>
        <v>157.68</v>
      </c>
    </row>
    <row r="1287" spans="1:13">
      <c r="A1287" s="6" t="s">
        <v>686</v>
      </c>
      <c r="B1287" s="6" t="s">
        <v>3524</v>
      </c>
      <c r="C1287" s="6" t="s">
        <v>3525</v>
      </c>
      <c r="E1287" s="6" t="s">
        <v>3526</v>
      </c>
      <c r="G1287" s="7">
        <v>2949</v>
      </c>
      <c r="H1287" s="7">
        <v>3332.37</v>
      </c>
      <c r="I1287" s="7">
        <f t="shared" si="100"/>
        <v>1828.38</v>
      </c>
      <c r="J1287" s="7">
        <f t="shared" si="101"/>
        <v>1916.85</v>
      </c>
      <c r="K1287" s="7">
        <f t="shared" si="102"/>
        <v>1975.83</v>
      </c>
      <c r="L1287" s="7">
        <f t="shared" si="103"/>
        <v>2064.3</v>
      </c>
      <c r="M1287" s="7">
        <f t="shared" si="104"/>
        <v>2123.28</v>
      </c>
    </row>
    <row r="1288" ht="25.5" spans="1:13">
      <c r="A1288" s="6" t="s">
        <v>686</v>
      </c>
      <c r="B1288" s="6" t="s">
        <v>3527</v>
      </c>
      <c r="C1288" s="6" t="s">
        <v>3528</v>
      </c>
      <c r="E1288" s="6" t="s">
        <v>3529</v>
      </c>
      <c r="G1288" s="7">
        <v>3149</v>
      </c>
      <c r="H1288" s="7">
        <v>3558.37</v>
      </c>
      <c r="I1288" s="7">
        <f t="shared" si="100"/>
        <v>1952.38</v>
      </c>
      <c r="J1288" s="7">
        <f t="shared" si="101"/>
        <v>2046.85</v>
      </c>
      <c r="K1288" s="7">
        <f t="shared" si="102"/>
        <v>2109.83</v>
      </c>
      <c r="L1288" s="7">
        <f t="shared" si="103"/>
        <v>2204.3</v>
      </c>
      <c r="M1288" s="7">
        <f t="shared" si="104"/>
        <v>2267.28</v>
      </c>
    </row>
    <row r="1289" spans="1:13">
      <c r="A1289" s="6" t="s">
        <v>686</v>
      </c>
      <c r="B1289" s="6" t="s">
        <v>3530</v>
      </c>
      <c r="C1289" s="6" t="s">
        <v>3531</v>
      </c>
      <c r="E1289" s="6" t="s">
        <v>3532</v>
      </c>
      <c r="G1289" s="7">
        <v>3599</v>
      </c>
      <c r="H1289" s="7">
        <v>4066.87</v>
      </c>
      <c r="I1289" s="7">
        <f t="shared" si="100"/>
        <v>2231.38</v>
      </c>
      <c r="J1289" s="7">
        <f t="shared" si="101"/>
        <v>2339.35</v>
      </c>
      <c r="K1289" s="7">
        <f t="shared" si="102"/>
        <v>2411.33</v>
      </c>
      <c r="L1289" s="7">
        <f t="shared" si="103"/>
        <v>2519.3</v>
      </c>
      <c r="M1289" s="7">
        <f t="shared" si="104"/>
        <v>2591.28</v>
      </c>
    </row>
    <row r="1290" ht="25.5" spans="1:13">
      <c r="A1290" s="6" t="s">
        <v>686</v>
      </c>
      <c r="B1290" s="6" t="s">
        <v>3533</v>
      </c>
      <c r="C1290" s="6" t="s">
        <v>3534</v>
      </c>
      <c r="E1290" s="6" t="s">
        <v>3535</v>
      </c>
      <c r="G1290" s="7">
        <v>3799</v>
      </c>
      <c r="H1290" s="7">
        <v>4292.87</v>
      </c>
      <c r="I1290" s="7">
        <f t="shared" si="100"/>
        <v>2355.38</v>
      </c>
      <c r="J1290" s="7">
        <f t="shared" si="101"/>
        <v>2469.35</v>
      </c>
      <c r="K1290" s="7">
        <f t="shared" si="102"/>
        <v>2545.33</v>
      </c>
      <c r="L1290" s="7">
        <f t="shared" si="103"/>
        <v>2659.3</v>
      </c>
      <c r="M1290" s="7">
        <f t="shared" si="104"/>
        <v>2735.28</v>
      </c>
    </row>
    <row r="1291" ht="25.5" spans="1:13">
      <c r="A1291" s="6" t="s">
        <v>686</v>
      </c>
      <c r="B1291" s="6" t="s">
        <v>3536</v>
      </c>
      <c r="C1291" s="6" t="s">
        <v>3537</v>
      </c>
      <c r="E1291" s="6" t="s">
        <v>3538</v>
      </c>
      <c r="G1291" s="7">
        <v>3899</v>
      </c>
      <c r="H1291" s="7">
        <v>4405.87</v>
      </c>
      <c r="I1291" s="7">
        <f t="shared" si="100"/>
        <v>2417.38</v>
      </c>
      <c r="J1291" s="7">
        <f t="shared" si="101"/>
        <v>2534.35</v>
      </c>
      <c r="K1291" s="7">
        <f t="shared" si="102"/>
        <v>2612.33</v>
      </c>
      <c r="L1291" s="7">
        <f t="shared" si="103"/>
        <v>2729.3</v>
      </c>
      <c r="M1291" s="7">
        <f t="shared" si="104"/>
        <v>2807.28</v>
      </c>
    </row>
    <row r="1292" spans="1:13">
      <c r="A1292" s="6" t="s">
        <v>686</v>
      </c>
      <c r="B1292" s="6" t="s">
        <v>3539</v>
      </c>
      <c r="C1292" s="6" t="s">
        <v>3540</v>
      </c>
      <c r="E1292" s="6" t="s">
        <v>3541</v>
      </c>
      <c r="G1292" s="7">
        <v>4249</v>
      </c>
      <c r="H1292" s="7">
        <v>4801.37</v>
      </c>
      <c r="I1292" s="7">
        <f t="shared" si="100"/>
        <v>2634.38</v>
      </c>
      <c r="J1292" s="7">
        <f t="shared" si="101"/>
        <v>2761.85</v>
      </c>
      <c r="K1292" s="7">
        <f t="shared" si="102"/>
        <v>2846.83</v>
      </c>
      <c r="L1292" s="7">
        <f t="shared" si="103"/>
        <v>2974.3</v>
      </c>
      <c r="M1292" s="7">
        <f t="shared" si="104"/>
        <v>3059.28</v>
      </c>
    </row>
    <row r="1293" ht="25.5" spans="1:13">
      <c r="A1293" s="6" t="s">
        <v>686</v>
      </c>
      <c r="B1293" s="6" t="s">
        <v>3542</v>
      </c>
      <c r="C1293" s="6" t="s">
        <v>3543</v>
      </c>
      <c r="E1293" s="6" t="s">
        <v>3544</v>
      </c>
      <c r="G1293" s="7">
        <v>4449</v>
      </c>
      <c r="H1293" s="7">
        <v>5027.37</v>
      </c>
      <c r="I1293" s="7">
        <f t="shared" si="100"/>
        <v>2758.38</v>
      </c>
      <c r="J1293" s="7">
        <f t="shared" si="101"/>
        <v>2891.85</v>
      </c>
      <c r="K1293" s="7">
        <f t="shared" si="102"/>
        <v>2980.83</v>
      </c>
      <c r="L1293" s="7">
        <f t="shared" si="103"/>
        <v>3114.3</v>
      </c>
      <c r="M1293" s="7">
        <f t="shared" si="104"/>
        <v>3203.28</v>
      </c>
    </row>
    <row r="1294" ht="25.5" spans="1:13">
      <c r="A1294" s="6" t="s">
        <v>686</v>
      </c>
      <c r="B1294" s="6" t="s">
        <v>3545</v>
      </c>
      <c r="C1294" s="6" t="s">
        <v>3546</v>
      </c>
      <c r="E1294" s="6" t="s">
        <v>3547</v>
      </c>
      <c r="G1294" s="7">
        <v>4649</v>
      </c>
      <c r="H1294" s="7">
        <v>5253.37</v>
      </c>
      <c r="I1294" s="7">
        <f t="shared" si="100"/>
        <v>2882.38</v>
      </c>
      <c r="J1294" s="7">
        <f t="shared" si="101"/>
        <v>3021.85</v>
      </c>
      <c r="K1294" s="7">
        <f t="shared" si="102"/>
        <v>3114.83</v>
      </c>
      <c r="L1294" s="7">
        <f t="shared" si="103"/>
        <v>3254.3</v>
      </c>
      <c r="M1294" s="7">
        <f t="shared" si="104"/>
        <v>3347.28</v>
      </c>
    </row>
    <row r="1295" ht="25.5" spans="1:13">
      <c r="A1295" s="6" t="s">
        <v>686</v>
      </c>
      <c r="B1295" s="6" t="s">
        <v>3548</v>
      </c>
      <c r="C1295" s="6" t="s">
        <v>3549</v>
      </c>
      <c r="E1295" s="6" t="s">
        <v>3550</v>
      </c>
      <c r="G1295" s="7">
        <v>5499</v>
      </c>
      <c r="H1295" s="7">
        <v>6213.87</v>
      </c>
      <c r="I1295" s="7">
        <f t="shared" si="100"/>
        <v>3409.38</v>
      </c>
      <c r="J1295" s="7">
        <f t="shared" si="101"/>
        <v>3574.35</v>
      </c>
      <c r="K1295" s="7">
        <f t="shared" si="102"/>
        <v>3684.33</v>
      </c>
      <c r="L1295" s="7">
        <f t="shared" si="103"/>
        <v>3849.3</v>
      </c>
      <c r="M1295" s="7">
        <f t="shared" si="104"/>
        <v>3959.28</v>
      </c>
    </row>
    <row r="1296" ht="38.25" spans="1:13">
      <c r="A1296" s="6" t="s">
        <v>548</v>
      </c>
      <c r="B1296" s="6" t="s">
        <v>3551</v>
      </c>
      <c r="C1296" s="6" t="s">
        <v>3552</v>
      </c>
      <c r="E1296" s="6" t="s">
        <v>3553</v>
      </c>
      <c r="G1296" s="7">
        <v>4830</v>
      </c>
      <c r="H1296" s="7">
        <v>5457.9</v>
      </c>
      <c r="I1296" s="7">
        <f t="shared" si="100"/>
        <v>2994.6</v>
      </c>
      <c r="J1296" s="7">
        <f t="shared" si="101"/>
        <v>3139.5</v>
      </c>
      <c r="K1296" s="7">
        <f t="shared" si="102"/>
        <v>3236.1</v>
      </c>
      <c r="L1296" s="7">
        <f t="shared" si="103"/>
        <v>3381</v>
      </c>
      <c r="M1296" s="7">
        <f t="shared" si="104"/>
        <v>3477.6</v>
      </c>
    </row>
    <row r="1297" ht="38.25" spans="1:13">
      <c r="A1297" s="6" t="s">
        <v>39</v>
      </c>
      <c r="B1297" s="6" t="s">
        <v>3554</v>
      </c>
      <c r="C1297" s="6" t="s">
        <v>3555</v>
      </c>
      <c r="E1297" s="6" t="s">
        <v>3556</v>
      </c>
      <c r="G1297" s="7">
        <v>1299</v>
      </c>
      <c r="H1297" s="7">
        <v>1467.87</v>
      </c>
      <c r="I1297" s="7">
        <f t="shared" si="100"/>
        <v>805.38</v>
      </c>
      <c r="J1297" s="7">
        <f t="shared" si="101"/>
        <v>844.35</v>
      </c>
      <c r="K1297" s="7">
        <f t="shared" si="102"/>
        <v>870.33</v>
      </c>
      <c r="L1297" s="7">
        <f t="shared" si="103"/>
        <v>909.3</v>
      </c>
      <c r="M1297" s="7">
        <f t="shared" si="104"/>
        <v>935.28</v>
      </c>
    </row>
    <row r="1298" ht="38.25" spans="1:13">
      <c r="A1298" s="6" t="s">
        <v>39</v>
      </c>
      <c r="B1298" s="6" t="s">
        <v>3557</v>
      </c>
      <c r="C1298" s="6" t="s">
        <v>3558</v>
      </c>
      <c r="E1298" s="6" t="s">
        <v>3559</v>
      </c>
      <c r="G1298" s="7">
        <v>1299</v>
      </c>
      <c r="H1298" s="7">
        <v>1467.87</v>
      </c>
      <c r="I1298" s="7">
        <f t="shared" si="100"/>
        <v>805.38</v>
      </c>
      <c r="J1298" s="7">
        <f t="shared" si="101"/>
        <v>844.35</v>
      </c>
      <c r="K1298" s="7">
        <f t="shared" si="102"/>
        <v>870.33</v>
      </c>
      <c r="L1298" s="7">
        <f t="shared" si="103"/>
        <v>909.3</v>
      </c>
      <c r="M1298" s="7">
        <f t="shared" si="104"/>
        <v>935.28</v>
      </c>
    </row>
    <row r="1299" spans="1:13">
      <c r="A1299" s="6" t="s">
        <v>22</v>
      </c>
      <c r="B1299" s="6" t="s">
        <v>3560</v>
      </c>
      <c r="C1299" s="6" t="s">
        <v>3561</v>
      </c>
      <c r="E1299" s="6" t="s">
        <v>3562</v>
      </c>
      <c r="G1299" s="7">
        <v>11849</v>
      </c>
      <c r="H1299" s="7">
        <v>13389.37</v>
      </c>
      <c r="I1299" s="7">
        <f t="shared" si="100"/>
        <v>7346.38</v>
      </c>
      <c r="J1299" s="7">
        <f t="shared" si="101"/>
        <v>7701.85</v>
      </c>
      <c r="K1299" s="7">
        <f t="shared" si="102"/>
        <v>7938.83</v>
      </c>
      <c r="L1299" s="7">
        <f t="shared" si="103"/>
        <v>8294.3</v>
      </c>
      <c r="M1299" s="7">
        <f t="shared" si="104"/>
        <v>8531.28</v>
      </c>
    </row>
    <row r="1300" spans="1:13">
      <c r="A1300" s="6" t="s">
        <v>22</v>
      </c>
      <c r="B1300" s="6" t="s">
        <v>3563</v>
      </c>
      <c r="C1300" s="6" t="s">
        <v>3564</v>
      </c>
      <c r="E1300" s="6" t="s">
        <v>3564</v>
      </c>
      <c r="G1300" s="7">
        <v>4793</v>
      </c>
      <c r="H1300" s="7">
        <v>5416.09</v>
      </c>
      <c r="I1300" s="7">
        <f t="shared" si="100"/>
        <v>2971.66</v>
      </c>
      <c r="J1300" s="7">
        <f t="shared" si="101"/>
        <v>3115.45</v>
      </c>
      <c r="K1300" s="7">
        <f t="shared" si="102"/>
        <v>3211.31</v>
      </c>
      <c r="L1300" s="7">
        <f t="shared" si="103"/>
        <v>3355.1</v>
      </c>
      <c r="M1300" s="7">
        <f t="shared" si="104"/>
        <v>3450.96</v>
      </c>
    </row>
    <row r="1301" spans="1:13">
      <c r="A1301" s="6" t="s">
        <v>22</v>
      </c>
      <c r="B1301" s="6" t="s">
        <v>3565</v>
      </c>
      <c r="C1301" s="6" t="s">
        <v>3566</v>
      </c>
      <c r="E1301" s="6" t="s">
        <v>3566</v>
      </c>
      <c r="G1301" s="7">
        <v>6449</v>
      </c>
      <c r="H1301" s="7">
        <v>7287.37</v>
      </c>
      <c r="I1301" s="7">
        <f t="shared" si="100"/>
        <v>3998.38</v>
      </c>
      <c r="J1301" s="7">
        <f t="shared" si="101"/>
        <v>4191.85</v>
      </c>
      <c r="K1301" s="7">
        <f t="shared" si="102"/>
        <v>4320.83</v>
      </c>
      <c r="L1301" s="7">
        <f t="shared" si="103"/>
        <v>4514.3</v>
      </c>
      <c r="M1301" s="7">
        <f t="shared" si="104"/>
        <v>4643.28</v>
      </c>
    </row>
    <row r="1302" ht="25.5" spans="1:13">
      <c r="A1302" s="6" t="s">
        <v>22</v>
      </c>
      <c r="B1302" s="6" t="s">
        <v>3567</v>
      </c>
      <c r="C1302" s="6" t="s">
        <v>3568</v>
      </c>
      <c r="E1302" s="6" t="s">
        <v>3569</v>
      </c>
      <c r="G1302" s="7">
        <v>1199</v>
      </c>
      <c r="H1302" s="7">
        <v>1354.87</v>
      </c>
      <c r="I1302" s="7">
        <f t="shared" si="100"/>
        <v>743.38</v>
      </c>
      <c r="J1302" s="7">
        <f t="shared" si="101"/>
        <v>779.35</v>
      </c>
      <c r="K1302" s="7">
        <f t="shared" si="102"/>
        <v>803.33</v>
      </c>
      <c r="L1302" s="7">
        <f t="shared" si="103"/>
        <v>839.3</v>
      </c>
      <c r="M1302" s="7">
        <f t="shared" si="104"/>
        <v>863.28</v>
      </c>
    </row>
    <row r="1303" ht="25.5" spans="1:13">
      <c r="A1303" s="6" t="s">
        <v>22</v>
      </c>
      <c r="B1303" s="6" t="s">
        <v>3570</v>
      </c>
      <c r="C1303" s="6" t="s">
        <v>3571</v>
      </c>
      <c r="E1303" s="6" t="s">
        <v>3572</v>
      </c>
      <c r="G1303" s="7">
        <v>903</v>
      </c>
      <c r="H1303" s="7">
        <v>1020.39</v>
      </c>
      <c r="I1303" s="7">
        <f t="shared" si="100"/>
        <v>559.86</v>
      </c>
      <c r="J1303" s="7">
        <f t="shared" si="101"/>
        <v>586.95</v>
      </c>
      <c r="K1303" s="7">
        <f t="shared" si="102"/>
        <v>605.01</v>
      </c>
      <c r="L1303" s="7">
        <f t="shared" si="103"/>
        <v>632.1</v>
      </c>
      <c r="M1303" s="7">
        <f t="shared" si="104"/>
        <v>650.16</v>
      </c>
    </row>
    <row r="1304" ht="25.5" spans="1:13">
      <c r="A1304" s="6" t="s">
        <v>22</v>
      </c>
      <c r="B1304" s="6" t="s">
        <v>3573</v>
      </c>
      <c r="C1304" s="6" t="s">
        <v>3574</v>
      </c>
      <c r="E1304" s="6" t="s">
        <v>3575</v>
      </c>
      <c r="G1304" s="7">
        <v>9499</v>
      </c>
      <c r="H1304" s="7">
        <v>10733.87</v>
      </c>
      <c r="I1304" s="7">
        <f t="shared" si="100"/>
        <v>5889.38</v>
      </c>
      <c r="J1304" s="7">
        <f t="shared" si="101"/>
        <v>6174.35</v>
      </c>
      <c r="K1304" s="7">
        <f t="shared" si="102"/>
        <v>6364.33</v>
      </c>
      <c r="L1304" s="7">
        <f t="shared" si="103"/>
        <v>6649.3</v>
      </c>
      <c r="M1304" s="7">
        <f t="shared" si="104"/>
        <v>6839.28</v>
      </c>
    </row>
    <row r="1305" ht="25.5" spans="1:13">
      <c r="A1305" s="6" t="s">
        <v>22</v>
      </c>
      <c r="B1305" s="6" t="s">
        <v>3576</v>
      </c>
      <c r="C1305" s="6" t="s">
        <v>3577</v>
      </c>
      <c r="E1305" s="6" t="s">
        <v>3578</v>
      </c>
      <c r="G1305" s="7">
        <v>8349</v>
      </c>
      <c r="H1305" s="7">
        <v>9434.37</v>
      </c>
      <c r="I1305" s="7">
        <f t="shared" si="100"/>
        <v>5176.38</v>
      </c>
      <c r="J1305" s="7">
        <f t="shared" si="101"/>
        <v>5426.85</v>
      </c>
      <c r="K1305" s="7">
        <f t="shared" si="102"/>
        <v>5593.83</v>
      </c>
      <c r="L1305" s="7">
        <f t="shared" si="103"/>
        <v>5844.3</v>
      </c>
      <c r="M1305" s="7">
        <f t="shared" si="104"/>
        <v>6011.28</v>
      </c>
    </row>
    <row r="1306" ht="25.5" spans="1:13">
      <c r="A1306" s="6" t="s">
        <v>22</v>
      </c>
      <c r="B1306" s="6" t="s">
        <v>3579</v>
      </c>
      <c r="C1306" s="6" t="s">
        <v>3580</v>
      </c>
      <c r="E1306" s="6" t="s">
        <v>3581</v>
      </c>
      <c r="G1306" s="7">
        <v>8474</v>
      </c>
      <c r="H1306" s="7">
        <v>9575.62</v>
      </c>
      <c r="I1306" s="7">
        <f t="shared" si="100"/>
        <v>5253.88</v>
      </c>
      <c r="J1306" s="7">
        <f t="shared" si="101"/>
        <v>5508.1</v>
      </c>
      <c r="K1306" s="7">
        <f t="shared" si="102"/>
        <v>5677.58</v>
      </c>
      <c r="L1306" s="7">
        <f t="shared" si="103"/>
        <v>5931.8</v>
      </c>
      <c r="M1306" s="7">
        <f t="shared" si="104"/>
        <v>6101.28</v>
      </c>
    </row>
    <row r="1307" ht="25.5" spans="1:13">
      <c r="A1307" s="6" t="s">
        <v>376</v>
      </c>
      <c r="B1307" s="6" t="s">
        <v>3582</v>
      </c>
      <c r="C1307" s="6" t="s">
        <v>3583</v>
      </c>
      <c r="E1307" s="6" t="s">
        <v>3584</v>
      </c>
      <c r="G1307" s="7">
        <v>799</v>
      </c>
      <c r="H1307" s="7">
        <v>902.87</v>
      </c>
      <c r="I1307" s="7">
        <f t="shared" si="100"/>
        <v>495.38</v>
      </c>
      <c r="J1307" s="7">
        <f t="shared" si="101"/>
        <v>519.35</v>
      </c>
      <c r="K1307" s="7">
        <f t="shared" si="102"/>
        <v>535.33</v>
      </c>
      <c r="L1307" s="7">
        <f t="shared" si="103"/>
        <v>559.3</v>
      </c>
      <c r="M1307" s="7">
        <f t="shared" si="104"/>
        <v>575.28</v>
      </c>
    </row>
    <row r="1308" ht="25.5" spans="1:13">
      <c r="A1308" s="6" t="s">
        <v>376</v>
      </c>
      <c r="B1308" s="6" t="s">
        <v>3585</v>
      </c>
      <c r="C1308" s="6" t="s">
        <v>3586</v>
      </c>
      <c r="E1308" s="6" t="s">
        <v>3584</v>
      </c>
      <c r="G1308" s="7">
        <v>749</v>
      </c>
      <c r="H1308" s="7">
        <v>846.37</v>
      </c>
      <c r="I1308" s="7">
        <f t="shared" si="100"/>
        <v>464.38</v>
      </c>
      <c r="J1308" s="7">
        <f t="shared" si="101"/>
        <v>486.85</v>
      </c>
      <c r="K1308" s="7">
        <f t="shared" si="102"/>
        <v>501.83</v>
      </c>
      <c r="L1308" s="7">
        <f t="shared" si="103"/>
        <v>524.3</v>
      </c>
      <c r="M1308" s="7">
        <f t="shared" si="104"/>
        <v>539.28</v>
      </c>
    </row>
    <row r="1309" ht="25.5" spans="1:13">
      <c r="A1309" s="6" t="s">
        <v>376</v>
      </c>
      <c r="B1309" s="6" t="s">
        <v>3587</v>
      </c>
      <c r="C1309" s="6" t="s">
        <v>3588</v>
      </c>
      <c r="E1309" s="6" t="s">
        <v>3584</v>
      </c>
      <c r="G1309" s="7">
        <v>749</v>
      </c>
      <c r="H1309" s="7">
        <v>846.37</v>
      </c>
      <c r="I1309" s="7">
        <f t="shared" si="100"/>
        <v>464.38</v>
      </c>
      <c r="J1309" s="7">
        <f t="shared" si="101"/>
        <v>486.85</v>
      </c>
      <c r="K1309" s="7">
        <f t="shared" si="102"/>
        <v>501.83</v>
      </c>
      <c r="L1309" s="7">
        <f t="shared" si="103"/>
        <v>524.3</v>
      </c>
      <c r="M1309" s="7">
        <f t="shared" si="104"/>
        <v>539.28</v>
      </c>
    </row>
    <row r="1310" ht="38.25" spans="1:13">
      <c r="A1310" s="6" t="s">
        <v>376</v>
      </c>
      <c r="B1310" s="6" t="s">
        <v>3589</v>
      </c>
      <c r="C1310" s="6" t="s">
        <v>3590</v>
      </c>
      <c r="E1310" s="6" t="s">
        <v>3591</v>
      </c>
      <c r="G1310" s="7">
        <v>749</v>
      </c>
      <c r="H1310" s="7">
        <v>846.37</v>
      </c>
      <c r="I1310" s="7">
        <f t="shared" si="100"/>
        <v>464.38</v>
      </c>
      <c r="J1310" s="7">
        <f t="shared" si="101"/>
        <v>486.85</v>
      </c>
      <c r="K1310" s="7">
        <f t="shared" si="102"/>
        <v>501.83</v>
      </c>
      <c r="L1310" s="7">
        <f t="shared" si="103"/>
        <v>524.3</v>
      </c>
      <c r="M1310" s="7">
        <f t="shared" si="104"/>
        <v>539.28</v>
      </c>
    </row>
    <row r="1311" ht="38.25" spans="1:13">
      <c r="A1311" s="6" t="s">
        <v>376</v>
      </c>
      <c r="B1311" s="6" t="s">
        <v>3592</v>
      </c>
      <c r="C1311" s="6" t="s">
        <v>3593</v>
      </c>
      <c r="E1311" s="6" t="s">
        <v>3591</v>
      </c>
      <c r="G1311" s="7">
        <v>749</v>
      </c>
      <c r="H1311" s="7">
        <v>846.37</v>
      </c>
      <c r="I1311" s="7">
        <f t="shared" si="100"/>
        <v>464.38</v>
      </c>
      <c r="J1311" s="7">
        <f t="shared" si="101"/>
        <v>486.85</v>
      </c>
      <c r="K1311" s="7">
        <f t="shared" si="102"/>
        <v>501.83</v>
      </c>
      <c r="L1311" s="7">
        <f t="shared" si="103"/>
        <v>524.3</v>
      </c>
      <c r="M1311" s="7">
        <f t="shared" si="104"/>
        <v>539.28</v>
      </c>
    </row>
    <row r="1312" ht="38.25" spans="1:13">
      <c r="A1312" s="6" t="s">
        <v>376</v>
      </c>
      <c r="B1312" s="6" t="s">
        <v>3594</v>
      </c>
      <c r="C1312" s="6" t="s">
        <v>3595</v>
      </c>
      <c r="E1312" s="6" t="s">
        <v>3591</v>
      </c>
      <c r="G1312" s="7">
        <v>749</v>
      </c>
      <c r="H1312" s="7">
        <v>846.37</v>
      </c>
      <c r="I1312" s="7">
        <f t="shared" si="100"/>
        <v>464.38</v>
      </c>
      <c r="J1312" s="7">
        <f t="shared" si="101"/>
        <v>486.85</v>
      </c>
      <c r="K1312" s="7">
        <f t="shared" si="102"/>
        <v>501.83</v>
      </c>
      <c r="L1312" s="7">
        <f t="shared" si="103"/>
        <v>524.3</v>
      </c>
      <c r="M1312" s="7">
        <f t="shared" si="104"/>
        <v>539.28</v>
      </c>
    </row>
    <row r="1313" ht="38.25" spans="1:13">
      <c r="A1313" s="6" t="s">
        <v>376</v>
      </c>
      <c r="B1313" s="6" t="s">
        <v>3596</v>
      </c>
      <c r="C1313" s="6" t="s">
        <v>3597</v>
      </c>
      <c r="E1313" s="6" t="s">
        <v>3598</v>
      </c>
      <c r="G1313" s="7">
        <v>2099</v>
      </c>
      <c r="H1313" s="7">
        <v>2371.87</v>
      </c>
      <c r="I1313" s="7">
        <f t="shared" si="100"/>
        <v>1301.38</v>
      </c>
      <c r="J1313" s="7">
        <f t="shared" si="101"/>
        <v>1364.35</v>
      </c>
      <c r="K1313" s="7">
        <f t="shared" si="102"/>
        <v>1406.33</v>
      </c>
      <c r="L1313" s="7">
        <f t="shared" si="103"/>
        <v>1469.3</v>
      </c>
      <c r="M1313" s="7">
        <f t="shared" si="104"/>
        <v>1511.28</v>
      </c>
    </row>
    <row r="1314" ht="38.25" spans="1:13">
      <c r="A1314" s="6" t="s">
        <v>376</v>
      </c>
      <c r="B1314" s="6" t="s">
        <v>3599</v>
      </c>
      <c r="C1314" s="6" t="s">
        <v>3600</v>
      </c>
      <c r="E1314" s="6" t="s">
        <v>3601</v>
      </c>
      <c r="G1314" s="7">
        <v>2099</v>
      </c>
      <c r="H1314" s="7">
        <v>2371.87</v>
      </c>
      <c r="I1314" s="7">
        <f t="shared" si="100"/>
        <v>1301.38</v>
      </c>
      <c r="J1314" s="7">
        <f t="shared" si="101"/>
        <v>1364.35</v>
      </c>
      <c r="K1314" s="7">
        <f t="shared" si="102"/>
        <v>1406.33</v>
      </c>
      <c r="L1314" s="7">
        <f t="shared" si="103"/>
        <v>1469.3</v>
      </c>
      <c r="M1314" s="7">
        <f t="shared" si="104"/>
        <v>1511.28</v>
      </c>
    </row>
    <row r="1315" ht="38.25" spans="1:13">
      <c r="A1315" s="6" t="s">
        <v>376</v>
      </c>
      <c r="B1315" s="6" t="s">
        <v>3602</v>
      </c>
      <c r="C1315" s="6" t="s">
        <v>3603</v>
      </c>
      <c r="E1315" s="6" t="s">
        <v>3604</v>
      </c>
      <c r="G1315" s="7">
        <v>2099</v>
      </c>
      <c r="H1315" s="7">
        <v>2371.87</v>
      </c>
      <c r="I1315" s="7">
        <f t="shared" si="100"/>
        <v>1301.38</v>
      </c>
      <c r="J1315" s="7">
        <f t="shared" si="101"/>
        <v>1364.35</v>
      </c>
      <c r="K1315" s="7">
        <f t="shared" si="102"/>
        <v>1406.33</v>
      </c>
      <c r="L1315" s="7">
        <f t="shared" si="103"/>
        <v>1469.3</v>
      </c>
      <c r="M1315" s="7">
        <f t="shared" si="104"/>
        <v>1511.28</v>
      </c>
    </row>
    <row r="1316" ht="38.25" spans="1:13">
      <c r="A1316" s="6" t="s">
        <v>376</v>
      </c>
      <c r="B1316" s="6" t="s">
        <v>3605</v>
      </c>
      <c r="C1316" s="6" t="s">
        <v>3606</v>
      </c>
      <c r="E1316" s="6" t="s">
        <v>3607</v>
      </c>
      <c r="G1316" s="7">
        <v>2099</v>
      </c>
      <c r="H1316" s="7">
        <v>2371.87</v>
      </c>
      <c r="I1316" s="7">
        <f t="shared" si="100"/>
        <v>1301.38</v>
      </c>
      <c r="J1316" s="7">
        <f t="shared" si="101"/>
        <v>1364.35</v>
      </c>
      <c r="K1316" s="7">
        <f t="shared" si="102"/>
        <v>1406.33</v>
      </c>
      <c r="L1316" s="7">
        <f t="shared" si="103"/>
        <v>1469.3</v>
      </c>
      <c r="M1316" s="7">
        <f t="shared" si="104"/>
        <v>1511.28</v>
      </c>
    </row>
    <row r="1317" ht="38.25" spans="1:13">
      <c r="A1317" s="6" t="s">
        <v>376</v>
      </c>
      <c r="B1317" s="6" t="s">
        <v>3608</v>
      </c>
      <c r="C1317" s="6" t="s">
        <v>3609</v>
      </c>
      <c r="E1317" s="6" t="s">
        <v>3610</v>
      </c>
      <c r="G1317" s="7">
        <v>2099</v>
      </c>
      <c r="H1317" s="7">
        <v>2371.87</v>
      </c>
      <c r="I1317" s="7">
        <f t="shared" si="100"/>
        <v>1301.38</v>
      </c>
      <c r="J1317" s="7">
        <f t="shared" si="101"/>
        <v>1364.35</v>
      </c>
      <c r="K1317" s="7">
        <f t="shared" si="102"/>
        <v>1406.33</v>
      </c>
      <c r="L1317" s="7">
        <f t="shared" si="103"/>
        <v>1469.3</v>
      </c>
      <c r="M1317" s="7">
        <f t="shared" si="104"/>
        <v>1511.28</v>
      </c>
    </row>
    <row r="1318" ht="38.25" spans="1:13">
      <c r="A1318" s="6" t="s">
        <v>376</v>
      </c>
      <c r="B1318" s="6" t="s">
        <v>3611</v>
      </c>
      <c r="C1318" s="6" t="s">
        <v>3612</v>
      </c>
      <c r="E1318" s="6" t="s">
        <v>3613</v>
      </c>
      <c r="G1318" s="7">
        <v>2099</v>
      </c>
      <c r="H1318" s="7">
        <v>2371.87</v>
      </c>
      <c r="I1318" s="7">
        <f t="shared" si="100"/>
        <v>1301.38</v>
      </c>
      <c r="J1318" s="7">
        <f t="shared" si="101"/>
        <v>1364.35</v>
      </c>
      <c r="K1318" s="7">
        <f t="shared" si="102"/>
        <v>1406.33</v>
      </c>
      <c r="L1318" s="7">
        <f t="shared" si="103"/>
        <v>1469.3</v>
      </c>
      <c r="M1318" s="7">
        <f t="shared" si="104"/>
        <v>1511.28</v>
      </c>
    </row>
    <row r="1319" ht="38.25" spans="1:13">
      <c r="A1319" s="6" t="s">
        <v>376</v>
      </c>
      <c r="B1319" s="6" t="s">
        <v>3614</v>
      </c>
      <c r="C1319" s="6" t="s">
        <v>3615</v>
      </c>
      <c r="E1319" s="6" t="s">
        <v>3616</v>
      </c>
      <c r="G1319" s="7">
        <v>2199</v>
      </c>
      <c r="H1319" s="7">
        <v>2484.87</v>
      </c>
      <c r="I1319" s="7">
        <f t="shared" si="100"/>
        <v>1363.38</v>
      </c>
      <c r="J1319" s="7">
        <f t="shared" si="101"/>
        <v>1429.35</v>
      </c>
      <c r="K1319" s="7">
        <f t="shared" si="102"/>
        <v>1473.33</v>
      </c>
      <c r="L1319" s="7">
        <f t="shared" si="103"/>
        <v>1539.3</v>
      </c>
      <c r="M1319" s="7">
        <f t="shared" si="104"/>
        <v>1583.28</v>
      </c>
    </row>
    <row r="1320" ht="38.25" spans="1:13">
      <c r="A1320" s="6" t="s">
        <v>376</v>
      </c>
      <c r="B1320" s="6" t="s">
        <v>3617</v>
      </c>
      <c r="C1320" s="6" t="s">
        <v>3618</v>
      </c>
      <c r="E1320" s="6" t="s">
        <v>3619</v>
      </c>
      <c r="G1320" s="7">
        <v>2199</v>
      </c>
      <c r="H1320" s="7">
        <v>2484.87</v>
      </c>
      <c r="I1320" s="7">
        <f t="shared" si="100"/>
        <v>1363.38</v>
      </c>
      <c r="J1320" s="7">
        <f t="shared" si="101"/>
        <v>1429.35</v>
      </c>
      <c r="K1320" s="7">
        <f t="shared" si="102"/>
        <v>1473.33</v>
      </c>
      <c r="L1320" s="7">
        <f t="shared" si="103"/>
        <v>1539.3</v>
      </c>
      <c r="M1320" s="7">
        <f t="shared" si="104"/>
        <v>1583.28</v>
      </c>
    </row>
    <row r="1321" ht="38.25" spans="1:13">
      <c r="A1321" s="6" t="s">
        <v>376</v>
      </c>
      <c r="B1321" s="6" t="s">
        <v>3620</v>
      </c>
      <c r="C1321" s="6" t="s">
        <v>3621</v>
      </c>
      <c r="E1321" s="6" t="s">
        <v>3622</v>
      </c>
      <c r="G1321" s="7">
        <v>2199</v>
      </c>
      <c r="H1321" s="7">
        <v>2484.87</v>
      </c>
      <c r="I1321" s="7">
        <f t="shared" si="100"/>
        <v>1363.38</v>
      </c>
      <c r="J1321" s="7">
        <f t="shared" si="101"/>
        <v>1429.35</v>
      </c>
      <c r="K1321" s="7">
        <f t="shared" si="102"/>
        <v>1473.33</v>
      </c>
      <c r="L1321" s="7">
        <f t="shared" si="103"/>
        <v>1539.3</v>
      </c>
      <c r="M1321" s="7">
        <f t="shared" si="104"/>
        <v>1583.28</v>
      </c>
    </row>
    <row r="1322" ht="38.25" spans="1:13">
      <c r="A1322" s="6" t="s">
        <v>376</v>
      </c>
      <c r="B1322" s="6" t="s">
        <v>3623</v>
      </c>
      <c r="C1322" s="6" t="s">
        <v>3624</v>
      </c>
      <c r="E1322" s="6" t="s">
        <v>3625</v>
      </c>
      <c r="G1322" s="7">
        <v>1899</v>
      </c>
      <c r="H1322" s="7">
        <v>2145.87</v>
      </c>
      <c r="I1322" s="7">
        <f t="shared" si="100"/>
        <v>1177.38</v>
      </c>
      <c r="J1322" s="7">
        <f t="shared" si="101"/>
        <v>1234.35</v>
      </c>
      <c r="K1322" s="7">
        <f t="shared" si="102"/>
        <v>1272.33</v>
      </c>
      <c r="L1322" s="7">
        <f t="shared" si="103"/>
        <v>1329.3</v>
      </c>
      <c r="M1322" s="7">
        <f t="shared" si="104"/>
        <v>1367.28</v>
      </c>
    </row>
    <row r="1323" ht="38.25" spans="1:13">
      <c r="A1323" s="6" t="s">
        <v>376</v>
      </c>
      <c r="B1323" s="6" t="s">
        <v>3626</v>
      </c>
      <c r="C1323" s="6" t="s">
        <v>3627</v>
      </c>
      <c r="E1323" s="6" t="s">
        <v>3628</v>
      </c>
      <c r="G1323" s="7">
        <v>1899</v>
      </c>
      <c r="H1323" s="7">
        <v>2145.87</v>
      </c>
      <c r="I1323" s="7">
        <f t="shared" si="100"/>
        <v>1177.38</v>
      </c>
      <c r="J1323" s="7">
        <f t="shared" si="101"/>
        <v>1234.35</v>
      </c>
      <c r="K1323" s="7">
        <f t="shared" si="102"/>
        <v>1272.33</v>
      </c>
      <c r="L1323" s="7">
        <f t="shared" si="103"/>
        <v>1329.3</v>
      </c>
      <c r="M1323" s="7">
        <f t="shared" si="104"/>
        <v>1367.28</v>
      </c>
    </row>
    <row r="1324" ht="38.25" spans="1:13">
      <c r="A1324" s="6" t="s">
        <v>376</v>
      </c>
      <c r="B1324" s="6" t="s">
        <v>3629</v>
      </c>
      <c r="C1324" s="6" t="s">
        <v>3630</v>
      </c>
      <c r="E1324" s="6" t="s">
        <v>3631</v>
      </c>
      <c r="G1324" s="7">
        <v>1899</v>
      </c>
      <c r="H1324" s="7">
        <v>2145.87</v>
      </c>
      <c r="I1324" s="7">
        <f t="shared" si="100"/>
        <v>1177.38</v>
      </c>
      <c r="J1324" s="7">
        <f t="shared" si="101"/>
        <v>1234.35</v>
      </c>
      <c r="K1324" s="7">
        <f t="shared" si="102"/>
        <v>1272.33</v>
      </c>
      <c r="L1324" s="7">
        <f t="shared" si="103"/>
        <v>1329.3</v>
      </c>
      <c r="M1324" s="7">
        <f t="shared" si="104"/>
        <v>1367.28</v>
      </c>
    </row>
    <row r="1325" ht="38.25" spans="1:13">
      <c r="A1325" s="6" t="s">
        <v>376</v>
      </c>
      <c r="B1325" s="6" t="s">
        <v>3632</v>
      </c>
      <c r="C1325" s="6" t="s">
        <v>3633</v>
      </c>
      <c r="E1325" s="6" t="s">
        <v>3634</v>
      </c>
      <c r="G1325" s="7">
        <v>1899</v>
      </c>
      <c r="H1325" s="7">
        <v>2145.87</v>
      </c>
      <c r="I1325" s="7">
        <f t="shared" si="100"/>
        <v>1177.38</v>
      </c>
      <c r="J1325" s="7">
        <f t="shared" si="101"/>
        <v>1234.35</v>
      </c>
      <c r="K1325" s="7">
        <f t="shared" si="102"/>
        <v>1272.33</v>
      </c>
      <c r="L1325" s="7">
        <f t="shared" si="103"/>
        <v>1329.3</v>
      </c>
      <c r="M1325" s="7">
        <f t="shared" si="104"/>
        <v>1367.28</v>
      </c>
    </row>
    <row r="1326" ht="38.25" spans="1:13">
      <c r="A1326" s="6" t="s">
        <v>376</v>
      </c>
      <c r="B1326" s="6" t="s">
        <v>3635</v>
      </c>
      <c r="C1326" s="6" t="s">
        <v>3636</v>
      </c>
      <c r="E1326" s="6" t="s">
        <v>3637</v>
      </c>
      <c r="G1326" s="7">
        <v>1899</v>
      </c>
      <c r="H1326" s="7">
        <v>2145.87</v>
      </c>
      <c r="I1326" s="7">
        <f t="shared" si="100"/>
        <v>1177.38</v>
      </c>
      <c r="J1326" s="7">
        <f t="shared" si="101"/>
        <v>1234.35</v>
      </c>
      <c r="K1326" s="7">
        <f t="shared" si="102"/>
        <v>1272.33</v>
      </c>
      <c r="L1326" s="7">
        <f t="shared" si="103"/>
        <v>1329.3</v>
      </c>
      <c r="M1326" s="7">
        <f t="shared" si="104"/>
        <v>1367.28</v>
      </c>
    </row>
    <row r="1327" ht="38.25" spans="1:13">
      <c r="A1327" s="6" t="s">
        <v>376</v>
      </c>
      <c r="B1327" s="6" t="s">
        <v>3638</v>
      </c>
      <c r="C1327" s="6" t="s">
        <v>3639</v>
      </c>
      <c r="E1327" s="6" t="s">
        <v>3640</v>
      </c>
      <c r="G1327" s="7">
        <v>1399</v>
      </c>
      <c r="H1327" s="7">
        <v>1580.87</v>
      </c>
      <c r="I1327" s="7">
        <f t="shared" si="100"/>
        <v>867.38</v>
      </c>
      <c r="J1327" s="7">
        <f t="shared" si="101"/>
        <v>909.35</v>
      </c>
      <c r="K1327" s="7">
        <f t="shared" si="102"/>
        <v>937.33</v>
      </c>
      <c r="L1327" s="7">
        <f t="shared" si="103"/>
        <v>979.3</v>
      </c>
      <c r="M1327" s="7">
        <f t="shared" si="104"/>
        <v>1007.28</v>
      </c>
    </row>
    <row r="1328" ht="25.5" spans="1:13">
      <c r="A1328" s="6" t="s">
        <v>376</v>
      </c>
      <c r="B1328" s="6" t="s">
        <v>3641</v>
      </c>
      <c r="C1328" s="6" t="s">
        <v>3642</v>
      </c>
      <c r="E1328" s="6" t="s">
        <v>3643</v>
      </c>
      <c r="G1328" s="7">
        <v>3449</v>
      </c>
      <c r="H1328" s="7">
        <v>3897.37</v>
      </c>
      <c r="I1328" s="7">
        <f t="shared" si="100"/>
        <v>2138.38</v>
      </c>
      <c r="J1328" s="7">
        <f t="shared" si="101"/>
        <v>2241.85</v>
      </c>
      <c r="K1328" s="7">
        <f t="shared" si="102"/>
        <v>2310.83</v>
      </c>
      <c r="L1328" s="7">
        <f t="shared" si="103"/>
        <v>2414.3</v>
      </c>
      <c r="M1328" s="7">
        <f t="shared" si="104"/>
        <v>2483.28</v>
      </c>
    </row>
    <row r="1329" ht="25.5" spans="1:13">
      <c r="A1329" s="6" t="s">
        <v>376</v>
      </c>
      <c r="B1329" s="6" t="s">
        <v>3644</v>
      </c>
      <c r="C1329" s="6" t="s">
        <v>3645</v>
      </c>
      <c r="E1329" s="6" t="s">
        <v>3646</v>
      </c>
      <c r="G1329" s="7">
        <v>2399</v>
      </c>
      <c r="H1329" s="7">
        <v>2710.87</v>
      </c>
      <c r="I1329" s="7">
        <f t="shared" si="100"/>
        <v>1487.38</v>
      </c>
      <c r="J1329" s="7">
        <f t="shared" si="101"/>
        <v>1559.35</v>
      </c>
      <c r="K1329" s="7">
        <f t="shared" si="102"/>
        <v>1607.33</v>
      </c>
      <c r="L1329" s="7">
        <f t="shared" si="103"/>
        <v>1679.3</v>
      </c>
      <c r="M1329" s="7">
        <f t="shared" si="104"/>
        <v>1727.28</v>
      </c>
    </row>
    <row r="1330" ht="38.25" spans="1:13">
      <c r="A1330" s="6" t="s">
        <v>376</v>
      </c>
      <c r="B1330" s="6" t="s">
        <v>3647</v>
      </c>
      <c r="C1330" s="6" t="s">
        <v>3648</v>
      </c>
      <c r="E1330" s="6" t="s">
        <v>3649</v>
      </c>
      <c r="G1330" s="7">
        <v>419</v>
      </c>
      <c r="H1330" s="7">
        <v>473.47</v>
      </c>
      <c r="I1330" s="7">
        <f t="shared" si="100"/>
        <v>259.78</v>
      </c>
      <c r="J1330" s="7">
        <f t="shared" si="101"/>
        <v>272.35</v>
      </c>
      <c r="K1330" s="7">
        <f t="shared" si="102"/>
        <v>280.73</v>
      </c>
      <c r="L1330" s="7">
        <f t="shared" si="103"/>
        <v>293.3</v>
      </c>
      <c r="M1330" s="7">
        <f t="shared" si="104"/>
        <v>301.68</v>
      </c>
    </row>
    <row r="1331" ht="38.25" spans="1:13">
      <c r="A1331" s="6" t="s">
        <v>376</v>
      </c>
      <c r="B1331" s="6" t="s">
        <v>3650</v>
      </c>
      <c r="C1331" s="6" t="s">
        <v>3651</v>
      </c>
      <c r="E1331" s="6" t="s">
        <v>3652</v>
      </c>
      <c r="G1331" s="7">
        <v>599</v>
      </c>
      <c r="H1331" s="7">
        <v>676.87</v>
      </c>
      <c r="I1331" s="7">
        <f t="shared" si="100"/>
        <v>371.38</v>
      </c>
      <c r="J1331" s="7">
        <f t="shared" si="101"/>
        <v>389.35</v>
      </c>
      <c r="K1331" s="7">
        <f t="shared" si="102"/>
        <v>401.33</v>
      </c>
      <c r="L1331" s="7">
        <f t="shared" si="103"/>
        <v>419.3</v>
      </c>
      <c r="M1331" s="7">
        <f t="shared" si="104"/>
        <v>431.28</v>
      </c>
    </row>
    <row r="1332" ht="38.25" spans="1:13">
      <c r="A1332" s="6" t="s">
        <v>376</v>
      </c>
      <c r="B1332" s="6" t="s">
        <v>3653</v>
      </c>
      <c r="C1332" s="6" t="s">
        <v>3654</v>
      </c>
      <c r="E1332" s="6" t="s">
        <v>3655</v>
      </c>
      <c r="G1332" s="7">
        <v>599</v>
      </c>
      <c r="H1332" s="7">
        <v>676.87</v>
      </c>
      <c r="I1332" s="7">
        <f t="shared" si="100"/>
        <v>371.38</v>
      </c>
      <c r="J1332" s="7">
        <f t="shared" si="101"/>
        <v>389.35</v>
      </c>
      <c r="K1332" s="7">
        <f t="shared" si="102"/>
        <v>401.33</v>
      </c>
      <c r="L1332" s="7">
        <f t="shared" si="103"/>
        <v>419.3</v>
      </c>
      <c r="M1332" s="7">
        <f t="shared" si="104"/>
        <v>431.28</v>
      </c>
    </row>
    <row r="1333" ht="38.25" spans="1:13">
      <c r="A1333" s="6" t="s">
        <v>376</v>
      </c>
      <c r="B1333" s="6" t="s">
        <v>3656</v>
      </c>
      <c r="C1333" s="6" t="s">
        <v>3657</v>
      </c>
      <c r="E1333" s="6" t="s">
        <v>3658</v>
      </c>
      <c r="G1333" s="7">
        <v>599</v>
      </c>
      <c r="H1333" s="7">
        <v>676.87</v>
      </c>
      <c r="I1333" s="7">
        <f t="shared" si="100"/>
        <v>371.38</v>
      </c>
      <c r="J1333" s="7">
        <f t="shared" si="101"/>
        <v>389.35</v>
      </c>
      <c r="K1333" s="7">
        <f t="shared" si="102"/>
        <v>401.33</v>
      </c>
      <c r="L1333" s="7">
        <f t="shared" si="103"/>
        <v>419.3</v>
      </c>
      <c r="M1333" s="7">
        <f t="shared" si="104"/>
        <v>431.28</v>
      </c>
    </row>
    <row r="1334" ht="38.25" spans="1:13">
      <c r="A1334" s="6" t="s">
        <v>376</v>
      </c>
      <c r="B1334" s="6" t="s">
        <v>3659</v>
      </c>
      <c r="C1334" s="6" t="s">
        <v>3660</v>
      </c>
      <c r="E1334" s="6" t="s">
        <v>3661</v>
      </c>
      <c r="G1334" s="7">
        <v>599</v>
      </c>
      <c r="H1334" s="7">
        <v>676.87</v>
      </c>
      <c r="I1334" s="7">
        <f t="shared" si="100"/>
        <v>371.38</v>
      </c>
      <c r="J1334" s="7">
        <f t="shared" si="101"/>
        <v>389.35</v>
      </c>
      <c r="K1334" s="7">
        <f t="shared" si="102"/>
        <v>401.33</v>
      </c>
      <c r="L1334" s="7">
        <f t="shared" si="103"/>
        <v>419.3</v>
      </c>
      <c r="M1334" s="7">
        <f t="shared" si="104"/>
        <v>431.28</v>
      </c>
    </row>
    <row r="1335" ht="38.25" spans="1:13">
      <c r="A1335" s="6" t="s">
        <v>376</v>
      </c>
      <c r="B1335" s="6" t="s">
        <v>3662</v>
      </c>
      <c r="C1335" s="6" t="s">
        <v>3663</v>
      </c>
      <c r="E1335" s="6" t="s">
        <v>3664</v>
      </c>
      <c r="G1335" s="7">
        <v>599</v>
      </c>
      <c r="H1335" s="7">
        <v>676.87</v>
      </c>
      <c r="I1335" s="7">
        <f t="shared" si="100"/>
        <v>371.38</v>
      </c>
      <c r="J1335" s="7">
        <f t="shared" si="101"/>
        <v>389.35</v>
      </c>
      <c r="K1335" s="7">
        <f t="shared" si="102"/>
        <v>401.33</v>
      </c>
      <c r="L1335" s="7">
        <f t="shared" si="103"/>
        <v>419.3</v>
      </c>
      <c r="M1335" s="7">
        <f t="shared" si="104"/>
        <v>431.28</v>
      </c>
    </row>
    <row r="1336" ht="38.25" spans="1:13">
      <c r="A1336" s="6" t="s">
        <v>376</v>
      </c>
      <c r="B1336" s="6" t="s">
        <v>3665</v>
      </c>
      <c r="C1336" s="6" t="s">
        <v>3666</v>
      </c>
      <c r="E1336" s="6" t="s">
        <v>3667</v>
      </c>
      <c r="G1336" s="7">
        <v>949</v>
      </c>
      <c r="H1336" s="7">
        <v>1072.37</v>
      </c>
      <c r="I1336" s="7">
        <f t="shared" si="100"/>
        <v>588.38</v>
      </c>
      <c r="J1336" s="7">
        <f t="shared" si="101"/>
        <v>616.85</v>
      </c>
      <c r="K1336" s="7">
        <f t="shared" si="102"/>
        <v>635.83</v>
      </c>
      <c r="L1336" s="7">
        <f t="shared" si="103"/>
        <v>664.3</v>
      </c>
      <c r="M1336" s="7">
        <f t="shared" si="104"/>
        <v>683.28</v>
      </c>
    </row>
    <row r="1337" ht="38.25" spans="1:13">
      <c r="A1337" s="6" t="s">
        <v>376</v>
      </c>
      <c r="B1337" s="6" t="s">
        <v>3668</v>
      </c>
      <c r="C1337" s="6" t="s">
        <v>3669</v>
      </c>
      <c r="E1337" s="6" t="s">
        <v>3670</v>
      </c>
      <c r="G1337" s="7">
        <v>1149</v>
      </c>
      <c r="H1337" s="7">
        <v>1298.37</v>
      </c>
      <c r="I1337" s="7">
        <f t="shared" si="100"/>
        <v>712.38</v>
      </c>
      <c r="J1337" s="7">
        <f t="shared" si="101"/>
        <v>746.85</v>
      </c>
      <c r="K1337" s="7">
        <f t="shared" si="102"/>
        <v>769.83</v>
      </c>
      <c r="L1337" s="7">
        <f t="shared" si="103"/>
        <v>804.3</v>
      </c>
      <c r="M1337" s="7">
        <f t="shared" si="104"/>
        <v>827.28</v>
      </c>
    </row>
    <row r="1338" ht="38.25" spans="1:13">
      <c r="A1338" s="6" t="s">
        <v>376</v>
      </c>
      <c r="B1338" s="6" t="s">
        <v>3671</v>
      </c>
      <c r="C1338" s="6" t="s">
        <v>3672</v>
      </c>
      <c r="E1338" s="6" t="s">
        <v>3673</v>
      </c>
      <c r="G1338" s="7">
        <v>1149</v>
      </c>
      <c r="H1338" s="7">
        <v>1298.37</v>
      </c>
      <c r="I1338" s="7">
        <f t="shared" si="100"/>
        <v>712.38</v>
      </c>
      <c r="J1338" s="7">
        <f t="shared" si="101"/>
        <v>746.85</v>
      </c>
      <c r="K1338" s="7">
        <f t="shared" si="102"/>
        <v>769.83</v>
      </c>
      <c r="L1338" s="7">
        <f t="shared" si="103"/>
        <v>804.3</v>
      </c>
      <c r="M1338" s="7">
        <f t="shared" si="104"/>
        <v>827.28</v>
      </c>
    </row>
    <row r="1339" ht="38.25" spans="1:13">
      <c r="A1339" s="6" t="s">
        <v>376</v>
      </c>
      <c r="B1339" s="6" t="s">
        <v>3674</v>
      </c>
      <c r="C1339" s="6" t="s">
        <v>3675</v>
      </c>
      <c r="E1339" s="6" t="s">
        <v>3676</v>
      </c>
      <c r="G1339" s="7">
        <v>1149</v>
      </c>
      <c r="H1339" s="7">
        <v>1298.37</v>
      </c>
      <c r="I1339" s="7">
        <f t="shared" si="100"/>
        <v>712.38</v>
      </c>
      <c r="J1339" s="7">
        <f t="shared" si="101"/>
        <v>746.85</v>
      </c>
      <c r="K1339" s="7">
        <f t="shared" si="102"/>
        <v>769.83</v>
      </c>
      <c r="L1339" s="7">
        <f t="shared" si="103"/>
        <v>804.3</v>
      </c>
      <c r="M1339" s="7">
        <f t="shared" si="104"/>
        <v>827.28</v>
      </c>
    </row>
    <row r="1340" ht="38.25" spans="1:13">
      <c r="A1340" s="6" t="s">
        <v>376</v>
      </c>
      <c r="B1340" s="6" t="s">
        <v>3677</v>
      </c>
      <c r="C1340" s="6" t="s">
        <v>3678</v>
      </c>
      <c r="E1340" s="6" t="s">
        <v>3679</v>
      </c>
      <c r="G1340" s="7">
        <v>1249</v>
      </c>
      <c r="H1340" s="7">
        <v>1411.37</v>
      </c>
      <c r="I1340" s="7">
        <f t="shared" si="100"/>
        <v>774.38</v>
      </c>
      <c r="J1340" s="7">
        <f t="shared" si="101"/>
        <v>811.85</v>
      </c>
      <c r="K1340" s="7">
        <f t="shared" si="102"/>
        <v>836.83</v>
      </c>
      <c r="L1340" s="7">
        <f t="shared" si="103"/>
        <v>874.3</v>
      </c>
      <c r="M1340" s="7">
        <f t="shared" si="104"/>
        <v>899.28</v>
      </c>
    </row>
    <row r="1341" ht="38.25" spans="1:13">
      <c r="A1341" s="6" t="s">
        <v>376</v>
      </c>
      <c r="B1341" s="6" t="s">
        <v>3680</v>
      </c>
      <c r="C1341" s="6" t="s">
        <v>3681</v>
      </c>
      <c r="E1341" s="6" t="s">
        <v>3682</v>
      </c>
      <c r="G1341" s="7">
        <v>1249</v>
      </c>
      <c r="H1341" s="7">
        <v>1411.37</v>
      </c>
      <c r="I1341" s="7">
        <f t="shared" si="100"/>
        <v>774.38</v>
      </c>
      <c r="J1341" s="7">
        <f t="shared" si="101"/>
        <v>811.85</v>
      </c>
      <c r="K1341" s="7">
        <f t="shared" si="102"/>
        <v>836.83</v>
      </c>
      <c r="L1341" s="7">
        <f t="shared" si="103"/>
        <v>874.3</v>
      </c>
      <c r="M1341" s="7">
        <f t="shared" si="104"/>
        <v>899.28</v>
      </c>
    </row>
    <row r="1342" ht="38.25" spans="1:13">
      <c r="A1342" s="6" t="s">
        <v>376</v>
      </c>
      <c r="B1342" s="6" t="s">
        <v>3683</v>
      </c>
      <c r="C1342" s="6" t="s">
        <v>3684</v>
      </c>
      <c r="E1342" s="6" t="s">
        <v>3685</v>
      </c>
      <c r="G1342" s="7">
        <v>1249</v>
      </c>
      <c r="H1342" s="7">
        <v>1411.37</v>
      </c>
      <c r="I1342" s="7">
        <f t="shared" si="100"/>
        <v>774.38</v>
      </c>
      <c r="J1342" s="7">
        <f t="shared" si="101"/>
        <v>811.85</v>
      </c>
      <c r="K1342" s="7">
        <f t="shared" si="102"/>
        <v>836.83</v>
      </c>
      <c r="L1342" s="7">
        <f t="shared" si="103"/>
        <v>874.3</v>
      </c>
      <c r="M1342" s="7">
        <f t="shared" si="104"/>
        <v>899.28</v>
      </c>
    </row>
    <row r="1343" ht="38.25" spans="1:13">
      <c r="A1343" s="6" t="s">
        <v>376</v>
      </c>
      <c r="B1343" s="6" t="s">
        <v>3686</v>
      </c>
      <c r="C1343" s="6" t="s">
        <v>3687</v>
      </c>
      <c r="E1343" s="6" t="s">
        <v>3688</v>
      </c>
      <c r="G1343" s="7">
        <v>3099</v>
      </c>
      <c r="H1343" s="7">
        <v>3501.87</v>
      </c>
      <c r="I1343" s="7">
        <f t="shared" si="100"/>
        <v>1921.38</v>
      </c>
      <c r="J1343" s="7">
        <f t="shared" si="101"/>
        <v>2014.35</v>
      </c>
      <c r="K1343" s="7">
        <f t="shared" si="102"/>
        <v>2076.33</v>
      </c>
      <c r="L1343" s="7">
        <f t="shared" si="103"/>
        <v>2169.3</v>
      </c>
      <c r="M1343" s="7">
        <f t="shared" si="104"/>
        <v>2231.28</v>
      </c>
    </row>
    <row r="1344" ht="38.25" spans="1:13">
      <c r="A1344" s="6" t="s">
        <v>376</v>
      </c>
      <c r="B1344" s="6" t="s">
        <v>3689</v>
      </c>
      <c r="C1344" s="6" t="s">
        <v>3690</v>
      </c>
      <c r="E1344" s="6" t="s">
        <v>3691</v>
      </c>
      <c r="G1344" s="7">
        <v>8199</v>
      </c>
      <c r="H1344" s="7">
        <v>9264.87</v>
      </c>
      <c r="I1344" s="7">
        <f t="shared" si="100"/>
        <v>5083.38</v>
      </c>
      <c r="J1344" s="7">
        <f t="shared" si="101"/>
        <v>5329.35</v>
      </c>
      <c r="K1344" s="7">
        <f t="shared" si="102"/>
        <v>5493.33</v>
      </c>
      <c r="L1344" s="7">
        <f t="shared" si="103"/>
        <v>5739.3</v>
      </c>
      <c r="M1344" s="7">
        <f t="shared" si="104"/>
        <v>5903.28</v>
      </c>
    </row>
    <row r="1345" ht="25.5" spans="1:13">
      <c r="A1345" s="6" t="s">
        <v>376</v>
      </c>
      <c r="B1345" s="6" t="s">
        <v>3692</v>
      </c>
      <c r="C1345" s="6" t="s">
        <v>3693</v>
      </c>
      <c r="E1345" s="6" t="s">
        <v>3694</v>
      </c>
      <c r="G1345" s="7">
        <v>1499</v>
      </c>
      <c r="H1345" s="7">
        <v>1693.87</v>
      </c>
      <c r="I1345" s="7">
        <f t="shared" si="100"/>
        <v>929.38</v>
      </c>
      <c r="J1345" s="7">
        <f t="shared" si="101"/>
        <v>974.35</v>
      </c>
      <c r="K1345" s="7">
        <f t="shared" si="102"/>
        <v>1004.33</v>
      </c>
      <c r="L1345" s="7">
        <f t="shared" si="103"/>
        <v>1049.3</v>
      </c>
      <c r="M1345" s="7">
        <f t="shared" si="104"/>
        <v>1079.28</v>
      </c>
    </row>
    <row r="1346" ht="25.5" spans="1:13">
      <c r="A1346" s="6" t="s">
        <v>376</v>
      </c>
      <c r="B1346" s="6" t="s">
        <v>3695</v>
      </c>
      <c r="C1346" s="6" t="s">
        <v>3696</v>
      </c>
      <c r="E1346" s="6" t="s">
        <v>3697</v>
      </c>
      <c r="G1346" s="7">
        <v>319</v>
      </c>
      <c r="H1346" s="7">
        <v>360.47</v>
      </c>
      <c r="I1346" s="7">
        <f t="shared" ref="I1346:I1409" si="105">G1346*0.62</f>
        <v>197.78</v>
      </c>
      <c r="J1346" s="7">
        <f t="shared" ref="J1346:J1409" si="106">G1346*0.65</f>
        <v>207.35</v>
      </c>
      <c r="K1346" s="7">
        <f t="shared" ref="K1346:K1409" si="107">G1346*0.67</f>
        <v>213.73</v>
      </c>
      <c r="L1346" s="7">
        <f t="shared" ref="L1346:L1409" si="108">G1346*0.7</f>
        <v>223.3</v>
      </c>
      <c r="M1346" s="7">
        <f t="shared" ref="M1346:M1409" si="109">G1346*0.72</f>
        <v>229.68</v>
      </c>
    </row>
    <row r="1347" ht="25.5" spans="1:13">
      <c r="A1347" s="6" t="s">
        <v>376</v>
      </c>
      <c r="B1347" s="6" t="s">
        <v>3698</v>
      </c>
      <c r="C1347" s="6" t="s">
        <v>3699</v>
      </c>
      <c r="E1347" s="6" t="s">
        <v>3700</v>
      </c>
      <c r="G1347" s="7">
        <v>219</v>
      </c>
      <c r="H1347" s="7">
        <v>247.47</v>
      </c>
      <c r="I1347" s="7">
        <f t="shared" si="105"/>
        <v>135.78</v>
      </c>
      <c r="J1347" s="7">
        <f t="shared" si="106"/>
        <v>142.35</v>
      </c>
      <c r="K1347" s="7">
        <f t="shared" si="107"/>
        <v>146.73</v>
      </c>
      <c r="L1347" s="7">
        <f t="shared" si="108"/>
        <v>153.3</v>
      </c>
      <c r="M1347" s="7">
        <f t="shared" si="109"/>
        <v>157.68</v>
      </c>
    </row>
    <row r="1348" ht="25.5" spans="1:13">
      <c r="A1348" s="6" t="s">
        <v>376</v>
      </c>
      <c r="B1348" s="6" t="s">
        <v>3701</v>
      </c>
      <c r="C1348" s="6" t="s">
        <v>3702</v>
      </c>
      <c r="E1348" s="6" t="s">
        <v>3703</v>
      </c>
      <c r="G1348" s="7">
        <v>219</v>
      </c>
      <c r="H1348" s="7">
        <v>247.47</v>
      </c>
      <c r="I1348" s="7">
        <f t="shared" si="105"/>
        <v>135.78</v>
      </c>
      <c r="J1348" s="7">
        <f t="shared" si="106"/>
        <v>142.35</v>
      </c>
      <c r="K1348" s="7">
        <f t="shared" si="107"/>
        <v>146.73</v>
      </c>
      <c r="L1348" s="7">
        <f t="shared" si="108"/>
        <v>153.3</v>
      </c>
      <c r="M1348" s="7">
        <f t="shared" si="109"/>
        <v>157.68</v>
      </c>
    </row>
    <row r="1349" ht="38.25" spans="1:13">
      <c r="A1349" s="6" t="s">
        <v>376</v>
      </c>
      <c r="B1349" s="6" t="s">
        <v>3704</v>
      </c>
      <c r="C1349" s="6" t="s">
        <v>3705</v>
      </c>
      <c r="E1349" s="6" t="s">
        <v>3706</v>
      </c>
      <c r="G1349" s="7">
        <v>3399</v>
      </c>
      <c r="H1349" s="7">
        <v>3840.87</v>
      </c>
      <c r="I1349" s="7">
        <f t="shared" si="105"/>
        <v>2107.38</v>
      </c>
      <c r="J1349" s="7">
        <f t="shared" si="106"/>
        <v>2209.35</v>
      </c>
      <c r="K1349" s="7">
        <f t="shared" si="107"/>
        <v>2277.33</v>
      </c>
      <c r="L1349" s="7">
        <f t="shared" si="108"/>
        <v>2379.3</v>
      </c>
      <c r="M1349" s="7">
        <f t="shared" si="109"/>
        <v>2447.28</v>
      </c>
    </row>
    <row r="1350" ht="38.25" spans="1:13">
      <c r="A1350" s="6" t="s">
        <v>376</v>
      </c>
      <c r="B1350" s="6" t="s">
        <v>3707</v>
      </c>
      <c r="C1350" s="6" t="s">
        <v>3708</v>
      </c>
      <c r="E1350" s="6" t="s">
        <v>3709</v>
      </c>
      <c r="G1350" s="7">
        <v>7799</v>
      </c>
      <c r="H1350" s="7">
        <v>8812.87</v>
      </c>
      <c r="I1350" s="7">
        <f t="shared" si="105"/>
        <v>4835.38</v>
      </c>
      <c r="J1350" s="7">
        <f t="shared" si="106"/>
        <v>5069.35</v>
      </c>
      <c r="K1350" s="7">
        <f t="shared" si="107"/>
        <v>5225.33</v>
      </c>
      <c r="L1350" s="7">
        <f t="shared" si="108"/>
        <v>5459.3</v>
      </c>
      <c r="M1350" s="7">
        <f t="shared" si="109"/>
        <v>5615.28</v>
      </c>
    </row>
    <row r="1351" ht="38.25" spans="1:13">
      <c r="A1351" s="6" t="s">
        <v>376</v>
      </c>
      <c r="B1351" s="6" t="s">
        <v>3710</v>
      </c>
      <c r="C1351" s="6" t="s">
        <v>3711</v>
      </c>
      <c r="E1351" s="6" t="s">
        <v>3712</v>
      </c>
      <c r="G1351" s="7">
        <v>1899</v>
      </c>
      <c r="H1351" s="7">
        <v>2145.87</v>
      </c>
      <c r="I1351" s="7">
        <f t="shared" si="105"/>
        <v>1177.38</v>
      </c>
      <c r="J1351" s="7">
        <f t="shared" si="106"/>
        <v>1234.35</v>
      </c>
      <c r="K1351" s="7">
        <f t="shared" si="107"/>
        <v>1272.33</v>
      </c>
      <c r="L1351" s="7">
        <f t="shared" si="108"/>
        <v>1329.3</v>
      </c>
      <c r="M1351" s="7">
        <f t="shared" si="109"/>
        <v>1367.28</v>
      </c>
    </row>
    <row r="1352" ht="38.25" spans="1:13">
      <c r="A1352" s="6" t="s">
        <v>376</v>
      </c>
      <c r="B1352" s="6" t="s">
        <v>3713</v>
      </c>
      <c r="C1352" s="6" t="s">
        <v>3714</v>
      </c>
      <c r="E1352" s="6" t="s">
        <v>3715</v>
      </c>
      <c r="G1352" s="7">
        <v>1899</v>
      </c>
      <c r="H1352" s="7">
        <v>2145.87</v>
      </c>
      <c r="I1352" s="7">
        <f t="shared" si="105"/>
        <v>1177.38</v>
      </c>
      <c r="J1352" s="7">
        <f t="shared" si="106"/>
        <v>1234.35</v>
      </c>
      <c r="K1352" s="7">
        <f t="shared" si="107"/>
        <v>1272.33</v>
      </c>
      <c r="L1352" s="7">
        <f t="shared" si="108"/>
        <v>1329.3</v>
      </c>
      <c r="M1352" s="7">
        <f t="shared" si="109"/>
        <v>1367.28</v>
      </c>
    </row>
    <row r="1353" ht="38.25" spans="1:13">
      <c r="A1353" s="6" t="s">
        <v>376</v>
      </c>
      <c r="B1353" s="6" t="s">
        <v>3716</v>
      </c>
      <c r="C1353" s="6" t="s">
        <v>3717</v>
      </c>
      <c r="E1353" s="6" t="s">
        <v>3718</v>
      </c>
      <c r="G1353" s="7">
        <v>1899</v>
      </c>
      <c r="H1353" s="7">
        <v>2145.87</v>
      </c>
      <c r="I1353" s="7">
        <f t="shared" si="105"/>
        <v>1177.38</v>
      </c>
      <c r="J1353" s="7">
        <f t="shared" si="106"/>
        <v>1234.35</v>
      </c>
      <c r="K1353" s="7">
        <f t="shared" si="107"/>
        <v>1272.33</v>
      </c>
      <c r="L1353" s="7">
        <f t="shared" si="108"/>
        <v>1329.3</v>
      </c>
      <c r="M1353" s="7">
        <f t="shared" si="109"/>
        <v>1367.28</v>
      </c>
    </row>
    <row r="1354" ht="38.25" spans="1:13">
      <c r="A1354" s="6" t="s">
        <v>376</v>
      </c>
      <c r="B1354" s="6" t="s">
        <v>3719</v>
      </c>
      <c r="C1354" s="6" t="s">
        <v>3720</v>
      </c>
      <c r="E1354" s="6" t="s">
        <v>3721</v>
      </c>
      <c r="G1354" s="7">
        <v>2399</v>
      </c>
      <c r="H1354" s="7">
        <v>2710.87</v>
      </c>
      <c r="I1354" s="7">
        <f t="shared" si="105"/>
        <v>1487.38</v>
      </c>
      <c r="J1354" s="7">
        <f t="shared" si="106"/>
        <v>1559.35</v>
      </c>
      <c r="K1354" s="7">
        <f t="shared" si="107"/>
        <v>1607.33</v>
      </c>
      <c r="L1354" s="7">
        <f t="shared" si="108"/>
        <v>1679.3</v>
      </c>
      <c r="M1354" s="7">
        <f t="shared" si="109"/>
        <v>1727.28</v>
      </c>
    </row>
    <row r="1355" ht="38.25" spans="1:13">
      <c r="A1355" s="6" t="s">
        <v>376</v>
      </c>
      <c r="B1355" s="6" t="s">
        <v>3722</v>
      </c>
      <c r="C1355" s="6" t="s">
        <v>3723</v>
      </c>
      <c r="E1355" s="6" t="s">
        <v>3721</v>
      </c>
      <c r="G1355" s="7">
        <v>2399</v>
      </c>
      <c r="H1355" s="7">
        <v>2710.87</v>
      </c>
      <c r="I1355" s="7">
        <f t="shared" si="105"/>
        <v>1487.38</v>
      </c>
      <c r="J1355" s="7">
        <f t="shared" si="106"/>
        <v>1559.35</v>
      </c>
      <c r="K1355" s="7">
        <f t="shared" si="107"/>
        <v>1607.33</v>
      </c>
      <c r="L1355" s="7">
        <f t="shared" si="108"/>
        <v>1679.3</v>
      </c>
      <c r="M1355" s="7">
        <f t="shared" si="109"/>
        <v>1727.28</v>
      </c>
    </row>
    <row r="1356" ht="38.25" spans="1:13">
      <c r="A1356" s="6" t="s">
        <v>376</v>
      </c>
      <c r="B1356" s="6" t="s">
        <v>3724</v>
      </c>
      <c r="C1356" s="6" t="s">
        <v>3725</v>
      </c>
      <c r="E1356" s="6" t="s">
        <v>3721</v>
      </c>
      <c r="G1356" s="7">
        <v>2399</v>
      </c>
      <c r="H1356" s="7">
        <v>2710.87</v>
      </c>
      <c r="I1356" s="7">
        <f t="shared" si="105"/>
        <v>1487.38</v>
      </c>
      <c r="J1356" s="7">
        <f t="shared" si="106"/>
        <v>1559.35</v>
      </c>
      <c r="K1356" s="7">
        <f t="shared" si="107"/>
        <v>1607.33</v>
      </c>
      <c r="L1356" s="7">
        <f t="shared" si="108"/>
        <v>1679.3</v>
      </c>
      <c r="M1356" s="7">
        <f t="shared" si="109"/>
        <v>1727.28</v>
      </c>
    </row>
    <row r="1357" ht="38.25" spans="1:13">
      <c r="A1357" s="6" t="s">
        <v>376</v>
      </c>
      <c r="B1357" s="6" t="s">
        <v>3726</v>
      </c>
      <c r="C1357" s="6" t="s">
        <v>3727</v>
      </c>
      <c r="E1357" s="6" t="s">
        <v>3728</v>
      </c>
      <c r="G1357" s="7">
        <v>2399</v>
      </c>
      <c r="H1357" s="7">
        <v>2710.87</v>
      </c>
      <c r="I1357" s="7">
        <f t="shared" si="105"/>
        <v>1487.38</v>
      </c>
      <c r="J1357" s="7">
        <f t="shared" si="106"/>
        <v>1559.35</v>
      </c>
      <c r="K1357" s="7">
        <f t="shared" si="107"/>
        <v>1607.33</v>
      </c>
      <c r="L1357" s="7">
        <f t="shared" si="108"/>
        <v>1679.3</v>
      </c>
      <c r="M1357" s="7">
        <f t="shared" si="109"/>
        <v>1727.28</v>
      </c>
    </row>
    <row r="1358" ht="38.25" spans="1:13">
      <c r="A1358" s="6" t="s">
        <v>376</v>
      </c>
      <c r="B1358" s="6" t="s">
        <v>3729</v>
      </c>
      <c r="C1358" s="6" t="s">
        <v>3730</v>
      </c>
      <c r="E1358" s="6" t="s">
        <v>3728</v>
      </c>
      <c r="G1358" s="7">
        <v>2399</v>
      </c>
      <c r="H1358" s="7">
        <v>2710.87</v>
      </c>
      <c r="I1358" s="7">
        <f t="shared" si="105"/>
        <v>1487.38</v>
      </c>
      <c r="J1358" s="7">
        <f t="shared" si="106"/>
        <v>1559.35</v>
      </c>
      <c r="K1358" s="7">
        <f t="shared" si="107"/>
        <v>1607.33</v>
      </c>
      <c r="L1358" s="7">
        <f t="shared" si="108"/>
        <v>1679.3</v>
      </c>
      <c r="M1358" s="7">
        <f t="shared" si="109"/>
        <v>1727.28</v>
      </c>
    </row>
    <row r="1359" ht="38.25" spans="1:13">
      <c r="A1359" s="6" t="s">
        <v>376</v>
      </c>
      <c r="B1359" s="6" t="s">
        <v>3731</v>
      </c>
      <c r="C1359" s="6" t="s">
        <v>3732</v>
      </c>
      <c r="E1359" s="6" t="s">
        <v>3728</v>
      </c>
      <c r="G1359" s="7">
        <v>2399</v>
      </c>
      <c r="H1359" s="7">
        <v>2710.87</v>
      </c>
      <c r="I1359" s="7">
        <f t="shared" si="105"/>
        <v>1487.38</v>
      </c>
      <c r="J1359" s="7">
        <f t="shared" si="106"/>
        <v>1559.35</v>
      </c>
      <c r="K1359" s="7">
        <f t="shared" si="107"/>
        <v>1607.33</v>
      </c>
      <c r="L1359" s="7">
        <f t="shared" si="108"/>
        <v>1679.3</v>
      </c>
      <c r="M1359" s="7">
        <f t="shared" si="109"/>
        <v>1727.28</v>
      </c>
    </row>
    <row r="1360" ht="38.25" spans="1:13">
      <c r="A1360" s="6" t="s">
        <v>376</v>
      </c>
      <c r="B1360" s="6" t="s">
        <v>3733</v>
      </c>
      <c r="C1360" s="6" t="s">
        <v>3734</v>
      </c>
      <c r="E1360" s="6" t="s">
        <v>3735</v>
      </c>
      <c r="G1360" s="7">
        <v>1999</v>
      </c>
      <c r="H1360" s="7">
        <v>2258.87</v>
      </c>
      <c r="I1360" s="7">
        <f t="shared" si="105"/>
        <v>1239.38</v>
      </c>
      <c r="J1360" s="7">
        <f t="shared" si="106"/>
        <v>1299.35</v>
      </c>
      <c r="K1360" s="7">
        <f t="shared" si="107"/>
        <v>1339.33</v>
      </c>
      <c r="L1360" s="7">
        <f t="shared" si="108"/>
        <v>1399.3</v>
      </c>
      <c r="M1360" s="7">
        <f t="shared" si="109"/>
        <v>1439.28</v>
      </c>
    </row>
    <row r="1361" ht="38.25" spans="1:13">
      <c r="A1361" s="6" t="s">
        <v>376</v>
      </c>
      <c r="B1361" s="6" t="s">
        <v>3736</v>
      </c>
      <c r="C1361" s="6" t="s">
        <v>3737</v>
      </c>
      <c r="E1361" s="6" t="s">
        <v>3735</v>
      </c>
      <c r="G1361" s="7">
        <v>1999</v>
      </c>
      <c r="H1361" s="7">
        <v>2258.87</v>
      </c>
      <c r="I1361" s="7">
        <f t="shared" si="105"/>
        <v>1239.38</v>
      </c>
      <c r="J1361" s="7">
        <f t="shared" si="106"/>
        <v>1299.35</v>
      </c>
      <c r="K1361" s="7">
        <f t="shared" si="107"/>
        <v>1339.33</v>
      </c>
      <c r="L1361" s="7">
        <f t="shared" si="108"/>
        <v>1399.3</v>
      </c>
      <c r="M1361" s="7">
        <f t="shared" si="109"/>
        <v>1439.28</v>
      </c>
    </row>
    <row r="1362" ht="38.25" spans="1:13">
      <c r="A1362" s="6" t="s">
        <v>376</v>
      </c>
      <c r="B1362" s="6" t="s">
        <v>3738</v>
      </c>
      <c r="C1362" s="6" t="s">
        <v>3739</v>
      </c>
      <c r="E1362" s="6" t="s">
        <v>3735</v>
      </c>
      <c r="G1362" s="7">
        <v>1999</v>
      </c>
      <c r="H1362" s="7">
        <v>2258.87</v>
      </c>
      <c r="I1362" s="7">
        <f t="shared" si="105"/>
        <v>1239.38</v>
      </c>
      <c r="J1362" s="7">
        <f t="shared" si="106"/>
        <v>1299.35</v>
      </c>
      <c r="K1362" s="7">
        <f t="shared" si="107"/>
        <v>1339.33</v>
      </c>
      <c r="L1362" s="7">
        <f t="shared" si="108"/>
        <v>1399.3</v>
      </c>
      <c r="M1362" s="7">
        <f t="shared" si="109"/>
        <v>1439.28</v>
      </c>
    </row>
    <row r="1363" ht="38.25" spans="1:13">
      <c r="A1363" s="6" t="s">
        <v>376</v>
      </c>
      <c r="B1363" s="6" t="s">
        <v>3740</v>
      </c>
      <c r="C1363" s="6" t="s">
        <v>3741</v>
      </c>
      <c r="E1363" s="6" t="s">
        <v>3742</v>
      </c>
      <c r="G1363" s="7">
        <v>1949</v>
      </c>
      <c r="H1363" s="7">
        <v>2202.37</v>
      </c>
      <c r="I1363" s="7">
        <f t="shared" si="105"/>
        <v>1208.38</v>
      </c>
      <c r="J1363" s="7">
        <f t="shared" si="106"/>
        <v>1266.85</v>
      </c>
      <c r="K1363" s="7">
        <f t="shared" si="107"/>
        <v>1305.83</v>
      </c>
      <c r="L1363" s="7">
        <f t="shared" si="108"/>
        <v>1364.3</v>
      </c>
      <c r="M1363" s="7">
        <f t="shared" si="109"/>
        <v>1403.28</v>
      </c>
    </row>
    <row r="1364" ht="38.25" spans="1:13">
      <c r="A1364" s="6" t="s">
        <v>376</v>
      </c>
      <c r="B1364" s="6" t="s">
        <v>3743</v>
      </c>
      <c r="C1364" s="6" t="s">
        <v>3744</v>
      </c>
      <c r="E1364" s="6" t="s">
        <v>3745</v>
      </c>
      <c r="G1364" s="7">
        <v>749</v>
      </c>
      <c r="H1364" s="7">
        <v>846.37</v>
      </c>
      <c r="I1364" s="7">
        <f t="shared" si="105"/>
        <v>464.38</v>
      </c>
      <c r="J1364" s="7">
        <f t="shared" si="106"/>
        <v>486.85</v>
      </c>
      <c r="K1364" s="7">
        <f t="shared" si="107"/>
        <v>501.83</v>
      </c>
      <c r="L1364" s="7">
        <f t="shared" si="108"/>
        <v>524.3</v>
      </c>
      <c r="M1364" s="7">
        <f t="shared" si="109"/>
        <v>539.28</v>
      </c>
    </row>
    <row r="1365" ht="38.25" spans="1:13">
      <c r="A1365" s="6" t="s">
        <v>376</v>
      </c>
      <c r="B1365" s="6" t="s">
        <v>3746</v>
      </c>
      <c r="C1365" s="6" t="s">
        <v>3747</v>
      </c>
      <c r="E1365" s="6" t="s">
        <v>3748</v>
      </c>
      <c r="G1365" s="7">
        <v>749</v>
      </c>
      <c r="H1365" s="7">
        <v>846.37</v>
      </c>
      <c r="I1365" s="7">
        <f t="shared" si="105"/>
        <v>464.38</v>
      </c>
      <c r="J1365" s="7">
        <f t="shared" si="106"/>
        <v>486.85</v>
      </c>
      <c r="K1365" s="7">
        <f t="shared" si="107"/>
        <v>501.83</v>
      </c>
      <c r="L1365" s="7">
        <f t="shared" si="108"/>
        <v>524.3</v>
      </c>
      <c r="M1365" s="7">
        <f t="shared" si="109"/>
        <v>539.28</v>
      </c>
    </row>
    <row r="1366" ht="38.25" spans="1:13">
      <c r="A1366" s="6" t="s">
        <v>376</v>
      </c>
      <c r="B1366" s="6" t="s">
        <v>3749</v>
      </c>
      <c r="C1366" s="6" t="s">
        <v>3750</v>
      </c>
      <c r="E1366" s="6" t="s">
        <v>3751</v>
      </c>
      <c r="G1366" s="7">
        <v>749</v>
      </c>
      <c r="H1366" s="7">
        <v>846.37</v>
      </c>
      <c r="I1366" s="7">
        <f t="shared" si="105"/>
        <v>464.38</v>
      </c>
      <c r="J1366" s="7">
        <f t="shared" si="106"/>
        <v>486.85</v>
      </c>
      <c r="K1366" s="7">
        <f t="shared" si="107"/>
        <v>501.83</v>
      </c>
      <c r="L1366" s="7">
        <f t="shared" si="108"/>
        <v>524.3</v>
      </c>
      <c r="M1366" s="7">
        <f t="shared" si="109"/>
        <v>539.28</v>
      </c>
    </row>
    <row r="1367" ht="38.25" spans="1:13">
      <c r="A1367" s="6" t="s">
        <v>376</v>
      </c>
      <c r="B1367" s="6" t="s">
        <v>3752</v>
      </c>
      <c r="C1367" s="6" t="s">
        <v>3753</v>
      </c>
      <c r="E1367" s="6" t="s">
        <v>3754</v>
      </c>
      <c r="G1367" s="7">
        <v>1149</v>
      </c>
      <c r="H1367" s="7">
        <v>1298.37</v>
      </c>
      <c r="I1367" s="7">
        <f t="shared" si="105"/>
        <v>712.38</v>
      </c>
      <c r="J1367" s="7">
        <f t="shared" si="106"/>
        <v>746.85</v>
      </c>
      <c r="K1367" s="7">
        <f t="shared" si="107"/>
        <v>769.83</v>
      </c>
      <c r="L1367" s="7">
        <f t="shared" si="108"/>
        <v>804.3</v>
      </c>
      <c r="M1367" s="7">
        <f t="shared" si="109"/>
        <v>827.28</v>
      </c>
    </row>
    <row r="1368" ht="38.25" spans="1:13">
      <c r="A1368" s="6" t="s">
        <v>376</v>
      </c>
      <c r="B1368" s="6" t="s">
        <v>3755</v>
      </c>
      <c r="C1368" s="6" t="s">
        <v>3756</v>
      </c>
      <c r="E1368" s="6" t="s">
        <v>3754</v>
      </c>
      <c r="G1368" s="7">
        <v>1149</v>
      </c>
      <c r="H1368" s="7">
        <v>1298.37</v>
      </c>
      <c r="I1368" s="7">
        <f t="shared" si="105"/>
        <v>712.38</v>
      </c>
      <c r="J1368" s="7">
        <f t="shared" si="106"/>
        <v>746.85</v>
      </c>
      <c r="K1368" s="7">
        <f t="shared" si="107"/>
        <v>769.83</v>
      </c>
      <c r="L1368" s="7">
        <f t="shared" si="108"/>
        <v>804.3</v>
      </c>
      <c r="M1368" s="7">
        <f t="shared" si="109"/>
        <v>827.28</v>
      </c>
    </row>
    <row r="1369" ht="38.25" spans="1:13">
      <c r="A1369" s="6" t="s">
        <v>376</v>
      </c>
      <c r="B1369" s="6" t="s">
        <v>3757</v>
      </c>
      <c r="C1369" s="6" t="s">
        <v>3758</v>
      </c>
      <c r="E1369" s="6" t="s">
        <v>3754</v>
      </c>
      <c r="G1369" s="7">
        <v>1149</v>
      </c>
      <c r="H1369" s="7">
        <v>1298.37</v>
      </c>
      <c r="I1369" s="7">
        <f t="shared" si="105"/>
        <v>712.38</v>
      </c>
      <c r="J1369" s="7">
        <f t="shared" si="106"/>
        <v>746.85</v>
      </c>
      <c r="K1369" s="7">
        <f t="shared" si="107"/>
        <v>769.83</v>
      </c>
      <c r="L1369" s="7">
        <f t="shared" si="108"/>
        <v>804.3</v>
      </c>
      <c r="M1369" s="7">
        <f t="shared" si="109"/>
        <v>827.28</v>
      </c>
    </row>
    <row r="1370" ht="38.25" spans="1:13">
      <c r="A1370" s="6" t="s">
        <v>376</v>
      </c>
      <c r="B1370" s="6" t="s">
        <v>3759</v>
      </c>
      <c r="C1370" s="6" t="s">
        <v>3760</v>
      </c>
      <c r="E1370" s="6" t="s">
        <v>3761</v>
      </c>
      <c r="G1370" s="7">
        <v>1599</v>
      </c>
      <c r="H1370" s="7">
        <v>1806.87</v>
      </c>
      <c r="I1370" s="7">
        <f t="shared" si="105"/>
        <v>991.38</v>
      </c>
      <c r="J1370" s="7">
        <f t="shared" si="106"/>
        <v>1039.35</v>
      </c>
      <c r="K1370" s="7">
        <f t="shared" si="107"/>
        <v>1071.33</v>
      </c>
      <c r="L1370" s="7">
        <f t="shared" si="108"/>
        <v>1119.3</v>
      </c>
      <c r="M1370" s="7">
        <f t="shared" si="109"/>
        <v>1151.28</v>
      </c>
    </row>
    <row r="1371" ht="38.25" spans="1:13">
      <c r="A1371" s="6" t="s">
        <v>376</v>
      </c>
      <c r="B1371" s="6" t="s">
        <v>3762</v>
      </c>
      <c r="C1371" s="6" t="s">
        <v>3763</v>
      </c>
      <c r="E1371" s="6" t="s">
        <v>3761</v>
      </c>
      <c r="G1371" s="7">
        <v>1599</v>
      </c>
      <c r="H1371" s="7">
        <v>1806.87</v>
      </c>
      <c r="I1371" s="7">
        <f t="shared" si="105"/>
        <v>991.38</v>
      </c>
      <c r="J1371" s="7">
        <f t="shared" si="106"/>
        <v>1039.35</v>
      </c>
      <c r="K1371" s="7">
        <f t="shared" si="107"/>
        <v>1071.33</v>
      </c>
      <c r="L1371" s="7">
        <f t="shared" si="108"/>
        <v>1119.3</v>
      </c>
      <c r="M1371" s="7">
        <f t="shared" si="109"/>
        <v>1151.28</v>
      </c>
    </row>
    <row r="1372" ht="38.25" spans="1:13">
      <c r="A1372" s="6" t="s">
        <v>376</v>
      </c>
      <c r="B1372" s="6" t="s">
        <v>3764</v>
      </c>
      <c r="C1372" s="6" t="s">
        <v>3765</v>
      </c>
      <c r="E1372" s="6" t="s">
        <v>3761</v>
      </c>
      <c r="G1372" s="7">
        <v>1599</v>
      </c>
      <c r="H1372" s="7">
        <v>1806.87</v>
      </c>
      <c r="I1372" s="7">
        <f t="shared" si="105"/>
        <v>991.38</v>
      </c>
      <c r="J1372" s="7">
        <f t="shared" si="106"/>
        <v>1039.35</v>
      </c>
      <c r="K1372" s="7">
        <f t="shared" si="107"/>
        <v>1071.33</v>
      </c>
      <c r="L1372" s="7">
        <f t="shared" si="108"/>
        <v>1119.3</v>
      </c>
      <c r="M1372" s="7">
        <f t="shared" si="109"/>
        <v>1151.28</v>
      </c>
    </row>
    <row r="1373" ht="25.5" spans="1:13">
      <c r="A1373" s="6" t="s">
        <v>376</v>
      </c>
      <c r="B1373" s="6" t="s">
        <v>3766</v>
      </c>
      <c r="C1373" s="6" t="s">
        <v>3767</v>
      </c>
      <c r="E1373" s="6" t="s">
        <v>3768</v>
      </c>
      <c r="G1373" s="7">
        <v>599</v>
      </c>
      <c r="H1373" s="7">
        <v>676.87</v>
      </c>
      <c r="I1373" s="7">
        <f t="shared" si="105"/>
        <v>371.38</v>
      </c>
      <c r="J1373" s="7">
        <f t="shared" si="106"/>
        <v>389.35</v>
      </c>
      <c r="K1373" s="7">
        <f t="shared" si="107"/>
        <v>401.33</v>
      </c>
      <c r="L1373" s="7">
        <f t="shared" si="108"/>
        <v>419.3</v>
      </c>
      <c r="M1373" s="7">
        <f t="shared" si="109"/>
        <v>431.28</v>
      </c>
    </row>
    <row r="1374" ht="25.5" spans="1:13">
      <c r="A1374" s="6" t="s">
        <v>376</v>
      </c>
      <c r="B1374" s="6" t="s">
        <v>3769</v>
      </c>
      <c r="C1374" s="6" t="s">
        <v>3770</v>
      </c>
      <c r="E1374" s="6" t="s">
        <v>3771</v>
      </c>
      <c r="G1374" s="7">
        <v>949</v>
      </c>
      <c r="H1374" s="7">
        <v>1072.37</v>
      </c>
      <c r="I1374" s="7">
        <f t="shared" si="105"/>
        <v>588.38</v>
      </c>
      <c r="J1374" s="7">
        <f t="shared" si="106"/>
        <v>616.85</v>
      </c>
      <c r="K1374" s="7">
        <f t="shared" si="107"/>
        <v>635.83</v>
      </c>
      <c r="L1374" s="7">
        <f t="shared" si="108"/>
        <v>664.3</v>
      </c>
      <c r="M1374" s="7">
        <f t="shared" si="109"/>
        <v>683.28</v>
      </c>
    </row>
    <row r="1375" ht="25.5" spans="1:13">
      <c r="A1375" s="6" t="s">
        <v>376</v>
      </c>
      <c r="B1375" s="6" t="s">
        <v>3772</v>
      </c>
      <c r="C1375" s="6" t="s">
        <v>3773</v>
      </c>
      <c r="E1375" s="6" t="s">
        <v>3774</v>
      </c>
      <c r="G1375" s="7">
        <v>1749</v>
      </c>
      <c r="H1375" s="7">
        <v>1976.37</v>
      </c>
      <c r="I1375" s="7">
        <f t="shared" si="105"/>
        <v>1084.38</v>
      </c>
      <c r="J1375" s="7">
        <f t="shared" si="106"/>
        <v>1136.85</v>
      </c>
      <c r="K1375" s="7">
        <f t="shared" si="107"/>
        <v>1171.83</v>
      </c>
      <c r="L1375" s="7">
        <f t="shared" si="108"/>
        <v>1224.3</v>
      </c>
      <c r="M1375" s="7">
        <f t="shared" si="109"/>
        <v>1259.28</v>
      </c>
    </row>
    <row r="1376" ht="25.5" spans="1:13">
      <c r="A1376" s="6" t="s">
        <v>376</v>
      </c>
      <c r="B1376" s="6" t="s">
        <v>3775</v>
      </c>
      <c r="C1376" s="6" t="s">
        <v>3776</v>
      </c>
      <c r="E1376" s="6" t="s">
        <v>3777</v>
      </c>
      <c r="G1376" s="7">
        <v>1649</v>
      </c>
      <c r="H1376" s="7">
        <v>1863.37</v>
      </c>
      <c r="I1376" s="7">
        <f t="shared" si="105"/>
        <v>1022.38</v>
      </c>
      <c r="J1376" s="7">
        <f t="shared" si="106"/>
        <v>1071.85</v>
      </c>
      <c r="K1376" s="7">
        <f t="shared" si="107"/>
        <v>1104.83</v>
      </c>
      <c r="L1376" s="7">
        <f t="shared" si="108"/>
        <v>1154.3</v>
      </c>
      <c r="M1376" s="7">
        <f t="shared" si="109"/>
        <v>1187.28</v>
      </c>
    </row>
    <row r="1377" ht="25.5" spans="1:13">
      <c r="A1377" s="6" t="s">
        <v>376</v>
      </c>
      <c r="B1377" s="6" t="s">
        <v>3778</v>
      </c>
      <c r="C1377" s="6" t="s">
        <v>3779</v>
      </c>
      <c r="E1377" s="6" t="s">
        <v>3780</v>
      </c>
      <c r="G1377" s="7">
        <v>1599</v>
      </c>
      <c r="H1377" s="7">
        <v>1806.87</v>
      </c>
      <c r="I1377" s="7">
        <f t="shared" si="105"/>
        <v>991.38</v>
      </c>
      <c r="J1377" s="7">
        <f t="shared" si="106"/>
        <v>1039.35</v>
      </c>
      <c r="K1377" s="7">
        <f t="shared" si="107"/>
        <v>1071.33</v>
      </c>
      <c r="L1377" s="7">
        <f t="shared" si="108"/>
        <v>1119.3</v>
      </c>
      <c r="M1377" s="7">
        <f t="shared" si="109"/>
        <v>1151.28</v>
      </c>
    </row>
    <row r="1378" ht="25.5" spans="1:13">
      <c r="A1378" s="6" t="s">
        <v>376</v>
      </c>
      <c r="B1378" s="6" t="s">
        <v>3781</v>
      </c>
      <c r="C1378" s="6" t="s">
        <v>3782</v>
      </c>
      <c r="E1378" s="6" t="s">
        <v>3783</v>
      </c>
      <c r="G1378" s="7">
        <v>3299</v>
      </c>
      <c r="H1378" s="7">
        <v>3727.87</v>
      </c>
      <c r="I1378" s="7">
        <f t="shared" si="105"/>
        <v>2045.38</v>
      </c>
      <c r="J1378" s="7">
        <f t="shared" si="106"/>
        <v>2144.35</v>
      </c>
      <c r="K1378" s="7">
        <f t="shared" si="107"/>
        <v>2210.33</v>
      </c>
      <c r="L1378" s="7">
        <f t="shared" si="108"/>
        <v>2309.3</v>
      </c>
      <c r="M1378" s="7">
        <f t="shared" si="109"/>
        <v>2375.28</v>
      </c>
    </row>
    <row r="1379" spans="1:13">
      <c r="A1379" s="6" t="s">
        <v>733</v>
      </c>
      <c r="B1379" s="6" t="s">
        <v>3784</v>
      </c>
      <c r="C1379" s="6" t="s">
        <v>3785</v>
      </c>
      <c r="E1379" s="6" t="s">
        <v>3786</v>
      </c>
      <c r="G1379" s="7">
        <v>119</v>
      </c>
      <c r="H1379" s="7">
        <v>134.47</v>
      </c>
      <c r="I1379" s="7">
        <f t="shared" si="105"/>
        <v>73.78</v>
      </c>
      <c r="J1379" s="7">
        <f t="shared" si="106"/>
        <v>77.35</v>
      </c>
      <c r="K1379" s="7">
        <f t="shared" si="107"/>
        <v>79.73</v>
      </c>
      <c r="L1379" s="7">
        <f t="shared" si="108"/>
        <v>83.3</v>
      </c>
      <c r="M1379" s="7">
        <f t="shared" si="109"/>
        <v>85.68</v>
      </c>
    </row>
    <row r="1380" ht="51" spans="1:13">
      <c r="A1380" s="6" t="s">
        <v>682</v>
      </c>
      <c r="B1380" s="6" t="s">
        <v>3787</v>
      </c>
      <c r="C1380" s="6" t="s">
        <v>3788</v>
      </c>
      <c r="E1380" s="6" t="s">
        <v>3789</v>
      </c>
      <c r="G1380" s="7">
        <v>699</v>
      </c>
      <c r="H1380" s="7">
        <v>789.87</v>
      </c>
      <c r="I1380" s="7">
        <f t="shared" si="105"/>
        <v>433.38</v>
      </c>
      <c r="J1380" s="7">
        <f t="shared" si="106"/>
        <v>454.35</v>
      </c>
      <c r="K1380" s="7">
        <f t="shared" si="107"/>
        <v>468.33</v>
      </c>
      <c r="L1380" s="7">
        <f t="shared" si="108"/>
        <v>489.3</v>
      </c>
      <c r="M1380" s="7">
        <f t="shared" si="109"/>
        <v>503.28</v>
      </c>
    </row>
    <row r="1381" ht="51" spans="1:13">
      <c r="A1381" s="6" t="s">
        <v>682</v>
      </c>
      <c r="B1381" s="6" t="s">
        <v>3790</v>
      </c>
      <c r="C1381" s="6" t="s">
        <v>3791</v>
      </c>
      <c r="E1381" s="6" t="s">
        <v>3792</v>
      </c>
      <c r="G1381" s="7">
        <v>649</v>
      </c>
      <c r="H1381" s="7">
        <v>733.37</v>
      </c>
      <c r="I1381" s="7">
        <f t="shared" si="105"/>
        <v>402.38</v>
      </c>
      <c r="J1381" s="7">
        <f t="shared" si="106"/>
        <v>421.85</v>
      </c>
      <c r="K1381" s="7">
        <f t="shared" si="107"/>
        <v>434.83</v>
      </c>
      <c r="L1381" s="7">
        <f t="shared" si="108"/>
        <v>454.3</v>
      </c>
      <c r="M1381" s="7">
        <f t="shared" si="109"/>
        <v>467.28</v>
      </c>
    </row>
    <row r="1382" ht="63.75" spans="1:13">
      <c r="A1382" s="6" t="s">
        <v>682</v>
      </c>
      <c r="B1382" s="6" t="s">
        <v>3793</v>
      </c>
      <c r="C1382" s="6" t="s">
        <v>3794</v>
      </c>
      <c r="E1382" s="6" t="s">
        <v>3795</v>
      </c>
      <c r="G1382" s="7">
        <v>3635</v>
      </c>
      <c r="H1382" s="7">
        <v>4107.55</v>
      </c>
      <c r="I1382" s="7">
        <f t="shared" si="105"/>
        <v>2253.7</v>
      </c>
      <c r="J1382" s="7">
        <f t="shared" si="106"/>
        <v>2362.75</v>
      </c>
      <c r="K1382" s="7">
        <f t="shared" si="107"/>
        <v>2435.45</v>
      </c>
      <c r="L1382" s="7">
        <f t="shared" si="108"/>
        <v>2544.5</v>
      </c>
      <c r="M1382" s="7">
        <f t="shared" si="109"/>
        <v>2617.2</v>
      </c>
    </row>
    <row r="1383" ht="63.75" spans="1:13">
      <c r="A1383" s="6" t="s">
        <v>682</v>
      </c>
      <c r="B1383" s="6" t="s">
        <v>3796</v>
      </c>
      <c r="C1383" s="6" t="s">
        <v>3797</v>
      </c>
      <c r="E1383" s="6" t="s">
        <v>3798</v>
      </c>
      <c r="G1383" s="7">
        <v>1455</v>
      </c>
      <c r="H1383" s="7">
        <v>1644.15</v>
      </c>
      <c r="I1383" s="7">
        <f t="shared" si="105"/>
        <v>902.1</v>
      </c>
      <c r="J1383" s="7">
        <f t="shared" si="106"/>
        <v>945.75</v>
      </c>
      <c r="K1383" s="7">
        <f t="shared" si="107"/>
        <v>974.85</v>
      </c>
      <c r="L1383" s="7">
        <f t="shared" si="108"/>
        <v>1018.5</v>
      </c>
      <c r="M1383" s="7">
        <f t="shared" si="109"/>
        <v>1047.6</v>
      </c>
    </row>
    <row r="1384" ht="63.75" spans="1:13">
      <c r="A1384" s="6" t="s">
        <v>682</v>
      </c>
      <c r="B1384" s="6" t="s">
        <v>3799</v>
      </c>
      <c r="C1384" s="6" t="s">
        <v>3800</v>
      </c>
      <c r="E1384" s="6" t="s">
        <v>3801</v>
      </c>
      <c r="G1384" s="7">
        <v>2180</v>
      </c>
      <c r="H1384" s="7">
        <v>2463.4</v>
      </c>
      <c r="I1384" s="7">
        <f t="shared" si="105"/>
        <v>1351.6</v>
      </c>
      <c r="J1384" s="7">
        <f t="shared" si="106"/>
        <v>1417</v>
      </c>
      <c r="K1384" s="7">
        <f t="shared" si="107"/>
        <v>1460.6</v>
      </c>
      <c r="L1384" s="7">
        <f t="shared" si="108"/>
        <v>1526</v>
      </c>
      <c r="M1384" s="7">
        <f t="shared" si="109"/>
        <v>1569.6</v>
      </c>
    </row>
    <row r="1385" spans="1:13">
      <c r="A1385" s="6" t="s">
        <v>18</v>
      </c>
      <c r="B1385" s="6" t="s">
        <v>3802</v>
      </c>
      <c r="C1385" s="6" t="s">
        <v>3803</v>
      </c>
      <c r="E1385" s="6" t="s">
        <v>3804</v>
      </c>
      <c r="G1385" s="7">
        <v>38.4945</v>
      </c>
      <c r="H1385" s="7">
        <v>43.498785</v>
      </c>
      <c r="I1385" s="7">
        <f t="shared" si="105"/>
        <v>23.86659</v>
      </c>
      <c r="J1385" s="7">
        <f t="shared" si="106"/>
        <v>25.021425</v>
      </c>
      <c r="K1385" s="7">
        <f t="shared" si="107"/>
        <v>25.791315</v>
      </c>
      <c r="L1385" s="7">
        <f t="shared" si="108"/>
        <v>26.94615</v>
      </c>
      <c r="M1385" s="7">
        <f t="shared" si="109"/>
        <v>27.71604</v>
      </c>
    </row>
    <row r="1386" ht="51" spans="1:13">
      <c r="A1386" s="6" t="s">
        <v>682</v>
      </c>
      <c r="B1386" s="6" t="s">
        <v>3805</v>
      </c>
      <c r="C1386" s="6" t="s">
        <v>3806</v>
      </c>
      <c r="E1386" s="6" t="s">
        <v>3807</v>
      </c>
      <c r="G1386" s="7">
        <v>3899</v>
      </c>
      <c r="H1386" s="7">
        <v>4405.87</v>
      </c>
      <c r="I1386" s="7">
        <f t="shared" si="105"/>
        <v>2417.38</v>
      </c>
      <c r="J1386" s="7">
        <f t="shared" si="106"/>
        <v>2534.35</v>
      </c>
      <c r="K1386" s="7">
        <f t="shared" si="107"/>
        <v>2612.33</v>
      </c>
      <c r="L1386" s="7">
        <f t="shared" si="108"/>
        <v>2729.3</v>
      </c>
      <c r="M1386" s="7">
        <f t="shared" si="109"/>
        <v>2807.28</v>
      </c>
    </row>
    <row r="1387" spans="1:13">
      <c r="A1387" s="6" t="s">
        <v>18</v>
      </c>
      <c r="B1387" s="6" t="s">
        <v>3808</v>
      </c>
      <c r="C1387" s="6" t="s">
        <v>3809</v>
      </c>
      <c r="E1387" s="6" t="s">
        <v>3810</v>
      </c>
      <c r="G1387" s="7">
        <v>43.9953</v>
      </c>
      <c r="H1387" s="7">
        <v>49.714689</v>
      </c>
      <c r="I1387" s="7">
        <f t="shared" si="105"/>
        <v>27.277086</v>
      </c>
      <c r="J1387" s="7">
        <f t="shared" si="106"/>
        <v>28.596945</v>
      </c>
      <c r="K1387" s="7">
        <f t="shared" si="107"/>
        <v>29.476851</v>
      </c>
      <c r="L1387" s="7">
        <f t="shared" si="108"/>
        <v>30.79671</v>
      </c>
      <c r="M1387" s="7">
        <f t="shared" si="109"/>
        <v>31.676616</v>
      </c>
    </row>
    <row r="1388" ht="51" spans="1:13">
      <c r="A1388" s="6" t="s">
        <v>682</v>
      </c>
      <c r="B1388" s="6" t="s">
        <v>3811</v>
      </c>
      <c r="C1388" s="6" t="s">
        <v>3812</v>
      </c>
      <c r="E1388" s="6" t="s">
        <v>3813</v>
      </c>
      <c r="G1388" s="7">
        <v>5599</v>
      </c>
      <c r="H1388" s="7">
        <v>6326.87</v>
      </c>
      <c r="I1388" s="7">
        <f t="shared" si="105"/>
        <v>3471.38</v>
      </c>
      <c r="J1388" s="7">
        <f t="shared" si="106"/>
        <v>3639.35</v>
      </c>
      <c r="K1388" s="7">
        <f t="shared" si="107"/>
        <v>3751.33</v>
      </c>
      <c r="L1388" s="7">
        <f t="shared" si="108"/>
        <v>3919.3</v>
      </c>
      <c r="M1388" s="7">
        <f t="shared" si="109"/>
        <v>4031.28</v>
      </c>
    </row>
    <row r="1389" spans="1:13">
      <c r="A1389" s="6" t="s">
        <v>18</v>
      </c>
      <c r="B1389" s="6" t="s">
        <v>3814</v>
      </c>
      <c r="C1389" s="6" t="s">
        <v>3815</v>
      </c>
      <c r="E1389" s="6" t="s">
        <v>3816</v>
      </c>
      <c r="G1389" s="7">
        <v>49.4961</v>
      </c>
      <c r="H1389" s="7">
        <v>55.930593</v>
      </c>
      <c r="I1389" s="7">
        <f t="shared" si="105"/>
        <v>30.687582</v>
      </c>
      <c r="J1389" s="7">
        <f t="shared" si="106"/>
        <v>32.172465</v>
      </c>
      <c r="K1389" s="7">
        <f t="shared" si="107"/>
        <v>33.162387</v>
      </c>
      <c r="L1389" s="7">
        <f t="shared" si="108"/>
        <v>34.64727</v>
      </c>
      <c r="M1389" s="7">
        <f t="shared" si="109"/>
        <v>35.637192</v>
      </c>
    </row>
    <row r="1390" ht="51" spans="1:13">
      <c r="A1390" s="6" t="s">
        <v>682</v>
      </c>
      <c r="B1390" s="6" t="s">
        <v>3817</v>
      </c>
      <c r="C1390" s="6" t="s">
        <v>3818</v>
      </c>
      <c r="E1390" s="6" t="s">
        <v>3819</v>
      </c>
      <c r="G1390" s="7">
        <v>8299</v>
      </c>
      <c r="H1390" s="7">
        <v>9377.87</v>
      </c>
      <c r="I1390" s="7">
        <f t="shared" si="105"/>
        <v>5145.38</v>
      </c>
      <c r="J1390" s="7">
        <f t="shared" si="106"/>
        <v>5394.35</v>
      </c>
      <c r="K1390" s="7">
        <f t="shared" si="107"/>
        <v>5560.33</v>
      </c>
      <c r="L1390" s="7">
        <f t="shared" si="108"/>
        <v>5809.3</v>
      </c>
      <c r="M1390" s="7">
        <f t="shared" si="109"/>
        <v>5975.28</v>
      </c>
    </row>
    <row r="1391" ht="38.25" spans="1:13">
      <c r="A1391" s="6" t="s">
        <v>682</v>
      </c>
      <c r="B1391" s="6" t="s">
        <v>3820</v>
      </c>
      <c r="C1391" s="6" t="s">
        <v>3821</v>
      </c>
      <c r="E1391" s="6" t="s">
        <v>3822</v>
      </c>
      <c r="G1391" s="7">
        <v>2849</v>
      </c>
      <c r="H1391" s="7">
        <v>3219.37</v>
      </c>
      <c r="I1391" s="7">
        <f t="shared" si="105"/>
        <v>1766.38</v>
      </c>
      <c r="J1391" s="7">
        <f t="shared" si="106"/>
        <v>1851.85</v>
      </c>
      <c r="K1391" s="7">
        <f t="shared" si="107"/>
        <v>1908.83</v>
      </c>
      <c r="L1391" s="7">
        <f t="shared" si="108"/>
        <v>1994.3</v>
      </c>
      <c r="M1391" s="7">
        <f t="shared" si="109"/>
        <v>2051.28</v>
      </c>
    </row>
    <row r="1392" ht="38.25" spans="1:13">
      <c r="A1392" s="6" t="s">
        <v>682</v>
      </c>
      <c r="B1392" s="6" t="s">
        <v>3823</v>
      </c>
      <c r="C1392" s="6" t="s">
        <v>3824</v>
      </c>
      <c r="E1392" s="6" t="s">
        <v>3825</v>
      </c>
      <c r="G1392" s="7">
        <v>3499</v>
      </c>
      <c r="H1392" s="7">
        <v>3953.87</v>
      </c>
      <c r="I1392" s="7">
        <f t="shared" si="105"/>
        <v>2169.38</v>
      </c>
      <c r="J1392" s="7">
        <f t="shared" si="106"/>
        <v>2274.35</v>
      </c>
      <c r="K1392" s="7">
        <f t="shared" si="107"/>
        <v>2344.33</v>
      </c>
      <c r="L1392" s="7">
        <f t="shared" si="108"/>
        <v>2449.3</v>
      </c>
      <c r="M1392" s="7">
        <f t="shared" si="109"/>
        <v>2519.28</v>
      </c>
    </row>
    <row r="1393" spans="1:13">
      <c r="A1393" s="6" t="s">
        <v>18</v>
      </c>
      <c r="B1393" s="6" t="s">
        <v>3826</v>
      </c>
      <c r="C1393" s="6" t="s">
        <v>3827</v>
      </c>
      <c r="E1393" s="6" t="s">
        <v>3827</v>
      </c>
      <c r="G1393" s="7">
        <v>55</v>
      </c>
      <c r="H1393" s="7">
        <v>62.15</v>
      </c>
      <c r="I1393" s="7">
        <f t="shared" si="105"/>
        <v>34.1</v>
      </c>
      <c r="J1393" s="7">
        <f t="shared" si="106"/>
        <v>35.75</v>
      </c>
      <c r="K1393" s="7">
        <f t="shared" si="107"/>
        <v>36.85</v>
      </c>
      <c r="L1393" s="7">
        <f t="shared" si="108"/>
        <v>38.5</v>
      </c>
      <c r="M1393" s="7">
        <f t="shared" si="109"/>
        <v>39.6</v>
      </c>
    </row>
    <row r="1394" spans="1:13">
      <c r="A1394" s="6" t="s">
        <v>18</v>
      </c>
      <c r="B1394" s="6" t="s">
        <v>3828</v>
      </c>
      <c r="C1394" s="6" t="s">
        <v>3829</v>
      </c>
      <c r="E1394" s="6" t="s">
        <v>3829</v>
      </c>
      <c r="G1394" s="7">
        <v>55</v>
      </c>
      <c r="H1394" s="7">
        <v>62.15</v>
      </c>
      <c r="I1394" s="7">
        <f t="shared" si="105"/>
        <v>34.1</v>
      </c>
      <c r="J1394" s="7">
        <f t="shared" si="106"/>
        <v>35.75</v>
      </c>
      <c r="K1394" s="7">
        <f t="shared" si="107"/>
        <v>36.85</v>
      </c>
      <c r="L1394" s="7">
        <f t="shared" si="108"/>
        <v>38.5</v>
      </c>
      <c r="M1394" s="7">
        <f t="shared" si="109"/>
        <v>39.6</v>
      </c>
    </row>
    <row r="1395" ht="63.75" spans="1:13">
      <c r="A1395" s="6" t="s">
        <v>682</v>
      </c>
      <c r="B1395" s="6" t="s">
        <v>3830</v>
      </c>
      <c r="C1395" s="6" t="s">
        <v>3831</v>
      </c>
      <c r="E1395" s="6" t="s">
        <v>3832</v>
      </c>
      <c r="G1395" s="7">
        <v>1899</v>
      </c>
      <c r="H1395" s="7">
        <v>2145.87</v>
      </c>
      <c r="I1395" s="7">
        <f t="shared" si="105"/>
        <v>1177.38</v>
      </c>
      <c r="J1395" s="7">
        <f t="shared" si="106"/>
        <v>1234.35</v>
      </c>
      <c r="K1395" s="7">
        <f t="shared" si="107"/>
        <v>1272.33</v>
      </c>
      <c r="L1395" s="7">
        <f t="shared" si="108"/>
        <v>1329.3</v>
      </c>
      <c r="M1395" s="7">
        <f t="shared" si="109"/>
        <v>1367.28</v>
      </c>
    </row>
    <row r="1396" ht="63.75" spans="1:13">
      <c r="A1396" s="6" t="s">
        <v>682</v>
      </c>
      <c r="B1396" s="6" t="s">
        <v>3833</v>
      </c>
      <c r="C1396" s="6" t="s">
        <v>3834</v>
      </c>
      <c r="E1396" s="6" t="s">
        <v>3835</v>
      </c>
      <c r="G1396" s="7">
        <v>10399</v>
      </c>
      <c r="H1396" s="7">
        <v>11750.87</v>
      </c>
      <c r="I1396" s="7">
        <f t="shared" si="105"/>
        <v>6447.38</v>
      </c>
      <c r="J1396" s="7">
        <f t="shared" si="106"/>
        <v>6759.35</v>
      </c>
      <c r="K1396" s="7">
        <f t="shared" si="107"/>
        <v>6967.33</v>
      </c>
      <c r="L1396" s="7">
        <f t="shared" si="108"/>
        <v>7279.3</v>
      </c>
      <c r="M1396" s="7">
        <f t="shared" si="109"/>
        <v>7487.28</v>
      </c>
    </row>
    <row r="1397" ht="76.5" spans="1:13">
      <c r="A1397" s="6" t="s">
        <v>682</v>
      </c>
      <c r="B1397" s="6" t="s">
        <v>3836</v>
      </c>
      <c r="C1397" s="6" t="s">
        <v>3837</v>
      </c>
      <c r="E1397" s="6" t="s">
        <v>3838</v>
      </c>
      <c r="G1397" s="7">
        <v>10599</v>
      </c>
      <c r="H1397" s="7">
        <v>11976.87</v>
      </c>
      <c r="I1397" s="7">
        <f t="shared" si="105"/>
        <v>6571.38</v>
      </c>
      <c r="J1397" s="7">
        <f t="shared" si="106"/>
        <v>6889.35</v>
      </c>
      <c r="K1397" s="7">
        <f t="shared" si="107"/>
        <v>7101.33</v>
      </c>
      <c r="L1397" s="7">
        <f t="shared" si="108"/>
        <v>7419.3</v>
      </c>
      <c r="M1397" s="7">
        <f t="shared" si="109"/>
        <v>7631.28</v>
      </c>
    </row>
    <row r="1398" ht="76.5" spans="1:13">
      <c r="A1398" s="6" t="s">
        <v>682</v>
      </c>
      <c r="B1398" s="6" t="s">
        <v>3839</v>
      </c>
      <c r="C1398" s="6" t="s">
        <v>3840</v>
      </c>
      <c r="E1398" s="6" t="s">
        <v>3841</v>
      </c>
      <c r="G1398" s="7">
        <v>13099</v>
      </c>
      <c r="H1398" s="7">
        <v>14801.87</v>
      </c>
      <c r="I1398" s="7">
        <f t="shared" si="105"/>
        <v>8121.38</v>
      </c>
      <c r="J1398" s="7">
        <f t="shared" si="106"/>
        <v>8514.35</v>
      </c>
      <c r="K1398" s="7">
        <f t="shared" si="107"/>
        <v>8776.33</v>
      </c>
      <c r="L1398" s="7">
        <f t="shared" si="108"/>
        <v>9169.3</v>
      </c>
      <c r="M1398" s="7">
        <f t="shared" si="109"/>
        <v>9431.28</v>
      </c>
    </row>
    <row r="1399" ht="76.5" spans="1:13">
      <c r="A1399" s="6" t="s">
        <v>682</v>
      </c>
      <c r="B1399" s="6" t="s">
        <v>3842</v>
      </c>
      <c r="C1399" s="6" t="s">
        <v>3843</v>
      </c>
      <c r="E1399" s="6" t="s">
        <v>3844</v>
      </c>
      <c r="G1399" s="7">
        <v>16199</v>
      </c>
      <c r="H1399" s="7">
        <v>18304.87</v>
      </c>
      <c r="I1399" s="7">
        <f t="shared" si="105"/>
        <v>10043.38</v>
      </c>
      <c r="J1399" s="7">
        <f t="shared" si="106"/>
        <v>10529.35</v>
      </c>
      <c r="K1399" s="7">
        <f t="shared" si="107"/>
        <v>10853.33</v>
      </c>
      <c r="L1399" s="7">
        <f t="shared" si="108"/>
        <v>11339.3</v>
      </c>
      <c r="M1399" s="7">
        <f t="shared" si="109"/>
        <v>11663.28</v>
      </c>
    </row>
    <row r="1400" ht="63.75" spans="1:13">
      <c r="A1400" s="6" t="s">
        <v>682</v>
      </c>
      <c r="B1400" s="6" t="s">
        <v>3845</v>
      </c>
      <c r="C1400" s="6" t="s">
        <v>3846</v>
      </c>
      <c r="E1400" s="6" t="s">
        <v>3847</v>
      </c>
      <c r="G1400" s="7">
        <v>9799</v>
      </c>
      <c r="H1400" s="7">
        <v>11072.87</v>
      </c>
      <c r="I1400" s="7">
        <f t="shared" si="105"/>
        <v>6075.38</v>
      </c>
      <c r="J1400" s="7">
        <f t="shared" si="106"/>
        <v>6369.35</v>
      </c>
      <c r="K1400" s="7">
        <f t="shared" si="107"/>
        <v>6565.33</v>
      </c>
      <c r="L1400" s="7">
        <f t="shared" si="108"/>
        <v>6859.3</v>
      </c>
      <c r="M1400" s="7">
        <f t="shared" si="109"/>
        <v>7055.28</v>
      </c>
    </row>
    <row r="1401" ht="63.75" spans="1:13">
      <c r="A1401" s="6" t="s">
        <v>682</v>
      </c>
      <c r="B1401" s="6" t="s">
        <v>3848</v>
      </c>
      <c r="C1401" s="6" t="s">
        <v>3849</v>
      </c>
      <c r="E1401" s="6" t="s">
        <v>3850</v>
      </c>
      <c r="G1401" s="7">
        <v>12249</v>
      </c>
      <c r="H1401" s="7">
        <v>13841.37</v>
      </c>
      <c r="I1401" s="7">
        <f t="shared" si="105"/>
        <v>7594.38</v>
      </c>
      <c r="J1401" s="7">
        <f t="shared" si="106"/>
        <v>7961.85</v>
      </c>
      <c r="K1401" s="7">
        <f t="shared" si="107"/>
        <v>8206.83</v>
      </c>
      <c r="L1401" s="7">
        <f t="shared" si="108"/>
        <v>8574.3</v>
      </c>
      <c r="M1401" s="7">
        <f t="shared" si="109"/>
        <v>8819.28</v>
      </c>
    </row>
    <row r="1402" ht="63.75" spans="1:13">
      <c r="A1402" s="6" t="s">
        <v>682</v>
      </c>
      <c r="B1402" s="6" t="s">
        <v>3851</v>
      </c>
      <c r="C1402" s="6" t="s">
        <v>3852</v>
      </c>
      <c r="E1402" s="6" t="s">
        <v>3853</v>
      </c>
      <c r="G1402" s="7">
        <v>15349</v>
      </c>
      <c r="H1402" s="7">
        <v>17344.37</v>
      </c>
      <c r="I1402" s="7">
        <f t="shared" si="105"/>
        <v>9516.38</v>
      </c>
      <c r="J1402" s="7">
        <f t="shared" si="106"/>
        <v>9976.85</v>
      </c>
      <c r="K1402" s="7">
        <f t="shared" si="107"/>
        <v>10283.83</v>
      </c>
      <c r="L1402" s="7">
        <f t="shared" si="108"/>
        <v>10744.3</v>
      </c>
      <c r="M1402" s="7">
        <f t="shared" si="109"/>
        <v>11051.28</v>
      </c>
    </row>
    <row r="1403" ht="38.25" spans="1:13">
      <c r="A1403" s="6" t="s">
        <v>682</v>
      </c>
      <c r="B1403" s="6" t="s">
        <v>3854</v>
      </c>
      <c r="C1403" s="6" t="s">
        <v>3855</v>
      </c>
      <c r="E1403" s="6" t="s">
        <v>3856</v>
      </c>
      <c r="G1403" s="7">
        <v>7549</v>
      </c>
      <c r="H1403" s="7">
        <v>8530.37</v>
      </c>
      <c r="I1403" s="7">
        <f t="shared" si="105"/>
        <v>4680.38</v>
      </c>
      <c r="J1403" s="7">
        <f t="shared" si="106"/>
        <v>4906.85</v>
      </c>
      <c r="K1403" s="7">
        <f t="shared" si="107"/>
        <v>5057.83</v>
      </c>
      <c r="L1403" s="7">
        <f t="shared" si="108"/>
        <v>5284.3</v>
      </c>
      <c r="M1403" s="7">
        <f t="shared" si="109"/>
        <v>5435.28</v>
      </c>
    </row>
    <row r="1404" ht="63.75" spans="1:13">
      <c r="A1404" s="6" t="s">
        <v>682</v>
      </c>
      <c r="B1404" s="6" t="s">
        <v>3857</v>
      </c>
      <c r="C1404" s="6" t="s">
        <v>3858</v>
      </c>
      <c r="E1404" s="6" t="s">
        <v>3859</v>
      </c>
      <c r="G1404" s="7">
        <v>7499</v>
      </c>
      <c r="H1404" s="7">
        <v>8473.87</v>
      </c>
      <c r="I1404" s="7">
        <f t="shared" si="105"/>
        <v>4649.38</v>
      </c>
      <c r="J1404" s="7">
        <f t="shared" si="106"/>
        <v>4874.35</v>
      </c>
      <c r="K1404" s="7">
        <f t="shared" si="107"/>
        <v>5024.33</v>
      </c>
      <c r="L1404" s="7">
        <f t="shared" si="108"/>
        <v>5249.3</v>
      </c>
      <c r="M1404" s="7">
        <f t="shared" si="109"/>
        <v>5399.28</v>
      </c>
    </row>
    <row r="1405" ht="63.75" spans="1:13">
      <c r="A1405" s="6" t="s">
        <v>682</v>
      </c>
      <c r="B1405" s="6" t="s">
        <v>3860</v>
      </c>
      <c r="C1405" s="6" t="s">
        <v>3861</v>
      </c>
      <c r="E1405" s="6" t="s">
        <v>3862</v>
      </c>
      <c r="G1405" s="7">
        <v>3699</v>
      </c>
      <c r="H1405" s="7">
        <v>4179.87</v>
      </c>
      <c r="I1405" s="7">
        <f t="shared" si="105"/>
        <v>2293.38</v>
      </c>
      <c r="J1405" s="7">
        <f t="shared" si="106"/>
        <v>2404.35</v>
      </c>
      <c r="K1405" s="7">
        <f t="shared" si="107"/>
        <v>2478.33</v>
      </c>
      <c r="L1405" s="7">
        <f t="shared" si="108"/>
        <v>2589.3</v>
      </c>
      <c r="M1405" s="7">
        <f t="shared" si="109"/>
        <v>2663.28</v>
      </c>
    </row>
    <row r="1406" ht="63.75" spans="1:13">
      <c r="A1406" s="6" t="s">
        <v>682</v>
      </c>
      <c r="B1406" s="6" t="s">
        <v>3863</v>
      </c>
      <c r="C1406" s="6" t="s">
        <v>3864</v>
      </c>
      <c r="E1406" s="6" t="s">
        <v>3865</v>
      </c>
      <c r="G1406" s="7">
        <v>5249</v>
      </c>
      <c r="H1406" s="7">
        <v>5931.37</v>
      </c>
      <c r="I1406" s="7">
        <f t="shared" si="105"/>
        <v>3254.38</v>
      </c>
      <c r="J1406" s="7">
        <f t="shared" si="106"/>
        <v>3411.85</v>
      </c>
      <c r="K1406" s="7">
        <f t="shared" si="107"/>
        <v>3516.83</v>
      </c>
      <c r="L1406" s="7">
        <f t="shared" si="108"/>
        <v>3674.3</v>
      </c>
      <c r="M1406" s="7">
        <f t="shared" si="109"/>
        <v>3779.28</v>
      </c>
    </row>
    <row r="1407" spans="1:13">
      <c r="I1407" s="7"/>
      <c r="J1407" s="7"/>
      <c r="K1407" s="7"/>
      <c r="L1407" s="7"/>
      <c r="M1407" s="7"/>
    </row>
    <row r="1408" spans="1:13">
      <c r="I1408" s="7"/>
      <c r="J1408" s="7"/>
      <c r="K1408" s="7"/>
      <c r="L1408" s="7"/>
      <c r="M1408" s="7"/>
    </row>
    <row r="1409" spans="9:13">
      <c r="I1409" s="7"/>
      <c r="J1409" s="7"/>
      <c r="K1409" s="7"/>
      <c r="L1409" s="7"/>
      <c r="M1409" s="7"/>
    </row>
  </sheetData>
  <sortState ref="A2:N2546">
    <sortCondition ref="C2"/>
  </sortState>
  <conditionalFormatting sqref="B1:B1406 I1:N1 N2:N1406">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WPS_1735901862</cp:lastModifiedBy>
  <dcterms:created xsi:type="dcterms:W3CDTF">2023-05-12T11:15:00Z</dcterms:created>
  <dcterms:modified xsi:type="dcterms:W3CDTF">2025-12-10T05:36:29Z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A9B8CDB7EF63438BB58F4252AD2CE9A7_12</vt:lpwstr>
  </property>
  <property fmtid="{D5CDD505-2E9C-101B-9397-08002B2CF9AE}" pid="4" name="CalculationRule">
    <vt:i4>0</vt:i4>
  </property>
</Properties>
</file>